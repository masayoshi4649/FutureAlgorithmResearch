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S:\GitHub\masayoshi4649\FutureAlgorithmResearch\アルゴリズム調査\00168_早期利確と数量別追尾と再判断\"/>
    </mc:Choice>
  </mc:AlternateContent>
  <xr:revisionPtr revIDLastSave="0" documentId="8_{04F774CE-EBCD-46B5-A4FC-295162F7200A}" xr6:coauthVersionLast="47" xr6:coauthVersionMax="47" xr10:uidLastSave="{00000000-0000-0000-0000-000000000000}"/>
  <bookViews>
    <workbookView xWindow="23910" yWindow="8235" windowWidth="33570" windowHeight="23445" xr2:uid="{00000000-000D-0000-FFFF-FFFF00000000}"/>
  </bookViews>
  <sheets>
    <sheet name="比較" sheetId="1" r:id="rId1"/>
    <sheet name="日経_D164_15" sheetId="2" r:id="rId2"/>
    <sheet name="日経_D168C_01" sheetId="3" r:id="rId3"/>
    <sheet name="日経_D168C_02" sheetId="4" r:id="rId4"/>
    <sheet name="日経_D168C_03" sheetId="5" r:id="rId5"/>
    <sheet name="日経_D168C_04" sheetId="6" r:id="rId6"/>
    <sheet name="日経_P164_06" sheetId="7" r:id="rId7"/>
    <sheet name="日経_P168C_01" sheetId="8" r:id="rId8"/>
    <sheet name="日経_P168C_02" sheetId="9" r:id="rId9"/>
    <sheet name="日経_P168C_03" sheetId="10" r:id="rId10"/>
    <sheet name="日経_P168C_04" sheetId="11" r:id="rId11"/>
    <sheet name="日経_U165_03" sheetId="12" r:id="rId12"/>
    <sheet name="日経_U168C_01" sheetId="13" r:id="rId13"/>
    <sheet name="日経_U168C_02" sheetId="14" r:id="rId14"/>
    <sheet name="日経_U168C_03" sheetId="15" r:id="rId15"/>
    <sheet name="日経_U168C_04" sheetId="16" r:id="rId1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6" l="1"/>
  <c r="C33" i="16"/>
  <c r="E20" i="1" s="1"/>
  <c r="B33" i="16"/>
  <c r="F32" i="16"/>
  <c r="D32" i="16"/>
  <c r="F31" i="16"/>
  <c r="D31" i="16"/>
  <c r="F30" i="16"/>
  <c r="D30" i="16"/>
  <c r="F29" i="16"/>
  <c r="D29" i="16"/>
  <c r="F28" i="16"/>
  <c r="D28" i="16"/>
  <c r="F27" i="16"/>
  <c r="D27" i="16"/>
  <c r="F26" i="16"/>
  <c r="D26" i="16"/>
  <c r="F25" i="16"/>
  <c r="D25" i="16"/>
  <c r="F24" i="16"/>
  <c r="D24" i="16"/>
  <c r="F23" i="16"/>
  <c r="D23" i="16"/>
  <c r="F22" i="16"/>
  <c r="D22" i="16"/>
  <c r="F21" i="16"/>
  <c r="D21" i="16"/>
  <c r="F20" i="16"/>
  <c r="D20" i="16"/>
  <c r="I20" i="1" s="1"/>
  <c r="F19" i="16"/>
  <c r="D19" i="16"/>
  <c r="F18" i="16"/>
  <c r="D18" i="16"/>
  <c r="F17" i="16"/>
  <c r="D17" i="16"/>
  <c r="F16" i="16"/>
  <c r="D16" i="16"/>
  <c r="F15" i="16"/>
  <c r="D15" i="16"/>
  <c r="F14" i="16"/>
  <c r="D14" i="16"/>
  <c r="F13" i="16"/>
  <c r="D13" i="16"/>
  <c r="F12" i="16"/>
  <c r="D12" i="16"/>
  <c r="F11" i="16"/>
  <c r="D11" i="16"/>
  <c r="F10" i="16"/>
  <c r="D10" i="16"/>
  <c r="F9" i="16"/>
  <c r="D9" i="16"/>
  <c r="F8" i="16"/>
  <c r="D8" i="16"/>
  <c r="F7" i="16"/>
  <c r="D7" i="16"/>
  <c r="F6" i="16"/>
  <c r="D6" i="16"/>
  <c r="E33" i="15"/>
  <c r="C33" i="15"/>
  <c r="D33" i="15" s="1"/>
  <c r="F19" i="1" s="1"/>
  <c r="J19" i="1" s="1"/>
  <c r="B33" i="15"/>
  <c r="F32" i="15"/>
  <c r="D32" i="15"/>
  <c r="F31" i="15"/>
  <c r="D31" i="15"/>
  <c r="F30" i="15"/>
  <c r="D30" i="15"/>
  <c r="F29" i="15"/>
  <c r="D29" i="15"/>
  <c r="F28" i="15"/>
  <c r="D28" i="15"/>
  <c r="F27" i="15"/>
  <c r="D27" i="15"/>
  <c r="F26" i="15"/>
  <c r="D26" i="15"/>
  <c r="F25" i="15"/>
  <c r="D25" i="15"/>
  <c r="F24" i="15"/>
  <c r="D24" i="15"/>
  <c r="F23" i="15"/>
  <c r="D23" i="15"/>
  <c r="F22" i="15"/>
  <c r="D22" i="15"/>
  <c r="F21" i="15"/>
  <c r="D21" i="15"/>
  <c r="F20" i="15"/>
  <c r="D20" i="15"/>
  <c r="F19" i="15"/>
  <c r="D19" i="15"/>
  <c r="F18" i="15"/>
  <c r="D18" i="15"/>
  <c r="I19" i="1" s="1"/>
  <c r="F17" i="15"/>
  <c r="D17" i="15"/>
  <c r="F16" i="15"/>
  <c r="D16" i="15"/>
  <c r="F15" i="15"/>
  <c r="D15" i="15"/>
  <c r="F14" i="15"/>
  <c r="D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6" i="15"/>
  <c r="D6" i="15"/>
  <c r="E33" i="14"/>
  <c r="F33" i="14" s="1"/>
  <c r="P18" i="1" s="1"/>
  <c r="C33" i="14"/>
  <c r="B33" i="14"/>
  <c r="D33" i="14" s="1"/>
  <c r="F18" i="1" s="1"/>
  <c r="J18" i="1" s="1"/>
  <c r="F32" i="14"/>
  <c r="D32" i="14"/>
  <c r="F31" i="14"/>
  <c r="D31" i="14"/>
  <c r="F30" i="14"/>
  <c r="D30" i="14"/>
  <c r="F29" i="14"/>
  <c r="D29" i="14"/>
  <c r="F28" i="14"/>
  <c r="D28" i="14"/>
  <c r="F27" i="14"/>
  <c r="D27" i="14"/>
  <c r="F26" i="14"/>
  <c r="D26" i="14"/>
  <c r="F25" i="14"/>
  <c r="D25" i="14"/>
  <c r="F24" i="14"/>
  <c r="D24" i="14"/>
  <c r="F23" i="14"/>
  <c r="D23" i="14"/>
  <c r="F22" i="14"/>
  <c r="D22" i="14"/>
  <c r="F21" i="14"/>
  <c r="D21" i="14"/>
  <c r="F20" i="14"/>
  <c r="D20" i="14"/>
  <c r="F19" i="14"/>
  <c r="D19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E33" i="13"/>
  <c r="F33" i="13" s="1"/>
  <c r="P17" i="1" s="1"/>
  <c r="C33" i="13"/>
  <c r="B33" i="13"/>
  <c r="D33" i="13" s="1"/>
  <c r="F17" i="1" s="1"/>
  <c r="J17" i="1" s="1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E33" i="12"/>
  <c r="F33" i="12" s="1"/>
  <c r="P16" i="1" s="1"/>
  <c r="C33" i="12"/>
  <c r="B33" i="12"/>
  <c r="D33" i="12" s="1"/>
  <c r="F16" i="1" s="1"/>
  <c r="J16" i="1" s="1"/>
  <c r="F32" i="12"/>
  <c r="D32" i="12"/>
  <c r="F31" i="12"/>
  <c r="D31" i="12"/>
  <c r="F30" i="12"/>
  <c r="D30" i="12"/>
  <c r="F29" i="12"/>
  <c r="D29" i="12"/>
  <c r="F28" i="12"/>
  <c r="D28" i="12"/>
  <c r="F27" i="12"/>
  <c r="D27" i="12"/>
  <c r="F26" i="12"/>
  <c r="D26" i="12"/>
  <c r="I16" i="1" s="1"/>
  <c r="F25" i="12"/>
  <c r="D25" i="12"/>
  <c r="F24" i="12"/>
  <c r="D24" i="12"/>
  <c r="F23" i="12"/>
  <c r="D23" i="12"/>
  <c r="F22" i="12"/>
  <c r="D22" i="12"/>
  <c r="F21" i="12"/>
  <c r="D21" i="12"/>
  <c r="F20" i="12"/>
  <c r="D20" i="12"/>
  <c r="F19" i="12"/>
  <c r="D19" i="12"/>
  <c r="F18" i="12"/>
  <c r="D18" i="12"/>
  <c r="F17" i="12"/>
  <c r="D17" i="12"/>
  <c r="F16" i="12"/>
  <c r="D16" i="12"/>
  <c r="F15" i="12"/>
  <c r="D15" i="12"/>
  <c r="F14" i="12"/>
  <c r="D14" i="12"/>
  <c r="F13" i="12"/>
  <c r="D13" i="12"/>
  <c r="F12" i="12"/>
  <c r="D12" i="12"/>
  <c r="F11" i="12"/>
  <c r="D11" i="12"/>
  <c r="F10" i="12"/>
  <c r="D10" i="12"/>
  <c r="F9" i="12"/>
  <c r="D9" i="12"/>
  <c r="F8" i="12"/>
  <c r="D8" i="12"/>
  <c r="F7" i="12"/>
  <c r="D7" i="12"/>
  <c r="F6" i="12"/>
  <c r="D6" i="12"/>
  <c r="E33" i="11"/>
  <c r="F33" i="11" s="1"/>
  <c r="P15" i="1" s="1"/>
  <c r="C33" i="11"/>
  <c r="B33" i="11"/>
  <c r="D33" i="11" s="1"/>
  <c r="F15" i="1" s="1"/>
  <c r="J15" i="1" s="1"/>
  <c r="F32" i="11"/>
  <c r="D32" i="11"/>
  <c r="F31" i="11"/>
  <c r="D31" i="11"/>
  <c r="F30" i="11"/>
  <c r="D30" i="11"/>
  <c r="F29" i="11"/>
  <c r="D29" i="11"/>
  <c r="F28" i="11"/>
  <c r="D28" i="11"/>
  <c r="F27" i="11"/>
  <c r="D27" i="11"/>
  <c r="F26" i="11"/>
  <c r="D26" i="11"/>
  <c r="F25" i="11"/>
  <c r="D25" i="11"/>
  <c r="F24" i="11"/>
  <c r="D24" i="11"/>
  <c r="F23" i="11"/>
  <c r="D23" i="11"/>
  <c r="F22" i="11"/>
  <c r="D22" i="11"/>
  <c r="F21" i="11"/>
  <c r="D21" i="11"/>
  <c r="F20" i="11"/>
  <c r="D20" i="11"/>
  <c r="F19" i="11"/>
  <c r="D19" i="11"/>
  <c r="F18" i="11"/>
  <c r="D18" i="11"/>
  <c r="F17" i="11"/>
  <c r="D17" i="11"/>
  <c r="F16" i="11"/>
  <c r="D16" i="11"/>
  <c r="F15" i="11"/>
  <c r="D15" i="11"/>
  <c r="F14" i="11"/>
  <c r="D14" i="11"/>
  <c r="F13" i="11"/>
  <c r="D13" i="11"/>
  <c r="F12" i="11"/>
  <c r="D12" i="11"/>
  <c r="F11" i="11"/>
  <c r="D11" i="11"/>
  <c r="F10" i="11"/>
  <c r="D10" i="11"/>
  <c r="F9" i="11"/>
  <c r="D9" i="11"/>
  <c r="F8" i="11"/>
  <c r="D8" i="11"/>
  <c r="F7" i="11"/>
  <c r="D7" i="11"/>
  <c r="F6" i="11"/>
  <c r="D6" i="11"/>
  <c r="E33" i="10"/>
  <c r="F33" i="10" s="1"/>
  <c r="P14" i="1" s="1"/>
  <c r="C33" i="10"/>
  <c r="B33" i="10"/>
  <c r="D33" i="10" s="1"/>
  <c r="F14" i="1" s="1"/>
  <c r="J14" i="1" s="1"/>
  <c r="F32" i="10"/>
  <c r="D32" i="10"/>
  <c r="F31" i="10"/>
  <c r="D31" i="10"/>
  <c r="F30" i="10"/>
  <c r="D30" i="10"/>
  <c r="F29" i="10"/>
  <c r="D29" i="10"/>
  <c r="F28" i="10"/>
  <c r="D28" i="10"/>
  <c r="F27" i="10"/>
  <c r="D27" i="10"/>
  <c r="F26" i="10"/>
  <c r="D26" i="10"/>
  <c r="F25" i="10"/>
  <c r="D25" i="10"/>
  <c r="F24" i="10"/>
  <c r="D24" i="10"/>
  <c r="F23" i="10"/>
  <c r="D23" i="10"/>
  <c r="F22" i="10"/>
  <c r="D22" i="10"/>
  <c r="F21" i="10"/>
  <c r="D21" i="10"/>
  <c r="F20" i="10"/>
  <c r="D20" i="10"/>
  <c r="F19" i="10"/>
  <c r="D19" i="10"/>
  <c r="F18" i="10"/>
  <c r="D18" i="10"/>
  <c r="F17" i="10"/>
  <c r="D17" i="10"/>
  <c r="F16" i="10"/>
  <c r="D16" i="10"/>
  <c r="F15" i="10"/>
  <c r="D15" i="10"/>
  <c r="F14" i="10"/>
  <c r="D14" i="10"/>
  <c r="F13" i="10"/>
  <c r="D13" i="10"/>
  <c r="F12" i="10"/>
  <c r="D12" i="10"/>
  <c r="F11" i="10"/>
  <c r="D11" i="10"/>
  <c r="F10" i="10"/>
  <c r="D10" i="10"/>
  <c r="F9" i="10"/>
  <c r="D9" i="10"/>
  <c r="F8" i="10"/>
  <c r="D8" i="10"/>
  <c r="F7" i="10"/>
  <c r="D7" i="10"/>
  <c r="F6" i="10"/>
  <c r="D6" i="10"/>
  <c r="E33" i="9"/>
  <c r="F33" i="9" s="1"/>
  <c r="P13" i="1" s="1"/>
  <c r="C33" i="9"/>
  <c r="B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E33" i="8"/>
  <c r="C33" i="8"/>
  <c r="B33" i="8"/>
  <c r="D33" i="8" s="1"/>
  <c r="F12" i="1" s="1"/>
  <c r="J12" i="1" s="1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F6" i="8"/>
  <c r="D6" i="8"/>
  <c r="E33" i="7"/>
  <c r="F33" i="7" s="1"/>
  <c r="P11" i="1" s="1"/>
  <c r="C33" i="7"/>
  <c r="B33" i="7"/>
  <c r="D33" i="7" s="1"/>
  <c r="F11" i="1" s="1"/>
  <c r="J11" i="1" s="1"/>
  <c r="F32" i="7"/>
  <c r="D32" i="7"/>
  <c r="F31" i="7"/>
  <c r="D31" i="7"/>
  <c r="F30" i="7"/>
  <c r="D30" i="7"/>
  <c r="F29" i="7"/>
  <c r="D29" i="7"/>
  <c r="F28" i="7"/>
  <c r="D28" i="7"/>
  <c r="F27" i="7"/>
  <c r="D27" i="7"/>
  <c r="F26" i="7"/>
  <c r="D26" i="7"/>
  <c r="F25" i="7"/>
  <c r="D25" i="7"/>
  <c r="F24" i="7"/>
  <c r="D24" i="7"/>
  <c r="F23" i="7"/>
  <c r="D23" i="7"/>
  <c r="F22" i="7"/>
  <c r="D22" i="7"/>
  <c r="F21" i="7"/>
  <c r="D21" i="7"/>
  <c r="F20" i="7"/>
  <c r="D20" i="7"/>
  <c r="F19" i="7"/>
  <c r="D19" i="7"/>
  <c r="F18" i="7"/>
  <c r="D18" i="7"/>
  <c r="F17" i="7"/>
  <c r="D17" i="7"/>
  <c r="F16" i="7"/>
  <c r="D16" i="7"/>
  <c r="F15" i="7"/>
  <c r="D15" i="7"/>
  <c r="F14" i="7"/>
  <c r="D14" i="7"/>
  <c r="F13" i="7"/>
  <c r="D13" i="7"/>
  <c r="F12" i="7"/>
  <c r="D12" i="7"/>
  <c r="F11" i="7"/>
  <c r="D11" i="7"/>
  <c r="F10" i="7"/>
  <c r="D10" i="7"/>
  <c r="F9" i="7"/>
  <c r="D9" i="7"/>
  <c r="F8" i="7"/>
  <c r="D8" i="7"/>
  <c r="F7" i="7"/>
  <c r="D7" i="7"/>
  <c r="F6" i="7"/>
  <c r="D6" i="7"/>
  <c r="E33" i="6"/>
  <c r="F33" i="6" s="1"/>
  <c r="P10" i="1" s="1"/>
  <c r="C33" i="6"/>
  <c r="B33" i="6"/>
  <c r="D33" i="6" s="1"/>
  <c r="F10" i="1" s="1"/>
  <c r="J10" i="1" s="1"/>
  <c r="F32" i="6"/>
  <c r="D32" i="6"/>
  <c r="F31" i="6"/>
  <c r="D31" i="6"/>
  <c r="F30" i="6"/>
  <c r="D30" i="6"/>
  <c r="F29" i="6"/>
  <c r="D29" i="6"/>
  <c r="F28" i="6"/>
  <c r="D28" i="6"/>
  <c r="F27" i="6"/>
  <c r="D27" i="6"/>
  <c r="F26" i="6"/>
  <c r="D26" i="6"/>
  <c r="F25" i="6"/>
  <c r="D25" i="6"/>
  <c r="F24" i="6"/>
  <c r="D24" i="6"/>
  <c r="F23" i="6"/>
  <c r="D23" i="6"/>
  <c r="F22" i="6"/>
  <c r="D22" i="6"/>
  <c r="F21" i="6"/>
  <c r="D21" i="6"/>
  <c r="F20" i="6"/>
  <c r="D20" i="6"/>
  <c r="F19" i="6"/>
  <c r="D19" i="6"/>
  <c r="F18" i="6"/>
  <c r="D18" i="6"/>
  <c r="F17" i="6"/>
  <c r="D17" i="6"/>
  <c r="F16" i="6"/>
  <c r="D16" i="6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E33" i="5"/>
  <c r="F33" i="5" s="1"/>
  <c r="P9" i="1" s="1"/>
  <c r="C33" i="5"/>
  <c r="B33" i="5"/>
  <c r="D33" i="5" s="1"/>
  <c r="F9" i="1" s="1"/>
  <c r="J9" i="1" s="1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E33" i="4"/>
  <c r="F33" i="4" s="1"/>
  <c r="P8" i="1" s="1"/>
  <c r="C33" i="4"/>
  <c r="B33" i="4"/>
  <c r="D33" i="4" s="1"/>
  <c r="F8" i="1" s="1"/>
  <c r="J8" i="1" s="1"/>
  <c r="F32" i="4"/>
  <c r="D32" i="4"/>
  <c r="F31" i="4"/>
  <c r="D31" i="4"/>
  <c r="F30" i="4"/>
  <c r="D30" i="4"/>
  <c r="F29" i="4"/>
  <c r="D29" i="4"/>
  <c r="F28" i="4"/>
  <c r="D28" i="4"/>
  <c r="F27" i="4"/>
  <c r="D27" i="4"/>
  <c r="F26" i="4"/>
  <c r="D26" i="4"/>
  <c r="F25" i="4"/>
  <c r="D25" i="4"/>
  <c r="F24" i="4"/>
  <c r="D24" i="4"/>
  <c r="F23" i="4"/>
  <c r="D23" i="4"/>
  <c r="F22" i="4"/>
  <c r="D22" i="4"/>
  <c r="F21" i="4"/>
  <c r="D21" i="4"/>
  <c r="F20" i="4"/>
  <c r="D20" i="4"/>
  <c r="F19" i="4"/>
  <c r="D19" i="4"/>
  <c r="F18" i="4"/>
  <c r="D18" i="4"/>
  <c r="F17" i="4"/>
  <c r="D17" i="4"/>
  <c r="F16" i="4"/>
  <c r="D16" i="4"/>
  <c r="F15" i="4"/>
  <c r="D15" i="4"/>
  <c r="F14" i="4"/>
  <c r="D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E33" i="3"/>
  <c r="F33" i="3" s="1"/>
  <c r="P7" i="1" s="1"/>
  <c r="C33" i="3"/>
  <c r="B33" i="3"/>
  <c r="D33" i="3" s="1"/>
  <c r="F7" i="1" s="1"/>
  <c r="J7" i="1" s="1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E33" i="2"/>
  <c r="F33" i="2" s="1"/>
  <c r="P6" i="1" s="1"/>
  <c r="C33" i="2"/>
  <c r="B33" i="2"/>
  <c r="D33" i="2" s="1"/>
  <c r="F6" i="1" s="1"/>
  <c r="J6" i="1" s="1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G20" i="1"/>
  <c r="H20" i="1" s="1"/>
  <c r="G19" i="1"/>
  <c r="H19" i="1" s="1"/>
  <c r="E19" i="1"/>
  <c r="D19" i="1"/>
  <c r="O18" i="1"/>
  <c r="I18" i="1"/>
  <c r="G18" i="1"/>
  <c r="H18" i="1" s="1"/>
  <c r="E18" i="1"/>
  <c r="D18" i="1"/>
  <c r="O17" i="1"/>
  <c r="I17" i="1"/>
  <c r="G17" i="1"/>
  <c r="H17" i="1" s="1"/>
  <c r="E17" i="1"/>
  <c r="D17" i="1"/>
  <c r="O16" i="1"/>
  <c r="G16" i="1"/>
  <c r="H16" i="1" s="1"/>
  <c r="E16" i="1"/>
  <c r="D16" i="1"/>
  <c r="O15" i="1"/>
  <c r="I15" i="1"/>
  <c r="G15" i="1"/>
  <c r="H15" i="1" s="1"/>
  <c r="E15" i="1"/>
  <c r="D15" i="1"/>
  <c r="O14" i="1"/>
  <c r="I14" i="1"/>
  <c r="G14" i="1"/>
  <c r="H14" i="1" s="1"/>
  <c r="E14" i="1"/>
  <c r="D14" i="1"/>
  <c r="O13" i="1"/>
  <c r="I13" i="1"/>
  <c r="G13" i="1"/>
  <c r="H13" i="1" s="1"/>
  <c r="E13" i="1"/>
  <c r="I12" i="1"/>
  <c r="G12" i="1"/>
  <c r="H12" i="1" s="1"/>
  <c r="E12" i="1"/>
  <c r="D12" i="1"/>
  <c r="O11" i="1"/>
  <c r="I11" i="1"/>
  <c r="G11" i="1"/>
  <c r="H11" i="1" s="1"/>
  <c r="E11" i="1"/>
  <c r="D11" i="1"/>
  <c r="O10" i="1"/>
  <c r="I10" i="1"/>
  <c r="G10" i="1"/>
  <c r="H10" i="1" s="1"/>
  <c r="E10" i="1"/>
  <c r="D10" i="1"/>
  <c r="O9" i="1"/>
  <c r="I9" i="1"/>
  <c r="G9" i="1"/>
  <c r="H9" i="1" s="1"/>
  <c r="E9" i="1"/>
  <c r="D9" i="1"/>
  <c r="O8" i="1"/>
  <c r="I8" i="1"/>
  <c r="G8" i="1"/>
  <c r="H8" i="1" s="1"/>
  <c r="E8" i="1"/>
  <c r="D8" i="1"/>
  <c r="O7" i="1"/>
  <c r="I7" i="1"/>
  <c r="G7" i="1"/>
  <c r="H7" i="1" s="1"/>
  <c r="E7" i="1"/>
  <c r="D7" i="1"/>
  <c r="O6" i="1"/>
  <c r="I6" i="1"/>
  <c r="G6" i="1"/>
  <c r="H6" i="1" s="1"/>
  <c r="E6" i="1"/>
  <c r="D6" i="1"/>
  <c r="F33" i="16" l="1"/>
  <c r="P20" i="1" s="1"/>
  <c r="O20" i="1"/>
  <c r="D33" i="16"/>
  <c r="F20" i="1" s="1"/>
  <c r="J20" i="1" s="1"/>
  <c r="D20" i="1"/>
  <c r="F33" i="15"/>
  <c r="P19" i="1" s="1"/>
  <c r="O19" i="1"/>
  <c r="D33" i="9"/>
  <c r="F13" i="1" s="1"/>
  <c r="J13" i="1" s="1"/>
  <c r="D13" i="1"/>
  <c r="F33" i="8"/>
  <c r="P12" i="1" s="1"/>
  <c r="O12" i="1"/>
</calcChain>
</file>

<file path=xl/sharedStrings.xml><?xml version="1.0" encoding="utf-8"?>
<sst xmlns="http://schemas.openxmlformats.org/spreadsheetml/2006/main" count="619" uniqueCount="121">
  <si>
    <t>利益床と損切り猶予の追加確認</t>
  </si>
  <si>
    <t>既知54場。利益が出る前の資格条件を外す4案×日中/米国前/米国後。売買核は第二巡と同一。100micro=mini10枚相当、手数料0、次正常ラージBBO約定。初回入口は固定基準の通知。</t>
  </si>
  <si>
    <t>返済約定片の正額合計を利益、負額の絶対値合計を損失とする。全所有玉は場内完済。 利益返し＝正益後に最終赤字となった実玉数。場内最悪＝確定＋全実玉の含み。</t>
  </si>
  <si>
    <t>手法ID</t>
  </si>
  <si>
    <t>時間帯</t>
  </si>
  <si>
    <t>区分</t>
  </si>
  <si>
    <t>総利益（円）</t>
  </si>
  <si>
    <t>総損失（円）</t>
  </si>
  <si>
    <t>累計収支（円）</t>
  </si>
  <si>
    <t>赤字場数</t>
  </si>
  <si>
    <t>平均赤字（円）</t>
  </si>
  <si>
    <t>最大赤字（円）</t>
  </si>
  <si>
    <t>上位3黒字場除外（円）</t>
  </si>
  <si>
    <t>場内最悪収支（円）</t>
  </si>
  <si>
    <t>最大下落額（円）</t>
  </si>
  <si>
    <t>利益返し玉数</t>
  </si>
  <si>
    <t>正益玉数</t>
  </si>
  <si>
    <t>新規枚数（micro）</t>
  </si>
  <si>
    <t>新規枚数（mini換算）</t>
  </si>
  <si>
    <t>NK225_D164_15</t>
  </si>
  <si>
    <t>日中</t>
  </si>
  <si>
    <t>基準・前20場固定</t>
  </si>
  <si>
    <t>NK225_D168C_01</t>
  </si>
  <si>
    <t>比較候補</t>
  </si>
  <si>
    <t>NK225_D168C_02</t>
  </si>
  <si>
    <t>NK225_D168C_03</t>
  </si>
  <si>
    <t>NK225_D168C_04</t>
  </si>
  <si>
    <t>NK225_P164_06</t>
  </si>
  <si>
    <t>米国前</t>
  </si>
  <si>
    <t>基準</t>
  </si>
  <si>
    <t>NK225_P168C_01</t>
  </si>
  <si>
    <t>NK225_P168C_02</t>
  </si>
  <si>
    <t>NK225_P168C_03</t>
  </si>
  <si>
    <t>前20場で固定</t>
  </si>
  <si>
    <t>NK225_P168C_04</t>
  </si>
  <si>
    <t>NK225_U165_03</t>
  </si>
  <si>
    <t>米国後</t>
  </si>
  <si>
    <t>NK225_U168C_01</t>
  </si>
  <si>
    <t>NK225_U168C_02</t>
  </si>
  <si>
    <t>NK225_U168C_03</t>
  </si>
  <si>
    <t>NK225_U168C_04</t>
  </si>
  <si>
    <t>NK225_D164_15　日中の損益</t>
  </si>
  <si>
    <t>現行の保存済み通知を同じ次正常板で再現する比較元</t>
  </si>
  <si>
    <t>損失は正額。新規枚数は延べ約定枚数。mini換算はmicro÷10で、実miniの整数発注結果ではありません。</t>
  </si>
  <si>
    <t>セッション</t>
  </si>
  <si>
    <t>利益（円）</t>
  </si>
  <si>
    <t>損失（円）</t>
  </si>
  <si>
    <t>収支（円）</t>
  </si>
  <si>
    <t>2026-09-21_Day</t>
  </si>
  <si>
    <t>2026-09-22_Day</t>
  </si>
  <si>
    <t>2026-09-23_Day</t>
  </si>
  <si>
    <t>2026-09-24_Day</t>
  </si>
  <si>
    <t>2026-09-25_Day</t>
  </si>
  <si>
    <t>2026-09-28_Day</t>
  </si>
  <si>
    <t>2026-09-29_Day</t>
  </si>
  <si>
    <t>2026-09-30_Day</t>
  </si>
  <si>
    <t>2026-10-01_Day</t>
  </si>
  <si>
    <t>2026-10-02_Day</t>
  </si>
  <si>
    <t>2026-10-05_Day</t>
  </si>
  <si>
    <t>2026-10-06_Day</t>
  </si>
  <si>
    <t>2026-10-07_Day</t>
  </si>
  <si>
    <t>2026-10-08_Day</t>
  </si>
  <si>
    <t>2026-10-09_Day</t>
  </si>
  <si>
    <t>2026-10-12_Day</t>
  </si>
  <si>
    <t>2026-10-13_Day</t>
  </si>
  <si>
    <t>2026-10-14_Day</t>
  </si>
  <si>
    <t>2026-10-15_Day</t>
  </si>
  <si>
    <t>2026-10-16_Day</t>
  </si>
  <si>
    <t>2026-10-19_Day</t>
  </si>
  <si>
    <t>2026-10-20_Day</t>
  </si>
  <si>
    <t>2026-10-21_Day</t>
  </si>
  <si>
    <t>2026-10-22_Day</t>
  </si>
  <si>
    <t>2026-10-23_Day</t>
  </si>
  <si>
    <t>2026-10-26_Day</t>
  </si>
  <si>
    <t>2026-10-27_Day</t>
  </si>
  <si>
    <t>合計</t>
  </si>
  <si>
    <t>NK225_D168C_01　日中の損益</t>
  </si>
  <si>
    <t>全玉20円から10円利益床・赤字返済240円猶予</t>
  </si>
  <si>
    <t>NK225_D168C_02　日中の損益</t>
  </si>
  <si>
    <t>全玉20円から利益50%床・赤字返済240円猶予</t>
  </si>
  <si>
    <t>NK225_D168C_03　日中の損益</t>
  </si>
  <si>
    <t>全玉8割20円回収・残り10円床・赤字240円猶予</t>
  </si>
  <si>
    <t>NK225_D168C_04　日中の損益</t>
  </si>
  <si>
    <t>全玉20円から10円利益床・赤字返済120円猶予</t>
  </si>
  <si>
    <t>NK225_P164_06　米国前の損益</t>
  </si>
  <si>
    <t>2026-09-21_Night</t>
  </si>
  <si>
    <t>2026-09-22_Night</t>
  </si>
  <si>
    <t>2026-09-23_Night</t>
  </si>
  <si>
    <t>2026-09-24_Night</t>
  </si>
  <si>
    <t>2026-09-25_Night</t>
  </si>
  <si>
    <t>2026-09-28_Night</t>
  </si>
  <si>
    <t>2026-09-29_Night</t>
  </si>
  <si>
    <t>2026-09-30_Night</t>
  </si>
  <si>
    <t>2026-10-01_Night</t>
  </si>
  <si>
    <t>2026-10-02_Night</t>
  </si>
  <si>
    <t>2026-10-05_Night</t>
  </si>
  <si>
    <t>2026-10-06_Night</t>
  </si>
  <si>
    <t>2026-10-07_Night</t>
  </si>
  <si>
    <t>2026-10-08_Night</t>
  </si>
  <si>
    <t>2026-10-09_Night</t>
  </si>
  <si>
    <t>2026-10-12_Night</t>
  </si>
  <si>
    <t>2026-10-13_Night</t>
  </si>
  <si>
    <t>2026-10-14_Night</t>
  </si>
  <si>
    <t>2026-10-15_Night</t>
  </si>
  <si>
    <t>2026-10-16_Night</t>
  </si>
  <si>
    <t>2026-10-19_Night</t>
  </si>
  <si>
    <t>2026-10-20_Night</t>
  </si>
  <si>
    <t>2026-10-21_Night</t>
  </si>
  <si>
    <t>2026-10-22_Night</t>
  </si>
  <si>
    <t>2026-10-23_Night</t>
  </si>
  <si>
    <t>2026-10-26_Night</t>
  </si>
  <si>
    <t>2026-10-27_Night</t>
  </si>
  <si>
    <t>NK225_P168C_01　米国前の損益</t>
  </si>
  <si>
    <t>NK225_P168C_02　米国前の損益</t>
  </si>
  <si>
    <t>NK225_P168C_03　米国前の損益</t>
  </si>
  <si>
    <t>NK225_P168C_04　米国前の損益</t>
  </si>
  <si>
    <t>NK225_U165_03　米国後の損益</t>
  </si>
  <si>
    <t>NK225_U168C_01　米国後の損益</t>
  </si>
  <si>
    <t>NK225_U168C_02　米国後の損益</t>
  </si>
  <si>
    <t>NK225_U168C_03　米国後の損益</t>
  </si>
  <si>
    <t>NK225_U168C_04　米国後の損益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</si>
</sst>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#,##0.0;[Red]\(#,##0.0\);0.0"/>
  </numFmts>
  <fonts count="8">
    <font>
      <sz val="11"/>
      <name val="Carlito"/>
    </font>
    <font>
      <sz val="10"/>
      <color rgb="FF20384D"/>
      <name val="Yu Gothic"/>
      <family val="3"/>
      <charset val="128"/>
    </font>
    <font>
      <b/>
      <sz val="14"/>
      <color rgb="FF20384D"/>
      <name val="Yu Gothic"/>
      <family val="3"/>
      <charset val="128"/>
    </font>
    <font>
      <sz val="10"/>
      <color rgb="FF526A7E"/>
      <name val="Yu Gothic"/>
      <family val="3"/>
      <charset val="128"/>
    </font>
    <font>
      <b/>
      <sz val="10"/>
      <color rgb="FF20384D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304F73"/>
      </patternFill>
    </fill>
    <fill>
      <patternFill patternType="solid">
        <fgColor rgb="FF497353"/>
      </patternFill>
    </fill>
    <fill>
      <patternFill patternType="solid">
        <fgColor rgb="FF665881"/>
      </patternFill>
    </fill>
    <fill>
      <patternFill patternType="solid">
        <fgColor rgb="FF263B54"/>
      </patternFill>
    </fill>
  </fills>
  <borders count="2">
    <border>
      <left/>
      <right/>
      <top/>
      <bottom/>
      <diagonal/>
    </border>
    <border>
      <left/>
      <right/>
      <top style="thin">
        <color rgb="FF9BAEC0"/>
      </top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horizontal="right" vertical="center"/>
    </xf>
    <xf numFmtId="0" fontId="4" fillId="0" borderId="1" xfId="1" applyFont="1" applyBorder="1" applyAlignment="1">
      <alignment vertical="center"/>
    </xf>
    <xf numFmtId="176" fontId="4" fillId="0" borderId="1" xfId="1" applyNumberFormat="1" applyFont="1" applyBorder="1" applyAlignment="1">
      <alignment horizontal="right" vertical="center"/>
    </xf>
    <xf numFmtId="3" fontId="1" fillId="0" borderId="0" xfId="1" applyNumberFormat="1" applyFont="1" applyAlignment="1">
      <alignment horizontal="right" vertical="center"/>
    </xf>
    <xf numFmtId="3" fontId="4" fillId="0" borderId="1" xfId="1" applyNumberFormat="1" applyFont="1" applyBorder="1" applyAlignment="1">
      <alignment horizontal="right" vertical="center"/>
    </xf>
    <xf numFmtId="177" fontId="1" fillId="0" borderId="0" xfId="1" applyNumberFormat="1" applyFont="1" applyAlignment="1">
      <alignment horizontal="right" vertical="center"/>
    </xf>
    <xf numFmtId="177" fontId="4" fillId="0" borderId="1" xfId="1" applyNumberFormat="1" applyFont="1" applyBorder="1" applyAlignment="1">
      <alignment horizontal="right" vertical="center"/>
    </xf>
    <xf numFmtId="0" fontId="5" fillId="2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176" fontId="1" fillId="0" borderId="0" xfId="1" applyNumberFormat="1" applyFont="1" applyAlignment="1">
      <alignment horizontal="left" vertical="center"/>
    </xf>
    <xf numFmtId="0" fontId="5" fillId="5" borderId="0" xfId="1" applyFont="1" applyFill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18"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  <dxf>
      <font>
        <color rgb="FF982C37"/>
      </font>
      <fill>
        <patternFill patternType="solid">
          <bgColor rgb="FFFBE9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R168r3_comparison" displayName="_R168r3_comparison" ref="A5:P20" totalsRowShown="0">
  <autoFilter ref="A5:P20" xr:uid="{00000000-0009-0000-0100-000010000000}"/>
  <tableColumns count="16">
    <tableColumn id="1" xr3:uid="{00000000-0010-0000-0000-000001000000}" name="手法ID"/>
    <tableColumn id="2" xr3:uid="{00000000-0010-0000-0000-000002000000}" name="時間帯"/>
    <tableColumn id="3" xr3:uid="{00000000-0010-0000-0000-000003000000}" name="区分"/>
    <tableColumn id="4" xr3:uid="{00000000-0010-0000-0000-000004000000}" name="総利益（円）"/>
    <tableColumn id="5" xr3:uid="{00000000-0010-0000-0000-000005000000}" name="総損失（円）"/>
    <tableColumn id="6" xr3:uid="{00000000-0010-0000-0000-000006000000}" name="累計収支（円）"/>
    <tableColumn id="7" xr3:uid="{00000000-0010-0000-0000-000007000000}" name="赤字場数"/>
    <tableColumn id="8" xr3:uid="{00000000-0010-0000-0000-000008000000}" name="平均赤字（円）"/>
    <tableColumn id="9" xr3:uid="{00000000-0010-0000-0000-000009000000}" name="最大赤字（円）"/>
    <tableColumn id="10" xr3:uid="{00000000-0010-0000-0000-00000A000000}" name="上位3黒字場除外（円）"/>
    <tableColumn id="11" xr3:uid="{00000000-0010-0000-0000-00000B000000}" name="場内最悪収支（円）"/>
    <tableColumn id="12" xr3:uid="{00000000-0010-0000-0000-00000C000000}" name="最大下落額（円）"/>
    <tableColumn id="13" xr3:uid="{00000000-0010-0000-0000-00000D000000}" name="利益返し玉数"/>
    <tableColumn id="14" xr3:uid="{00000000-0010-0000-0000-00000E000000}" name="正益玉数"/>
    <tableColumn id="15" xr3:uid="{00000000-0010-0000-0000-00000F000000}" name="新規枚数（micro）"/>
    <tableColumn id="16" xr3:uid="{00000000-0010-0000-0000-000010000000}" name="新規枚数（mini換算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168r3_NK225_D164_15" displayName="_R168r3_NK225_D164_15" ref="A5:F32" totalsRowShown="0">
  <autoFilter ref="A5:F32" xr:uid="{00000000-0009-0000-0100-000001000000}"/>
  <tableColumns count="6">
    <tableColumn id="1" xr3:uid="{00000000-0010-0000-0100-000001000000}" name="セッション"/>
    <tableColumn id="2" xr3:uid="{00000000-0010-0000-0100-000002000000}" name="利益（円）"/>
    <tableColumn id="3" xr3:uid="{00000000-0010-0000-0100-000003000000}" name="損失（円）"/>
    <tableColumn id="4" xr3:uid="{00000000-0010-0000-0100-000004000000}" name="収支（円）"/>
    <tableColumn id="5" xr3:uid="{00000000-0010-0000-0100-000005000000}" name="新規枚数（micro）"/>
    <tableColumn id="6" xr3:uid="{00000000-0010-0000-0100-000006000000}" name="新規枚数（mini換算）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168r3_NK225_D168C_01" displayName="_R168r3_NK225_D168C_01" ref="A5:F32" totalsRowShown="0">
  <autoFilter ref="A5:F32" xr:uid="{00000000-0009-0000-0100-000002000000}"/>
  <tableColumns count="6">
    <tableColumn id="1" xr3:uid="{00000000-0010-0000-0200-000001000000}" name="セッション"/>
    <tableColumn id="2" xr3:uid="{00000000-0010-0000-0200-000002000000}" name="利益（円）"/>
    <tableColumn id="3" xr3:uid="{00000000-0010-0000-0200-000003000000}" name="損失（円）"/>
    <tableColumn id="4" xr3:uid="{00000000-0010-0000-0200-000004000000}" name="収支（円）"/>
    <tableColumn id="5" xr3:uid="{00000000-0010-0000-0200-000005000000}" name="新規枚数（micro）"/>
    <tableColumn id="6" xr3:uid="{00000000-0010-0000-0200-000006000000}" name="新規枚数（mini換算）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168r3_NK225_D168C_02" displayName="_R168r3_NK225_D168C_02" ref="A5:F32" totalsRowShown="0">
  <autoFilter ref="A5:F32" xr:uid="{00000000-0009-0000-0100-000003000000}"/>
  <tableColumns count="6">
    <tableColumn id="1" xr3:uid="{00000000-0010-0000-0300-000001000000}" name="セッション"/>
    <tableColumn id="2" xr3:uid="{00000000-0010-0000-0300-000002000000}" name="利益（円）"/>
    <tableColumn id="3" xr3:uid="{00000000-0010-0000-0300-000003000000}" name="損失（円）"/>
    <tableColumn id="4" xr3:uid="{00000000-0010-0000-0300-000004000000}" name="収支（円）"/>
    <tableColumn id="5" xr3:uid="{00000000-0010-0000-0300-000005000000}" name="新規枚数（micro）"/>
    <tableColumn id="6" xr3:uid="{00000000-0010-0000-0300-000006000000}" name="新規枚数（mini換算）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R168r3_NK225_D168C_03" displayName="_R168r3_NK225_D168C_03" ref="A5:F32" totalsRowShown="0">
  <autoFilter ref="A5:F32" xr:uid="{00000000-0009-0000-0100-000004000000}"/>
  <tableColumns count="6">
    <tableColumn id="1" xr3:uid="{00000000-0010-0000-0400-000001000000}" name="セッション"/>
    <tableColumn id="2" xr3:uid="{00000000-0010-0000-0400-000002000000}" name="利益（円）"/>
    <tableColumn id="3" xr3:uid="{00000000-0010-0000-0400-000003000000}" name="損失（円）"/>
    <tableColumn id="4" xr3:uid="{00000000-0010-0000-0400-000004000000}" name="収支（円）"/>
    <tableColumn id="5" xr3:uid="{00000000-0010-0000-0400-000005000000}" name="新規枚数（micro）"/>
    <tableColumn id="6" xr3:uid="{00000000-0010-0000-0400-000006000000}" name="新規枚数（mini換算）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R168r3_NK225_D168C_04" displayName="_R168r3_NK225_D168C_04" ref="A5:F32" totalsRowShown="0">
  <autoFilter ref="A5:F32" xr:uid="{00000000-0009-0000-0100-000005000000}"/>
  <tableColumns count="6">
    <tableColumn id="1" xr3:uid="{00000000-0010-0000-0500-000001000000}" name="セッション"/>
    <tableColumn id="2" xr3:uid="{00000000-0010-0000-0500-000002000000}" name="利益（円）"/>
    <tableColumn id="3" xr3:uid="{00000000-0010-0000-0500-000003000000}" name="損失（円）"/>
    <tableColumn id="4" xr3:uid="{00000000-0010-0000-0500-000004000000}" name="収支（円）"/>
    <tableColumn id="5" xr3:uid="{00000000-0010-0000-0500-000005000000}" name="新規枚数（micro）"/>
    <tableColumn id="6" xr3:uid="{00000000-0010-0000-0500-000006000000}" name="新規枚数（mini換算）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R168r3_NK225_P164_06" displayName="_R168r3_NK225_P164_06" ref="A5:F32" totalsRowShown="0">
  <autoFilter ref="A5:F32" xr:uid="{00000000-0009-0000-0100-000006000000}"/>
  <tableColumns count="6">
    <tableColumn id="1" xr3:uid="{00000000-0010-0000-0600-000001000000}" name="セッション"/>
    <tableColumn id="2" xr3:uid="{00000000-0010-0000-0600-000002000000}" name="利益（円）"/>
    <tableColumn id="3" xr3:uid="{00000000-0010-0000-0600-000003000000}" name="損失（円）"/>
    <tableColumn id="4" xr3:uid="{00000000-0010-0000-0600-000004000000}" name="収支（円）"/>
    <tableColumn id="5" xr3:uid="{00000000-0010-0000-0600-000005000000}" name="新規枚数（micro）"/>
    <tableColumn id="6" xr3:uid="{00000000-0010-0000-0600-000006000000}" name="新規枚数（mini換算）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R168r3_NK225_P168C_01" displayName="_R168r3_NK225_P168C_01" ref="A5:F32" totalsRowShown="0">
  <autoFilter ref="A5:F32" xr:uid="{00000000-0009-0000-0100-000007000000}"/>
  <tableColumns count="6">
    <tableColumn id="1" xr3:uid="{00000000-0010-0000-0700-000001000000}" name="セッション"/>
    <tableColumn id="2" xr3:uid="{00000000-0010-0000-0700-000002000000}" name="利益（円）"/>
    <tableColumn id="3" xr3:uid="{00000000-0010-0000-0700-000003000000}" name="損失（円）"/>
    <tableColumn id="4" xr3:uid="{00000000-0010-0000-0700-000004000000}" name="収支（円）"/>
    <tableColumn id="5" xr3:uid="{00000000-0010-0000-0700-000005000000}" name="新規枚数（micro）"/>
    <tableColumn id="6" xr3:uid="{00000000-0010-0000-0700-000006000000}" name="新規枚数（mini換算）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R168r3_NK225_P168C_02" displayName="_R168r3_NK225_P168C_02" ref="A5:F32" totalsRowShown="0">
  <autoFilter ref="A5:F32" xr:uid="{00000000-0009-0000-0100-000008000000}"/>
  <tableColumns count="6">
    <tableColumn id="1" xr3:uid="{00000000-0010-0000-0800-000001000000}" name="セッション"/>
    <tableColumn id="2" xr3:uid="{00000000-0010-0000-0800-000002000000}" name="利益（円）"/>
    <tableColumn id="3" xr3:uid="{00000000-0010-0000-0800-000003000000}" name="損失（円）"/>
    <tableColumn id="4" xr3:uid="{00000000-0010-0000-0800-000004000000}" name="収支（円）"/>
    <tableColumn id="5" xr3:uid="{00000000-0010-0000-0800-000005000000}" name="新規枚数（micro）"/>
    <tableColumn id="6" xr3:uid="{00000000-0010-0000-0800-000006000000}" name="新規枚数（mini換算）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R168r3_NK225_P168C_03" displayName="_R168r3_NK225_P168C_03" ref="A5:F32" totalsRowShown="0">
  <autoFilter ref="A5:F32" xr:uid="{00000000-0009-0000-0100-000009000000}"/>
  <tableColumns count="6">
    <tableColumn id="1" xr3:uid="{00000000-0010-0000-0900-000001000000}" name="セッション"/>
    <tableColumn id="2" xr3:uid="{00000000-0010-0000-0900-000002000000}" name="利益（円）"/>
    <tableColumn id="3" xr3:uid="{00000000-0010-0000-0900-000003000000}" name="損失（円）"/>
    <tableColumn id="4" xr3:uid="{00000000-0010-0000-0900-000004000000}" name="収支（円）"/>
    <tableColumn id="5" xr3:uid="{00000000-0010-0000-0900-000005000000}" name="新規枚数（micro）"/>
    <tableColumn id="6" xr3:uid="{00000000-0010-0000-0900-000006000000}" name="新規枚数（mini換算）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R168r3_NK225_P168C_04" displayName="_R168r3_NK225_P168C_04" ref="A5:F32" totalsRowShown="0">
  <autoFilter ref="A5:F32" xr:uid="{00000000-0009-0000-0100-00000A000000}"/>
  <tableColumns count="6">
    <tableColumn id="1" xr3:uid="{00000000-0010-0000-0A00-000001000000}" name="セッション"/>
    <tableColumn id="2" xr3:uid="{00000000-0010-0000-0A00-000002000000}" name="利益（円）"/>
    <tableColumn id="3" xr3:uid="{00000000-0010-0000-0A00-000003000000}" name="損失（円）"/>
    <tableColumn id="4" xr3:uid="{00000000-0010-0000-0A00-000004000000}" name="収支（円）"/>
    <tableColumn id="5" xr3:uid="{00000000-0010-0000-0A00-000005000000}" name="新規枚数（micro）"/>
    <tableColumn id="6" xr3:uid="{00000000-0010-0000-0A00-000006000000}" name="新規枚数（mini換算）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R168r3_NK225_U165_03" displayName="_R168r3_NK225_U165_03" ref="A5:F32" totalsRowShown="0">
  <autoFilter ref="A5:F32" xr:uid="{00000000-0009-0000-0100-00000B000000}"/>
  <tableColumns count="6">
    <tableColumn id="1" xr3:uid="{00000000-0010-0000-0B00-000001000000}" name="セッション"/>
    <tableColumn id="2" xr3:uid="{00000000-0010-0000-0B00-000002000000}" name="利益（円）"/>
    <tableColumn id="3" xr3:uid="{00000000-0010-0000-0B00-000003000000}" name="損失（円）"/>
    <tableColumn id="4" xr3:uid="{00000000-0010-0000-0B00-000004000000}" name="収支（円）"/>
    <tableColumn id="5" xr3:uid="{00000000-0010-0000-0B00-000005000000}" name="新規枚数（micro）"/>
    <tableColumn id="6" xr3:uid="{00000000-0010-0000-0B00-000006000000}" name="新規枚数（mini換算）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R168r3_NK225_U168C_01" displayName="_R168r3_NK225_U168C_01" ref="A5:F32" totalsRowShown="0">
  <autoFilter ref="A5:F32" xr:uid="{00000000-0009-0000-0100-00000C000000}"/>
  <tableColumns count="6">
    <tableColumn id="1" xr3:uid="{00000000-0010-0000-0C00-000001000000}" name="セッション"/>
    <tableColumn id="2" xr3:uid="{00000000-0010-0000-0C00-000002000000}" name="利益（円）"/>
    <tableColumn id="3" xr3:uid="{00000000-0010-0000-0C00-000003000000}" name="損失（円）"/>
    <tableColumn id="4" xr3:uid="{00000000-0010-0000-0C00-000004000000}" name="収支（円）"/>
    <tableColumn id="5" xr3:uid="{00000000-0010-0000-0C00-000005000000}" name="新規枚数（micro）"/>
    <tableColumn id="6" xr3:uid="{00000000-0010-0000-0C00-000006000000}" name="新規枚数（mini換算）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R168r3_NK225_U168C_02" displayName="_R168r3_NK225_U168C_02" ref="A5:F32" totalsRowShown="0">
  <autoFilter ref="A5:F32" xr:uid="{00000000-0009-0000-0100-00000D000000}"/>
  <tableColumns count="6">
    <tableColumn id="1" xr3:uid="{00000000-0010-0000-0D00-000001000000}" name="セッション"/>
    <tableColumn id="2" xr3:uid="{00000000-0010-0000-0D00-000002000000}" name="利益（円）"/>
    <tableColumn id="3" xr3:uid="{00000000-0010-0000-0D00-000003000000}" name="損失（円）"/>
    <tableColumn id="4" xr3:uid="{00000000-0010-0000-0D00-000004000000}" name="収支（円）"/>
    <tableColumn id="5" xr3:uid="{00000000-0010-0000-0D00-000005000000}" name="新規枚数（micro）"/>
    <tableColumn id="6" xr3:uid="{00000000-0010-0000-0D00-000006000000}" name="新規枚数（mini換算）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E000000}" name="R168r3_NK225_U168C_03" displayName="_R168r3_NK225_U168C_03" ref="A5:F32" totalsRowShown="0">
  <autoFilter ref="A5:F32" xr:uid="{00000000-0009-0000-0100-00000E000000}"/>
  <tableColumns count="6">
    <tableColumn id="1" xr3:uid="{00000000-0010-0000-0E00-000001000000}" name="セッション"/>
    <tableColumn id="2" xr3:uid="{00000000-0010-0000-0E00-000002000000}" name="利益（円）"/>
    <tableColumn id="3" xr3:uid="{00000000-0010-0000-0E00-000003000000}" name="損失（円）"/>
    <tableColumn id="4" xr3:uid="{00000000-0010-0000-0E00-000004000000}" name="収支（円）"/>
    <tableColumn id="5" xr3:uid="{00000000-0010-0000-0E00-000005000000}" name="新規枚数（micro）"/>
    <tableColumn id="6" xr3:uid="{00000000-0010-0000-0E00-000006000000}" name="新規枚数（mini換算）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R168r3_NK225_U168C_04" displayName="_R168r3_NK225_U168C_04" ref="A5:F32" totalsRowShown="0">
  <autoFilter ref="A5:F32" xr:uid="{00000000-0009-0000-0100-00000F000000}"/>
  <tableColumns count="6">
    <tableColumn id="1" xr3:uid="{00000000-0010-0000-0F00-000001000000}" name="セッション"/>
    <tableColumn id="2" xr3:uid="{00000000-0010-0000-0F00-000002000000}" name="利益（円）"/>
    <tableColumn id="3" xr3:uid="{00000000-0010-0000-0F00-000003000000}" name="損失（円）"/>
    <tableColumn id="4" xr3:uid="{00000000-0010-0000-0F00-000004000000}" name="収支（円）"/>
    <tableColumn id="5" xr3:uid="{00000000-0010-0000-0F00-000005000000}" name="新規枚数（micro）"/>
    <tableColumn id="6" xr3:uid="{00000000-0010-0000-0F00-000006000000}" name="新規枚数（mini換算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B54"/>
  </sheetPr>
  <dimension ref="A1:P20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D26" sqref="D26"/>
    </sheetView>
  </sheetViews>
  <sheetFormatPr defaultRowHeight="14.25"/>
  <cols>
    <col min="1" max="1" width="28" customWidth="1"/>
    <col min="2" max="2" width="12" customWidth="1"/>
    <col min="3" max="3" width="19" customWidth="1"/>
    <col min="4" max="6" width="18" customWidth="1"/>
    <col min="7" max="7" width="11" customWidth="1"/>
    <col min="8" max="12" width="18" customWidth="1"/>
    <col min="13" max="14" width="12" customWidth="1"/>
    <col min="15" max="16" width="18" customWidth="1"/>
  </cols>
  <sheetData>
    <row r="1" spans="1:16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.95" customHeight="1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38.1" customHeight="1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38.1" customHeight="1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42" customHeight="1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3" t="s">
        <v>13</v>
      </c>
      <c r="L5" s="13" t="s">
        <v>14</v>
      </c>
      <c r="M5" s="13" t="s">
        <v>15</v>
      </c>
      <c r="N5" s="13" t="s">
        <v>16</v>
      </c>
      <c r="O5" s="13" t="s">
        <v>17</v>
      </c>
      <c r="P5" s="13" t="s">
        <v>18</v>
      </c>
    </row>
    <row r="6" spans="1:16" ht="24.95" customHeight="1">
      <c r="A6" s="1" t="s">
        <v>19</v>
      </c>
      <c r="B6" s="12" t="s">
        <v>20</v>
      </c>
      <c r="C6" s="12" t="s">
        <v>21</v>
      </c>
      <c r="D6" s="2">
        <f>日経_D164_15!B33</f>
        <v>3067600</v>
      </c>
      <c r="E6" s="2">
        <f>日経_D164_15!C33</f>
        <v>1819100</v>
      </c>
      <c r="F6" s="2">
        <f>日経_D164_15!D33</f>
        <v>1248500</v>
      </c>
      <c r="G6" s="5">
        <f>COUNTIFS(日経_D164_15!D6:D32,"&lt;0")</f>
        <v>9</v>
      </c>
      <c r="H6" s="2">
        <f>IF(G6=0,0,-SUMIFS(日経_D164_15!D6:D32,日経_D164_15!D6:D32,"&lt;0")/G6)</f>
        <v>68922.222222222219</v>
      </c>
      <c r="I6" s="2">
        <f>MAX(0,-MIN(日経_D164_15!D6:D32))</f>
        <v>132500</v>
      </c>
      <c r="J6" s="2">
        <f>F6-MAX(0,LARGE(日経_D164_15!D6:D32,1))-MAX(0,LARGE(日経_D164_15!D6:D32,2))-MAX(0,LARGE(日経_D164_15!D6:D32,3))</f>
        <v>174200</v>
      </c>
      <c r="K6" s="2">
        <v>-177600</v>
      </c>
      <c r="L6" s="2">
        <v>241200</v>
      </c>
      <c r="M6" s="5">
        <v>64</v>
      </c>
      <c r="N6" s="5">
        <v>163</v>
      </c>
      <c r="O6" s="5">
        <f>日経_D164_15!E33</f>
        <v>3934</v>
      </c>
      <c r="P6" s="7">
        <f>日経_D164_15!F33</f>
        <v>393.4</v>
      </c>
    </row>
    <row r="7" spans="1:16" ht="24.95" customHeight="1">
      <c r="A7" s="1" t="s">
        <v>22</v>
      </c>
      <c r="B7" s="12" t="s">
        <v>20</v>
      </c>
      <c r="C7" s="12" t="s">
        <v>23</v>
      </c>
      <c r="D7" s="2">
        <f>日経_D168C_01!B33</f>
        <v>551400</v>
      </c>
      <c r="E7" s="2">
        <f>日経_D168C_01!C33</f>
        <v>886500</v>
      </c>
      <c r="F7" s="2">
        <f>日経_D168C_01!D33</f>
        <v>-335100</v>
      </c>
      <c r="G7" s="5">
        <f>COUNTIFS(日経_D168C_01!D6:D32,"&lt;0")</f>
        <v>11</v>
      </c>
      <c r="H7" s="2">
        <f>IF(G7=0,0,-SUMIFS(日経_D168C_01!D6:D32,日経_D168C_01!D6:D32,"&lt;0")/G7)</f>
        <v>56090.909090909088</v>
      </c>
      <c r="I7" s="2">
        <f>MAX(0,-MIN(日経_D168C_01!D6:D32))</f>
        <v>201400</v>
      </c>
      <c r="J7" s="2">
        <f>F7-MAX(0,LARGE(日経_D168C_01!D6:D32,1))-MAX(0,LARGE(日経_D168C_01!D6:D32,2))-MAX(0,LARGE(日経_D168C_01!D6:D32,3))</f>
        <v>-464100</v>
      </c>
      <c r="K7" s="2">
        <v>-218700</v>
      </c>
      <c r="L7" s="2">
        <v>223900</v>
      </c>
      <c r="M7" s="5">
        <v>7</v>
      </c>
      <c r="N7" s="5">
        <v>183</v>
      </c>
      <c r="O7" s="5">
        <f>日経_D168C_01!E33</f>
        <v>3934</v>
      </c>
      <c r="P7" s="7">
        <f>日経_D168C_01!F33</f>
        <v>393.4</v>
      </c>
    </row>
    <row r="8" spans="1:16" ht="24.95" customHeight="1">
      <c r="A8" s="1" t="s">
        <v>24</v>
      </c>
      <c r="B8" s="12" t="s">
        <v>20</v>
      </c>
      <c r="C8" s="12" t="s">
        <v>23</v>
      </c>
      <c r="D8" s="2">
        <f>日経_D168C_02!B33</f>
        <v>571500</v>
      </c>
      <c r="E8" s="2">
        <f>日経_D168C_02!C33</f>
        <v>886500</v>
      </c>
      <c r="F8" s="2">
        <f>日経_D168C_02!D33</f>
        <v>-315000</v>
      </c>
      <c r="G8" s="5">
        <f>COUNTIFS(日経_D168C_02!D6:D32,"&lt;0")</f>
        <v>12</v>
      </c>
      <c r="H8" s="2">
        <f>IF(G8=0,0,-SUMIFS(日経_D168C_02!D6:D32,日経_D168C_02!D6:D32,"&lt;0")/G8)</f>
        <v>52500</v>
      </c>
      <c r="I8" s="2">
        <f>MAX(0,-MIN(日経_D168C_02!D6:D32))</f>
        <v>201400</v>
      </c>
      <c r="J8" s="2">
        <f>F8-MAX(0,LARGE(日経_D168C_02!D6:D32,1))-MAX(0,LARGE(日経_D168C_02!D6:D32,2))-MAX(0,LARGE(日経_D168C_02!D6:D32,3))</f>
        <v>-485200</v>
      </c>
      <c r="K8" s="2">
        <v>-218700</v>
      </c>
      <c r="L8" s="2">
        <v>223900</v>
      </c>
      <c r="M8" s="5">
        <v>7</v>
      </c>
      <c r="N8" s="5">
        <v>183</v>
      </c>
      <c r="O8" s="5">
        <f>日経_D168C_02!E33</f>
        <v>3934</v>
      </c>
      <c r="P8" s="7">
        <f>日経_D168C_02!F33</f>
        <v>393.4</v>
      </c>
    </row>
    <row r="9" spans="1:16" ht="24.95" customHeight="1">
      <c r="A9" s="1" t="s">
        <v>25</v>
      </c>
      <c r="B9" s="12" t="s">
        <v>20</v>
      </c>
      <c r="C9" s="12" t="s">
        <v>23</v>
      </c>
      <c r="D9" s="2">
        <f>日経_D168C_03!B33</f>
        <v>625600</v>
      </c>
      <c r="E9" s="2">
        <f>日経_D168C_03!C33</f>
        <v>886500</v>
      </c>
      <c r="F9" s="2">
        <f>日経_D168C_03!D33</f>
        <v>-260900</v>
      </c>
      <c r="G9" s="5">
        <f>COUNTIFS(日経_D168C_03!D6:D32,"&lt;0")</f>
        <v>11</v>
      </c>
      <c r="H9" s="2">
        <f>IF(G9=0,0,-SUMIFS(日経_D168C_03!D6:D32,日経_D168C_03!D6:D32,"&lt;0")/G9)</f>
        <v>51245.454545454544</v>
      </c>
      <c r="I9" s="2">
        <f>MAX(0,-MIN(日経_D168C_03!D6:D32))</f>
        <v>189600</v>
      </c>
      <c r="J9" s="2">
        <f>F9-MAX(0,LARGE(日経_D168C_03!D6:D32,1))-MAX(0,LARGE(日経_D168C_03!D6:D32,2))-MAX(0,LARGE(日経_D168C_03!D6:D32,3))</f>
        <v>-383100</v>
      </c>
      <c r="K9" s="2">
        <v>-212200</v>
      </c>
      <c r="L9" s="2">
        <v>217400</v>
      </c>
      <c r="M9" s="5">
        <v>7</v>
      </c>
      <c r="N9" s="5">
        <v>183</v>
      </c>
      <c r="O9" s="5">
        <f>日経_D168C_03!E33</f>
        <v>3934</v>
      </c>
      <c r="P9" s="7">
        <f>日経_D168C_03!F33</f>
        <v>393.4</v>
      </c>
    </row>
    <row r="10" spans="1:16" ht="24.95" customHeight="1">
      <c r="A10" s="1" t="s">
        <v>26</v>
      </c>
      <c r="B10" s="12" t="s">
        <v>20</v>
      </c>
      <c r="C10" s="12" t="s">
        <v>23</v>
      </c>
      <c r="D10" s="2">
        <f>日経_D168C_04!B33</f>
        <v>460400</v>
      </c>
      <c r="E10" s="2">
        <f>日経_D168C_04!C33</f>
        <v>835100</v>
      </c>
      <c r="F10" s="2">
        <f>日経_D168C_04!D33</f>
        <v>-374700</v>
      </c>
      <c r="G10" s="5">
        <f>COUNTIFS(日経_D168C_04!D6:D32,"&lt;0")</f>
        <v>16</v>
      </c>
      <c r="H10" s="2">
        <f>IF(G10=0,0,-SUMIFS(日経_D168C_04!D6:D32,日経_D168C_04!D6:D32,"&lt;0")/G10)</f>
        <v>36275</v>
      </c>
      <c r="I10" s="2">
        <f>MAX(0,-MIN(日経_D168C_04!D6:D32))</f>
        <v>137800</v>
      </c>
      <c r="J10" s="2">
        <f>F10-MAX(0,LARGE(日経_D168C_04!D6:D32,1))-MAX(0,LARGE(日経_D168C_04!D6:D32,2))-MAX(0,LARGE(日経_D168C_04!D6:D32,3))</f>
        <v>-469400</v>
      </c>
      <c r="K10" s="2">
        <v>-137800</v>
      </c>
      <c r="L10" s="2">
        <v>152600</v>
      </c>
      <c r="M10" s="5">
        <v>8</v>
      </c>
      <c r="N10" s="5">
        <v>172</v>
      </c>
      <c r="O10" s="5">
        <f>日経_D168C_04!E33</f>
        <v>3934</v>
      </c>
      <c r="P10" s="7">
        <f>日経_D168C_04!F33</f>
        <v>393.4</v>
      </c>
    </row>
    <row r="11" spans="1:16" ht="24.95" customHeight="1">
      <c r="A11" s="1" t="s">
        <v>27</v>
      </c>
      <c r="B11" s="12" t="s">
        <v>28</v>
      </c>
      <c r="C11" s="12" t="s">
        <v>29</v>
      </c>
      <c r="D11" s="2">
        <f>日経_P164_06!B33</f>
        <v>427000</v>
      </c>
      <c r="E11" s="2">
        <f>日経_P164_06!C33</f>
        <v>35000</v>
      </c>
      <c r="F11" s="2">
        <f>日経_P164_06!D33</f>
        <v>392000</v>
      </c>
      <c r="G11" s="5">
        <f>COUNTIFS(日経_P164_06!D6:D32,"&lt;0")</f>
        <v>1</v>
      </c>
      <c r="H11" s="2">
        <f>IF(G11=0,0,-SUMIFS(日経_P164_06!D6:D32,日経_P164_06!D6:D32,"&lt;0")/G11)</f>
        <v>20000</v>
      </c>
      <c r="I11" s="2">
        <f>MAX(0,-MIN(日経_P164_06!D6:D32))</f>
        <v>20000</v>
      </c>
      <c r="J11" s="2">
        <f>F11-MAX(0,LARGE(日経_P164_06!D6:D32,1))-MAX(0,LARGE(日経_P164_06!D6:D32,2))-MAX(0,LARGE(日経_P164_06!D6:D32,3))</f>
        <v>225000</v>
      </c>
      <c r="K11" s="2">
        <v>-120000</v>
      </c>
      <c r="L11" s="2">
        <v>120000</v>
      </c>
      <c r="M11" s="5">
        <v>2</v>
      </c>
      <c r="N11" s="5">
        <v>38</v>
      </c>
      <c r="O11" s="5">
        <f>日経_P164_06!E33</f>
        <v>1380</v>
      </c>
      <c r="P11" s="7">
        <f>日経_P164_06!F33</f>
        <v>138</v>
      </c>
    </row>
    <row r="12" spans="1:16" ht="24.95" customHeight="1">
      <c r="A12" s="1" t="s">
        <v>30</v>
      </c>
      <c r="B12" s="12" t="s">
        <v>28</v>
      </c>
      <c r="C12" s="12" t="s">
        <v>23</v>
      </c>
      <c r="D12" s="2">
        <f>日経_P168C_01!B33</f>
        <v>200000</v>
      </c>
      <c r="E12" s="2">
        <f>日経_P168C_01!C33</f>
        <v>167000</v>
      </c>
      <c r="F12" s="2">
        <f>日経_P168C_01!D33</f>
        <v>33000</v>
      </c>
      <c r="G12" s="5">
        <f>COUNTIFS(日経_P168C_01!D6:D32,"&lt;0")</f>
        <v>3</v>
      </c>
      <c r="H12" s="2">
        <f>IF(G12=0,0,-SUMIFS(日経_P168C_01!D6:D32,日経_P168C_01!D6:D32,"&lt;0")/G12)</f>
        <v>48000</v>
      </c>
      <c r="I12" s="2">
        <f>MAX(0,-MIN(日経_P168C_01!D6:D32))</f>
        <v>120000</v>
      </c>
      <c r="J12" s="2">
        <f>F12-MAX(0,LARGE(日経_P168C_01!D6:D32,1))-MAX(0,LARGE(日経_P168C_01!D6:D32,2))-MAX(0,LARGE(日経_P168C_01!D6:D32,3))</f>
        <v>-53000</v>
      </c>
      <c r="K12" s="2">
        <v>-120000</v>
      </c>
      <c r="L12" s="2">
        <v>120000</v>
      </c>
      <c r="M12" s="5">
        <v>0</v>
      </c>
      <c r="N12" s="5">
        <v>37</v>
      </c>
      <c r="O12" s="5">
        <f>日経_P168C_01!E33</f>
        <v>1380</v>
      </c>
      <c r="P12" s="7">
        <f>日経_P168C_01!F33</f>
        <v>138</v>
      </c>
    </row>
    <row r="13" spans="1:16" ht="24.95" customHeight="1">
      <c r="A13" s="1" t="s">
        <v>31</v>
      </c>
      <c r="B13" s="12" t="s">
        <v>28</v>
      </c>
      <c r="C13" s="12" t="s">
        <v>23</v>
      </c>
      <c r="D13" s="2">
        <f>日経_P168C_02!B33</f>
        <v>200000</v>
      </c>
      <c r="E13" s="2">
        <f>日経_P168C_02!C33</f>
        <v>167000</v>
      </c>
      <c r="F13" s="2">
        <f>日経_P168C_02!D33</f>
        <v>33000</v>
      </c>
      <c r="G13" s="5">
        <f>COUNTIFS(日経_P168C_02!D6:D32,"&lt;0")</f>
        <v>3</v>
      </c>
      <c r="H13" s="2">
        <f>IF(G13=0,0,-SUMIFS(日経_P168C_02!D6:D32,日経_P168C_02!D6:D32,"&lt;0")/G13)</f>
        <v>48000</v>
      </c>
      <c r="I13" s="2">
        <f>MAX(0,-MIN(日経_P168C_02!D6:D32))</f>
        <v>120000</v>
      </c>
      <c r="J13" s="2">
        <f>F13-MAX(0,LARGE(日経_P168C_02!D6:D32,1))-MAX(0,LARGE(日経_P168C_02!D6:D32,2))-MAX(0,LARGE(日経_P168C_02!D6:D32,3))</f>
        <v>-53000</v>
      </c>
      <c r="K13" s="2">
        <v>-120000</v>
      </c>
      <c r="L13" s="2">
        <v>120000</v>
      </c>
      <c r="M13" s="5">
        <v>0</v>
      </c>
      <c r="N13" s="5">
        <v>37</v>
      </c>
      <c r="O13" s="5">
        <f>日経_P168C_02!E33</f>
        <v>1380</v>
      </c>
      <c r="P13" s="7">
        <f>日経_P168C_02!F33</f>
        <v>138</v>
      </c>
    </row>
    <row r="14" spans="1:16" ht="24.95" customHeight="1">
      <c r="A14" s="1" t="s">
        <v>32</v>
      </c>
      <c r="B14" s="12" t="s">
        <v>28</v>
      </c>
      <c r="C14" s="12" t="s">
        <v>33</v>
      </c>
      <c r="D14" s="2">
        <f>日経_P168C_03!B33</f>
        <v>224000</v>
      </c>
      <c r="E14" s="2">
        <f>日経_P168C_03!C33</f>
        <v>167000</v>
      </c>
      <c r="F14" s="2">
        <f>日経_P168C_03!D33</f>
        <v>57000</v>
      </c>
      <c r="G14" s="5">
        <f>COUNTIFS(日経_P168C_03!D6:D32,"&lt;0")</f>
        <v>3</v>
      </c>
      <c r="H14" s="2">
        <f>IF(G14=0,0,-SUMIFS(日経_P168C_03!D6:D32,日経_P168C_03!D6:D32,"&lt;0")/G14)</f>
        <v>47200</v>
      </c>
      <c r="I14" s="2">
        <f>MAX(0,-MIN(日経_P168C_03!D6:D32))</f>
        <v>120000</v>
      </c>
      <c r="J14" s="2">
        <f>F14-MAX(0,LARGE(日経_P168C_03!D6:D32,1))-MAX(0,LARGE(日経_P168C_03!D6:D32,2))-MAX(0,LARGE(日経_P168C_03!D6:D32,3))</f>
        <v>-25800</v>
      </c>
      <c r="K14" s="2">
        <v>-120000</v>
      </c>
      <c r="L14" s="2">
        <v>120000</v>
      </c>
      <c r="M14" s="5">
        <v>0</v>
      </c>
      <c r="N14" s="5">
        <v>37</v>
      </c>
      <c r="O14" s="5">
        <f>日経_P168C_03!E33</f>
        <v>1380</v>
      </c>
      <c r="P14" s="7">
        <f>日経_P168C_03!F33</f>
        <v>138</v>
      </c>
    </row>
    <row r="15" spans="1:16" ht="24.95" customHeight="1">
      <c r="A15" s="1" t="s">
        <v>34</v>
      </c>
      <c r="B15" s="12" t="s">
        <v>28</v>
      </c>
      <c r="C15" s="12" t="s">
        <v>23</v>
      </c>
      <c r="D15" s="2">
        <f>日経_P168C_04!B33</f>
        <v>175000</v>
      </c>
      <c r="E15" s="2">
        <f>日経_P168C_04!C33</f>
        <v>198000</v>
      </c>
      <c r="F15" s="2">
        <f>日経_P168C_04!D33</f>
        <v>-23000</v>
      </c>
      <c r="G15" s="5">
        <f>COUNTIFS(日経_P168C_04!D6:D32,"&lt;0")</f>
        <v>4</v>
      </c>
      <c r="H15" s="2">
        <f>IF(G15=0,0,-SUMIFS(日経_P168C_04!D6:D32,日経_P168C_04!D6:D32,"&lt;0")/G15)</f>
        <v>39000</v>
      </c>
      <c r="I15" s="2">
        <f>MAX(0,-MIN(日経_P168C_04!D6:D32))</f>
        <v>60000</v>
      </c>
      <c r="J15" s="2">
        <f>F15-MAX(0,LARGE(日経_P168C_04!D6:D32,1))-MAX(0,LARGE(日経_P168C_04!D6:D32,2))-MAX(0,LARGE(日経_P168C_04!D6:D32,3))</f>
        <v>-89000</v>
      </c>
      <c r="K15" s="2">
        <v>-85000</v>
      </c>
      <c r="L15" s="2">
        <v>95000</v>
      </c>
      <c r="M15" s="5">
        <v>1</v>
      </c>
      <c r="N15" s="5">
        <v>36</v>
      </c>
      <c r="O15" s="5">
        <f>日経_P168C_04!E33</f>
        <v>1380</v>
      </c>
      <c r="P15" s="7">
        <f>日経_P168C_04!F33</f>
        <v>138</v>
      </c>
    </row>
    <row r="16" spans="1:16" ht="24.95" customHeight="1">
      <c r="A16" s="1" t="s">
        <v>35</v>
      </c>
      <c r="B16" s="12" t="s">
        <v>36</v>
      </c>
      <c r="C16" s="12" t="s">
        <v>29</v>
      </c>
      <c r="D16" s="2">
        <f>日経_U165_03!B33</f>
        <v>2280000</v>
      </c>
      <c r="E16" s="2">
        <f>日経_U165_03!C33</f>
        <v>1099000</v>
      </c>
      <c r="F16" s="2">
        <f>日経_U165_03!D33</f>
        <v>1181000</v>
      </c>
      <c r="G16" s="5">
        <f>COUNTIFS(日経_U165_03!D6:D32,"&lt;0")</f>
        <v>8</v>
      </c>
      <c r="H16" s="2">
        <f>IF(G16=0,0,-SUMIFS(日経_U165_03!D6:D32,日経_U165_03!D6:D32,"&lt;0")/G16)</f>
        <v>31375</v>
      </c>
      <c r="I16" s="2">
        <f>MAX(0,-MIN(日経_U165_03!D6:D32))</f>
        <v>53000</v>
      </c>
      <c r="J16" s="2">
        <f>F16-MAX(0,LARGE(日経_U165_03!D6:D32,1))-MAX(0,LARGE(日経_U165_03!D6:D32,2))-MAX(0,LARGE(日経_U165_03!D6:D32,3))</f>
        <v>459000</v>
      </c>
      <c r="K16" s="2">
        <v>-88000</v>
      </c>
      <c r="L16" s="2">
        <v>162000</v>
      </c>
      <c r="M16" s="5">
        <v>45</v>
      </c>
      <c r="N16" s="5">
        <v>127</v>
      </c>
      <c r="O16" s="5">
        <f>日経_U165_03!E33</f>
        <v>2810</v>
      </c>
      <c r="P16" s="7">
        <f>日経_U165_03!F33</f>
        <v>281</v>
      </c>
    </row>
    <row r="17" spans="1:16" ht="24.95" customHeight="1">
      <c r="A17" s="1" t="s">
        <v>37</v>
      </c>
      <c r="B17" s="12" t="s">
        <v>36</v>
      </c>
      <c r="C17" s="12" t="s">
        <v>23</v>
      </c>
      <c r="D17" s="2">
        <f>日経_U168C_01!B33</f>
        <v>514000</v>
      </c>
      <c r="E17" s="2">
        <f>日経_U168C_01!C33</f>
        <v>292000</v>
      </c>
      <c r="F17" s="2">
        <f>日経_U168C_01!D33</f>
        <v>222000</v>
      </c>
      <c r="G17" s="5">
        <f>COUNTIFS(日経_U168C_01!D6:D32,"&lt;0")</f>
        <v>6</v>
      </c>
      <c r="H17" s="2">
        <f>IF(G17=0,0,-SUMIFS(日経_U168C_01!D6:D32,日経_U168C_01!D6:D32,"&lt;0")/G17)</f>
        <v>23500</v>
      </c>
      <c r="I17" s="2">
        <f>MAX(0,-MIN(日経_U168C_01!D6:D32))</f>
        <v>69000</v>
      </c>
      <c r="J17" s="2">
        <f>F17-MAX(0,LARGE(日経_U168C_01!D6:D32,1))-MAX(0,LARGE(日経_U168C_01!D6:D32,2))-MAX(0,LARGE(日経_U168C_01!D6:D32,3))</f>
        <v>70000</v>
      </c>
      <c r="K17" s="2">
        <v>-92000</v>
      </c>
      <c r="L17" s="2">
        <v>92000</v>
      </c>
      <c r="M17" s="5">
        <v>1</v>
      </c>
      <c r="N17" s="5">
        <v>135</v>
      </c>
      <c r="O17" s="5">
        <f>日経_U168C_01!E33</f>
        <v>2810</v>
      </c>
      <c r="P17" s="7">
        <f>日経_U168C_01!F33</f>
        <v>281</v>
      </c>
    </row>
    <row r="18" spans="1:16" ht="24.95" customHeight="1">
      <c r="A18" s="1" t="s">
        <v>38</v>
      </c>
      <c r="B18" s="12" t="s">
        <v>36</v>
      </c>
      <c r="C18" s="12" t="s">
        <v>23</v>
      </c>
      <c r="D18" s="2">
        <f>日経_U168C_02!B33</f>
        <v>491000</v>
      </c>
      <c r="E18" s="2">
        <f>日経_U168C_02!C33</f>
        <v>292000</v>
      </c>
      <c r="F18" s="2">
        <f>日経_U168C_02!D33</f>
        <v>199000</v>
      </c>
      <c r="G18" s="5">
        <f>COUNTIFS(日経_U168C_02!D6:D32,"&lt;0")</f>
        <v>7</v>
      </c>
      <c r="H18" s="2">
        <f>IF(G18=0,0,-SUMIFS(日経_U168C_02!D6:D32,日経_U168C_02!D6:D32,"&lt;0")/G18)</f>
        <v>25571.428571428572</v>
      </c>
      <c r="I18" s="2">
        <f>MAX(0,-MIN(日経_U168C_02!D6:D32))</f>
        <v>69000</v>
      </c>
      <c r="J18" s="2">
        <f>F18-MAX(0,LARGE(日経_U168C_02!D6:D32,1))-MAX(0,LARGE(日経_U168C_02!D6:D32,2))-MAX(0,LARGE(日経_U168C_02!D6:D32,3))</f>
        <v>49000</v>
      </c>
      <c r="K18" s="2">
        <v>-92000</v>
      </c>
      <c r="L18" s="2">
        <v>92000</v>
      </c>
      <c r="M18" s="5">
        <v>1</v>
      </c>
      <c r="N18" s="5">
        <v>135</v>
      </c>
      <c r="O18" s="5">
        <f>日経_U168C_02!E33</f>
        <v>2810</v>
      </c>
      <c r="P18" s="7">
        <f>日経_U168C_02!F33</f>
        <v>281</v>
      </c>
    </row>
    <row r="19" spans="1:16" ht="24.95" customHeight="1">
      <c r="A19" s="1" t="s">
        <v>39</v>
      </c>
      <c r="B19" s="12" t="s">
        <v>36</v>
      </c>
      <c r="C19" s="12" t="s">
        <v>23</v>
      </c>
      <c r="D19" s="2">
        <f>日経_U168C_03!B33</f>
        <v>510000</v>
      </c>
      <c r="E19" s="2">
        <f>日経_U168C_03!C33</f>
        <v>292000</v>
      </c>
      <c r="F19" s="2">
        <f>日経_U168C_03!D33</f>
        <v>218000</v>
      </c>
      <c r="G19" s="5">
        <f>COUNTIFS(日経_U168C_03!D6:D32,"&lt;0")</f>
        <v>7</v>
      </c>
      <c r="H19" s="2">
        <f>IF(G19=0,0,-SUMIFS(日経_U168C_03!D6:D32,日経_U168C_03!D6:D32,"&lt;0")/G19)</f>
        <v>21171.428571428572</v>
      </c>
      <c r="I19" s="2">
        <f>MAX(0,-MIN(日経_U168C_03!D6:D32))</f>
        <v>66600</v>
      </c>
      <c r="J19" s="2">
        <f>F19-MAX(0,LARGE(日経_U168C_03!D6:D32,1))-MAX(0,LARGE(日経_U168C_03!D6:D32,2))-MAX(0,LARGE(日経_U168C_03!D6:D32,3))</f>
        <v>81200</v>
      </c>
      <c r="K19" s="2">
        <v>-90400</v>
      </c>
      <c r="L19" s="2">
        <v>90400</v>
      </c>
      <c r="M19" s="5">
        <v>1</v>
      </c>
      <c r="N19" s="5">
        <v>135</v>
      </c>
      <c r="O19" s="5">
        <f>日経_U168C_03!E33</f>
        <v>2810</v>
      </c>
      <c r="P19" s="7">
        <f>日経_U168C_03!F33</f>
        <v>281</v>
      </c>
    </row>
    <row r="20" spans="1:16" ht="24.95" customHeight="1">
      <c r="A20" s="1" t="s">
        <v>40</v>
      </c>
      <c r="B20" s="12" t="s">
        <v>36</v>
      </c>
      <c r="C20" s="12" t="s">
        <v>33</v>
      </c>
      <c r="D20" s="2">
        <f>日経_U168C_04!B33</f>
        <v>495000</v>
      </c>
      <c r="E20" s="2">
        <f>日経_U168C_04!C33</f>
        <v>342000</v>
      </c>
      <c r="F20" s="2">
        <f>日経_U168C_04!D33</f>
        <v>153000</v>
      </c>
      <c r="G20" s="5">
        <f>COUNTIFS(日経_U168C_04!D6:D32,"&lt;0")</f>
        <v>5</v>
      </c>
      <c r="H20" s="2">
        <f>IF(G20=0,0,-SUMIFS(日経_U168C_04!D6:D32,日経_U168C_04!D6:D32,"&lt;0")/G20)</f>
        <v>23400</v>
      </c>
      <c r="I20" s="2">
        <f>MAX(0,-MIN(日経_U168C_04!D6:D32))</f>
        <v>45000</v>
      </c>
      <c r="J20" s="2">
        <f>F20-MAX(0,LARGE(日経_U168C_04!D6:D32,1))-MAX(0,LARGE(日経_U168C_04!D6:D32,2))-MAX(0,LARGE(日経_U168C_04!D6:D32,3))</f>
        <v>44000</v>
      </c>
      <c r="K20" s="2">
        <v>-59000</v>
      </c>
      <c r="L20" s="2">
        <v>80000</v>
      </c>
      <c r="M20" s="5">
        <v>3</v>
      </c>
      <c r="N20" s="5">
        <v>125</v>
      </c>
      <c r="O20" s="5">
        <f>日経_U168C_04!E33</f>
        <v>2810</v>
      </c>
      <c r="P20" s="7">
        <f>日経_U168C_04!F33</f>
        <v>281</v>
      </c>
    </row>
  </sheetData>
  <mergeCells count="3">
    <mergeCell ref="A2:P2"/>
    <mergeCell ref="A3:P3"/>
    <mergeCell ref="A4:P4"/>
  </mergeCells>
  <phoneticPr fontId="7"/>
  <conditionalFormatting sqref="F6:F20">
    <cfRule type="cellIs" dxfId="17" priority="1" operator="lessThan">
      <formula>0</formula>
    </cfRule>
  </conditionalFormatting>
  <conditionalFormatting sqref="J6:J20">
    <cfRule type="cellIs" dxfId="16" priority="2" operator="lessThan">
      <formula>0</formula>
    </cfRule>
  </conditionalFormatting>
  <conditionalFormatting sqref="K6:K20">
    <cfRule type="cellIs" dxfId="15" priority="3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04F7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41</v>
      </c>
      <c r="B2" s="15"/>
      <c r="C2" s="15"/>
      <c r="D2" s="15"/>
      <c r="E2" s="15"/>
      <c r="F2" s="15"/>
    </row>
    <row r="3" spans="1:6" ht="38.1" customHeight="1">
      <c r="A3" s="16" t="s">
        <v>42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9" t="s">
        <v>44</v>
      </c>
      <c r="B5" s="9" t="s">
        <v>45</v>
      </c>
      <c r="C5" s="9" t="s">
        <v>46</v>
      </c>
      <c r="D5" s="9" t="s">
        <v>47</v>
      </c>
      <c r="E5" s="9" t="s">
        <v>17</v>
      </c>
      <c r="F5" s="9" t="s">
        <v>18</v>
      </c>
    </row>
    <row r="6" spans="1:6" ht="24.95" customHeight="1">
      <c r="A6" s="1" t="s">
        <v>48</v>
      </c>
      <c r="B6" s="2">
        <v>7200</v>
      </c>
      <c r="C6" s="2">
        <v>0</v>
      </c>
      <c r="D6" s="2">
        <f t="shared" ref="D6:D33" si="0">B6-C6</f>
        <v>7200</v>
      </c>
      <c r="E6" s="5">
        <v>20</v>
      </c>
      <c r="F6" s="7">
        <f t="shared" ref="F6:F33" si="1">E6/10</f>
        <v>2</v>
      </c>
    </row>
    <row r="7" spans="1:6" ht="24.95" customHeight="1">
      <c r="A7" s="1" t="s">
        <v>49</v>
      </c>
      <c r="B7" s="2">
        <v>0</v>
      </c>
      <c r="C7" s="2">
        <v>14000</v>
      </c>
      <c r="D7" s="2">
        <f t="shared" si="0"/>
        <v>-14000</v>
      </c>
      <c r="E7" s="5">
        <v>20</v>
      </c>
      <c r="F7" s="7">
        <f t="shared" si="1"/>
        <v>2</v>
      </c>
    </row>
    <row r="8" spans="1:6" ht="24.95" customHeight="1">
      <c r="A8" s="1" t="s">
        <v>50</v>
      </c>
      <c r="B8" s="2">
        <v>10000</v>
      </c>
      <c r="C8" s="2">
        <v>0</v>
      </c>
      <c r="D8" s="2">
        <f t="shared" si="0"/>
        <v>10000</v>
      </c>
      <c r="E8" s="5">
        <v>10</v>
      </c>
      <c r="F8" s="7">
        <f t="shared" si="1"/>
        <v>1</v>
      </c>
    </row>
    <row r="9" spans="1:6" ht="24.95" customHeight="1">
      <c r="A9" s="1" t="s">
        <v>51</v>
      </c>
      <c r="B9" s="2">
        <v>155500</v>
      </c>
      <c r="C9" s="2">
        <v>28500</v>
      </c>
      <c r="D9" s="2">
        <f t="shared" si="0"/>
        <v>127000</v>
      </c>
      <c r="E9" s="5">
        <v>175</v>
      </c>
      <c r="F9" s="7">
        <f t="shared" si="1"/>
        <v>17.5</v>
      </c>
    </row>
    <row r="10" spans="1:6" ht="24.95" customHeight="1">
      <c r="A10" s="1" t="s">
        <v>52</v>
      </c>
      <c r="B10" s="2">
        <v>149400</v>
      </c>
      <c r="C10" s="2">
        <v>8000</v>
      </c>
      <c r="D10" s="2">
        <f t="shared" si="0"/>
        <v>141400</v>
      </c>
      <c r="E10" s="5">
        <v>123</v>
      </c>
      <c r="F10" s="7">
        <f t="shared" si="1"/>
        <v>12.3</v>
      </c>
    </row>
    <row r="11" spans="1:6" ht="24.95" customHeight="1">
      <c r="A11" s="1" t="s">
        <v>53</v>
      </c>
      <c r="B11" s="2">
        <v>90600</v>
      </c>
      <c r="C11" s="2">
        <v>54500</v>
      </c>
      <c r="D11" s="2">
        <f t="shared" si="0"/>
        <v>36100</v>
      </c>
      <c r="E11" s="5">
        <v>135</v>
      </c>
      <c r="F11" s="7">
        <f t="shared" si="1"/>
        <v>13.5</v>
      </c>
    </row>
    <row r="12" spans="1:6" ht="24.95" customHeight="1">
      <c r="A12" s="1" t="s">
        <v>54</v>
      </c>
      <c r="B12" s="2">
        <v>101200</v>
      </c>
      <c r="C12" s="2">
        <v>191800</v>
      </c>
      <c r="D12" s="2">
        <f t="shared" si="0"/>
        <v>-90600</v>
      </c>
      <c r="E12" s="5">
        <v>251</v>
      </c>
      <c r="F12" s="7">
        <f t="shared" si="1"/>
        <v>25.1</v>
      </c>
    </row>
    <row r="13" spans="1:6" ht="24.95" customHeight="1">
      <c r="A13" s="1" t="s">
        <v>55</v>
      </c>
      <c r="B13" s="2">
        <v>46900</v>
      </c>
      <c r="C13" s="2">
        <v>12500</v>
      </c>
      <c r="D13" s="2">
        <f t="shared" si="0"/>
        <v>34400</v>
      </c>
      <c r="E13" s="5">
        <v>51</v>
      </c>
      <c r="F13" s="7">
        <f t="shared" si="1"/>
        <v>5.0999999999999996</v>
      </c>
    </row>
    <row r="14" spans="1:6" ht="24.95" customHeight="1">
      <c r="A14" s="1" t="s">
        <v>56</v>
      </c>
      <c r="B14" s="2">
        <v>56000</v>
      </c>
      <c r="C14" s="2">
        <v>140800</v>
      </c>
      <c r="D14" s="2">
        <f t="shared" si="0"/>
        <v>-84800</v>
      </c>
      <c r="E14" s="5">
        <v>169</v>
      </c>
      <c r="F14" s="7">
        <f t="shared" si="1"/>
        <v>16.899999999999999</v>
      </c>
    </row>
    <row r="15" spans="1:6" ht="24.95" customHeight="1">
      <c r="A15" s="1" t="s">
        <v>57</v>
      </c>
      <c r="B15" s="2">
        <v>14400</v>
      </c>
      <c r="C15" s="2">
        <v>47600</v>
      </c>
      <c r="D15" s="2">
        <f t="shared" si="0"/>
        <v>-33200</v>
      </c>
      <c r="E15" s="5">
        <v>88</v>
      </c>
      <c r="F15" s="7">
        <f t="shared" si="1"/>
        <v>8.8000000000000007</v>
      </c>
    </row>
    <row r="16" spans="1:6" ht="24.95" customHeight="1">
      <c r="A16" s="1" t="s">
        <v>58</v>
      </c>
      <c r="B16" s="2">
        <v>70500</v>
      </c>
      <c r="C16" s="2">
        <v>58900</v>
      </c>
      <c r="D16" s="2">
        <f t="shared" si="0"/>
        <v>11600</v>
      </c>
      <c r="E16" s="5">
        <v>153</v>
      </c>
      <c r="F16" s="7">
        <f t="shared" si="1"/>
        <v>15.3</v>
      </c>
    </row>
    <row r="17" spans="1:6" ht="24.95" customHeight="1">
      <c r="A17" s="1" t="s">
        <v>59</v>
      </c>
      <c r="B17" s="2">
        <v>44900</v>
      </c>
      <c r="C17" s="2">
        <v>177400</v>
      </c>
      <c r="D17" s="2">
        <f t="shared" si="0"/>
        <v>-132500</v>
      </c>
      <c r="E17" s="5">
        <v>186</v>
      </c>
      <c r="F17" s="7">
        <f t="shared" si="1"/>
        <v>18.600000000000001</v>
      </c>
    </row>
    <row r="18" spans="1:6" ht="24.95" customHeight="1">
      <c r="A18" s="1" t="s">
        <v>60</v>
      </c>
      <c r="B18" s="2">
        <v>145200</v>
      </c>
      <c r="C18" s="2">
        <v>49800</v>
      </c>
      <c r="D18" s="2">
        <f t="shared" si="0"/>
        <v>95400</v>
      </c>
      <c r="E18" s="5">
        <v>108</v>
      </c>
      <c r="F18" s="7">
        <f t="shared" si="1"/>
        <v>10.8</v>
      </c>
    </row>
    <row r="19" spans="1:6" ht="24.95" customHeight="1">
      <c r="A19" s="1" t="s">
        <v>61</v>
      </c>
      <c r="B19" s="2">
        <v>31200</v>
      </c>
      <c r="C19" s="2">
        <v>23000</v>
      </c>
      <c r="D19" s="2">
        <f t="shared" si="0"/>
        <v>8200</v>
      </c>
      <c r="E19" s="5">
        <v>97</v>
      </c>
      <c r="F19" s="7">
        <f t="shared" si="1"/>
        <v>9.6999999999999993</v>
      </c>
    </row>
    <row r="20" spans="1:6" ht="24.95" customHeight="1">
      <c r="A20" s="1" t="s">
        <v>62</v>
      </c>
      <c r="B20" s="2">
        <v>101800</v>
      </c>
      <c r="C20" s="2">
        <v>46400</v>
      </c>
      <c r="D20" s="2">
        <f t="shared" si="0"/>
        <v>55400</v>
      </c>
      <c r="E20" s="5">
        <v>168</v>
      </c>
      <c r="F20" s="7">
        <f t="shared" si="1"/>
        <v>16.8</v>
      </c>
    </row>
    <row r="21" spans="1:6" ht="24.95" customHeight="1">
      <c r="A21" s="1" t="s">
        <v>63</v>
      </c>
      <c r="B21" s="2">
        <v>14200</v>
      </c>
      <c r="C21" s="2">
        <v>5000</v>
      </c>
      <c r="D21" s="2">
        <f t="shared" si="0"/>
        <v>9200</v>
      </c>
      <c r="E21" s="5">
        <v>30</v>
      </c>
      <c r="F21" s="7">
        <f t="shared" si="1"/>
        <v>3</v>
      </c>
    </row>
    <row r="22" spans="1:6" ht="24.95" customHeight="1">
      <c r="A22" s="1" t="s">
        <v>64</v>
      </c>
      <c r="B22" s="2">
        <v>158800</v>
      </c>
      <c r="C22" s="2">
        <v>223000</v>
      </c>
      <c r="D22" s="2">
        <f t="shared" si="0"/>
        <v>-64200</v>
      </c>
      <c r="E22" s="5">
        <v>315</v>
      </c>
      <c r="F22" s="7">
        <f t="shared" si="1"/>
        <v>31.5</v>
      </c>
    </row>
    <row r="23" spans="1:6" ht="24.95" customHeight="1">
      <c r="A23" s="1" t="s">
        <v>65</v>
      </c>
      <c r="B23" s="2">
        <v>41300</v>
      </c>
      <c r="C23" s="2">
        <v>37200</v>
      </c>
      <c r="D23" s="2">
        <f t="shared" si="0"/>
        <v>4100</v>
      </c>
      <c r="E23" s="5">
        <v>73</v>
      </c>
      <c r="F23" s="7">
        <f t="shared" si="1"/>
        <v>7.3</v>
      </c>
    </row>
    <row r="24" spans="1:6" ht="24.95" customHeight="1">
      <c r="A24" s="1" t="s">
        <v>66</v>
      </c>
      <c r="B24" s="2">
        <v>349300</v>
      </c>
      <c r="C24" s="2">
        <v>33000</v>
      </c>
      <c r="D24" s="2">
        <f t="shared" si="0"/>
        <v>316300</v>
      </c>
      <c r="E24" s="5">
        <v>158</v>
      </c>
      <c r="F24" s="7">
        <f t="shared" si="1"/>
        <v>15.8</v>
      </c>
    </row>
    <row r="25" spans="1:6" ht="24.95" customHeight="1">
      <c r="A25" s="1" t="s">
        <v>67</v>
      </c>
      <c r="B25" s="2">
        <v>73600</v>
      </c>
      <c r="C25" s="2">
        <v>100100</v>
      </c>
      <c r="D25" s="2">
        <f t="shared" si="0"/>
        <v>-26500</v>
      </c>
      <c r="E25" s="5">
        <v>260</v>
      </c>
      <c r="F25" s="7">
        <f t="shared" si="1"/>
        <v>26</v>
      </c>
    </row>
    <row r="26" spans="1:6" ht="24.95" customHeight="1">
      <c r="A26" s="1" t="s">
        <v>68</v>
      </c>
      <c r="B26" s="2">
        <v>497400</v>
      </c>
      <c r="C26" s="2">
        <v>0</v>
      </c>
      <c r="D26" s="2">
        <f t="shared" si="0"/>
        <v>497400</v>
      </c>
      <c r="E26" s="5">
        <v>165</v>
      </c>
      <c r="F26" s="7">
        <f t="shared" si="1"/>
        <v>16.5</v>
      </c>
    </row>
    <row r="27" spans="1:6" ht="24.95" customHeight="1">
      <c r="A27" s="1" t="s">
        <v>69</v>
      </c>
      <c r="B27" s="2">
        <v>91700</v>
      </c>
      <c r="C27" s="2">
        <v>88800</v>
      </c>
      <c r="D27" s="2">
        <f t="shared" si="0"/>
        <v>2900</v>
      </c>
      <c r="E27" s="5">
        <v>163</v>
      </c>
      <c r="F27" s="7">
        <f t="shared" si="1"/>
        <v>16.3</v>
      </c>
    </row>
    <row r="28" spans="1:6" ht="24.95" customHeight="1">
      <c r="A28" s="1" t="s">
        <v>70</v>
      </c>
      <c r="B28" s="2">
        <v>44800</v>
      </c>
      <c r="C28" s="2">
        <v>137000</v>
      </c>
      <c r="D28" s="2">
        <f t="shared" si="0"/>
        <v>-92200</v>
      </c>
      <c r="E28" s="5">
        <v>194</v>
      </c>
      <c r="F28" s="7">
        <f t="shared" si="1"/>
        <v>19.399999999999999</v>
      </c>
    </row>
    <row r="29" spans="1:6" ht="24.95" customHeight="1">
      <c r="A29" s="1" t="s">
        <v>71</v>
      </c>
      <c r="B29" s="2">
        <v>260600</v>
      </c>
      <c r="C29" s="2">
        <v>0</v>
      </c>
      <c r="D29" s="2">
        <f t="shared" si="0"/>
        <v>260600</v>
      </c>
      <c r="E29" s="5">
        <v>43</v>
      </c>
      <c r="F29" s="7">
        <f t="shared" si="1"/>
        <v>4.3</v>
      </c>
    </row>
    <row r="30" spans="1:6" ht="24.95" customHeight="1">
      <c r="A30" s="1" t="s">
        <v>72</v>
      </c>
      <c r="B30" s="2">
        <v>297500</v>
      </c>
      <c r="C30" s="2">
        <v>67800</v>
      </c>
      <c r="D30" s="2">
        <f t="shared" si="0"/>
        <v>229700</v>
      </c>
      <c r="E30" s="5">
        <v>363</v>
      </c>
      <c r="F30" s="7">
        <f t="shared" si="1"/>
        <v>36.299999999999997</v>
      </c>
    </row>
    <row r="31" spans="1:6" ht="24.95" customHeight="1">
      <c r="A31" s="1" t="s">
        <v>73</v>
      </c>
      <c r="B31" s="2">
        <v>121800</v>
      </c>
      <c r="C31" s="2">
        <v>99900</v>
      </c>
      <c r="D31" s="2">
        <f t="shared" si="0"/>
        <v>21900</v>
      </c>
      <c r="E31" s="5">
        <v>149</v>
      </c>
      <c r="F31" s="7">
        <f t="shared" si="1"/>
        <v>14.9</v>
      </c>
    </row>
    <row r="32" spans="1:6" ht="24.95" customHeight="1">
      <c r="A32" s="1" t="s">
        <v>74</v>
      </c>
      <c r="B32" s="2">
        <v>91800</v>
      </c>
      <c r="C32" s="2">
        <v>174100</v>
      </c>
      <c r="D32" s="2">
        <f t="shared" si="0"/>
        <v>-82300</v>
      </c>
      <c r="E32" s="5">
        <v>267</v>
      </c>
      <c r="F32" s="7">
        <f t="shared" si="1"/>
        <v>26.7</v>
      </c>
    </row>
    <row r="33" spans="1:6" ht="24.95" customHeight="1">
      <c r="A33" s="3" t="s">
        <v>75</v>
      </c>
      <c r="B33" s="4">
        <f>SUM(B6:B32)</f>
        <v>3067600</v>
      </c>
      <c r="C33" s="4">
        <f>SUM(C6:C32)</f>
        <v>1819100</v>
      </c>
      <c r="D33" s="4">
        <f t="shared" si="0"/>
        <v>1248500</v>
      </c>
      <c r="E33" s="6">
        <f>SUM(E6:E32)</f>
        <v>3934</v>
      </c>
      <c r="F33" s="8">
        <f t="shared" si="1"/>
        <v>393.4</v>
      </c>
    </row>
  </sheetData>
  <mergeCells count="3">
    <mergeCell ref="A2:F2"/>
    <mergeCell ref="A3:F3"/>
    <mergeCell ref="A4:F4"/>
  </mergeCells>
  <phoneticPr fontId="7"/>
  <conditionalFormatting sqref="D6:D32">
    <cfRule type="cellIs" dxfId="14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04F7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76</v>
      </c>
      <c r="B2" s="15"/>
      <c r="C2" s="15"/>
      <c r="D2" s="15"/>
      <c r="E2" s="15"/>
      <c r="F2" s="15"/>
    </row>
    <row r="3" spans="1:6" ht="38.1" customHeight="1">
      <c r="A3" s="16" t="s">
        <v>77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9" t="s">
        <v>44</v>
      </c>
      <c r="B5" s="9" t="s">
        <v>45</v>
      </c>
      <c r="C5" s="9" t="s">
        <v>46</v>
      </c>
      <c r="D5" s="9" t="s">
        <v>47</v>
      </c>
      <c r="E5" s="9" t="s">
        <v>17</v>
      </c>
      <c r="F5" s="9" t="s">
        <v>18</v>
      </c>
    </row>
    <row r="6" spans="1:6" ht="24.95" customHeight="1">
      <c r="A6" s="1" t="s">
        <v>48</v>
      </c>
      <c r="B6" s="2">
        <v>2000</v>
      </c>
      <c r="C6" s="2">
        <v>0</v>
      </c>
      <c r="D6" s="2">
        <f t="shared" ref="D6:D33" si="0">B6-C6</f>
        <v>2000</v>
      </c>
      <c r="E6" s="5">
        <v>20</v>
      </c>
      <c r="F6" s="7">
        <f t="shared" ref="F6:F33" si="1">E6/10</f>
        <v>2</v>
      </c>
    </row>
    <row r="7" spans="1:6" ht="24.95" customHeight="1">
      <c r="A7" s="1" t="s">
        <v>49</v>
      </c>
      <c r="B7" s="2">
        <v>1000</v>
      </c>
      <c r="C7" s="2">
        <v>6000</v>
      </c>
      <c r="D7" s="2">
        <f t="shared" si="0"/>
        <v>-5000</v>
      </c>
      <c r="E7" s="5">
        <v>20</v>
      </c>
      <c r="F7" s="7">
        <f t="shared" si="1"/>
        <v>2</v>
      </c>
    </row>
    <row r="8" spans="1:6" ht="24.95" customHeight="1">
      <c r="A8" s="1" t="s">
        <v>50</v>
      </c>
      <c r="B8" s="2">
        <v>1000</v>
      </c>
      <c r="C8" s="2">
        <v>0</v>
      </c>
      <c r="D8" s="2">
        <f t="shared" si="0"/>
        <v>1000</v>
      </c>
      <c r="E8" s="5">
        <v>10</v>
      </c>
      <c r="F8" s="7">
        <f t="shared" si="1"/>
        <v>1</v>
      </c>
    </row>
    <row r="9" spans="1:6" ht="24.95" customHeight="1">
      <c r="A9" s="1" t="s">
        <v>51</v>
      </c>
      <c r="B9" s="2">
        <v>17500</v>
      </c>
      <c r="C9" s="2">
        <v>0</v>
      </c>
      <c r="D9" s="2">
        <f t="shared" si="0"/>
        <v>17500</v>
      </c>
      <c r="E9" s="5">
        <v>175</v>
      </c>
      <c r="F9" s="7">
        <f t="shared" si="1"/>
        <v>17.5</v>
      </c>
    </row>
    <row r="10" spans="1:6" ht="24.95" customHeight="1">
      <c r="A10" s="1" t="s">
        <v>52</v>
      </c>
      <c r="B10" s="2">
        <v>33100</v>
      </c>
      <c r="C10" s="2">
        <v>0</v>
      </c>
      <c r="D10" s="2">
        <f t="shared" si="0"/>
        <v>33100</v>
      </c>
      <c r="E10" s="5">
        <v>123</v>
      </c>
      <c r="F10" s="7">
        <f t="shared" si="1"/>
        <v>12.3</v>
      </c>
    </row>
    <row r="11" spans="1:6" ht="24.95" customHeight="1">
      <c r="A11" s="1" t="s">
        <v>53</v>
      </c>
      <c r="B11" s="2">
        <v>9700</v>
      </c>
      <c r="C11" s="2">
        <v>102200</v>
      </c>
      <c r="D11" s="2">
        <f t="shared" si="0"/>
        <v>-92500</v>
      </c>
      <c r="E11" s="5">
        <v>135</v>
      </c>
      <c r="F11" s="7">
        <f t="shared" si="1"/>
        <v>13.5</v>
      </c>
    </row>
    <row r="12" spans="1:6" ht="24.95" customHeight="1">
      <c r="A12" s="1" t="s">
        <v>54</v>
      </c>
      <c r="B12" s="2">
        <v>17000</v>
      </c>
      <c r="C12" s="2">
        <v>218400</v>
      </c>
      <c r="D12" s="2">
        <f t="shared" si="0"/>
        <v>-201400</v>
      </c>
      <c r="E12" s="5">
        <v>251</v>
      </c>
      <c r="F12" s="7">
        <f t="shared" si="1"/>
        <v>25.1</v>
      </c>
    </row>
    <row r="13" spans="1:6" ht="24.95" customHeight="1">
      <c r="A13" s="1" t="s">
        <v>55</v>
      </c>
      <c r="B13" s="2">
        <v>6700</v>
      </c>
      <c r="C13" s="2">
        <v>0</v>
      </c>
      <c r="D13" s="2">
        <f t="shared" si="0"/>
        <v>6700</v>
      </c>
      <c r="E13" s="5">
        <v>51</v>
      </c>
      <c r="F13" s="7">
        <f t="shared" si="1"/>
        <v>5.0999999999999996</v>
      </c>
    </row>
    <row r="14" spans="1:6" ht="24.95" customHeight="1">
      <c r="A14" s="1" t="s">
        <v>56</v>
      </c>
      <c r="B14" s="2">
        <v>14900</v>
      </c>
      <c r="C14" s="2">
        <v>48000</v>
      </c>
      <c r="D14" s="2">
        <f t="shared" si="0"/>
        <v>-33100</v>
      </c>
      <c r="E14" s="5">
        <v>169</v>
      </c>
      <c r="F14" s="7">
        <f t="shared" si="1"/>
        <v>16.899999999999999</v>
      </c>
    </row>
    <row r="15" spans="1:6" ht="24.95" customHeight="1">
      <c r="A15" s="1" t="s">
        <v>57</v>
      </c>
      <c r="B15" s="2">
        <v>11800</v>
      </c>
      <c r="C15" s="2">
        <v>0</v>
      </c>
      <c r="D15" s="2">
        <f t="shared" si="0"/>
        <v>11800</v>
      </c>
      <c r="E15" s="5">
        <v>88</v>
      </c>
      <c r="F15" s="7">
        <f t="shared" si="1"/>
        <v>8.8000000000000007</v>
      </c>
    </row>
    <row r="16" spans="1:6" ht="24.95" customHeight="1">
      <c r="A16" s="1" t="s">
        <v>58</v>
      </c>
      <c r="B16" s="2">
        <v>15300</v>
      </c>
      <c r="C16" s="2">
        <v>0</v>
      </c>
      <c r="D16" s="2">
        <f t="shared" si="0"/>
        <v>15300</v>
      </c>
      <c r="E16" s="5">
        <v>153</v>
      </c>
      <c r="F16" s="7">
        <f t="shared" si="1"/>
        <v>15.3</v>
      </c>
    </row>
    <row r="17" spans="1:6" ht="24.95" customHeight="1">
      <c r="A17" s="1" t="s">
        <v>59</v>
      </c>
      <c r="B17" s="2">
        <v>19100</v>
      </c>
      <c r="C17" s="2">
        <v>24000</v>
      </c>
      <c r="D17" s="2">
        <f t="shared" si="0"/>
        <v>-4900</v>
      </c>
      <c r="E17" s="5">
        <v>186</v>
      </c>
      <c r="F17" s="7">
        <f t="shared" si="1"/>
        <v>18.600000000000001</v>
      </c>
    </row>
    <row r="18" spans="1:6" ht="24.95" customHeight="1">
      <c r="A18" s="1" t="s">
        <v>60</v>
      </c>
      <c r="B18" s="2">
        <v>7900</v>
      </c>
      <c r="C18" s="2">
        <v>69600</v>
      </c>
      <c r="D18" s="2">
        <f t="shared" si="0"/>
        <v>-61700</v>
      </c>
      <c r="E18" s="5">
        <v>108</v>
      </c>
      <c r="F18" s="7">
        <f t="shared" si="1"/>
        <v>10.8</v>
      </c>
    </row>
    <row r="19" spans="1:6" ht="24.95" customHeight="1">
      <c r="A19" s="1" t="s">
        <v>61</v>
      </c>
      <c r="B19" s="2">
        <v>9300</v>
      </c>
      <c r="C19" s="2">
        <v>60000</v>
      </c>
      <c r="D19" s="2">
        <f t="shared" si="0"/>
        <v>-50700</v>
      </c>
      <c r="E19" s="5">
        <v>97</v>
      </c>
      <c r="F19" s="7">
        <f t="shared" si="1"/>
        <v>9.6999999999999993</v>
      </c>
    </row>
    <row r="20" spans="1:6" ht="24.95" customHeight="1">
      <c r="A20" s="1" t="s">
        <v>62</v>
      </c>
      <c r="B20" s="2">
        <v>84300</v>
      </c>
      <c r="C20" s="2">
        <v>36000</v>
      </c>
      <c r="D20" s="2">
        <f t="shared" si="0"/>
        <v>48300</v>
      </c>
      <c r="E20" s="5">
        <v>168</v>
      </c>
      <c r="F20" s="7">
        <f t="shared" si="1"/>
        <v>16.8</v>
      </c>
    </row>
    <row r="21" spans="1:6" ht="24.95" customHeight="1">
      <c r="A21" s="1" t="s">
        <v>63</v>
      </c>
      <c r="B21" s="2">
        <v>3000</v>
      </c>
      <c r="C21" s="2">
        <v>5000</v>
      </c>
      <c r="D21" s="2">
        <f t="shared" si="0"/>
        <v>-2000</v>
      </c>
      <c r="E21" s="5">
        <v>30</v>
      </c>
      <c r="F21" s="7">
        <f t="shared" si="1"/>
        <v>3</v>
      </c>
    </row>
    <row r="22" spans="1:6" ht="24.95" customHeight="1">
      <c r="A22" s="1" t="s">
        <v>64</v>
      </c>
      <c r="B22" s="2">
        <v>26900</v>
      </c>
      <c r="C22" s="2">
        <v>136000</v>
      </c>
      <c r="D22" s="2">
        <f t="shared" si="0"/>
        <v>-109100</v>
      </c>
      <c r="E22" s="5">
        <v>315</v>
      </c>
      <c r="F22" s="7">
        <f t="shared" si="1"/>
        <v>31.5</v>
      </c>
    </row>
    <row r="23" spans="1:6" ht="24.95" customHeight="1">
      <c r="A23" s="1" t="s">
        <v>65</v>
      </c>
      <c r="B23" s="2">
        <v>42600</v>
      </c>
      <c r="C23" s="2">
        <v>31200</v>
      </c>
      <c r="D23" s="2">
        <f t="shared" si="0"/>
        <v>11400</v>
      </c>
      <c r="E23" s="5">
        <v>73</v>
      </c>
      <c r="F23" s="7">
        <f t="shared" si="1"/>
        <v>7.3</v>
      </c>
    </row>
    <row r="24" spans="1:6" ht="24.95" customHeight="1">
      <c r="A24" s="1" t="s">
        <v>66</v>
      </c>
      <c r="B24" s="2">
        <v>15800</v>
      </c>
      <c r="C24" s="2">
        <v>0</v>
      </c>
      <c r="D24" s="2">
        <f t="shared" si="0"/>
        <v>15800</v>
      </c>
      <c r="E24" s="5">
        <v>158</v>
      </c>
      <c r="F24" s="7">
        <f t="shared" si="1"/>
        <v>15.8</v>
      </c>
    </row>
    <row r="25" spans="1:6" ht="24.95" customHeight="1">
      <c r="A25" s="1" t="s">
        <v>67</v>
      </c>
      <c r="B25" s="2">
        <v>34400</v>
      </c>
      <c r="C25" s="2">
        <v>13800</v>
      </c>
      <c r="D25" s="2">
        <f t="shared" si="0"/>
        <v>20600</v>
      </c>
      <c r="E25" s="5">
        <v>260</v>
      </c>
      <c r="F25" s="7">
        <f t="shared" si="1"/>
        <v>26</v>
      </c>
    </row>
    <row r="26" spans="1:6" ht="24.95" customHeight="1">
      <c r="A26" s="1" t="s">
        <v>68</v>
      </c>
      <c r="B26" s="2">
        <v>21300</v>
      </c>
      <c r="C26" s="2">
        <v>0</v>
      </c>
      <c r="D26" s="2">
        <f t="shared" si="0"/>
        <v>21300</v>
      </c>
      <c r="E26" s="5">
        <v>165</v>
      </c>
      <c r="F26" s="7">
        <f t="shared" si="1"/>
        <v>16.5</v>
      </c>
    </row>
    <row r="27" spans="1:6" ht="24.95" customHeight="1">
      <c r="A27" s="1" t="s">
        <v>69</v>
      </c>
      <c r="B27" s="2">
        <v>15600</v>
      </c>
      <c r="C27" s="2">
        <v>15300</v>
      </c>
      <c r="D27" s="2">
        <f t="shared" si="0"/>
        <v>300</v>
      </c>
      <c r="E27" s="5">
        <v>163</v>
      </c>
      <c r="F27" s="7">
        <f t="shared" si="1"/>
        <v>16.3</v>
      </c>
    </row>
    <row r="28" spans="1:6" ht="24.95" customHeight="1">
      <c r="A28" s="1" t="s">
        <v>70</v>
      </c>
      <c r="B28" s="2">
        <v>22400</v>
      </c>
      <c r="C28" s="2">
        <v>44200</v>
      </c>
      <c r="D28" s="2">
        <f t="shared" si="0"/>
        <v>-21800</v>
      </c>
      <c r="E28" s="5">
        <v>194</v>
      </c>
      <c r="F28" s="7">
        <f t="shared" si="1"/>
        <v>19.399999999999999</v>
      </c>
    </row>
    <row r="29" spans="1:6" ht="24.95" customHeight="1">
      <c r="A29" s="1" t="s">
        <v>71</v>
      </c>
      <c r="B29" s="2">
        <v>26300</v>
      </c>
      <c r="C29" s="2">
        <v>0</v>
      </c>
      <c r="D29" s="2">
        <f t="shared" si="0"/>
        <v>26300</v>
      </c>
      <c r="E29" s="5">
        <v>43</v>
      </c>
      <c r="F29" s="7">
        <f t="shared" si="1"/>
        <v>4.3</v>
      </c>
    </row>
    <row r="30" spans="1:6" ht="24.95" customHeight="1">
      <c r="A30" s="1" t="s">
        <v>72</v>
      </c>
      <c r="B30" s="2">
        <v>47600</v>
      </c>
      <c r="C30" s="2">
        <v>0</v>
      </c>
      <c r="D30" s="2">
        <f t="shared" si="0"/>
        <v>47600</v>
      </c>
      <c r="E30" s="5">
        <v>363</v>
      </c>
      <c r="F30" s="7">
        <f t="shared" si="1"/>
        <v>36.299999999999997</v>
      </c>
    </row>
    <row r="31" spans="1:6" ht="24.95" customHeight="1">
      <c r="A31" s="1" t="s">
        <v>73</v>
      </c>
      <c r="B31" s="2">
        <v>14900</v>
      </c>
      <c r="C31" s="2">
        <v>12000</v>
      </c>
      <c r="D31" s="2">
        <f t="shared" si="0"/>
        <v>2900</v>
      </c>
      <c r="E31" s="5">
        <v>149</v>
      </c>
      <c r="F31" s="7">
        <f t="shared" si="1"/>
        <v>14.9</v>
      </c>
    </row>
    <row r="32" spans="1:6" ht="24.95" customHeight="1">
      <c r="A32" s="1" t="s">
        <v>74</v>
      </c>
      <c r="B32" s="2">
        <v>30000</v>
      </c>
      <c r="C32" s="2">
        <v>64800</v>
      </c>
      <c r="D32" s="2">
        <f t="shared" si="0"/>
        <v>-34800</v>
      </c>
      <c r="E32" s="5">
        <v>267</v>
      </c>
      <c r="F32" s="7">
        <f t="shared" si="1"/>
        <v>26.7</v>
      </c>
    </row>
    <row r="33" spans="1:6" ht="24.95" customHeight="1">
      <c r="A33" s="3" t="s">
        <v>75</v>
      </c>
      <c r="B33" s="4">
        <f>SUM(B6:B32)</f>
        <v>551400</v>
      </c>
      <c r="C33" s="4">
        <f>SUM(C6:C32)</f>
        <v>886500</v>
      </c>
      <c r="D33" s="4">
        <f t="shared" si="0"/>
        <v>-335100</v>
      </c>
      <c r="E33" s="6">
        <f>SUM(E6:E32)</f>
        <v>3934</v>
      </c>
      <c r="F33" s="8">
        <f t="shared" si="1"/>
        <v>393.4</v>
      </c>
    </row>
  </sheetData>
  <mergeCells count="3">
    <mergeCell ref="A2:F2"/>
    <mergeCell ref="A3:F3"/>
    <mergeCell ref="A4:F4"/>
  </mergeCells>
  <phoneticPr fontId="7"/>
  <conditionalFormatting sqref="D6:D32">
    <cfRule type="cellIs" dxfId="1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04F7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78</v>
      </c>
      <c r="B2" s="15"/>
      <c r="C2" s="15"/>
      <c r="D2" s="15"/>
      <c r="E2" s="15"/>
      <c r="F2" s="15"/>
    </row>
    <row r="3" spans="1:6" ht="38.1" customHeight="1">
      <c r="A3" s="16" t="s">
        <v>79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9" t="s">
        <v>44</v>
      </c>
      <c r="B5" s="9" t="s">
        <v>45</v>
      </c>
      <c r="C5" s="9" t="s">
        <v>46</v>
      </c>
      <c r="D5" s="9" t="s">
        <v>47</v>
      </c>
      <c r="E5" s="9" t="s">
        <v>17</v>
      </c>
      <c r="F5" s="9" t="s">
        <v>18</v>
      </c>
    </row>
    <row r="6" spans="1:6" ht="24.95" customHeight="1">
      <c r="A6" s="1" t="s">
        <v>48</v>
      </c>
      <c r="B6" s="2">
        <v>2000</v>
      </c>
      <c r="C6" s="2">
        <v>0</v>
      </c>
      <c r="D6" s="2">
        <f t="shared" ref="D6:D33" si="0">B6-C6</f>
        <v>2000</v>
      </c>
      <c r="E6" s="5">
        <v>20</v>
      </c>
      <c r="F6" s="7">
        <f t="shared" ref="F6:F33" si="1">E6/10</f>
        <v>2</v>
      </c>
    </row>
    <row r="7" spans="1:6" ht="24.95" customHeight="1">
      <c r="A7" s="1" t="s">
        <v>49</v>
      </c>
      <c r="B7" s="2">
        <v>1000</v>
      </c>
      <c r="C7" s="2">
        <v>6000</v>
      </c>
      <c r="D7" s="2">
        <f t="shared" si="0"/>
        <v>-5000</v>
      </c>
      <c r="E7" s="5">
        <v>20</v>
      </c>
      <c r="F7" s="7">
        <f t="shared" si="1"/>
        <v>2</v>
      </c>
    </row>
    <row r="8" spans="1:6" ht="24.95" customHeight="1">
      <c r="A8" s="1" t="s">
        <v>50</v>
      </c>
      <c r="B8" s="2">
        <v>1000</v>
      </c>
      <c r="C8" s="2">
        <v>0</v>
      </c>
      <c r="D8" s="2">
        <f t="shared" si="0"/>
        <v>1000</v>
      </c>
      <c r="E8" s="5">
        <v>10</v>
      </c>
      <c r="F8" s="7">
        <f t="shared" si="1"/>
        <v>1</v>
      </c>
    </row>
    <row r="9" spans="1:6" ht="24.95" customHeight="1">
      <c r="A9" s="1" t="s">
        <v>51</v>
      </c>
      <c r="B9" s="2">
        <v>17500</v>
      </c>
      <c r="C9" s="2">
        <v>0</v>
      </c>
      <c r="D9" s="2">
        <f t="shared" si="0"/>
        <v>17500</v>
      </c>
      <c r="E9" s="5">
        <v>175</v>
      </c>
      <c r="F9" s="7">
        <f t="shared" si="1"/>
        <v>17.5</v>
      </c>
    </row>
    <row r="10" spans="1:6" ht="24.95" customHeight="1">
      <c r="A10" s="1" t="s">
        <v>52</v>
      </c>
      <c r="B10" s="2">
        <v>24600</v>
      </c>
      <c r="C10" s="2">
        <v>0</v>
      </c>
      <c r="D10" s="2">
        <f t="shared" si="0"/>
        <v>24600</v>
      </c>
      <c r="E10" s="5">
        <v>123</v>
      </c>
      <c r="F10" s="7">
        <f t="shared" si="1"/>
        <v>12.3</v>
      </c>
    </row>
    <row r="11" spans="1:6" ht="24.95" customHeight="1">
      <c r="A11" s="1" t="s">
        <v>53</v>
      </c>
      <c r="B11" s="2">
        <v>10700</v>
      </c>
      <c r="C11" s="2">
        <v>102200</v>
      </c>
      <c r="D11" s="2">
        <f t="shared" si="0"/>
        <v>-91500</v>
      </c>
      <c r="E11" s="5">
        <v>135</v>
      </c>
      <c r="F11" s="7">
        <f t="shared" si="1"/>
        <v>13.5</v>
      </c>
    </row>
    <row r="12" spans="1:6" ht="24.95" customHeight="1">
      <c r="A12" s="1" t="s">
        <v>54</v>
      </c>
      <c r="B12" s="2">
        <v>17000</v>
      </c>
      <c r="C12" s="2">
        <v>218400</v>
      </c>
      <c r="D12" s="2">
        <f t="shared" si="0"/>
        <v>-201400</v>
      </c>
      <c r="E12" s="5">
        <v>251</v>
      </c>
      <c r="F12" s="7">
        <f t="shared" si="1"/>
        <v>25.1</v>
      </c>
    </row>
    <row r="13" spans="1:6" ht="24.95" customHeight="1">
      <c r="A13" s="1" t="s">
        <v>55</v>
      </c>
      <c r="B13" s="2">
        <v>6700</v>
      </c>
      <c r="C13" s="2">
        <v>0</v>
      </c>
      <c r="D13" s="2">
        <f t="shared" si="0"/>
        <v>6700</v>
      </c>
      <c r="E13" s="5">
        <v>51</v>
      </c>
      <c r="F13" s="7">
        <f t="shared" si="1"/>
        <v>5.0999999999999996</v>
      </c>
    </row>
    <row r="14" spans="1:6" ht="24.95" customHeight="1">
      <c r="A14" s="1" t="s">
        <v>56</v>
      </c>
      <c r="B14" s="2">
        <v>14900</v>
      </c>
      <c r="C14" s="2">
        <v>48000</v>
      </c>
      <c r="D14" s="2">
        <f t="shared" si="0"/>
        <v>-33100</v>
      </c>
      <c r="E14" s="5">
        <v>169</v>
      </c>
      <c r="F14" s="7">
        <f t="shared" si="1"/>
        <v>16.899999999999999</v>
      </c>
    </row>
    <row r="15" spans="1:6" ht="24.95" customHeight="1">
      <c r="A15" s="1" t="s">
        <v>57</v>
      </c>
      <c r="B15" s="2">
        <v>13400</v>
      </c>
      <c r="C15" s="2">
        <v>0</v>
      </c>
      <c r="D15" s="2">
        <f t="shared" si="0"/>
        <v>13400</v>
      </c>
      <c r="E15" s="5">
        <v>88</v>
      </c>
      <c r="F15" s="7">
        <f t="shared" si="1"/>
        <v>8.8000000000000007</v>
      </c>
    </row>
    <row r="16" spans="1:6" ht="24.95" customHeight="1">
      <c r="A16" s="1" t="s">
        <v>58</v>
      </c>
      <c r="B16" s="2">
        <v>17400</v>
      </c>
      <c r="C16" s="2">
        <v>0</v>
      </c>
      <c r="D16" s="2">
        <f t="shared" si="0"/>
        <v>17400</v>
      </c>
      <c r="E16" s="5">
        <v>153</v>
      </c>
      <c r="F16" s="7">
        <f t="shared" si="1"/>
        <v>15.3</v>
      </c>
    </row>
    <row r="17" spans="1:6" ht="24.95" customHeight="1">
      <c r="A17" s="1" t="s">
        <v>59</v>
      </c>
      <c r="B17" s="2">
        <v>19100</v>
      </c>
      <c r="C17" s="2">
        <v>24000</v>
      </c>
      <c r="D17" s="2">
        <f t="shared" si="0"/>
        <v>-4900</v>
      </c>
      <c r="E17" s="5">
        <v>186</v>
      </c>
      <c r="F17" s="7">
        <f t="shared" si="1"/>
        <v>18.600000000000001</v>
      </c>
    </row>
    <row r="18" spans="1:6" ht="24.95" customHeight="1">
      <c r="A18" s="1" t="s">
        <v>60</v>
      </c>
      <c r="B18" s="2">
        <v>8400</v>
      </c>
      <c r="C18" s="2">
        <v>69600</v>
      </c>
      <c r="D18" s="2">
        <f t="shared" si="0"/>
        <v>-61200</v>
      </c>
      <c r="E18" s="5">
        <v>108</v>
      </c>
      <c r="F18" s="7">
        <f t="shared" si="1"/>
        <v>10.8</v>
      </c>
    </row>
    <row r="19" spans="1:6" ht="24.95" customHeight="1">
      <c r="A19" s="1" t="s">
        <v>61</v>
      </c>
      <c r="B19" s="2">
        <v>9300</v>
      </c>
      <c r="C19" s="2">
        <v>60000</v>
      </c>
      <c r="D19" s="2">
        <f t="shared" si="0"/>
        <v>-50700</v>
      </c>
      <c r="E19" s="5">
        <v>97</v>
      </c>
      <c r="F19" s="7">
        <f t="shared" si="1"/>
        <v>9.6999999999999993</v>
      </c>
    </row>
    <row r="20" spans="1:6" ht="24.95" customHeight="1">
      <c r="A20" s="1" t="s">
        <v>62</v>
      </c>
      <c r="B20" s="2">
        <v>130800</v>
      </c>
      <c r="C20" s="2">
        <v>36000</v>
      </c>
      <c r="D20" s="2">
        <f t="shared" si="0"/>
        <v>94800</v>
      </c>
      <c r="E20" s="5">
        <v>168</v>
      </c>
      <c r="F20" s="7">
        <f t="shared" si="1"/>
        <v>16.8</v>
      </c>
    </row>
    <row r="21" spans="1:6" ht="24.95" customHeight="1">
      <c r="A21" s="1" t="s">
        <v>63</v>
      </c>
      <c r="B21" s="2">
        <v>3000</v>
      </c>
      <c r="C21" s="2">
        <v>5000</v>
      </c>
      <c r="D21" s="2">
        <f t="shared" si="0"/>
        <v>-2000</v>
      </c>
      <c r="E21" s="5">
        <v>30</v>
      </c>
      <c r="F21" s="7">
        <f t="shared" si="1"/>
        <v>3</v>
      </c>
    </row>
    <row r="22" spans="1:6" ht="24.95" customHeight="1">
      <c r="A22" s="1" t="s">
        <v>64</v>
      </c>
      <c r="B22" s="2">
        <v>32000</v>
      </c>
      <c r="C22" s="2">
        <v>136000</v>
      </c>
      <c r="D22" s="2">
        <f t="shared" si="0"/>
        <v>-104000</v>
      </c>
      <c r="E22" s="5">
        <v>315</v>
      </c>
      <c r="F22" s="7">
        <f t="shared" si="1"/>
        <v>31.5</v>
      </c>
    </row>
    <row r="23" spans="1:6" ht="24.95" customHeight="1">
      <c r="A23" s="1" t="s">
        <v>65</v>
      </c>
      <c r="B23" s="2">
        <v>10600</v>
      </c>
      <c r="C23" s="2">
        <v>31200</v>
      </c>
      <c r="D23" s="2">
        <f t="shared" si="0"/>
        <v>-20600</v>
      </c>
      <c r="E23" s="5">
        <v>73</v>
      </c>
      <c r="F23" s="7">
        <f t="shared" si="1"/>
        <v>7.3</v>
      </c>
    </row>
    <row r="24" spans="1:6" ht="24.95" customHeight="1">
      <c r="A24" s="1" t="s">
        <v>66</v>
      </c>
      <c r="B24" s="2">
        <v>15800</v>
      </c>
      <c r="C24" s="2">
        <v>0</v>
      </c>
      <c r="D24" s="2">
        <f t="shared" si="0"/>
        <v>15800</v>
      </c>
      <c r="E24" s="5">
        <v>158</v>
      </c>
      <c r="F24" s="7">
        <f t="shared" si="1"/>
        <v>15.8</v>
      </c>
    </row>
    <row r="25" spans="1:6" ht="24.95" customHeight="1">
      <c r="A25" s="1" t="s">
        <v>67</v>
      </c>
      <c r="B25" s="2">
        <v>35700</v>
      </c>
      <c r="C25" s="2">
        <v>13800</v>
      </c>
      <c r="D25" s="2">
        <f t="shared" si="0"/>
        <v>21900</v>
      </c>
      <c r="E25" s="5">
        <v>260</v>
      </c>
      <c r="F25" s="7">
        <f t="shared" si="1"/>
        <v>26</v>
      </c>
    </row>
    <row r="26" spans="1:6" ht="24.95" customHeight="1">
      <c r="A26" s="1" t="s">
        <v>68</v>
      </c>
      <c r="B26" s="2">
        <v>21300</v>
      </c>
      <c r="C26" s="2">
        <v>0</v>
      </c>
      <c r="D26" s="2">
        <f t="shared" si="0"/>
        <v>21300</v>
      </c>
      <c r="E26" s="5">
        <v>165</v>
      </c>
      <c r="F26" s="7">
        <f t="shared" si="1"/>
        <v>16.5</v>
      </c>
    </row>
    <row r="27" spans="1:6" ht="24.95" customHeight="1">
      <c r="A27" s="1" t="s">
        <v>69</v>
      </c>
      <c r="B27" s="2">
        <v>15600</v>
      </c>
      <c r="C27" s="2">
        <v>15300</v>
      </c>
      <c r="D27" s="2">
        <f t="shared" si="0"/>
        <v>300</v>
      </c>
      <c r="E27" s="5">
        <v>163</v>
      </c>
      <c r="F27" s="7">
        <f t="shared" si="1"/>
        <v>16.3</v>
      </c>
    </row>
    <row r="28" spans="1:6" ht="24.95" customHeight="1">
      <c r="A28" s="1" t="s">
        <v>70</v>
      </c>
      <c r="B28" s="2">
        <v>21900</v>
      </c>
      <c r="C28" s="2">
        <v>44200</v>
      </c>
      <c r="D28" s="2">
        <f t="shared" si="0"/>
        <v>-22300</v>
      </c>
      <c r="E28" s="5">
        <v>194</v>
      </c>
      <c r="F28" s="7">
        <f t="shared" si="1"/>
        <v>19.399999999999999</v>
      </c>
    </row>
    <row r="29" spans="1:6" ht="24.95" customHeight="1">
      <c r="A29" s="1" t="s">
        <v>71</v>
      </c>
      <c r="B29" s="2">
        <v>26800</v>
      </c>
      <c r="C29" s="2">
        <v>0</v>
      </c>
      <c r="D29" s="2">
        <f t="shared" si="0"/>
        <v>26800</v>
      </c>
      <c r="E29" s="5">
        <v>43</v>
      </c>
      <c r="F29" s="7">
        <f t="shared" si="1"/>
        <v>4.3</v>
      </c>
    </row>
    <row r="30" spans="1:6" ht="24.95" customHeight="1">
      <c r="A30" s="1" t="s">
        <v>72</v>
      </c>
      <c r="B30" s="2">
        <v>48600</v>
      </c>
      <c r="C30" s="2">
        <v>0</v>
      </c>
      <c r="D30" s="2">
        <f t="shared" si="0"/>
        <v>48600</v>
      </c>
      <c r="E30" s="5">
        <v>363</v>
      </c>
      <c r="F30" s="7">
        <f t="shared" si="1"/>
        <v>36.299999999999997</v>
      </c>
    </row>
    <row r="31" spans="1:6" ht="24.95" customHeight="1">
      <c r="A31" s="1" t="s">
        <v>73</v>
      </c>
      <c r="B31" s="2">
        <v>14900</v>
      </c>
      <c r="C31" s="2">
        <v>12000</v>
      </c>
      <c r="D31" s="2">
        <f t="shared" si="0"/>
        <v>2900</v>
      </c>
      <c r="E31" s="5">
        <v>149</v>
      </c>
      <c r="F31" s="7">
        <f t="shared" si="1"/>
        <v>14.9</v>
      </c>
    </row>
    <row r="32" spans="1:6" ht="24.95" customHeight="1">
      <c r="A32" s="1" t="s">
        <v>74</v>
      </c>
      <c r="B32" s="2">
        <v>31500</v>
      </c>
      <c r="C32" s="2">
        <v>64800</v>
      </c>
      <c r="D32" s="2">
        <f t="shared" si="0"/>
        <v>-33300</v>
      </c>
      <c r="E32" s="5">
        <v>267</v>
      </c>
      <c r="F32" s="7">
        <f t="shared" si="1"/>
        <v>26.7</v>
      </c>
    </row>
    <row r="33" spans="1:6" ht="24.95" customHeight="1">
      <c r="A33" s="3" t="s">
        <v>75</v>
      </c>
      <c r="B33" s="4">
        <f>SUM(B6:B32)</f>
        <v>571500</v>
      </c>
      <c r="C33" s="4">
        <f>SUM(C6:C32)</f>
        <v>886500</v>
      </c>
      <c r="D33" s="4">
        <f t="shared" si="0"/>
        <v>-315000</v>
      </c>
      <c r="E33" s="6">
        <f>SUM(E6:E32)</f>
        <v>3934</v>
      </c>
      <c r="F33" s="8">
        <f t="shared" si="1"/>
        <v>393.4</v>
      </c>
    </row>
  </sheetData>
  <mergeCells count="3">
    <mergeCell ref="A2:F2"/>
    <mergeCell ref="A3:F3"/>
    <mergeCell ref="A4:F4"/>
  </mergeCells>
  <phoneticPr fontId="7"/>
  <conditionalFormatting sqref="D6:D32">
    <cfRule type="cellIs" dxfId="1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04F7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80</v>
      </c>
      <c r="B2" s="15"/>
      <c r="C2" s="15"/>
      <c r="D2" s="15"/>
      <c r="E2" s="15"/>
      <c r="F2" s="15"/>
    </row>
    <row r="3" spans="1:6" ht="38.1" customHeight="1">
      <c r="A3" s="16" t="s">
        <v>81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9" t="s">
        <v>44</v>
      </c>
      <c r="B5" s="9" t="s">
        <v>45</v>
      </c>
      <c r="C5" s="9" t="s">
        <v>46</v>
      </c>
      <c r="D5" s="9" t="s">
        <v>47</v>
      </c>
      <c r="E5" s="9" t="s">
        <v>17</v>
      </c>
      <c r="F5" s="9" t="s">
        <v>18</v>
      </c>
    </row>
    <row r="6" spans="1:6" ht="24.95" customHeight="1">
      <c r="A6" s="1" t="s">
        <v>48</v>
      </c>
      <c r="B6" s="2">
        <v>2800</v>
      </c>
      <c r="C6" s="2">
        <v>0</v>
      </c>
      <c r="D6" s="2">
        <f t="shared" ref="D6:D33" si="0">B6-C6</f>
        <v>2800</v>
      </c>
      <c r="E6" s="5">
        <v>20</v>
      </c>
      <c r="F6" s="7">
        <f t="shared" ref="F6:F33" si="1">E6/10</f>
        <v>2</v>
      </c>
    </row>
    <row r="7" spans="1:6" ht="24.95" customHeight="1">
      <c r="A7" s="1" t="s">
        <v>49</v>
      </c>
      <c r="B7" s="2">
        <v>1800</v>
      </c>
      <c r="C7" s="2">
        <v>6000</v>
      </c>
      <c r="D7" s="2">
        <f t="shared" si="0"/>
        <v>-4200</v>
      </c>
      <c r="E7" s="5">
        <v>20</v>
      </c>
      <c r="F7" s="7">
        <f t="shared" si="1"/>
        <v>2</v>
      </c>
    </row>
    <row r="8" spans="1:6" ht="24.95" customHeight="1">
      <c r="A8" s="1" t="s">
        <v>50</v>
      </c>
      <c r="B8" s="2">
        <v>1800</v>
      </c>
      <c r="C8" s="2">
        <v>0</v>
      </c>
      <c r="D8" s="2">
        <f t="shared" si="0"/>
        <v>1800</v>
      </c>
      <c r="E8" s="5">
        <v>10</v>
      </c>
      <c r="F8" s="7">
        <f t="shared" si="1"/>
        <v>1</v>
      </c>
    </row>
    <row r="9" spans="1:6" ht="24.95" customHeight="1">
      <c r="A9" s="1" t="s">
        <v>51</v>
      </c>
      <c r="B9" s="2">
        <v>30700</v>
      </c>
      <c r="C9" s="2">
        <v>0</v>
      </c>
      <c r="D9" s="2">
        <f t="shared" si="0"/>
        <v>30700</v>
      </c>
      <c r="E9" s="5">
        <v>175</v>
      </c>
      <c r="F9" s="7">
        <f t="shared" si="1"/>
        <v>17.5</v>
      </c>
    </row>
    <row r="10" spans="1:6" ht="24.95" customHeight="1">
      <c r="A10" s="1" t="s">
        <v>52</v>
      </c>
      <c r="B10" s="2">
        <v>26300</v>
      </c>
      <c r="C10" s="2">
        <v>0</v>
      </c>
      <c r="D10" s="2">
        <f t="shared" si="0"/>
        <v>26300</v>
      </c>
      <c r="E10" s="5">
        <v>123</v>
      </c>
      <c r="F10" s="7">
        <f t="shared" si="1"/>
        <v>12.3</v>
      </c>
    </row>
    <row r="11" spans="1:6" ht="24.95" customHeight="1">
      <c r="A11" s="1" t="s">
        <v>53</v>
      </c>
      <c r="B11" s="2">
        <v>16200</v>
      </c>
      <c r="C11" s="2">
        <v>102200</v>
      </c>
      <c r="D11" s="2">
        <f t="shared" si="0"/>
        <v>-86000</v>
      </c>
      <c r="E11" s="5">
        <v>135</v>
      </c>
      <c r="F11" s="7">
        <f t="shared" si="1"/>
        <v>13.5</v>
      </c>
    </row>
    <row r="12" spans="1:6" ht="24.95" customHeight="1">
      <c r="A12" s="1" t="s">
        <v>54</v>
      </c>
      <c r="B12" s="2">
        <v>28800</v>
      </c>
      <c r="C12" s="2">
        <v>218400</v>
      </c>
      <c r="D12" s="2">
        <f t="shared" si="0"/>
        <v>-189600</v>
      </c>
      <c r="E12" s="5">
        <v>251</v>
      </c>
      <c r="F12" s="7">
        <f t="shared" si="1"/>
        <v>25.1</v>
      </c>
    </row>
    <row r="13" spans="1:6" ht="24.95" customHeight="1">
      <c r="A13" s="1" t="s">
        <v>55</v>
      </c>
      <c r="B13" s="2">
        <v>8700</v>
      </c>
      <c r="C13" s="2">
        <v>0</v>
      </c>
      <c r="D13" s="2">
        <f t="shared" si="0"/>
        <v>8700</v>
      </c>
      <c r="E13" s="5">
        <v>51</v>
      </c>
      <c r="F13" s="7">
        <f t="shared" si="1"/>
        <v>5.0999999999999996</v>
      </c>
    </row>
    <row r="14" spans="1:6" ht="24.95" customHeight="1">
      <c r="A14" s="1" t="s">
        <v>56</v>
      </c>
      <c r="B14" s="2">
        <v>25900</v>
      </c>
      <c r="C14" s="2">
        <v>48000</v>
      </c>
      <c r="D14" s="2">
        <f t="shared" si="0"/>
        <v>-22100</v>
      </c>
      <c r="E14" s="5">
        <v>169</v>
      </c>
      <c r="F14" s="7">
        <f t="shared" si="1"/>
        <v>16.899999999999999</v>
      </c>
    </row>
    <row r="15" spans="1:6" ht="24.95" customHeight="1">
      <c r="A15" s="1" t="s">
        <v>57</v>
      </c>
      <c r="B15" s="2">
        <v>15500</v>
      </c>
      <c r="C15" s="2">
        <v>0</v>
      </c>
      <c r="D15" s="2">
        <f t="shared" si="0"/>
        <v>15500</v>
      </c>
      <c r="E15" s="5">
        <v>88</v>
      </c>
      <c r="F15" s="7">
        <f t="shared" si="1"/>
        <v>8.8000000000000007</v>
      </c>
    </row>
    <row r="16" spans="1:6" ht="24.95" customHeight="1">
      <c r="A16" s="1" t="s">
        <v>58</v>
      </c>
      <c r="B16" s="2">
        <v>26100</v>
      </c>
      <c r="C16" s="2">
        <v>0</v>
      </c>
      <c r="D16" s="2">
        <f t="shared" si="0"/>
        <v>26100</v>
      </c>
      <c r="E16" s="5">
        <v>153</v>
      </c>
      <c r="F16" s="7">
        <f t="shared" si="1"/>
        <v>15.3</v>
      </c>
    </row>
    <row r="17" spans="1:6" ht="24.95" customHeight="1">
      <c r="A17" s="1" t="s">
        <v>59</v>
      </c>
      <c r="B17" s="2">
        <v>32500</v>
      </c>
      <c r="C17" s="2">
        <v>24000</v>
      </c>
      <c r="D17" s="2">
        <f t="shared" si="0"/>
        <v>8500</v>
      </c>
      <c r="E17" s="5">
        <v>186</v>
      </c>
      <c r="F17" s="7">
        <f t="shared" si="1"/>
        <v>18.600000000000001</v>
      </c>
    </row>
    <row r="18" spans="1:6" ht="24.95" customHeight="1">
      <c r="A18" s="1" t="s">
        <v>60</v>
      </c>
      <c r="B18" s="2">
        <v>13200</v>
      </c>
      <c r="C18" s="2">
        <v>69600</v>
      </c>
      <c r="D18" s="2">
        <f t="shared" si="0"/>
        <v>-56400</v>
      </c>
      <c r="E18" s="5">
        <v>108</v>
      </c>
      <c r="F18" s="7">
        <f t="shared" si="1"/>
        <v>10.8</v>
      </c>
    </row>
    <row r="19" spans="1:6" ht="24.95" customHeight="1">
      <c r="A19" s="1" t="s">
        <v>61</v>
      </c>
      <c r="B19" s="2">
        <v>10900</v>
      </c>
      <c r="C19" s="2">
        <v>60000</v>
      </c>
      <c r="D19" s="2">
        <f t="shared" si="0"/>
        <v>-49100</v>
      </c>
      <c r="E19" s="5">
        <v>97</v>
      </c>
      <c r="F19" s="7">
        <f t="shared" si="1"/>
        <v>9.6999999999999993</v>
      </c>
    </row>
    <row r="20" spans="1:6" ht="24.95" customHeight="1">
      <c r="A20" s="1" t="s">
        <v>62</v>
      </c>
      <c r="B20" s="2">
        <v>39600</v>
      </c>
      <c r="C20" s="2">
        <v>36000</v>
      </c>
      <c r="D20" s="2">
        <f t="shared" si="0"/>
        <v>3600</v>
      </c>
      <c r="E20" s="5">
        <v>168</v>
      </c>
      <c r="F20" s="7">
        <f t="shared" si="1"/>
        <v>16.8</v>
      </c>
    </row>
    <row r="21" spans="1:6" ht="24.95" customHeight="1">
      <c r="A21" s="1" t="s">
        <v>63</v>
      </c>
      <c r="B21" s="2">
        <v>3800</v>
      </c>
      <c r="C21" s="2">
        <v>5000</v>
      </c>
      <c r="D21" s="2">
        <f t="shared" si="0"/>
        <v>-1200</v>
      </c>
      <c r="E21" s="5">
        <v>30</v>
      </c>
      <c r="F21" s="7">
        <f t="shared" si="1"/>
        <v>3</v>
      </c>
    </row>
    <row r="22" spans="1:6" ht="24.95" customHeight="1">
      <c r="A22" s="1" t="s">
        <v>64</v>
      </c>
      <c r="B22" s="2">
        <v>42500</v>
      </c>
      <c r="C22" s="2">
        <v>136000</v>
      </c>
      <c r="D22" s="2">
        <f t="shared" si="0"/>
        <v>-93500</v>
      </c>
      <c r="E22" s="5">
        <v>315</v>
      </c>
      <c r="F22" s="7">
        <f t="shared" si="1"/>
        <v>31.5</v>
      </c>
    </row>
    <row r="23" spans="1:6" ht="24.95" customHeight="1">
      <c r="A23" s="1" t="s">
        <v>65</v>
      </c>
      <c r="B23" s="2">
        <v>17200</v>
      </c>
      <c r="C23" s="2">
        <v>31200</v>
      </c>
      <c r="D23" s="2">
        <f t="shared" si="0"/>
        <v>-14000</v>
      </c>
      <c r="E23" s="5">
        <v>73</v>
      </c>
      <c r="F23" s="7">
        <f t="shared" si="1"/>
        <v>7.3</v>
      </c>
    </row>
    <row r="24" spans="1:6" ht="24.95" customHeight="1">
      <c r="A24" s="1" t="s">
        <v>66</v>
      </c>
      <c r="B24" s="2">
        <v>24100</v>
      </c>
      <c r="C24" s="2">
        <v>0</v>
      </c>
      <c r="D24" s="2">
        <f t="shared" si="0"/>
        <v>24100</v>
      </c>
      <c r="E24" s="5">
        <v>158</v>
      </c>
      <c r="F24" s="7">
        <f t="shared" si="1"/>
        <v>15.8</v>
      </c>
    </row>
    <row r="25" spans="1:6" ht="24.95" customHeight="1">
      <c r="A25" s="1" t="s">
        <v>67</v>
      </c>
      <c r="B25" s="2">
        <v>46300</v>
      </c>
      <c r="C25" s="2">
        <v>13800</v>
      </c>
      <c r="D25" s="2">
        <f t="shared" si="0"/>
        <v>32500</v>
      </c>
      <c r="E25" s="5">
        <v>260</v>
      </c>
      <c r="F25" s="7">
        <f t="shared" si="1"/>
        <v>26</v>
      </c>
    </row>
    <row r="26" spans="1:6" ht="24.95" customHeight="1">
      <c r="A26" s="1" t="s">
        <v>68</v>
      </c>
      <c r="B26" s="2">
        <v>30500</v>
      </c>
      <c r="C26" s="2">
        <v>0</v>
      </c>
      <c r="D26" s="2">
        <f t="shared" si="0"/>
        <v>30500</v>
      </c>
      <c r="E26" s="5">
        <v>165</v>
      </c>
      <c r="F26" s="7">
        <f t="shared" si="1"/>
        <v>16.5</v>
      </c>
    </row>
    <row r="27" spans="1:6" ht="24.95" customHeight="1">
      <c r="A27" s="1" t="s">
        <v>69</v>
      </c>
      <c r="B27" s="2">
        <v>24000</v>
      </c>
      <c r="C27" s="2">
        <v>15300</v>
      </c>
      <c r="D27" s="2">
        <f t="shared" si="0"/>
        <v>8700</v>
      </c>
      <c r="E27" s="5">
        <v>163</v>
      </c>
      <c r="F27" s="7">
        <f t="shared" si="1"/>
        <v>16.3</v>
      </c>
    </row>
    <row r="28" spans="1:6" ht="24.95" customHeight="1">
      <c r="A28" s="1" t="s">
        <v>70</v>
      </c>
      <c r="B28" s="2">
        <v>24600</v>
      </c>
      <c r="C28" s="2">
        <v>44200</v>
      </c>
      <c r="D28" s="2">
        <f t="shared" si="0"/>
        <v>-19600</v>
      </c>
      <c r="E28" s="5">
        <v>194</v>
      </c>
      <c r="F28" s="7">
        <f t="shared" si="1"/>
        <v>19.399999999999999</v>
      </c>
    </row>
    <row r="29" spans="1:6" ht="24.95" customHeight="1">
      <c r="A29" s="1" t="s">
        <v>71</v>
      </c>
      <c r="B29" s="2">
        <v>12100</v>
      </c>
      <c r="C29" s="2">
        <v>0</v>
      </c>
      <c r="D29" s="2">
        <f t="shared" si="0"/>
        <v>12100</v>
      </c>
      <c r="E29" s="5">
        <v>43</v>
      </c>
      <c r="F29" s="7">
        <f t="shared" si="1"/>
        <v>4.3</v>
      </c>
    </row>
    <row r="30" spans="1:6" ht="24.95" customHeight="1">
      <c r="A30" s="1" t="s">
        <v>72</v>
      </c>
      <c r="B30" s="2">
        <v>59000</v>
      </c>
      <c r="C30" s="2">
        <v>0</v>
      </c>
      <c r="D30" s="2">
        <f t="shared" si="0"/>
        <v>59000</v>
      </c>
      <c r="E30" s="5">
        <v>363</v>
      </c>
      <c r="F30" s="7">
        <f t="shared" si="1"/>
        <v>36.299999999999997</v>
      </c>
    </row>
    <row r="31" spans="1:6" ht="24.95" customHeight="1">
      <c r="A31" s="1" t="s">
        <v>73</v>
      </c>
      <c r="B31" s="2">
        <v>23900</v>
      </c>
      <c r="C31" s="2">
        <v>12000</v>
      </c>
      <c r="D31" s="2">
        <f t="shared" si="0"/>
        <v>11900</v>
      </c>
      <c r="E31" s="5">
        <v>149</v>
      </c>
      <c r="F31" s="7">
        <f t="shared" si="1"/>
        <v>14.9</v>
      </c>
    </row>
    <row r="32" spans="1:6" ht="24.95" customHeight="1">
      <c r="A32" s="1" t="s">
        <v>74</v>
      </c>
      <c r="B32" s="2">
        <v>36800</v>
      </c>
      <c r="C32" s="2">
        <v>64800</v>
      </c>
      <c r="D32" s="2">
        <f t="shared" si="0"/>
        <v>-28000</v>
      </c>
      <c r="E32" s="5">
        <v>267</v>
      </c>
      <c r="F32" s="7">
        <f t="shared" si="1"/>
        <v>26.7</v>
      </c>
    </row>
    <row r="33" spans="1:6" ht="24.95" customHeight="1">
      <c r="A33" s="3" t="s">
        <v>75</v>
      </c>
      <c r="B33" s="4">
        <f>SUM(B6:B32)</f>
        <v>625600</v>
      </c>
      <c r="C33" s="4">
        <f>SUM(C6:C32)</f>
        <v>886500</v>
      </c>
      <c r="D33" s="4">
        <f t="shared" si="0"/>
        <v>-260900</v>
      </c>
      <c r="E33" s="6">
        <f>SUM(E6:E32)</f>
        <v>3934</v>
      </c>
      <c r="F33" s="8">
        <f t="shared" si="1"/>
        <v>393.4</v>
      </c>
    </row>
  </sheetData>
  <mergeCells count="3">
    <mergeCell ref="A2:F2"/>
    <mergeCell ref="A3:F3"/>
    <mergeCell ref="A4:F4"/>
  </mergeCells>
  <phoneticPr fontId="7"/>
  <conditionalFormatting sqref="D6:D32">
    <cfRule type="cellIs" dxfId="1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04F7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82</v>
      </c>
      <c r="B2" s="15"/>
      <c r="C2" s="15"/>
      <c r="D2" s="15"/>
      <c r="E2" s="15"/>
      <c r="F2" s="15"/>
    </row>
    <row r="3" spans="1:6" ht="38.1" customHeight="1">
      <c r="A3" s="16" t="s">
        <v>83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9" t="s">
        <v>44</v>
      </c>
      <c r="B5" s="9" t="s">
        <v>45</v>
      </c>
      <c r="C5" s="9" t="s">
        <v>46</v>
      </c>
      <c r="D5" s="9" t="s">
        <v>47</v>
      </c>
      <c r="E5" s="9" t="s">
        <v>17</v>
      </c>
      <c r="F5" s="9" t="s">
        <v>18</v>
      </c>
    </row>
    <row r="6" spans="1:6" ht="24.95" customHeight="1">
      <c r="A6" s="1" t="s">
        <v>48</v>
      </c>
      <c r="B6" s="2">
        <v>1000</v>
      </c>
      <c r="C6" s="2">
        <v>12000</v>
      </c>
      <c r="D6" s="2">
        <f t="shared" ref="D6:D33" si="0">B6-C6</f>
        <v>-11000</v>
      </c>
      <c r="E6" s="5">
        <v>20</v>
      </c>
      <c r="F6" s="7">
        <f t="shared" ref="F6:F33" si="1">E6/10</f>
        <v>2</v>
      </c>
    </row>
    <row r="7" spans="1:6" ht="24.95" customHeight="1">
      <c r="A7" s="1" t="s">
        <v>49</v>
      </c>
      <c r="B7" s="2">
        <v>1000</v>
      </c>
      <c r="C7" s="2">
        <v>6000</v>
      </c>
      <c r="D7" s="2">
        <f t="shared" si="0"/>
        <v>-5000</v>
      </c>
      <c r="E7" s="5">
        <v>20</v>
      </c>
      <c r="F7" s="7">
        <f t="shared" si="1"/>
        <v>2</v>
      </c>
    </row>
    <row r="8" spans="1:6" ht="24.95" customHeight="1">
      <c r="A8" s="1" t="s">
        <v>50</v>
      </c>
      <c r="B8" s="2">
        <v>1000</v>
      </c>
      <c r="C8" s="2">
        <v>0</v>
      </c>
      <c r="D8" s="2">
        <f t="shared" si="0"/>
        <v>1000</v>
      </c>
      <c r="E8" s="5">
        <v>10</v>
      </c>
      <c r="F8" s="7">
        <f t="shared" si="1"/>
        <v>1</v>
      </c>
    </row>
    <row r="9" spans="1:6" ht="24.95" customHeight="1">
      <c r="A9" s="1" t="s">
        <v>51</v>
      </c>
      <c r="B9" s="2">
        <v>17500</v>
      </c>
      <c r="C9" s="2">
        <v>0</v>
      </c>
      <c r="D9" s="2">
        <f t="shared" si="0"/>
        <v>17500</v>
      </c>
      <c r="E9" s="5">
        <v>175</v>
      </c>
      <c r="F9" s="7">
        <f t="shared" si="1"/>
        <v>17.5</v>
      </c>
    </row>
    <row r="10" spans="1:6" ht="24.95" customHeight="1">
      <c r="A10" s="1" t="s">
        <v>52</v>
      </c>
      <c r="B10" s="2">
        <v>33100</v>
      </c>
      <c r="C10" s="2">
        <v>0</v>
      </c>
      <c r="D10" s="2">
        <f t="shared" si="0"/>
        <v>33100</v>
      </c>
      <c r="E10" s="5">
        <v>123</v>
      </c>
      <c r="F10" s="7">
        <f t="shared" si="1"/>
        <v>12.3</v>
      </c>
    </row>
    <row r="11" spans="1:6" ht="24.95" customHeight="1">
      <c r="A11" s="1" t="s">
        <v>53</v>
      </c>
      <c r="B11" s="2">
        <v>9700</v>
      </c>
      <c r="C11" s="2">
        <v>49300</v>
      </c>
      <c r="D11" s="2">
        <f t="shared" si="0"/>
        <v>-39600</v>
      </c>
      <c r="E11" s="5">
        <v>135</v>
      </c>
      <c r="F11" s="7">
        <f t="shared" si="1"/>
        <v>13.5</v>
      </c>
    </row>
    <row r="12" spans="1:6" ht="24.95" customHeight="1">
      <c r="A12" s="1" t="s">
        <v>54</v>
      </c>
      <c r="B12" s="2">
        <v>17000</v>
      </c>
      <c r="C12" s="2">
        <v>109200</v>
      </c>
      <c r="D12" s="2">
        <f t="shared" si="0"/>
        <v>-92200</v>
      </c>
      <c r="E12" s="5">
        <v>251</v>
      </c>
      <c r="F12" s="7">
        <f t="shared" si="1"/>
        <v>25.1</v>
      </c>
    </row>
    <row r="13" spans="1:6" ht="24.95" customHeight="1">
      <c r="A13" s="1" t="s">
        <v>55</v>
      </c>
      <c r="B13" s="2">
        <v>6700</v>
      </c>
      <c r="C13" s="2">
        <v>0</v>
      </c>
      <c r="D13" s="2">
        <f t="shared" si="0"/>
        <v>6700</v>
      </c>
      <c r="E13" s="5">
        <v>51</v>
      </c>
      <c r="F13" s="7">
        <f t="shared" si="1"/>
        <v>5.0999999999999996</v>
      </c>
    </row>
    <row r="14" spans="1:6" ht="24.95" customHeight="1">
      <c r="A14" s="1" t="s">
        <v>56</v>
      </c>
      <c r="B14" s="2">
        <v>14900</v>
      </c>
      <c r="C14" s="2">
        <v>24000</v>
      </c>
      <c r="D14" s="2">
        <f t="shared" si="0"/>
        <v>-9100</v>
      </c>
      <c r="E14" s="5">
        <v>169</v>
      </c>
      <c r="F14" s="7">
        <f t="shared" si="1"/>
        <v>16.899999999999999</v>
      </c>
    </row>
    <row r="15" spans="1:6" ht="24.95" customHeight="1">
      <c r="A15" s="1" t="s">
        <v>57</v>
      </c>
      <c r="B15" s="2">
        <v>10600</v>
      </c>
      <c r="C15" s="2">
        <v>14400</v>
      </c>
      <c r="D15" s="2">
        <f t="shared" si="0"/>
        <v>-3800</v>
      </c>
      <c r="E15" s="5">
        <v>88</v>
      </c>
      <c r="F15" s="7">
        <f t="shared" si="1"/>
        <v>8.8000000000000007</v>
      </c>
    </row>
    <row r="16" spans="1:6" ht="24.95" customHeight="1">
      <c r="A16" s="1" t="s">
        <v>58</v>
      </c>
      <c r="B16" s="2">
        <v>15300</v>
      </c>
      <c r="C16" s="2">
        <v>0</v>
      </c>
      <c r="D16" s="2">
        <f t="shared" si="0"/>
        <v>15300</v>
      </c>
      <c r="E16" s="5">
        <v>153</v>
      </c>
      <c r="F16" s="7">
        <f t="shared" si="1"/>
        <v>15.3</v>
      </c>
    </row>
    <row r="17" spans="1:6" ht="24.95" customHeight="1">
      <c r="A17" s="1" t="s">
        <v>59</v>
      </c>
      <c r="B17" s="2">
        <v>19100</v>
      </c>
      <c r="C17" s="2">
        <v>12000</v>
      </c>
      <c r="D17" s="2">
        <f t="shared" si="0"/>
        <v>7100</v>
      </c>
      <c r="E17" s="5">
        <v>186</v>
      </c>
      <c r="F17" s="7">
        <f t="shared" si="1"/>
        <v>18.600000000000001</v>
      </c>
    </row>
    <row r="18" spans="1:6" ht="24.95" customHeight="1">
      <c r="A18" s="1" t="s">
        <v>60</v>
      </c>
      <c r="B18" s="2">
        <v>7900</v>
      </c>
      <c r="C18" s="2">
        <v>34800</v>
      </c>
      <c r="D18" s="2">
        <f t="shared" si="0"/>
        <v>-26900</v>
      </c>
      <c r="E18" s="5">
        <v>108</v>
      </c>
      <c r="F18" s="7">
        <f t="shared" si="1"/>
        <v>10.8</v>
      </c>
    </row>
    <row r="19" spans="1:6" ht="24.95" customHeight="1">
      <c r="A19" s="1" t="s">
        <v>61</v>
      </c>
      <c r="B19" s="2">
        <v>7200</v>
      </c>
      <c r="C19" s="2">
        <v>55200</v>
      </c>
      <c r="D19" s="2">
        <f t="shared" si="0"/>
        <v>-48000</v>
      </c>
      <c r="E19" s="5">
        <v>97</v>
      </c>
      <c r="F19" s="7">
        <f t="shared" si="1"/>
        <v>9.6999999999999993</v>
      </c>
    </row>
    <row r="20" spans="1:6" ht="24.95" customHeight="1">
      <c r="A20" s="1" t="s">
        <v>62</v>
      </c>
      <c r="B20" s="2">
        <v>16800</v>
      </c>
      <c r="C20" s="2">
        <v>114000</v>
      </c>
      <c r="D20" s="2">
        <f t="shared" si="0"/>
        <v>-97200</v>
      </c>
      <c r="E20" s="5">
        <v>168</v>
      </c>
      <c r="F20" s="7">
        <f t="shared" si="1"/>
        <v>16.8</v>
      </c>
    </row>
    <row r="21" spans="1:6" ht="24.95" customHeight="1">
      <c r="A21" s="1" t="s">
        <v>63</v>
      </c>
      <c r="B21" s="2">
        <v>3000</v>
      </c>
      <c r="C21" s="2">
        <v>5000</v>
      </c>
      <c r="D21" s="2">
        <f t="shared" si="0"/>
        <v>-2000</v>
      </c>
      <c r="E21" s="5">
        <v>30</v>
      </c>
      <c r="F21" s="7">
        <f t="shared" si="1"/>
        <v>3</v>
      </c>
    </row>
    <row r="22" spans="1:6" ht="24.95" customHeight="1">
      <c r="A22" s="1" t="s">
        <v>64</v>
      </c>
      <c r="B22" s="2">
        <v>21800</v>
      </c>
      <c r="C22" s="2">
        <v>159600</v>
      </c>
      <c r="D22" s="2">
        <f t="shared" si="0"/>
        <v>-137800</v>
      </c>
      <c r="E22" s="5">
        <v>315</v>
      </c>
      <c r="F22" s="7">
        <f t="shared" si="1"/>
        <v>31.5</v>
      </c>
    </row>
    <row r="23" spans="1:6" ht="24.95" customHeight="1">
      <c r="A23" s="1" t="s">
        <v>65</v>
      </c>
      <c r="B23" s="2">
        <v>42600</v>
      </c>
      <c r="C23" s="2">
        <v>15600</v>
      </c>
      <c r="D23" s="2">
        <f t="shared" si="0"/>
        <v>27000</v>
      </c>
      <c r="E23" s="5">
        <v>73</v>
      </c>
      <c r="F23" s="7">
        <f t="shared" si="1"/>
        <v>7.3</v>
      </c>
    </row>
    <row r="24" spans="1:6" ht="24.95" customHeight="1">
      <c r="A24" s="1" t="s">
        <v>66</v>
      </c>
      <c r="B24" s="2">
        <v>15800</v>
      </c>
      <c r="C24" s="2">
        <v>0</v>
      </c>
      <c r="D24" s="2">
        <f t="shared" si="0"/>
        <v>15800</v>
      </c>
      <c r="E24" s="5">
        <v>158</v>
      </c>
      <c r="F24" s="7">
        <f t="shared" si="1"/>
        <v>15.8</v>
      </c>
    </row>
    <row r="25" spans="1:6" ht="24.95" customHeight="1">
      <c r="A25" s="1" t="s">
        <v>67</v>
      </c>
      <c r="B25" s="2">
        <v>28000</v>
      </c>
      <c r="C25" s="2">
        <v>45000</v>
      </c>
      <c r="D25" s="2">
        <f t="shared" si="0"/>
        <v>-17000</v>
      </c>
      <c r="E25" s="5">
        <v>260</v>
      </c>
      <c r="F25" s="7">
        <f t="shared" si="1"/>
        <v>26</v>
      </c>
    </row>
    <row r="26" spans="1:6" ht="24.95" customHeight="1">
      <c r="A26" s="1" t="s">
        <v>68</v>
      </c>
      <c r="B26" s="2">
        <v>21300</v>
      </c>
      <c r="C26" s="2">
        <v>0</v>
      </c>
      <c r="D26" s="2">
        <f t="shared" si="0"/>
        <v>21300</v>
      </c>
      <c r="E26" s="5">
        <v>165</v>
      </c>
      <c r="F26" s="7">
        <f t="shared" si="1"/>
        <v>16.5</v>
      </c>
    </row>
    <row r="27" spans="1:6" ht="24.95" customHeight="1">
      <c r="A27" s="1" t="s">
        <v>69</v>
      </c>
      <c r="B27" s="2">
        <v>14600</v>
      </c>
      <c r="C27" s="2">
        <v>31400</v>
      </c>
      <c r="D27" s="2">
        <f t="shared" si="0"/>
        <v>-16800</v>
      </c>
      <c r="E27" s="5">
        <v>163</v>
      </c>
      <c r="F27" s="7">
        <f t="shared" si="1"/>
        <v>16.3</v>
      </c>
    </row>
    <row r="28" spans="1:6" ht="24.95" customHeight="1">
      <c r="A28" s="1" t="s">
        <v>70</v>
      </c>
      <c r="B28" s="2">
        <v>22400</v>
      </c>
      <c r="C28" s="2">
        <v>22800</v>
      </c>
      <c r="D28" s="2">
        <f t="shared" si="0"/>
        <v>-400</v>
      </c>
      <c r="E28" s="5">
        <v>194</v>
      </c>
      <c r="F28" s="7">
        <f t="shared" si="1"/>
        <v>19.399999999999999</v>
      </c>
    </row>
    <row r="29" spans="1:6" ht="24.95" customHeight="1">
      <c r="A29" s="1" t="s">
        <v>71</v>
      </c>
      <c r="B29" s="2">
        <v>26300</v>
      </c>
      <c r="C29" s="2">
        <v>0</v>
      </c>
      <c r="D29" s="2">
        <f t="shared" si="0"/>
        <v>26300</v>
      </c>
      <c r="E29" s="5">
        <v>43</v>
      </c>
      <c r="F29" s="7">
        <f t="shared" si="1"/>
        <v>4.3</v>
      </c>
    </row>
    <row r="30" spans="1:6" ht="24.95" customHeight="1">
      <c r="A30" s="1" t="s">
        <v>72</v>
      </c>
      <c r="B30" s="2">
        <v>46600</v>
      </c>
      <c r="C30" s="2">
        <v>12000</v>
      </c>
      <c r="D30" s="2">
        <f t="shared" si="0"/>
        <v>34600</v>
      </c>
      <c r="E30" s="5">
        <v>363</v>
      </c>
      <c r="F30" s="7">
        <f t="shared" si="1"/>
        <v>36.299999999999997</v>
      </c>
    </row>
    <row r="31" spans="1:6" ht="24.95" customHeight="1">
      <c r="A31" s="1" t="s">
        <v>73</v>
      </c>
      <c r="B31" s="2">
        <v>9800</v>
      </c>
      <c r="C31" s="2">
        <v>73200</v>
      </c>
      <c r="D31" s="2">
        <f t="shared" si="0"/>
        <v>-63400</v>
      </c>
      <c r="E31" s="5">
        <v>149</v>
      </c>
      <c r="F31" s="7">
        <f t="shared" si="1"/>
        <v>14.9</v>
      </c>
    </row>
    <row r="32" spans="1:6" ht="24.95" customHeight="1">
      <c r="A32" s="1" t="s">
        <v>74</v>
      </c>
      <c r="B32" s="2">
        <v>29400</v>
      </c>
      <c r="C32" s="2">
        <v>39600</v>
      </c>
      <c r="D32" s="2">
        <f t="shared" si="0"/>
        <v>-10200</v>
      </c>
      <c r="E32" s="5">
        <v>267</v>
      </c>
      <c r="F32" s="7">
        <f t="shared" si="1"/>
        <v>26.7</v>
      </c>
    </row>
    <row r="33" spans="1:6" ht="24.95" customHeight="1">
      <c r="A33" s="3" t="s">
        <v>75</v>
      </c>
      <c r="B33" s="4">
        <f>SUM(B6:B32)</f>
        <v>460400</v>
      </c>
      <c r="C33" s="4">
        <f>SUM(C6:C32)</f>
        <v>835100</v>
      </c>
      <c r="D33" s="4">
        <f t="shared" si="0"/>
        <v>-374700</v>
      </c>
      <c r="E33" s="6">
        <f>SUM(E6:E32)</f>
        <v>3934</v>
      </c>
      <c r="F33" s="8">
        <f t="shared" si="1"/>
        <v>393.4</v>
      </c>
    </row>
  </sheetData>
  <mergeCells count="3">
    <mergeCell ref="A2:F2"/>
    <mergeCell ref="A3:F3"/>
    <mergeCell ref="A4:F4"/>
  </mergeCells>
  <phoneticPr fontId="7"/>
  <conditionalFormatting sqref="D6:D32">
    <cfRule type="cellIs" dxfId="1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9735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84</v>
      </c>
      <c r="B2" s="15"/>
      <c r="C2" s="15"/>
      <c r="D2" s="15"/>
      <c r="E2" s="15"/>
      <c r="F2" s="15"/>
    </row>
    <row r="3" spans="1:6" ht="38.1" customHeight="1">
      <c r="A3" s="16" t="s">
        <v>42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17</v>
      </c>
      <c r="F5" s="10" t="s">
        <v>18</v>
      </c>
    </row>
    <row r="6" spans="1:6" ht="24.95" customHeight="1">
      <c r="A6" s="1" t="s">
        <v>85</v>
      </c>
      <c r="B6" s="2">
        <v>0</v>
      </c>
      <c r="C6" s="2">
        <v>0</v>
      </c>
      <c r="D6" s="2">
        <f t="shared" ref="D6:D33" si="0">B6-C6</f>
        <v>0</v>
      </c>
      <c r="E6" s="5">
        <v>0</v>
      </c>
      <c r="F6" s="7">
        <f t="shared" ref="F6:F33" si="1">E6/10</f>
        <v>0</v>
      </c>
    </row>
    <row r="7" spans="1:6" ht="24.95" customHeight="1">
      <c r="A7" s="1" t="s">
        <v>86</v>
      </c>
      <c r="B7" s="2">
        <v>15000</v>
      </c>
      <c r="C7" s="2">
        <v>0</v>
      </c>
      <c r="D7" s="2">
        <f t="shared" si="0"/>
        <v>15000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0</v>
      </c>
      <c r="C8" s="2">
        <v>0</v>
      </c>
      <c r="D8" s="2">
        <f t="shared" si="0"/>
        <v>0</v>
      </c>
      <c r="E8" s="5">
        <v>0</v>
      </c>
      <c r="F8" s="7">
        <f t="shared" si="1"/>
        <v>0</v>
      </c>
    </row>
    <row r="9" spans="1:6" ht="24.95" customHeight="1">
      <c r="A9" s="1" t="s">
        <v>88</v>
      </c>
      <c r="B9" s="2">
        <v>30000</v>
      </c>
      <c r="C9" s="2">
        <v>0</v>
      </c>
      <c r="D9" s="2">
        <f t="shared" si="0"/>
        <v>30000</v>
      </c>
      <c r="E9" s="5">
        <v>100</v>
      </c>
      <c r="F9" s="7">
        <f t="shared" si="1"/>
        <v>10</v>
      </c>
    </row>
    <row r="10" spans="1:6" ht="24.95" customHeight="1">
      <c r="A10" s="1" t="s">
        <v>89</v>
      </c>
      <c r="B10" s="2">
        <v>0</v>
      </c>
      <c r="C10" s="2">
        <v>0</v>
      </c>
      <c r="D10" s="2">
        <f t="shared" si="0"/>
        <v>0</v>
      </c>
      <c r="E10" s="5">
        <v>0</v>
      </c>
      <c r="F10" s="7">
        <f t="shared" si="1"/>
        <v>0</v>
      </c>
    </row>
    <row r="11" spans="1:6" ht="24.95" customHeight="1">
      <c r="A11" s="1" t="s">
        <v>90</v>
      </c>
      <c r="B11" s="2">
        <v>0</v>
      </c>
      <c r="C11" s="2">
        <v>0</v>
      </c>
      <c r="D11" s="2">
        <f t="shared" si="0"/>
        <v>0</v>
      </c>
      <c r="E11" s="5">
        <v>10</v>
      </c>
      <c r="F11" s="7">
        <f t="shared" si="1"/>
        <v>1</v>
      </c>
    </row>
    <row r="12" spans="1:6" ht="24.95" customHeight="1">
      <c r="A12" s="1" t="s">
        <v>91</v>
      </c>
      <c r="B12" s="2">
        <v>0</v>
      </c>
      <c r="C12" s="2">
        <v>0</v>
      </c>
      <c r="D12" s="2">
        <f t="shared" si="0"/>
        <v>0</v>
      </c>
      <c r="E12" s="5">
        <v>0</v>
      </c>
      <c r="F12" s="7">
        <f t="shared" si="1"/>
        <v>0</v>
      </c>
    </row>
    <row r="13" spans="1:6" ht="24.95" customHeight="1">
      <c r="A13" s="1" t="s">
        <v>92</v>
      </c>
      <c r="B13" s="2">
        <v>60000</v>
      </c>
      <c r="C13" s="2">
        <v>0</v>
      </c>
      <c r="D13" s="2">
        <f t="shared" si="0"/>
        <v>60000</v>
      </c>
      <c r="E13" s="5">
        <v>150</v>
      </c>
      <c r="F13" s="7">
        <f t="shared" si="1"/>
        <v>15</v>
      </c>
    </row>
    <row r="14" spans="1:6" ht="24.95" customHeight="1">
      <c r="A14" s="1" t="s">
        <v>93</v>
      </c>
      <c r="B14" s="2">
        <v>55000</v>
      </c>
      <c r="C14" s="2">
        <v>5000</v>
      </c>
      <c r="D14" s="2">
        <f t="shared" si="0"/>
        <v>50000</v>
      </c>
      <c r="E14" s="5">
        <v>220</v>
      </c>
      <c r="F14" s="7">
        <f t="shared" si="1"/>
        <v>22</v>
      </c>
    </row>
    <row r="15" spans="1:6" ht="24.95" customHeight="1">
      <c r="A15" s="1" t="s">
        <v>94</v>
      </c>
      <c r="B15" s="2">
        <v>0</v>
      </c>
      <c r="C15" s="2">
        <v>0</v>
      </c>
      <c r="D15" s="2">
        <f t="shared" si="0"/>
        <v>0</v>
      </c>
      <c r="E15" s="5">
        <v>0</v>
      </c>
      <c r="F15" s="7">
        <f t="shared" si="1"/>
        <v>0</v>
      </c>
    </row>
    <row r="16" spans="1:6" ht="24.95" customHeight="1">
      <c r="A16" s="1" t="s">
        <v>95</v>
      </c>
      <c r="B16" s="2">
        <v>15000</v>
      </c>
      <c r="C16" s="2">
        <v>0</v>
      </c>
      <c r="D16" s="2">
        <f t="shared" si="0"/>
        <v>15000</v>
      </c>
      <c r="E16" s="5">
        <v>50</v>
      </c>
      <c r="F16" s="7">
        <f t="shared" si="1"/>
        <v>5</v>
      </c>
    </row>
    <row r="17" spans="1:6" ht="24.95" customHeight="1">
      <c r="A17" s="1" t="s">
        <v>96</v>
      </c>
      <c r="B17" s="2">
        <v>0</v>
      </c>
      <c r="C17" s="2">
        <v>0</v>
      </c>
      <c r="D17" s="2">
        <f t="shared" si="0"/>
        <v>0</v>
      </c>
      <c r="E17" s="5">
        <v>0</v>
      </c>
      <c r="F17" s="7">
        <f t="shared" si="1"/>
        <v>0</v>
      </c>
    </row>
    <row r="18" spans="1:6" ht="24.95" customHeight="1">
      <c r="A18" s="1" t="s">
        <v>97</v>
      </c>
      <c r="B18" s="2">
        <v>20000</v>
      </c>
      <c r="C18" s="2">
        <v>5000</v>
      </c>
      <c r="D18" s="2">
        <f t="shared" si="0"/>
        <v>15000</v>
      </c>
      <c r="E18" s="5">
        <v>70</v>
      </c>
      <c r="F18" s="7">
        <f t="shared" si="1"/>
        <v>7</v>
      </c>
    </row>
    <row r="19" spans="1:6" ht="24.95" customHeight="1">
      <c r="A19" s="1" t="s">
        <v>98</v>
      </c>
      <c r="B19" s="2">
        <v>5000</v>
      </c>
      <c r="C19" s="2">
        <v>0</v>
      </c>
      <c r="D19" s="2">
        <f t="shared" si="0"/>
        <v>5000</v>
      </c>
      <c r="E19" s="5">
        <v>20</v>
      </c>
      <c r="F19" s="7">
        <f t="shared" si="1"/>
        <v>2</v>
      </c>
    </row>
    <row r="20" spans="1:6" ht="24.95" customHeight="1">
      <c r="A20" s="1" t="s">
        <v>99</v>
      </c>
      <c r="B20" s="2">
        <v>40000</v>
      </c>
      <c r="C20" s="2">
        <v>0</v>
      </c>
      <c r="D20" s="2">
        <f t="shared" si="0"/>
        <v>40000</v>
      </c>
      <c r="E20" s="5">
        <v>100</v>
      </c>
      <c r="F20" s="7">
        <f t="shared" si="1"/>
        <v>10</v>
      </c>
    </row>
    <row r="21" spans="1:6" ht="24.95" customHeight="1">
      <c r="A21" s="1" t="s">
        <v>100</v>
      </c>
      <c r="B21" s="2">
        <v>0</v>
      </c>
      <c r="C21" s="2">
        <v>0</v>
      </c>
      <c r="D21" s="2">
        <f t="shared" si="0"/>
        <v>0</v>
      </c>
      <c r="E21" s="5">
        <v>0</v>
      </c>
      <c r="F21" s="7">
        <f t="shared" si="1"/>
        <v>0</v>
      </c>
    </row>
    <row r="22" spans="1:6" ht="24.95" customHeight="1">
      <c r="A22" s="1" t="s">
        <v>101</v>
      </c>
      <c r="B22" s="2">
        <v>15000</v>
      </c>
      <c r="C22" s="2">
        <v>0</v>
      </c>
      <c r="D22" s="2">
        <f t="shared" si="0"/>
        <v>15000</v>
      </c>
      <c r="E22" s="5">
        <v>50</v>
      </c>
      <c r="F22" s="7">
        <f t="shared" si="1"/>
        <v>5</v>
      </c>
    </row>
    <row r="23" spans="1:6" ht="24.95" customHeight="1">
      <c r="A23" s="1" t="s">
        <v>102</v>
      </c>
      <c r="B23" s="2">
        <v>15000</v>
      </c>
      <c r="C23" s="2">
        <v>0</v>
      </c>
      <c r="D23" s="2">
        <f t="shared" si="0"/>
        <v>15000</v>
      </c>
      <c r="E23" s="5">
        <v>50</v>
      </c>
      <c r="F23" s="7">
        <f t="shared" si="1"/>
        <v>5</v>
      </c>
    </row>
    <row r="24" spans="1:6" ht="24.95" customHeight="1">
      <c r="A24" s="1" t="s">
        <v>103</v>
      </c>
      <c r="B24" s="2">
        <v>0</v>
      </c>
      <c r="C24" s="2">
        <v>0</v>
      </c>
      <c r="D24" s="2">
        <f t="shared" si="0"/>
        <v>0</v>
      </c>
      <c r="E24" s="5">
        <v>0</v>
      </c>
      <c r="F24" s="7">
        <f t="shared" si="1"/>
        <v>0</v>
      </c>
    </row>
    <row r="25" spans="1:6" ht="24.95" customHeight="1">
      <c r="A25" s="1" t="s">
        <v>104</v>
      </c>
      <c r="B25" s="2">
        <v>0</v>
      </c>
      <c r="C25" s="2">
        <v>20000</v>
      </c>
      <c r="D25" s="2">
        <f t="shared" si="0"/>
        <v>-20000</v>
      </c>
      <c r="E25" s="5">
        <v>50</v>
      </c>
      <c r="F25" s="7">
        <f t="shared" si="1"/>
        <v>5</v>
      </c>
    </row>
    <row r="26" spans="1:6" ht="24.95" customHeight="1">
      <c r="A26" s="1" t="s">
        <v>105</v>
      </c>
      <c r="B26" s="2">
        <v>35000</v>
      </c>
      <c r="C26" s="2">
        <v>0</v>
      </c>
      <c r="D26" s="2">
        <f t="shared" si="0"/>
        <v>35000</v>
      </c>
      <c r="E26" s="5">
        <v>100</v>
      </c>
      <c r="F26" s="7">
        <f t="shared" si="1"/>
        <v>10</v>
      </c>
    </row>
    <row r="27" spans="1:6" ht="24.95" customHeight="1">
      <c r="A27" s="1" t="s">
        <v>106</v>
      </c>
      <c r="B27" s="2">
        <v>57000</v>
      </c>
      <c r="C27" s="2">
        <v>0</v>
      </c>
      <c r="D27" s="2">
        <f t="shared" si="0"/>
        <v>57000</v>
      </c>
      <c r="E27" s="5">
        <v>120</v>
      </c>
      <c r="F27" s="7">
        <f t="shared" si="1"/>
        <v>12</v>
      </c>
    </row>
    <row r="28" spans="1:6" ht="24.95" customHeight="1">
      <c r="A28" s="1" t="s">
        <v>107</v>
      </c>
      <c r="B28" s="2">
        <v>15000</v>
      </c>
      <c r="C28" s="2">
        <v>0</v>
      </c>
      <c r="D28" s="2">
        <f t="shared" si="0"/>
        <v>15000</v>
      </c>
      <c r="E28" s="5">
        <v>50</v>
      </c>
      <c r="F28" s="7">
        <f t="shared" si="1"/>
        <v>5</v>
      </c>
    </row>
    <row r="29" spans="1:6" ht="24.95" customHeight="1">
      <c r="A29" s="1" t="s">
        <v>108</v>
      </c>
      <c r="B29" s="2">
        <v>0</v>
      </c>
      <c r="C29" s="2">
        <v>0</v>
      </c>
      <c r="D29" s="2">
        <f t="shared" si="0"/>
        <v>0</v>
      </c>
      <c r="E29" s="5">
        <v>0</v>
      </c>
      <c r="F29" s="7">
        <f t="shared" si="1"/>
        <v>0</v>
      </c>
    </row>
    <row r="30" spans="1:6" ht="24.95" customHeight="1">
      <c r="A30" s="1" t="s">
        <v>109</v>
      </c>
      <c r="B30" s="2">
        <v>20000</v>
      </c>
      <c r="C30" s="2">
        <v>5000</v>
      </c>
      <c r="D30" s="2">
        <f t="shared" si="0"/>
        <v>15000</v>
      </c>
      <c r="E30" s="5">
        <v>90</v>
      </c>
      <c r="F30" s="7">
        <f t="shared" si="1"/>
        <v>9</v>
      </c>
    </row>
    <row r="31" spans="1:6" ht="24.95" customHeight="1">
      <c r="A31" s="1" t="s">
        <v>110</v>
      </c>
      <c r="B31" s="2">
        <v>15000</v>
      </c>
      <c r="C31" s="2">
        <v>0</v>
      </c>
      <c r="D31" s="2">
        <f t="shared" si="0"/>
        <v>15000</v>
      </c>
      <c r="E31" s="5">
        <v>50</v>
      </c>
      <c r="F31" s="7">
        <f t="shared" si="1"/>
        <v>5</v>
      </c>
    </row>
    <row r="32" spans="1:6" ht="24.95" customHeight="1">
      <c r="A32" s="1" t="s">
        <v>111</v>
      </c>
      <c r="B32" s="2">
        <v>15000</v>
      </c>
      <c r="C32" s="2">
        <v>0</v>
      </c>
      <c r="D32" s="2">
        <f t="shared" si="0"/>
        <v>15000</v>
      </c>
      <c r="E32" s="5">
        <v>50</v>
      </c>
      <c r="F32" s="7">
        <f t="shared" si="1"/>
        <v>5</v>
      </c>
    </row>
    <row r="33" spans="1:6" ht="24.95" customHeight="1">
      <c r="A33" s="3" t="s">
        <v>75</v>
      </c>
      <c r="B33" s="4">
        <f>SUM(B6:B32)</f>
        <v>427000</v>
      </c>
      <c r="C33" s="4">
        <f>SUM(C6:C32)</f>
        <v>35000</v>
      </c>
      <c r="D33" s="4">
        <f t="shared" si="0"/>
        <v>392000</v>
      </c>
      <c r="E33" s="6">
        <f>SUM(E6:E32)</f>
        <v>1380</v>
      </c>
      <c r="F33" s="8">
        <f t="shared" si="1"/>
        <v>138</v>
      </c>
    </row>
  </sheetData>
  <mergeCells count="3">
    <mergeCell ref="A2:F2"/>
    <mergeCell ref="A3:F3"/>
    <mergeCell ref="A4:F4"/>
  </mergeCells>
  <phoneticPr fontId="7"/>
  <conditionalFormatting sqref="D6:D32">
    <cfRule type="cellIs" dxfId="9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9735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112</v>
      </c>
      <c r="B2" s="15"/>
      <c r="C2" s="15"/>
      <c r="D2" s="15"/>
      <c r="E2" s="15"/>
      <c r="F2" s="15"/>
    </row>
    <row r="3" spans="1:6" ht="38.1" customHeight="1">
      <c r="A3" s="16" t="s">
        <v>77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17</v>
      </c>
      <c r="F5" s="10" t="s">
        <v>18</v>
      </c>
    </row>
    <row r="6" spans="1:6" ht="24.95" customHeight="1">
      <c r="A6" s="1" t="s">
        <v>85</v>
      </c>
      <c r="B6" s="2">
        <v>0</v>
      </c>
      <c r="C6" s="2">
        <v>0</v>
      </c>
      <c r="D6" s="2">
        <f t="shared" ref="D6:D33" si="0">B6-C6</f>
        <v>0</v>
      </c>
      <c r="E6" s="5">
        <v>0</v>
      </c>
      <c r="F6" s="7">
        <f t="shared" ref="F6:F33" si="1">E6/10</f>
        <v>0</v>
      </c>
    </row>
    <row r="7" spans="1:6" ht="24.95" customHeight="1">
      <c r="A7" s="1" t="s">
        <v>86</v>
      </c>
      <c r="B7" s="2">
        <v>5000</v>
      </c>
      <c r="C7" s="2">
        <v>0</v>
      </c>
      <c r="D7" s="2">
        <f t="shared" si="0"/>
        <v>5000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0</v>
      </c>
      <c r="C8" s="2">
        <v>0</v>
      </c>
      <c r="D8" s="2">
        <f t="shared" si="0"/>
        <v>0</v>
      </c>
      <c r="E8" s="5">
        <v>0</v>
      </c>
      <c r="F8" s="7">
        <f t="shared" si="1"/>
        <v>0</v>
      </c>
    </row>
    <row r="9" spans="1:6" ht="24.95" customHeight="1">
      <c r="A9" s="1" t="s">
        <v>88</v>
      </c>
      <c r="B9" s="2">
        <v>10000</v>
      </c>
      <c r="C9" s="2">
        <v>0</v>
      </c>
      <c r="D9" s="2">
        <f t="shared" si="0"/>
        <v>10000</v>
      </c>
      <c r="E9" s="5">
        <v>100</v>
      </c>
      <c r="F9" s="7">
        <f t="shared" si="1"/>
        <v>10</v>
      </c>
    </row>
    <row r="10" spans="1:6" ht="24.95" customHeight="1">
      <c r="A10" s="1" t="s">
        <v>89</v>
      </c>
      <c r="B10" s="2">
        <v>0</v>
      </c>
      <c r="C10" s="2">
        <v>0</v>
      </c>
      <c r="D10" s="2">
        <f t="shared" si="0"/>
        <v>0</v>
      </c>
      <c r="E10" s="5">
        <v>0</v>
      </c>
      <c r="F10" s="7">
        <f t="shared" si="1"/>
        <v>0</v>
      </c>
    </row>
    <row r="11" spans="1:6" ht="24.95" customHeight="1">
      <c r="A11" s="1" t="s">
        <v>90</v>
      </c>
      <c r="B11" s="2">
        <v>0</v>
      </c>
      <c r="C11" s="2">
        <v>0</v>
      </c>
      <c r="D11" s="2">
        <f t="shared" si="0"/>
        <v>0</v>
      </c>
      <c r="E11" s="5">
        <v>10</v>
      </c>
      <c r="F11" s="7">
        <f t="shared" si="1"/>
        <v>1</v>
      </c>
    </row>
    <row r="12" spans="1:6" ht="24.95" customHeight="1">
      <c r="A12" s="1" t="s">
        <v>91</v>
      </c>
      <c r="B12" s="2">
        <v>0</v>
      </c>
      <c r="C12" s="2">
        <v>0</v>
      </c>
      <c r="D12" s="2">
        <f t="shared" si="0"/>
        <v>0</v>
      </c>
      <c r="E12" s="5">
        <v>0</v>
      </c>
      <c r="F12" s="7">
        <f t="shared" si="1"/>
        <v>0</v>
      </c>
    </row>
    <row r="13" spans="1:6" ht="24.95" customHeight="1">
      <c r="A13" s="1" t="s">
        <v>92</v>
      </c>
      <c r="B13" s="2">
        <v>35000</v>
      </c>
      <c r="C13" s="2">
        <v>0</v>
      </c>
      <c r="D13" s="2">
        <f t="shared" si="0"/>
        <v>35000</v>
      </c>
      <c r="E13" s="5">
        <v>150</v>
      </c>
      <c r="F13" s="7">
        <f t="shared" si="1"/>
        <v>15</v>
      </c>
    </row>
    <row r="14" spans="1:6" ht="24.95" customHeight="1">
      <c r="A14" s="1" t="s">
        <v>93</v>
      </c>
      <c r="B14" s="2">
        <v>34000</v>
      </c>
      <c r="C14" s="2">
        <v>0</v>
      </c>
      <c r="D14" s="2">
        <f t="shared" si="0"/>
        <v>34000</v>
      </c>
      <c r="E14" s="5">
        <v>220</v>
      </c>
      <c r="F14" s="7">
        <f t="shared" si="1"/>
        <v>22</v>
      </c>
    </row>
    <row r="15" spans="1:6" ht="24.95" customHeight="1">
      <c r="A15" s="1" t="s">
        <v>94</v>
      </c>
      <c r="B15" s="2">
        <v>0</v>
      </c>
      <c r="C15" s="2">
        <v>0</v>
      </c>
      <c r="D15" s="2">
        <f t="shared" si="0"/>
        <v>0</v>
      </c>
      <c r="E15" s="5">
        <v>0</v>
      </c>
      <c r="F15" s="7">
        <f t="shared" si="1"/>
        <v>0</v>
      </c>
    </row>
    <row r="16" spans="1:6" ht="24.95" customHeight="1">
      <c r="A16" s="1" t="s">
        <v>95</v>
      </c>
      <c r="B16" s="2">
        <v>15000</v>
      </c>
      <c r="C16" s="2">
        <v>0</v>
      </c>
      <c r="D16" s="2">
        <f t="shared" si="0"/>
        <v>15000</v>
      </c>
      <c r="E16" s="5">
        <v>50</v>
      </c>
      <c r="F16" s="7">
        <f t="shared" si="1"/>
        <v>5</v>
      </c>
    </row>
    <row r="17" spans="1:6" ht="24.95" customHeight="1">
      <c r="A17" s="1" t="s">
        <v>96</v>
      </c>
      <c r="B17" s="2">
        <v>0</v>
      </c>
      <c r="C17" s="2">
        <v>0</v>
      </c>
      <c r="D17" s="2">
        <f t="shared" si="0"/>
        <v>0</v>
      </c>
      <c r="E17" s="5">
        <v>0</v>
      </c>
      <c r="F17" s="7">
        <f t="shared" si="1"/>
        <v>0</v>
      </c>
    </row>
    <row r="18" spans="1:6" ht="24.95" customHeight="1">
      <c r="A18" s="1" t="s">
        <v>97</v>
      </c>
      <c r="B18" s="2">
        <v>11000</v>
      </c>
      <c r="C18" s="2">
        <v>23000</v>
      </c>
      <c r="D18" s="2">
        <f t="shared" si="0"/>
        <v>-12000</v>
      </c>
      <c r="E18" s="5">
        <v>70</v>
      </c>
      <c r="F18" s="7">
        <f t="shared" si="1"/>
        <v>7</v>
      </c>
    </row>
    <row r="19" spans="1:6" ht="24.95" customHeight="1">
      <c r="A19" s="1" t="s">
        <v>98</v>
      </c>
      <c r="B19" s="2">
        <v>1000</v>
      </c>
      <c r="C19" s="2">
        <v>0</v>
      </c>
      <c r="D19" s="2">
        <f t="shared" si="0"/>
        <v>1000</v>
      </c>
      <c r="E19" s="5">
        <v>20</v>
      </c>
      <c r="F19" s="7">
        <f t="shared" si="1"/>
        <v>2</v>
      </c>
    </row>
    <row r="20" spans="1:6" ht="24.95" customHeight="1">
      <c r="A20" s="1" t="s">
        <v>99</v>
      </c>
      <c r="B20" s="2">
        <v>15000</v>
      </c>
      <c r="C20" s="2">
        <v>0</v>
      </c>
      <c r="D20" s="2">
        <f t="shared" si="0"/>
        <v>15000</v>
      </c>
      <c r="E20" s="5">
        <v>100</v>
      </c>
      <c r="F20" s="7">
        <f t="shared" si="1"/>
        <v>10</v>
      </c>
    </row>
    <row r="21" spans="1:6" ht="24.95" customHeight="1">
      <c r="A21" s="1" t="s">
        <v>100</v>
      </c>
      <c r="B21" s="2">
        <v>0</v>
      </c>
      <c r="C21" s="2">
        <v>0</v>
      </c>
      <c r="D21" s="2">
        <f t="shared" si="0"/>
        <v>0</v>
      </c>
      <c r="E21" s="5">
        <v>0</v>
      </c>
      <c r="F21" s="7">
        <f t="shared" si="1"/>
        <v>0</v>
      </c>
    </row>
    <row r="22" spans="1:6" ht="24.95" customHeight="1">
      <c r="A22" s="1" t="s">
        <v>101</v>
      </c>
      <c r="B22" s="2">
        <v>10000</v>
      </c>
      <c r="C22" s="2">
        <v>0</v>
      </c>
      <c r="D22" s="2">
        <f t="shared" si="0"/>
        <v>10000</v>
      </c>
      <c r="E22" s="5">
        <v>50</v>
      </c>
      <c r="F22" s="7">
        <f t="shared" si="1"/>
        <v>5</v>
      </c>
    </row>
    <row r="23" spans="1:6" ht="24.95" customHeight="1">
      <c r="A23" s="1" t="s">
        <v>102</v>
      </c>
      <c r="B23" s="2">
        <v>5000</v>
      </c>
      <c r="C23" s="2">
        <v>0</v>
      </c>
      <c r="D23" s="2">
        <f t="shared" si="0"/>
        <v>5000</v>
      </c>
      <c r="E23" s="5">
        <v>50</v>
      </c>
      <c r="F23" s="7">
        <f t="shared" si="1"/>
        <v>5</v>
      </c>
    </row>
    <row r="24" spans="1:6" ht="24.95" customHeight="1">
      <c r="A24" s="1" t="s">
        <v>103</v>
      </c>
      <c r="B24" s="2">
        <v>0</v>
      </c>
      <c r="C24" s="2">
        <v>0</v>
      </c>
      <c r="D24" s="2">
        <f t="shared" si="0"/>
        <v>0</v>
      </c>
      <c r="E24" s="5">
        <v>0</v>
      </c>
      <c r="F24" s="7">
        <f t="shared" si="1"/>
        <v>0</v>
      </c>
    </row>
    <row r="25" spans="1:6" ht="24.95" customHeight="1">
      <c r="A25" s="1" t="s">
        <v>104</v>
      </c>
      <c r="B25" s="2">
        <v>5000</v>
      </c>
      <c r="C25" s="2">
        <v>0</v>
      </c>
      <c r="D25" s="2">
        <f t="shared" si="0"/>
        <v>5000</v>
      </c>
      <c r="E25" s="5">
        <v>50</v>
      </c>
      <c r="F25" s="7">
        <f t="shared" si="1"/>
        <v>5</v>
      </c>
    </row>
    <row r="26" spans="1:6" ht="24.95" customHeight="1">
      <c r="A26" s="1" t="s">
        <v>105</v>
      </c>
      <c r="B26" s="2">
        <v>15000</v>
      </c>
      <c r="C26" s="2">
        <v>0</v>
      </c>
      <c r="D26" s="2">
        <f t="shared" si="0"/>
        <v>15000</v>
      </c>
      <c r="E26" s="5">
        <v>100</v>
      </c>
      <c r="F26" s="7">
        <f t="shared" si="1"/>
        <v>10</v>
      </c>
    </row>
    <row r="27" spans="1:6" ht="24.95" customHeight="1">
      <c r="A27" s="1" t="s">
        <v>106</v>
      </c>
      <c r="B27" s="2">
        <v>17000</v>
      </c>
      <c r="C27" s="2">
        <v>0</v>
      </c>
      <c r="D27" s="2">
        <f t="shared" si="0"/>
        <v>17000</v>
      </c>
      <c r="E27" s="5">
        <v>120</v>
      </c>
      <c r="F27" s="7">
        <f t="shared" si="1"/>
        <v>12</v>
      </c>
    </row>
    <row r="28" spans="1:6" ht="24.95" customHeight="1">
      <c r="A28" s="1" t="s">
        <v>107</v>
      </c>
      <c r="B28" s="2">
        <v>5000</v>
      </c>
      <c r="C28" s="2">
        <v>0</v>
      </c>
      <c r="D28" s="2">
        <f t="shared" si="0"/>
        <v>5000</v>
      </c>
      <c r="E28" s="5">
        <v>50</v>
      </c>
      <c r="F28" s="7">
        <f t="shared" si="1"/>
        <v>5</v>
      </c>
    </row>
    <row r="29" spans="1:6" ht="24.95" customHeight="1">
      <c r="A29" s="1" t="s">
        <v>108</v>
      </c>
      <c r="B29" s="2">
        <v>0</v>
      </c>
      <c r="C29" s="2">
        <v>0</v>
      </c>
      <c r="D29" s="2">
        <f t="shared" si="0"/>
        <v>0</v>
      </c>
      <c r="E29" s="5">
        <v>0</v>
      </c>
      <c r="F29" s="7">
        <f t="shared" si="1"/>
        <v>0</v>
      </c>
    </row>
    <row r="30" spans="1:6" ht="24.95" customHeight="1">
      <c r="A30" s="1" t="s">
        <v>109</v>
      </c>
      <c r="B30" s="2">
        <v>12000</v>
      </c>
      <c r="C30" s="2">
        <v>24000</v>
      </c>
      <c r="D30" s="2">
        <f t="shared" si="0"/>
        <v>-12000</v>
      </c>
      <c r="E30" s="5">
        <v>90</v>
      </c>
      <c r="F30" s="7">
        <f t="shared" si="1"/>
        <v>9</v>
      </c>
    </row>
    <row r="31" spans="1:6" ht="24.95" customHeight="1">
      <c r="A31" s="1" t="s">
        <v>110</v>
      </c>
      <c r="B31" s="2">
        <v>5000</v>
      </c>
      <c r="C31" s="2">
        <v>0</v>
      </c>
      <c r="D31" s="2">
        <f t="shared" si="0"/>
        <v>5000</v>
      </c>
      <c r="E31" s="5">
        <v>50</v>
      </c>
      <c r="F31" s="7">
        <f t="shared" si="1"/>
        <v>5</v>
      </c>
    </row>
    <row r="32" spans="1:6" ht="24.95" customHeight="1">
      <c r="A32" s="1" t="s">
        <v>111</v>
      </c>
      <c r="B32" s="2">
        <v>0</v>
      </c>
      <c r="C32" s="2">
        <v>120000</v>
      </c>
      <c r="D32" s="2">
        <f t="shared" si="0"/>
        <v>-120000</v>
      </c>
      <c r="E32" s="5">
        <v>50</v>
      </c>
      <c r="F32" s="7">
        <f t="shared" si="1"/>
        <v>5</v>
      </c>
    </row>
    <row r="33" spans="1:6" ht="24.95" customHeight="1">
      <c r="A33" s="3" t="s">
        <v>75</v>
      </c>
      <c r="B33" s="4">
        <f>SUM(B6:B32)</f>
        <v>200000</v>
      </c>
      <c r="C33" s="4">
        <f>SUM(C6:C32)</f>
        <v>167000</v>
      </c>
      <c r="D33" s="4">
        <f t="shared" si="0"/>
        <v>33000</v>
      </c>
      <c r="E33" s="6">
        <f>SUM(E6:E32)</f>
        <v>1380</v>
      </c>
      <c r="F33" s="8">
        <f t="shared" si="1"/>
        <v>138</v>
      </c>
    </row>
  </sheetData>
  <mergeCells count="3">
    <mergeCell ref="A2:F2"/>
    <mergeCell ref="A3:F3"/>
    <mergeCell ref="A4:F4"/>
  </mergeCells>
  <phoneticPr fontId="7"/>
  <conditionalFormatting sqref="D6:D32">
    <cfRule type="cellIs" dxfId="8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9735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113</v>
      </c>
      <c r="B2" s="15"/>
      <c r="C2" s="15"/>
      <c r="D2" s="15"/>
      <c r="E2" s="15"/>
      <c r="F2" s="15"/>
    </row>
    <row r="3" spans="1:6" ht="38.1" customHeight="1">
      <c r="A3" s="16" t="s">
        <v>79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17</v>
      </c>
      <c r="F5" s="10" t="s">
        <v>18</v>
      </c>
    </row>
    <row r="6" spans="1:6" ht="24.95" customHeight="1">
      <c r="A6" s="1" t="s">
        <v>85</v>
      </c>
      <c r="B6" s="2">
        <v>0</v>
      </c>
      <c r="C6" s="2">
        <v>0</v>
      </c>
      <c r="D6" s="2">
        <f t="shared" ref="D6:D33" si="0">B6-C6</f>
        <v>0</v>
      </c>
      <c r="E6" s="5">
        <v>0</v>
      </c>
      <c r="F6" s="7">
        <f t="shared" ref="F6:F33" si="1">E6/10</f>
        <v>0</v>
      </c>
    </row>
    <row r="7" spans="1:6" ht="24.95" customHeight="1">
      <c r="A7" s="1" t="s">
        <v>86</v>
      </c>
      <c r="B7" s="2">
        <v>5000</v>
      </c>
      <c r="C7" s="2">
        <v>0</v>
      </c>
      <c r="D7" s="2">
        <f t="shared" si="0"/>
        <v>5000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0</v>
      </c>
      <c r="C8" s="2">
        <v>0</v>
      </c>
      <c r="D8" s="2">
        <f t="shared" si="0"/>
        <v>0</v>
      </c>
      <c r="E8" s="5">
        <v>0</v>
      </c>
      <c r="F8" s="7">
        <f t="shared" si="1"/>
        <v>0</v>
      </c>
    </row>
    <row r="9" spans="1:6" ht="24.95" customHeight="1">
      <c r="A9" s="1" t="s">
        <v>88</v>
      </c>
      <c r="B9" s="2">
        <v>10000</v>
      </c>
      <c r="C9" s="2">
        <v>0</v>
      </c>
      <c r="D9" s="2">
        <f t="shared" si="0"/>
        <v>10000</v>
      </c>
      <c r="E9" s="5">
        <v>100</v>
      </c>
      <c r="F9" s="7">
        <f t="shared" si="1"/>
        <v>10</v>
      </c>
    </row>
    <row r="10" spans="1:6" ht="24.95" customHeight="1">
      <c r="A10" s="1" t="s">
        <v>89</v>
      </c>
      <c r="B10" s="2">
        <v>0</v>
      </c>
      <c r="C10" s="2">
        <v>0</v>
      </c>
      <c r="D10" s="2">
        <f t="shared" si="0"/>
        <v>0</v>
      </c>
      <c r="E10" s="5">
        <v>0</v>
      </c>
      <c r="F10" s="7">
        <f t="shared" si="1"/>
        <v>0</v>
      </c>
    </row>
    <row r="11" spans="1:6" ht="24.95" customHeight="1">
      <c r="A11" s="1" t="s">
        <v>90</v>
      </c>
      <c r="B11" s="2">
        <v>0</v>
      </c>
      <c r="C11" s="2">
        <v>0</v>
      </c>
      <c r="D11" s="2">
        <f t="shared" si="0"/>
        <v>0</v>
      </c>
      <c r="E11" s="5">
        <v>10</v>
      </c>
      <c r="F11" s="7">
        <f t="shared" si="1"/>
        <v>1</v>
      </c>
    </row>
    <row r="12" spans="1:6" ht="24.95" customHeight="1">
      <c r="A12" s="1" t="s">
        <v>91</v>
      </c>
      <c r="B12" s="2">
        <v>0</v>
      </c>
      <c r="C12" s="2">
        <v>0</v>
      </c>
      <c r="D12" s="2">
        <f t="shared" si="0"/>
        <v>0</v>
      </c>
      <c r="E12" s="5">
        <v>0</v>
      </c>
      <c r="F12" s="7">
        <f t="shared" si="1"/>
        <v>0</v>
      </c>
    </row>
    <row r="13" spans="1:6" ht="24.95" customHeight="1">
      <c r="A13" s="1" t="s">
        <v>92</v>
      </c>
      <c r="B13" s="2">
        <v>35000</v>
      </c>
      <c r="C13" s="2">
        <v>0</v>
      </c>
      <c r="D13" s="2">
        <f t="shared" si="0"/>
        <v>35000</v>
      </c>
      <c r="E13" s="5">
        <v>150</v>
      </c>
      <c r="F13" s="7">
        <f t="shared" si="1"/>
        <v>15</v>
      </c>
    </row>
    <row r="14" spans="1:6" ht="24.95" customHeight="1">
      <c r="A14" s="1" t="s">
        <v>93</v>
      </c>
      <c r="B14" s="2">
        <v>34000</v>
      </c>
      <c r="C14" s="2">
        <v>0</v>
      </c>
      <c r="D14" s="2">
        <f t="shared" si="0"/>
        <v>34000</v>
      </c>
      <c r="E14" s="5">
        <v>220</v>
      </c>
      <c r="F14" s="7">
        <f t="shared" si="1"/>
        <v>22</v>
      </c>
    </row>
    <row r="15" spans="1:6" ht="24.95" customHeight="1">
      <c r="A15" s="1" t="s">
        <v>94</v>
      </c>
      <c r="B15" s="2">
        <v>0</v>
      </c>
      <c r="C15" s="2">
        <v>0</v>
      </c>
      <c r="D15" s="2">
        <f t="shared" si="0"/>
        <v>0</v>
      </c>
      <c r="E15" s="5">
        <v>0</v>
      </c>
      <c r="F15" s="7">
        <f t="shared" si="1"/>
        <v>0</v>
      </c>
    </row>
    <row r="16" spans="1:6" ht="24.95" customHeight="1">
      <c r="A16" s="1" t="s">
        <v>95</v>
      </c>
      <c r="B16" s="2">
        <v>15000</v>
      </c>
      <c r="C16" s="2">
        <v>0</v>
      </c>
      <c r="D16" s="2">
        <f t="shared" si="0"/>
        <v>15000</v>
      </c>
      <c r="E16" s="5">
        <v>50</v>
      </c>
      <c r="F16" s="7">
        <f t="shared" si="1"/>
        <v>5</v>
      </c>
    </row>
    <row r="17" spans="1:6" ht="24.95" customHeight="1">
      <c r="A17" s="1" t="s">
        <v>96</v>
      </c>
      <c r="B17" s="2">
        <v>0</v>
      </c>
      <c r="C17" s="2">
        <v>0</v>
      </c>
      <c r="D17" s="2">
        <f t="shared" si="0"/>
        <v>0</v>
      </c>
      <c r="E17" s="5">
        <v>0</v>
      </c>
      <c r="F17" s="7">
        <f t="shared" si="1"/>
        <v>0</v>
      </c>
    </row>
    <row r="18" spans="1:6" ht="24.95" customHeight="1">
      <c r="A18" s="1" t="s">
        <v>97</v>
      </c>
      <c r="B18" s="2">
        <v>11000</v>
      </c>
      <c r="C18" s="2">
        <v>23000</v>
      </c>
      <c r="D18" s="2">
        <f t="shared" si="0"/>
        <v>-12000</v>
      </c>
      <c r="E18" s="5">
        <v>70</v>
      </c>
      <c r="F18" s="7">
        <f t="shared" si="1"/>
        <v>7</v>
      </c>
    </row>
    <row r="19" spans="1:6" ht="24.95" customHeight="1">
      <c r="A19" s="1" t="s">
        <v>98</v>
      </c>
      <c r="B19" s="2">
        <v>1000</v>
      </c>
      <c r="C19" s="2">
        <v>0</v>
      </c>
      <c r="D19" s="2">
        <f t="shared" si="0"/>
        <v>1000</v>
      </c>
      <c r="E19" s="5">
        <v>20</v>
      </c>
      <c r="F19" s="7">
        <f t="shared" si="1"/>
        <v>2</v>
      </c>
    </row>
    <row r="20" spans="1:6" ht="24.95" customHeight="1">
      <c r="A20" s="1" t="s">
        <v>99</v>
      </c>
      <c r="B20" s="2">
        <v>15000</v>
      </c>
      <c r="C20" s="2">
        <v>0</v>
      </c>
      <c r="D20" s="2">
        <f t="shared" si="0"/>
        <v>15000</v>
      </c>
      <c r="E20" s="5">
        <v>100</v>
      </c>
      <c r="F20" s="7">
        <f t="shared" si="1"/>
        <v>10</v>
      </c>
    </row>
    <row r="21" spans="1:6" ht="24.95" customHeight="1">
      <c r="A21" s="1" t="s">
        <v>100</v>
      </c>
      <c r="B21" s="2">
        <v>0</v>
      </c>
      <c r="C21" s="2">
        <v>0</v>
      </c>
      <c r="D21" s="2">
        <f t="shared" si="0"/>
        <v>0</v>
      </c>
      <c r="E21" s="5">
        <v>0</v>
      </c>
      <c r="F21" s="7">
        <f t="shared" si="1"/>
        <v>0</v>
      </c>
    </row>
    <row r="22" spans="1:6" ht="24.95" customHeight="1">
      <c r="A22" s="1" t="s">
        <v>101</v>
      </c>
      <c r="B22" s="2">
        <v>10000</v>
      </c>
      <c r="C22" s="2">
        <v>0</v>
      </c>
      <c r="D22" s="2">
        <f t="shared" si="0"/>
        <v>10000</v>
      </c>
      <c r="E22" s="5">
        <v>50</v>
      </c>
      <c r="F22" s="7">
        <f t="shared" si="1"/>
        <v>5</v>
      </c>
    </row>
    <row r="23" spans="1:6" ht="24.95" customHeight="1">
      <c r="A23" s="1" t="s">
        <v>102</v>
      </c>
      <c r="B23" s="2">
        <v>5000</v>
      </c>
      <c r="C23" s="2">
        <v>0</v>
      </c>
      <c r="D23" s="2">
        <f t="shared" si="0"/>
        <v>5000</v>
      </c>
      <c r="E23" s="5">
        <v>50</v>
      </c>
      <c r="F23" s="7">
        <f t="shared" si="1"/>
        <v>5</v>
      </c>
    </row>
    <row r="24" spans="1:6" ht="24.95" customHeight="1">
      <c r="A24" s="1" t="s">
        <v>103</v>
      </c>
      <c r="B24" s="2">
        <v>0</v>
      </c>
      <c r="C24" s="2">
        <v>0</v>
      </c>
      <c r="D24" s="2">
        <f t="shared" si="0"/>
        <v>0</v>
      </c>
      <c r="E24" s="5">
        <v>0</v>
      </c>
      <c r="F24" s="7">
        <f t="shared" si="1"/>
        <v>0</v>
      </c>
    </row>
    <row r="25" spans="1:6" ht="24.95" customHeight="1">
      <c r="A25" s="1" t="s">
        <v>104</v>
      </c>
      <c r="B25" s="2">
        <v>5000</v>
      </c>
      <c r="C25" s="2">
        <v>0</v>
      </c>
      <c r="D25" s="2">
        <f t="shared" si="0"/>
        <v>5000</v>
      </c>
      <c r="E25" s="5">
        <v>50</v>
      </c>
      <c r="F25" s="7">
        <f t="shared" si="1"/>
        <v>5</v>
      </c>
    </row>
    <row r="26" spans="1:6" ht="24.95" customHeight="1">
      <c r="A26" s="1" t="s">
        <v>105</v>
      </c>
      <c r="B26" s="2">
        <v>15000</v>
      </c>
      <c r="C26" s="2">
        <v>0</v>
      </c>
      <c r="D26" s="2">
        <f t="shared" si="0"/>
        <v>15000</v>
      </c>
      <c r="E26" s="5">
        <v>100</v>
      </c>
      <c r="F26" s="7">
        <f t="shared" si="1"/>
        <v>10</v>
      </c>
    </row>
    <row r="27" spans="1:6" ht="24.95" customHeight="1">
      <c r="A27" s="1" t="s">
        <v>106</v>
      </c>
      <c r="B27" s="2">
        <v>17000</v>
      </c>
      <c r="C27" s="2">
        <v>0</v>
      </c>
      <c r="D27" s="2">
        <f t="shared" si="0"/>
        <v>17000</v>
      </c>
      <c r="E27" s="5">
        <v>120</v>
      </c>
      <c r="F27" s="7">
        <f t="shared" si="1"/>
        <v>12</v>
      </c>
    </row>
    <row r="28" spans="1:6" ht="24.95" customHeight="1">
      <c r="A28" s="1" t="s">
        <v>107</v>
      </c>
      <c r="B28" s="2">
        <v>5000</v>
      </c>
      <c r="C28" s="2">
        <v>0</v>
      </c>
      <c r="D28" s="2">
        <f t="shared" si="0"/>
        <v>5000</v>
      </c>
      <c r="E28" s="5">
        <v>50</v>
      </c>
      <c r="F28" s="7">
        <f t="shared" si="1"/>
        <v>5</v>
      </c>
    </row>
    <row r="29" spans="1:6" ht="24.95" customHeight="1">
      <c r="A29" s="1" t="s">
        <v>108</v>
      </c>
      <c r="B29" s="2">
        <v>0</v>
      </c>
      <c r="C29" s="2">
        <v>0</v>
      </c>
      <c r="D29" s="2">
        <f t="shared" si="0"/>
        <v>0</v>
      </c>
      <c r="E29" s="5">
        <v>0</v>
      </c>
      <c r="F29" s="7">
        <f t="shared" si="1"/>
        <v>0</v>
      </c>
    </row>
    <row r="30" spans="1:6" ht="24.95" customHeight="1">
      <c r="A30" s="1" t="s">
        <v>109</v>
      </c>
      <c r="B30" s="2">
        <v>12000</v>
      </c>
      <c r="C30" s="2">
        <v>24000</v>
      </c>
      <c r="D30" s="2">
        <f t="shared" si="0"/>
        <v>-12000</v>
      </c>
      <c r="E30" s="5">
        <v>90</v>
      </c>
      <c r="F30" s="7">
        <f t="shared" si="1"/>
        <v>9</v>
      </c>
    </row>
    <row r="31" spans="1:6" ht="24.95" customHeight="1">
      <c r="A31" s="1" t="s">
        <v>110</v>
      </c>
      <c r="B31" s="2">
        <v>5000</v>
      </c>
      <c r="C31" s="2">
        <v>0</v>
      </c>
      <c r="D31" s="2">
        <f t="shared" si="0"/>
        <v>5000</v>
      </c>
      <c r="E31" s="5">
        <v>50</v>
      </c>
      <c r="F31" s="7">
        <f t="shared" si="1"/>
        <v>5</v>
      </c>
    </row>
    <row r="32" spans="1:6" ht="24.95" customHeight="1">
      <c r="A32" s="1" t="s">
        <v>111</v>
      </c>
      <c r="B32" s="2">
        <v>0</v>
      </c>
      <c r="C32" s="2">
        <v>120000</v>
      </c>
      <c r="D32" s="2">
        <f t="shared" si="0"/>
        <v>-120000</v>
      </c>
      <c r="E32" s="5">
        <v>50</v>
      </c>
      <c r="F32" s="7">
        <f t="shared" si="1"/>
        <v>5</v>
      </c>
    </row>
    <row r="33" spans="1:6" ht="24.95" customHeight="1">
      <c r="A33" s="3" t="s">
        <v>75</v>
      </c>
      <c r="B33" s="4">
        <f>SUM(B6:B32)</f>
        <v>200000</v>
      </c>
      <c r="C33" s="4">
        <f>SUM(C6:C32)</f>
        <v>167000</v>
      </c>
      <c r="D33" s="4">
        <f t="shared" si="0"/>
        <v>33000</v>
      </c>
      <c r="E33" s="6">
        <f>SUM(E6:E32)</f>
        <v>1380</v>
      </c>
      <c r="F33" s="8">
        <f t="shared" si="1"/>
        <v>138</v>
      </c>
    </row>
  </sheetData>
  <mergeCells count="3">
    <mergeCell ref="A2:F2"/>
    <mergeCell ref="A3:F3"/>
    <mergeCell ref="A4:F4"/>
  </mergeCells>
  <phoneticPr fontId="7"/>
  <conditionalFormatting sqref="D6:D32">
    <cfRule type="cellIs" dxfId="7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9735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114</v>
      </c>
      <c r="B2" s="15"/>
      <c r="C2" s="15"/>
      <c r="D2" s="15"/>
      <c r="E2" s="15"/>
      <c r="F2" s="15"/>
    </row>
    <row r="3" spans="1:6" ht="38.1" customHeight="1">
      <c r="A3" s="16" t="s">
        <v>81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17</v>
      </c>
      <c r="F5" s="10" t="s">
        <v>18</v>
      </c>
    </row>
    <row r="6" spans="1:6" ht="24.95" customHeight="1">
      <c r="A6" s="1" t="s">
        <v>85</v>
      </c>
      <c r="B6" s="2">
        <v>0</v>
      </c>
      <c r="C6" s="2">
        <v>0</v>
      </c>
      <c r="D6" s="2">
        <f t="shared" ref="D6:D33" si="0">B6-C6</f>
        <v>0</v>
      </c>
      <c r="E6" s="5">
        <v>0</v>
      </c>
      <c r="F6" s="7">
        <f t="shared" ref="F6:F33" si="1">E6/10</f>
        <v>0</v>
      </c>
    </row>
    <row r="7" spans="1:6" ht="24.95" customHeight="1">
      <c r="A7" s="1" t="s">
        <v>86</v>
      </c>
      <c r="B7" s="2">
        <v>9000</v>
      </c>
      <c r="C7" s="2">
        <v>0</v>
      </c>
      <c r="D7" s="2">
        <f t="shared" si="0"/>
        <v>9000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0</v>
      </c>
      <c r="C8" s="2">
        <v>0</v>
      </c>
      <c r="D8" s="2">
        <f t="shared" si="0"/>
        <v>0</v>
      </c>
      <c r="E8" s="5">
        <v>0</v>
      </c>
      <c r="F8" s="7">
        <f t="shared" si="1"/>
        <v>0</v>
      </c>
    </row>
    <row r="9" spans="1:6" ht="24.95" customHeight="1">
      <c r="A9" s="1" t="s">
        <v>88</v>
      </c>
      <c r="B9" s="2">
        <v>14000</v>
      </c>
      <c r="C9" s="2">
        <v>0</v>
      </c>
      <c r="D9" s="2">
        <f t="shared" si="0"/>
        <v>14000</v>
      </c>
      <c r="E9" s="5">
        <v>100</v>
      </c>
      <c r="F9" s="7">
        <f t="shared" si="1"/>
        <v>10</v>
      </c>
    </row>
    <row r="10" spans="1:6" ht="24.95" customHeight="1">
      <c r="A10" s="1" t="s">
        <v>89</v>
      </c>
      <c r="B10" s="2">
        <v>0</v>
      </c>
      <c r="C10" s="2">
        <v>0</v>
      </c>
      <c r="D10" s="2">
        <f t="shared" si="0"/>
        <v>0</v>
      </c>
      <c r="E10" s="5">
        <v>0</v>
      </c>
      <c r="F10" s="7">
        <f t="shared" si="1"/>
        <v>0</v>
      </c>
    </row>
    <row r="11" spans="1:6" ht="24.95" customHeight="1">
      <c r="A11" s="1" t="s">
        <v>90</v>
      </c>
      <c r="B11" s="2">
        <v>0</v>
      </c>
      <c r="C11" s="2">
        <v>0</v>
      </c>
      <c r="D11" s="2">
        <f t="shared" si="0"/>
        <v>0</v>
      </c>
      <c r="E11" s="5">
        <v>10</v>
      </c>
      <c r="F11" s="7">
        <f t="shared" si="1"/>
        <v>1</v>
      </c>
    </row>
    <row r="12" spans="1:6" ht="24.95" customHeight="1">
      <c r="A12" s="1" t="s">
        <v>91</v>
      </c>
      <c r="B12" s="2">
        <v>0</v>
      </c>
      <c r="C12" s="2">
        <v>0</v>
      </c>
      <c r="D12" s="2">
        <f t="shared" si="0"/>
        <v>0</v>
      </c>
      <c r="E12" s="5">
        <v>0</v>
      </c>
      <c r="F12" s="7">
        <f t="shared" si="1"/>
        <v>0</v>
      </c>
    </row>
    <row r="13" spans="1:6" ht="24.95" customHeight="1">
      <c r="A13" s="1" t="s">
        <v>92</v>
      </c>
      <c r="B13" s="2">
        <v>23000</v>
      </c>
      <c r="C13" s="2">
        <v>0</v>
      </c>
      <c r="D13" s="2">
        <f t="shared" si="0"/>
        <v>23000</v>
      </c>
      <c r="E13" s="5">
        <v>150</v>
      </c>
      <c r="F13" s="7">
        <f t="shared" si="1"/>
        <v>15</v>
      </c>
    </row>
    <row r="14" spans="1:6" ht="24.95" customHeight="1">
      <c r="A14" s="1" t="s">
        <v>93</v>
      </c>
      <c r="B14" s="2">
        <v>37200</v>
      </c>
      <c r="C14" s="2">
        <v>0</v>
      </c>
      <c r="D14" s="2">
        <f t="shared" si="0"/>
        <v>37200</v>
      </c>
      <c r="E14" s="5">
        <v>220</v>
      </c>
      <c r="F14" s="7">
        <f t="shared" si="1"/>
        <v>22</v>
      </c>
    </row>
    <row r="15" spans="1:6" ht="24.95" customHeight="1">
      <c r="A15" s="1" t="s">
        <v>94</v>
      </c>
      <c r="B15" s="2">
        <v>0</v>
      </c>
      <c r="C15" s="2">
        <v>0</v>
      </c>
      <c r="D15" s="2">
        <f t="shared" si="0"/>
        <v>0</v>
      </c>
      <c r="E15" s="5">
        <v>0</v>
      </c>
      <c r="F15" s="7">
        <f t="shared" si="1"/>
        <v>0</v>
      </c>
    </row>
    <row r="16" spans="1:6" ht="24.95" customHeight="1">
      <c r="A16" s="1" t="s">
        <v>95</v>
      </c>
      <c r="B16" s="2">
        <v>11000</v>
      </c>
      <c r="C16" s="2">
        <v>0</v>
      </c>
      <c r="D16" s="2">
        <f t="shared" si="0"/>
        <v>11000</v>
      </c>
      <c r="E16" s="5">
        <v>50</v>
      </c>
      <c r="F16" s="7">
        <f t="shared" si="1"/>
        <v>5</v>
      </c>
    </row>
    <row r="17" spans="1:6" ht="24.95" customHeight="1">
      <c r="A17" s="1" t="s">
        <v>96</v>
      </c>
      <c r="B17" s="2">
        <v>0</v>
      </c>
      <c r="C17" s="2">
        <v>0</v>
      </c>
      <c r="D17" s="2">
        <f t="shared" si="0"/>
        <v>0</v>
      </c>
      <c r="E17" s="5">
        <v>0</v>
      </c>
      <c r="F17" s="7">
        <f t="shared" si="1"/>
        <v>0</v>
      </c>
    </row>
    <row r="18" spans="1:6" ht="24.95" customHeight="1">
      <c r="A18" s="1" t="s">
        <v>97</v>
      </c>
      <c r="B18" s="2">
        <v>11800</v>
      </c>
      <c r="C18" s="2">
        <v>23000</v>
      </c>
      <c r="D18" s="2">
        <f t="shared" si="0"/>
        <v>-11200</v>
      </c>
      <c r="E18" s="5">
        <v>70</v>
      </c>
      <c r="F18" s="7">
        <f t="shared" si="1"/>
        <v>7</v>
      </c>
    </row>
    <row r="19" spans="1:6" ht="24.95" customHeight="1">
      <c r="A19" s="1" t="s">
        <v>98</v>
      </c>
      <c r="B19" s="2">
        <v>1800</v>
      </c>
      <c r="C19" s="2">
        <v>0</v>
      </c>
      <c r="D19" s="2">
        <f t="shared" si="0"/>
        <v>1800</v>
      </c>
      <c r="E19" s="5">
        <v>20</v>
      </c>
      <c r="F19" s="7">
        <f t="shared" si="1"/>
        <v>2</v>
      </c>
    </row>
    <row r="20" spans="1:6" ht="24.95" customHeight="1">
      <c r="A20" s="1" t="s">
        <v>99</v>
      </c>
      <c r="B20" s="2">
        <v>19000</v>
      </c>
      <c r="C20" s="2">
        <v>0</v>
      </c>
      <c r="D20" s="2">
        <f t="shared" si="0"/>
        <v>19000</v>
      </c>
      <c r="E20" s="5">
        <v>100</v>
      </c>
      <c r="F20" s="7">
        <f t="shared" si="1"/>
        <v>10</v>
      </c>
    </row>
    <row r="21" spans="1:6" ht="24.95" customHeight="1">
      <c r="A21" s="1" t="s">
        <v>100</v>
      </c>
      <c r="B21" s="2">
        <v>0</v>
      </c>
      <c r="C21" s="2">
        <v>0</v>
      </c>
      <c r="D21" s="2">
        <f t="shared" si="0"/>
        <v>0</v>
      </c>
      <c r="E21" s="5">
        <v>0</v>
      </c>
      <c r="F21" s="7">
        <f t="shared" si="1"/>
        <v>0</v>
      </c>
    </row>
    <row r="22" spans="1:6" ht="24.95" customHeight="1">
      <c r="A22" s="1" t="s">
        <v>101</v>
      </c>
      <c r="B22" s="2">
        <v>10000</v>
      </c>
      <c r="C22" s="2">
        <v>0</v>
      </c>
      <c r="D22" s="2">
        <f t="shared" si="0"/>
        <v>10000</v>
      </c>
      <c r="E22" s="5">
        <v>50</v>
      </c>
      <c r="F22" s="7">
        <f t="shared" si="1"/>
        <v>5</v>
      </c>
    </row>
    <row r="23" spans="1:6" ht="24.95" customHeight="1">
      <c r="A23" s="1" t="s">
        <v>102</v>
      </c>
      <c r="B23" s="2">
        <v>9000</v>
      </c>
      <c r="C23" s="2">
        <v>0</v>
      </c>
      <c r="D23" s="2">
        <f t="shared" si="0"/>
        <v>9000</v>
      </c>
      <c r="E23" s="5">
        <v>50</v>
      </c>
      <c r="F23" s="7">
        <f t="shared" si="1"/>
        <v>5</v>
      </c>
    </row>
    <row r="24" spans="1:6" ht="24.95" customHeight="1">
      <c r="A24" s="1" t="s">
        <v>103</v>
      </c>
      <c r="B24" s="2">
        <v>0</v>
      </c>
      <c r="C24" s="2">
        <v>0</v>
      </c>
      <c r="D24" s="2">
        <f t="shared" si="0"/>
        <v>0</v>
      </c>
      <c r="E24" s="5">
        <v>0</v>
      </c>
      <c r="F24" s="7">
        <f t="shared" si="1"/>
        <v>0</v>
      </c>
    </row>
    <row r="25" spans="1:6" ht="24.95" customHeight="1">
      <c r="A25" s="1" t="s">
        <v>104</v>
      </c>
      <c r="B25" s="2">
        <v>9000</v>
      </c>
      <c r="C25" s="2">
        <v>0</v>
      </c>
      <c r="D25" s="2">
        <f t="shared" si="0"/>
        <v>9000</v>
      </c>
      <c r="E25" s="5">
        <v>50</v>
      </c>
      <c r="F25" s="7">
        <f t="shared" si="1"/>
        <v>5</v>
      </c>
    </row>
    <row r="26" spans="1:6" ht="24.95" customHeight="1">
      <c r="A26" s="1" t="s">
        <v>105</v>
      </c>
      <c r="B26" s="2">
        <v>15000</v>
      </c>
      <c r="C26" s="2">
        <v>0</v>
      </c>
      <c r="D26" s="2">
        <f t="shared" si="0"/>
        <v>15000</v>
      </c>
      <c r="E26" s="5">
        <v>100</v>
      </c>
      <c r="F26" s="7">
        <f t="shared" si="1"/>
        <v>10</v>
      </c>
    </row>
    <row r="27" spans="1:6" ht="24.95" customHeight="1">
      <c r="A27" s="1" t="s">
        <v>106</v>
      </c>
      <c r="B27" s="2">
        <v>22600</v>
      </c>
      <c r="C27" s="2">
        <v>0</v>
      </c>
      <c r="D27" s="2">
        <f t="shared" si="0"/>
        <v>22600</v>
      </c>
      <c r="E27" s="5">
        <v>120</v>
      </c>
      <c r="F27" s="7">
        <f t="shared" si="1"/>
        <v>12</v>
      </c>
    </row>
    <row r="28" spans="1:6" ht="24.95" customHeight="1">
      <c r="A28" s="1" t="s">
        <v>107</v>
      </c>
      <c r="B28" s="2">
        <v>9000</v>
      </c>
      <c r="C28" s="2">
        <v>0</v>
      </c>
      <c r="D28" s="2">
        <f t="shared" si="0"/>
        <v>9000</v>
      </c>
      <c r="E28" s="5">
        <v>50</v>
      </c>
      <c r="F28" s="7">
        <f t="shared" si="1"/>
        <v>5</v>
      </c>
    </row>
    <row r="29" spans="1:6" ht="24.95" customHeight="1">
      <c r="A29" s="1" t="s">
        <v>108</v>
      </c>
      <c r="B29" s="2">
        <v>0</v>
      </c>
      <c r="C29" s="2">
        <v>0</v>
      </c>
      <c r="D29" s="2">
        <f t="shared" si="0"/>
        <v>0</v>
      </c>
      <c r="E29" s="5">
        <v>0</v>
      </c>
      <c r="F29" s="7">
        <f t="shared" si="1"/>
        <v>0</v>
      </c>
    </row>
    <row r="30" spans="1:6" ht="24.95" customHeight="1">
      <c r="A30" s="1" t="s">
        <v>109</v>
      </c>
      <c r="B30" s="2">
        <v>13600</v>
      </c>
      <c r="C30" s="2">
        <v>24000</v>
      </c>
      <c r="D30" s="2">
        <f t="shared" si="0"/>
        <v>-10400</v>
      </c>
      <c r="E30" s="5">
        <v>90</v>
      </c>
      <c r="F30" s="7">
        <f t="shared" si="1"/>
        <v>9</v>
      </c>
    </row>
    <row r="31" spans="1:6" ht="24.95" customHeight="1">
      <c r="A31" s="1" t="s">
        <v>110</v>
      </c>
      <c r="B31" s="2">
        <v>9000</v>
      </c>
      <c r="C31" s="2">
        <v>0</v>
      </c>
      <c r="D31" s="2">
        <f t="shared" si="0"/>
        <v>9000</v>
      </c>
      <c r="E31" s="5">
        <v>50</v>
      </c>
      <c r="F31" s="7">
        <f t="shared" si="1"/>
        <v>5</v>
      </c>
    </row>
    <row r="32" spans="1:6" ht="24.95" customHeight="1">
      <c r="A32" s="1" t="s">
        <v>111</v>
      </c>
      <c r="B32" s="2">
        <v>0</v>
      </c>
      <c r="C32" s="2">
        <v>120000</v>
      </c>
      <c r="D32" s="2">
        <f t="shared" si="0"/>
        <v>-120000</v>
      </c>
      <c r="E32" s="5">
        <v>50</v>
      </c>
      <c r="F32" s="7">
        <f t="shared" si="1"/>
        <v>5</v>
      </c>
    </row>
    <row r="33" spans="1:6" ht="24.95" customHeight="1">
      <c r="A33" s="3" t="s">
        <v>75</v>
      </c>
      <c r="B33" s="4">
        <f>SUM(B6:B32)</f>
        <v>224000</v>
      </c>
      <c r="C33" s="4">
        <f>SUM(C6:C32)</f>
        <v>167000</v>
      </c>
      <c r="D33" s="4">
        <f t="shared" si="0"/>
        <v>57000</v>
      </c>
      <c r="E33" s="6">
        <f>SUM(E6:E32)</f>
        <v>1380</v>
      </c>
      <c r="F33" s="8">
        <f t="shared" si="1"/>
        <v>138</v>
      </c>
    </row>
  </sheetData>
  <mergeCells count="3">
    <mergeCell ref="A2:F2"/>
    <mergeCell ref="A3:F3"/>
    <mergeCell ref="A4:F4"/>
  </mergeCells>
  <phoneticPr fontId="7"/>
  <conditionalFormatting sqref="D6:D32">
    <cfRule type="cellIs" dxfId="6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97353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115</v>
      </c>
      <c r="B2" s="15"/>
      <c r="C2" s="15"/>
      <c r="D2" s="15"/>
      <c r="E2" s="15"/>
      <c r="F2" s="15"/>
    </row>
    <row r="3" spans="1:6" ht="38.1" customHeight="1">
      <c r="A3" s="16" t="s">
        <v>83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17</v>
      </c>
      <c r="F5" s="10" t="s">
        <v>18</v>
      </c>
    </row>
    <row r="6" spans="1:6" ht="24.95" customHeight="1">
      <c r="A6" s="1" t="s">
        <v>85</v>
      </c>
      <c r="B6" s="2">
        <v>0</v>
      </c>
      <c r="C6" s="2">
        <v>0</v>
      </c>
      <c r="D6" s="2">
        <f t="shared" ref="D6:D33" si="0">B6-C6</f>
        <v>0</v>
      </c>
      <c r="E6" s="5">
        <v>0</v>
      </c>
      <c r="F6" s="7">
        <f t="shared" ref="F6:F33" si="1">E6/10</f>
        <v>0</v>
      </c>
    </row>
    <row r="7" spans="1:6" ht="24.95" customHeight="1">
      <c r="A7" s="1" t="s">
        <v>86</v>
      </c>
      <c r="B7" s="2">
        <v>5000</v>
      </c>
      <c r="C7" s="2">
        <v>0</v>
      </c>
      <c r="D7" s="2">
        <f t="shared" si="0"/>
        <v>5000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0</v>
      </c>
      <c r="C8" s="2">
        <v>0</v>
      </c>
      <c r="D8" s="2">
        <f t="shared" si="0"/>
        <v>0</v>
      </c>
      <c r="E8" s="5">
        <v>0</v>
      </c>
      <c r="F8" s="7">
        <f t="shared" si="1"/>
        <v>0</v>
      </c>
    </row>
    <row r="9" spans="1:6" ht="24.95" customHeight="1">
      <c r="A9" s="1" t="s">
        <v>88</v>
      </c>
      <c r="B9" s="2">
        <v>5000</v>
      </c>
      <c r="C9" s="2">
        <v>55000</v>
      </c>
      <c r="D9" s="2">
        <f t="shared" si="0"/>
        <v>-50000</v>
      </c>
      <c r="E9" s="5">
        <v>100</v>
      </c>
      <c r="F9" s="7">
        <f t="shared" si="1"/>
        <v>10</v>
      </c>
    </row>
    <row r="10" spans="1:6" ht="24.95" customHeight="1">
      <c r="A10" s="1" t="s">
        <v>89</v>
      </c>
      <c r="B10" s="2">
        <v>0</v>
      </c>
      <c r="C10" s="2">
        <v>0</v>
      </c>
      <c r="D10" s="2">
        <f t="shared" si="0"/>
        <v>0</v>
      </c>
      <c r="E10" s="5">
        <v>0</v>
      </c>
      <c r="F10" s="7">
        <f t="shared" si="1"/>
        <v>0</v>
      </c>
    </row>
    <row r="11" spans="1:6" ht="24.95" customHeight="1">
      <c r="A11" s="1" t="s">
        <v>90</v>
      </c>
      <c r="B11" s="2">
        <v>0</v>
      </c>
      <c r="C11" s="2">
        <v>0</v>
      </c>
      <c r="D11" s="2">
        <f t="shared" si="0"/>
        <v>0</v>
      </c>
      <c r="E11" s="5">
        <v>10</v>
      </c>
      <c r="F11" s="7">
        <f t="shared" si="1"/>
        <v>1</v>
      </c>
    </row>
    <row r="12" spans="1:6" ht="24.95" customHeight="1">
      <c r="A12" s="1" t="s">
        <v>91</v>
      </c>
      <c r="B12" s="2">
        <v>0</v>
      </c>
      <c r="C12" s="2">
        <v>0</v>
      </c>
      <c r="D12" s="2">
        <f t="shared" si="0"/>
        <v>0</v>
      </c>
      <c r="E12" s="5">
        <v>0</v>
      </c>
      <c r="F12" s="7">
        <f t="shared" si="1"/>
        <v>0</v>
      </c>
    </row>
    <row r="13" spans="1:6" ht="24.95" customHeight="1">
      <c r="A13" s="1" t="s">
        <v>92</v>
      </c>
      <c r="B13" s="2">
        <v>15000</v>
      </c>
      <c r="C13" s="2">
        <v>60000</v>
      </c>
      <c r="D13" s="2">
        <f t="shared" si="0"/>
        <v>-45000</v>
      </c>
      <c r="E13" s="5">
        <v>150</v>
      </c>
      <c r="F13" s="7">
        <f t="shared" si="1"/>
        <v>15</v>
      </c>
    </row>
    <row r="14" spans="1:6" ht="24.95" customHeight="1">
      <c r="A14" s="1" t="s">
        <v>93</v>
      </c>
      <c r="B14" s="2">
        <v>34000</v>
      </c>
      <c r="C14" s="2">
        <v>0</v>
      </c>
      <c r="D14" s="2">
        <f t="shared" si="0"/>
        <v>34000</v>
      </c>
      <c r="E14" s="5">
        <v>220</v>
      </c>
      <c r="F14" s="7">
        <f t="shared" si="1"/>
        <v>22</v>
      </c>
    </row>
    <row r="15" spans="1:6" ht="24.95" customHeight="1">
      <c r="A15" s="1" t="s">
        <v>94</v>
      </c>
      <c r="B15" s="2">
        <v>0</v>
      </c>
      <c r="C15" s="2">
        <v>0</v>
      </c>
      <c r="D15" s="2">
        <f t="shared" si="0"/>
        <v>0</v>
      </c>
      <c r="E15" s="5">
        <v>0</v>
      </c>
      <c r="F15" s="7">
        <f t="shared" si="1"/>
        <v>0</v>
      </c>
    </row>
    <row r="16" spans="1:6" ht="24.95" customHeight="1">
      <c r="A16" s="1" t="s">
        <v>95</v>
      </c>
      <c r="B16" s="2">
        <v>15000</v>
      </c>
      <c r="C16" s="2">
        <v>0</v>
      </c>
      <c r="D16" s="2">
        <f t="shared" si="0"/>
        <v>15000</v>
      </c>
      <c r="E16" s="5">
        <v>50</v>
      </c>
      <c r="F16" s="7">
        <f t="shared" si="1"/>
        <v>5</v>
      </c>
    </row>
    <row r="17" spans="1:6" ht="24.95" customHeight="1">
      <c r="A17" s="1" t="s">
        <v>96</v>
      </c>
      <c r="B17" s="2">
        <v>0</v>
      </c>
      <c r="C17" s="2">
        <v>0</v>
      </c>
      <c r="D17" s="2">
        <f t="shared" si="0"/>
        <v>0</v>
      </c>
      <c r="E17" s="5">
        <v>0</v>
      </c>
      <c r="F17" s="7">
        <f t="shared" si="1"/>
        <v>0</v>
      </c>
    </row>
    <row r="18" spans="1:6" ht="24.95" customHeight="1">
      <c r="A18" s="1" t="s">
        <v>97</v>
      </c>
      <c r="B18" s="2">
        <v>11000</v>
      </c>
      <c r="C18" s="2">
        <v>12000</v>
      </c>
      <c r="D18" s="2">
        <f t="shared" si="0"/>
        <v>-1000</v>
      </c>
      <c r="E18" s="5">
        <v>70</v>
      </c>
      <c r="F18" s="7">
        <f t="shared" si="1"/>
        <v>7</v>
      </c>
    </row>
    <row r="19" spans="1:6" ht="24.95" customHeight="1">
      <c r="A19" s="1" t="s">
        <v>98</v>
      </c>
      <c r="B19" s="2">
        <v>1000</v>
      </c>
      <c r="C19" s="2">
        <v>0</v>
      </c>
      <c r="D19" s="2">
        <f t="shared" si="0"/>
        <v>1000</v>
      </c>
      <c r="E19" s="5">
        <v>20</v>
      </c>
      <c r="F19" s="7">
        <f t="shared" si="1"/>
        <v>2</v>
      </c>
    </row>
    <row r="20" spans="1:6" ht="24.95" customHeight="1">
      <c r="A20" s="1" t="s">
        <v>99</v>
      </c>
      <c r="B20" s="2">
        <v>15000</v>
      </c>
      <c r="C20" s="2">
        <v>0</v>
      </c>
      <c r="D20" s="2">
        <f t="shared" si="0"/>
        <v>15000</v>
      </c>
      <c r="E20" s="5">
        <v>100</v>
      </c>
      <c r="F20" s="7">
        <f t="shared" si="1"/>
        <v>10</v>
      </c>
    </row>
    <row r="21" spans="1:6" ht="24.95" customHeight="1">
      <c r="A21" s="1" t="s">
        <v>100</v>
      </c>
      <c r="B21" s="2">
        <v>0</v>
      </c>
      <c r="C21" s="2">
        <v>0</v>
      </c>
      <c r="D21" s="2">
        <f t="shared" si="0"/>
        <v>0</v>
      </c>
      <c r="E21" s="5">
        <v>0</v>
      </c>
      <c r="F21" s="7">
        <f t="shared" si="1"/>
        <v>0</v>
      </c>
    </row>
    <row r="22" spans="1:6" ht="24.95" customHeight="1">
      <c r="A22" s="1" t="s">
        <v>101</v>
      </c>
      <c r="B22" s="2">
        <v>10000</v>
      </c>
      <c r="C22" s="2">
        <v>0</v>
      </c>
      <c r="D22" s="2">
        <f t="shared" si="0"/>
        <v>10000</v>
      </c>
      <c r="E22" s="5">
        <v>50</v>
      </c>
      <c r="F22" s="7">
        <f t="shared" si="1"/>
        <v>5</v>
      </c>
    </row>
    <row r="23" spans="1:6" ht="24.95" customHeight="1">
      <c r="A23" s="1" t="s">
        <v>102</v>
      </c>
      <c r="B23" s="2">
        <v>5000</v>
      </c>
      <c r="C23" s="2">
        <v>0</v>
      </c>
      <c r="D23" s="2">
        <f t="shared" si="0"/>
        <v>5000</v>
      </c>
      <c r="E23" s="5">
        <v>50</v>
      </c>
      <c r="F23" s="7">
        <f t="shared" si="1"/>
        <v>5</v>
      </c>
    </row>
    <row r="24" spans="1:6" ht="24.95" customHeight="1">
      <c r="A24" s="1" t="s">
        <v>103</v>
      </c>
      <c r="B24" s="2">
        <v>0</v>
      </c>
      <c r="C24" s="2">
        <v>0</v>
      </c>
      <c r="D24" s="2">
        <f t="shared" si="0"/>
        <v>0</v>
      </c>
      <c r="E24" s="5">
        <v>0</v>
      </c>
      <c r="F24" s="7">
        <f t="shared" si="1"/>
        <v>0</v>
      </c>
    </row>
    <row r="25" spans="1:6" ht="24.95" customHeight="1">
      <c r="A25" s="1" t="s">
        <v>104</v>
      </c>
      <c r="B25" s="2">
        <v>5000</v>
      </c>
      <c r="C25" s="2">
        <v>0</v>
      </c>
      <c r="D25" s="2">
        <f t="shared" si="0"/>
        <v>5000</v>
      </c>
      <c r="E25" s="5">
        <v>50</v>
      </c>
      <c r="F25" s="7">
        <f t="shared" si="1"/>
        <v>5</v>
      </c>
    </row>
    <row r="26" spans="1:6" ht="24.95" customHeight="1">
      <c r="A26" s="1" t="s">
        <v>105</v>
      </c>
      <c r="B26" s="2">
        <v>15000</v>
      </c>
      <c r="C26" s="2">
        <v>0</v>
      </c>
      <c r="D26" s="2">
        <f t="shared" si="0"/>
        <v>15000</v>
      </c>
      <c r="E26" s="5">
        <v>100</v>
      </c>
      <c r="F26" s="7">
        <f t="shared" si="1"/>
        <v>10</v>
      </c>
    </row>
    <row r="27" spans="1:6" ht="24.95" customHeight="1">
      <c r="A27" s="1" t="s">
        <v>106</v>
      </c>
      <c r="B27" s="2">
        <v>17000</v>
      </c>
      <c r="C27" s="2">
        <v>0</v>
      </c>
      <c r="D27" s="2">
        <f t="shared" si="0"/>
        <v>17000</v>
      </c>
      <c r="E27" s="5">
        <v>120</v>
      </c>
      <c r="F27" s="7">
        <f t="shared" si="1"/>
        <v>12</v>
      </c>
    </row>
    <row r="28" spans="1:6" ht="24.95" customHeight="1">
      <c r="A28" s="1" t="s">
        <v>107</v>
      </c>
      <c r="B28" s="2">
        <v>5000</v>
      </c>
      <c r="C28" s="2">
        <v>0</v>
      </c>
      <c r="D28" s="2">
        <f t="shared" si="0"/>
        <v>5000</v>
      </c>
      <c r="E28" s="5">
        <v>50</v>
      </c>
      <c r="F28" s="7">
        <f t="shared" si="1"/>
        <v>5</v>
      </c>
    </row>
    <row r="29" spans="1:6" ht="24.95" customHeight="1">
      <c r="A29" s="1" t="s">
        <v>108</v>
      </c>
      <c r="B29" s="2">
        <v>0</v>
      </c>
      <c r="C29" s="2">
        <v>0</v>
      </c>
      <c r="D29" s="2">
        <f t="shared" si="0"/>
        <v>0</v>
      </c>
      <c r="E29" s="5">
        <v>0</v>
      </c>
      <c r="F29" s="7">
        <f t="shared" si="1"/>
        <v>0</v>
      </c>
    </row>
    <row r="30" spans="1:6" ht="24.95" customHeight="1">
      <c r="A30" s="1" t="s">
        <v>109</v>
      </c>
      <c r="B30" s="2">
        <v>12000</v>
      </c>
      <c r="C30" s="2">
        <v>11000</v>
      </c>
      <c r="D30" s="2">
        <f t="shared" si="0"/>
        <v>1000</v>
      </c>
      <c r="E30" s="5">
        <v>90</v>
      </c>
      <c r="F30" s="7">
        <f t="shared" si="1"/>
        <v>9</v>
      </c>
    </row>
    <row r="31" spans="1:6" ht="24.95" customHeight="1">
      <c r="A31" s="1" t="s">
        <v>110</v>
      </c>
      <c r="B31" s="2">
        <v>5000</v>
      </c>
      <c r="C31" s="2">
        <v>0</v>
      </c>
      <c r="D31" s="2">
        <f t="shared" si="0"/>
        <v>5000</v>
      </c>
      <c r="E31" s="5">
        <v>50</v>
      </c>
      <c r="F31" s="7">
        <f t="shared" si="1"/>
        <v>5</v>
      </c>
    </row>
    <row r="32" spans="1:6" ht="24.95" customHeight="1">
      <c r="A32" s="1" t="s">
        <v>111</v>
      </c>
      <c r="B32" s="2">
        <v>0</v>
      </c>
      <c r="C32" s="2">
        <v>60000</v>
      </c>
      <c r="D32" s="2">
        <f t="shared" si="0"/>
        <v>-60000</v>
      </c>
      <c r="E32" s="5">
        <v>50</v>
      </c>
      <c r="F32" s="7">
        <f t="shared" si="1"/>
        <v>5</v>
      </c>
    </row>
    <row r="33" spans="1:6" ht="24.95" customHeight="1">
      <c r="A33" s="3" t="s">
        <v>75</v>
      </c>
      <c r="B33" s="4">
        <f>SUM(B6:B32)</f>
        <v>175000</v>
      </c>
      <c r="C33" s="4">
        <f>SUM(C6:C32)</f>
        <v>198000</v>
      </c>
      <c r="D33" s="4">
        <f t="shared" si="0"/>
        <v>-23000</v>
      </c>
      <c r="E33" s="6">
        <f>SUM(E6:E32)</f>
        <v>1380</v>
      </c>
      <c r="F33" s="8">
        <f t="shared" si="1"/>
        <v>138</v>
      </c>
    </row>
  </sheetData>
  <mergeCells count="3">
    <mergeCell ref="A2:F2"/>
    <mergeCell ref="A3:F3"/>
    <mergeCell ref="A4:F4"/>
  </mergeCells>
  <phoneticPr fontId="7"/>
  <conditionalFormatting sqref="D6:D32">
    <cfRule type="cellIs" dxfId="5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65881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116</v>
      </c>
      <c r="B2" s="15"/>
      <c r="C2" s="15"/>
      <c r="D2" s="15"/>
      <c r="E2" s="15"/>
      <c r="F2" s="15"/>
    </row>
    <row r="3" spans="1:6" ht="38.1" customHeight="1">
      <c r="A3" s="16" t="s">
        <v>42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1" t="s">
        <v>44</v>
      </c>
      <c r="B5" s="11" t="s">
        <v>45</v>
      </c>
      <c r="C5" s="11" t="s">
        <v>46</v>
      </c>
      <c r="D5" s="11" t="s">
        <v>47</v>
      </c>
      <c r="E5" s="11" t="s">
        <v>17</v>
      </c>
      <c r="F5" s="11" t="s">
        <v>18</v>
      </c>
    </row>
    <row r="6" spans="1:6" ht="24.95" customHeight="1">
      <c r="A6" s="1" t="s">
        <v>85</v>
      </c>
      <c r="B6" s="2">
        <v>0</v>
      </c>
      <c r="C6" s="2">
        <v>45000</v>
      </c>
      <c r="D6" s="2">
        <f t="shared" ref="D6:D33" si="0">B6-C6</f>
        <v>-45000</v>
      </c>
      <c r="E6" s="5">
        <v>50</v>
      </c>
      <c r="F6" s="7">
        <f t="shared" ref="F6:F33" si="1">E6/10</f>
        <v>5</v>
      </c>
    </row>
    <row r="7" spans="1:6" ht="24.95" customHeight="1">
      <c r="A7" s="1" t="s">
        <v>86</v>
      </c>
      <c r="B7" s="2">
        <v>32000</v>
      </c>
      <c r="C7" s="2">
        <v>8000</v>
      </c>
      <c r="D7" s="2">
        <f t="shared" si="0"/>
        <v>24000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5000</v>
      </c>
      <c r="C8" s="2">
        <v>41000</v>
      </c>
      <c r="D8" s="2">
        <f t="shared" si="0"/>
        <v>-36000</v>
      </c>
      <c r="E8" s="5">
        <v>70</v>
      </c>
      <c r="F8" s="7">
        <f t="shared" si="1"/>
        <v>7</v>
      </c>
    </row>
    <row r="9" spans="1:6" ht="24.95" customHeight="1">
      <c r="A9" s="1" t="s">
        <v>88</v>
      </c>
      <c r="B9" s="2">
        <v>20000</v>
      </c>
      <c r="C9" s="2">
        <v>0</v>
      </c>
      <c r="D9" s="2">
        <f t="shared" si="0"/>
        <v>20000</v>
      </c>
      <c r="E9" s="5">
        <v>20</v>
      </c>
      <c r="F9" s="7">
        <f t="shared" si="1"/>
        <v>2</v>
      </c>
    </row>
    <row r="10" spans="1:6" ht="24.95" customHeight="1">
      <c r="A10" s="1" t="s">
        <v>89</v>
      </c>
      <c r="B10" s="2">
        <v>17000</v>
      </c>
      <c r="C10" s="2">
        <v>16000</v>
      </c>
      <c r="D10" s="2">
        <f t="shared" si="0"/>
        <v>1000</v>
      </c>
      <c r="E10" s="5">
        <v>60</v>
      </c>
      <c r="F10" s="7">
        <f t="shared" si="1"/>
        <v>6</v>
      </c>
    </row>
    <row r="11" spans="1:6" ht="24.95" customHeight="1">
      <c r="A11" s="1" t="s">
        <v>90</v>
      </c>
      <c r="B11" s="2">
        <v>10000</v>
      </c>
      <c r="C11" s="2">
        <v>42000</v>
      </c>
      <c r="D11" s="2">
        <f t="shared" si="0"/>
        <v>-32000</v>
      </c>
      <c r="E11" s="5">
        <v>60</v>
      </c>
      <c r="F11" s="7">
        <f t="shared" si="1"/>
        <v>6</v>
      </c>
    </row>
    <row r="12" spans="1:6" ht="24.95" customHeight="1">
      <c r="A12" s="1" t="s">
        <v>91</v>
      </c>
      <c r="B12" s="2">
        <v>82000</v>
      </c>
      <c r="C12" s="2">
        <v>27000</v>
      </c>
      <c r="D12" s="2">
        <f t="shared" si="0"/>
        <v>55000</v>
      </c>
      <c r="E12" s="5">
        <v>140</v>
      </c>
      <c r="F12" s="7">
        <f t="shared" si="1"/>
        <v>14</v>
      </c>
    </row>
    <row r="13" spans="1:6" ht="24.95" customHeight="1">
      <c r="A13" s="1" t="s">
        <v>92</v>
      </c>
      <c r="B13" s="2">
        <v>49000</v>
      </c>
      <c r="C13" s="2">
        <v>6000</v>
      </c>
      <c r="D13" s="2">
        <f t="shared" si="0"/>
        <v>43000</v>
      </c>
      <c r="E13" s="5">
        <v>70</v>
      </c>
      <c r="F13" s="7">
        <f t="shared" si="1"/>
        <v>7</v>
      </c>
    </row>
    <row r="14" spans="1:6" ht="24.95" customHeight="1">
      <c r="A14" s="1" t="s">
        <v>93</v>
      </c>
      <c r="B14" s="2">
        <v>190000</v>
      </c>
      <c r="C14" s="2">
        <v>54000</v>
      </c>
      <c r="D14" s="2">
        <f t="shared" si="0"/>
        <v>136000</v>
      </c>
      <c r="E14" s="5">
        <v>120</v>
      </c>
      <c r="F14" s="7">
        <f t="shared" si="1"/>
        <v>12</v>
      </c>
    </row>
    <row r="15" spans="1:6" ht="24.95" customHeight="1">
      <c r="A15" s="1" t="s">
        <v>94</v>
      </c>
      <c r="B15" s="2">
        <v>313000</v>
      </c>
      <c r="C15" s="2">
        <v>57000</v>
      </c>
      <c r="D15" s="2">
        <f t="shared" si="0"/>
        <v>256000</v>
      </c>
      <c r="E15" s="5">
        <v>280</v>
      </c>
      <c r="F15" s="7">
        <f t="shared" si="1"/>
        <v>28</v>
      </c>
    </row>
    <row r="16" spans="1:6" ht="24.95" customHeight="1">
      <c r="A16" s="1" t="s">
        <v>95</v>
      </c>
      <c r="B16" s="2">
        <v>98000</v>
      </c>
      <c r="C16" s="2">
        <v>64000</v>
      </c>
      <c r="D16" s="2">
        <f t="shared" si="0"/>
        <v>34000</v>
      </c>
      <c r="E16" s="5">
        <v>140</v>
      </c>
      <c r="F16" s="7">
        <f t="shared" si="1"/>
        <v>14</v>
      </c>
    </row>
    <row r="17" spans="1:6" ht="24.95" customHeight="1">
      <c r="A17" s="1" t="s">
        <v>96</v>
      </c>
      <c r="B17" s="2">
        <v>33000</v>
      </c>
      <c r="C17" s="2">
        <v>35000</v>
      </c>
      <c r="D17" s="2">
        <f t="shared" si="0"/>
        <v>-2000</v>
      </c>
      <c r="E17" s="5">
        <v>70</v>
      </c>
      <c r="F17" s="7">
        <f t="shared" si="1"/>
        <v>7</v>
      </c>
    </row>
    <row r="18" spans="1:6" ht="24.95" customHeight="1">
      <c r="A18" s="1" t="s">
        <v>97</v>
      </c>
      <c r="B18" s="2">
        <v>0</v>
      </c>
      <c r="C18" s="2">
        <v>22000</v>
      </c>
      <c r="D18" s="2">
        <f t="shared" si="0"/>
        <v>-22000</v>
      </c>
      <c r="E18" s="5">
        <v>20</v>
      </c>
      <c r="F18" s="7">
        <f t="shared" si="1"/>
        <v>2</v>
      </c>
    </row>
    <row r="19" spans="1:6" ht="24.95" customHeight="1">
      <c r="A19" s="1" t="s">
        <v>98</v>
      </c>
      <c r="B19" s="2">
        <v>342000</v>
      </c>
      <c r="C19" s="2">
        <v>32000</v>
      </c>
      <c r="D19" s="2">
        <f t="shared" si="0"/>
        <v>310000</v>
      </c>
      <c r="E19" s="5">
        <v>280</v>
      </c>
      <c r="F19" s="7">
        <f t="shared" si="1"/>
        <v>28</v>
      </c>
    </row>
    <row r="20" spans="1:6" ht="24.95" customHeight="1">
      <c r="A20" s="1" t="s">
        <v>99</v>
      </c>
      <c r="B20" s="2">
        <v>12000</v>
      </c>
      <c r="C20" s="2">
        <v>3000</v>
      </c>
      <c r="D20" s="2">
        <f t="shared" si="0"/>
        <v>9000</v>
      </c>
      <c r="E20" s="5">
        <v>50</v>
      </c>
      <c r="F20" s="7">
        <f t="shared" si="1"/>
        <v>5</v>
      </c>
    </row>
    <row r="21" spans="1:6" ht="24.95" customHeight="1">
      <c r="A21" s="1" t="s">
        <v>100</v>
      </c>
      <c r="B21" s="2">
        <v>82000</v>
      </c>
      <c r="C21" s="2">
        <v>0</v>
      </c>
      <c r="D21" s="2">
        <f t="shared" si="0"/>
        <v>82000</v>
      </c>
      <c r="E21" s="5">
        <v>50</v>
      </c>
      <c r="F21" s="7">
        <f t="shared" si="1"/>
        <v>5</v>
      </c>
    </row>
    <row r="22" spans="1:6" ht="24.95" customHeight="1">
      <c r="A22" s="1" t="s">
        <v>101</v>
      </c>
      <c r="B22" s="2">
        <v>0</v>
      </c>
      <c r="C22" s="2">
        <v>53000</v>
      </c>
      <c r="D22" s="2">
        <f t="shared" si="0"/>
        <v>-53000</v>
      </c>
      <c r="E22" s="5">
        <v>60</v>
      </c>
      <c r="F22" s="7">
        <f t="shared" si="1"/>
        <v>6</v>
      </c>
    </row>
    <row r="23" spans="1:6" ht="24.95" customHeight="1">
      <c r="A23" s="1" t="s">
        <v>102</v>
      </c>
      <c r="B23" s="2">
        <v>197000</v>
      </c>
      <c r="C23" s="2">
        <v>61000</v>
      </c>
      <c r="D23" s="2">
        <f t="shared" si="0"/>
        <v>136000</v>
      </c>
      <c r="E23" s="5">
        <v>90</v>
      </c>
      <c r="F23" s="7">
        <f t="shared" si="1"/>
        <v>9</v>
      </c>
    </row>
    <row r="24" spans="1:6" ht="24.95" customHeight="1">
      <c r="A24" s="1" t="s">
        <v>103</v>
      </c>
      <c r="B24" s="2">
        <v>86000</v>
      </c>
      <c r="C24" s="2">
        <v>47000</v>
      </c>
      <c r="D24" s="2">
        <f t="shared" si="0"/>
        <v>39000</v>
      </c>
      <c r="E24" s="5">
        <v>70</v>
      </c>
      <c r="F24" s="7">
        <f t="shared" si="1"/>
        <v>7</v>
      </c>
    </row>
    <row r="25" spans="1:6" ht="24.95" customHeight="1">
      <c r="A25" s="1" t="s">
        <v>104</v>
      </c>
      <c r="B25" s="2">
        <v>175000</v>
      </c>
      <c r="C25" s="2">
        <v>146000</v>
      </c>
      <c r="D25" s="2">
        <f t="shared" si="0"/>
        <v>29000</v>
      </c>
      <c r="E25" s="5">
        <v>270</v>
      </c>
      <c r="F25" s="7">
        <f t="shared" si="1"/>
        <v>27</v>
      </c>
    </row>
    <row r="26" spans="1:6" ht="24.95" customHeight="1">
      <c r="A26" s="1" t="s">
        <v>105</v>
      </c>
      <c r="B26" s="2">
        <v>97000</v>
      </c>
      <c r="C26" s="2">
        <v>105000</v>
      </c>
      <c r="D26" s="2">
        <f t="shared" si="0"/>
        <v>-8000</v>
      </c>
      <c r="E26" s="5">
        <v>210</v>
      </c>
      <c r="F26" s="7">
        <f t="shared" si="1"/>
        <v>21</v>
      </c>
    </row>
    <row r="27" spans="1:6" ht="24.95" customHeight="1">
      <c r="A27" s="1" t="s">
        <v>106</v>
      </c>
      <c r="B27" s="2">
        <v>92000</v>
      </c>
      <c r="C27" s="2">
        <v>33000</v>
      </c>
      <c r="D27" s="2">
        <f t="shared" si="0"/>
        <v>59000</v>
      </c>
      <c r="E27" s="5">
        <v>100</v>
      </c>
      <c r="F27" s="7">
        <f t="shared" si="1"/>
        <v>10</v>
      </c>
    </row>
    <row r="28" spans="1:6" ht="24.95" customHeight="1">
      <c r="A28" s="1" t="s">
        <v>107</v>
      </c>
      <c r="B28" s="2">
        <v>64000</v>
      </c>
      <c r="C28" s="2">
        <v>44000</v>
      </c>
      <c r="D28" s="2">
        <f t="shared" si="0"/>
        <v>20000</v>
      </c>
      <c r="E28" s="5">
        <v>120</v>
      </c>
      <c r="F28" s="7">
        <f t="shared" si="1"/>
        <v>12</v>
      </c>
    </row>
    <row r="29" spans="1:6" ht="24.95" customHeight="1">
      <c r="A29" s="1" t="s">
        <v>108</v>
      </c>
      <c r="B29" s="2">
        <v>156000</v>
      </c>
      <c r="C29" s="2">
        <v>0</v>
      </c>
      <c r="D29" s="2">
        <f t="shared" si="0"/>
        <v>156000</v>
      </c>
      <c r="E29" s="5">
        <v>70</v>
      </c>
      <c r="F29" s="7">
        <f t="shared" si="1"/>
        <v>7</v>
      </c>
    </row>
    <row r="30" spans="1:6" ht="24.95" customHeight="1">
      <c r="A30" s="1" t="s">
        <v>109</v>
      </c>
      <c r="B30" s="2">
        <v>49000</v>
      </c>
      <c r="C30" s="2">
        <v>34000</v>
      </c>
      <c r="D30" s="2">
        <f t="shared" si="0"/>
        <v>15000</v>
      </c>
      <c r="E30" s="5">
        <v>110</v>
      </c>
      <c r="F30" s="7">
        <f t="shared" si="1"/>
        <v>11</v>
      </c>
    </row>
    <row r="31" spans="1:6" ht="24.95" customHeight="1">
      <c r="A31" s="1" t="s">
        <v>110</v>
      </c>
      <c r="B31" s="2">
        <v>71000</v>
      </c>
      <c r="C31" s="2">
        <v>124000</v>
      </c>
      <c r="D31" s="2">
        <f t="shared" si="0"/>
        <v>-53000</v>
      </c>
      <c r="E31" s="5">
        <v>160</v>
      </c>
      <c r="F31" s="7">
        <f t="shared" si="1"/>
        <v>16</v>
      </c>
    </row>
    <row r="32" spans="1:6" ht="24.95" customHeight="1">
      <c r="A32" s="1" t="s">
        <v>111</v>
      </c>
      <c r="B32" s="2">
        <v>8000</v>
      </c>
      <c r="C32" s="2">
        <v>0</v>
      </c>
      <c r="D32" s="2">
        <f t="shared" si="0"/>
        <v>8000</v>
      </c>
      <c r="E32" s="5">
        <v>20</v>
      </c>
      <c r="F32" s="7">
        <f t="shared" si="1"/>
        <v>2</v>
      </c>
    </row>
    <row r="33" spans="1:6" ht="24.95" customHeight="1">
      <c r="A33" s="3" t="s">
        <v>75</v>
      </c>
      <c r="B33" s="4">
        <f>SUM(B6:B32)</f>
        <v>2280000</v>
      </c>
      <c r="C33" s="4">
        <f>SUM(C6:C32)</f>
        <v>1099000</v>
      </c>
      <c r="D33" s="4">
        <f t="shared" si="0"/>
        <v>1181000</v>
      </c>
      <c r="E33" s="6">
        <f>SUM(E6:E32)</f>
        <v>2810</v>
      </c>
      <c r="F33" s="8">
        <f t="shared" si="1"/>
        <v>281</v>
      </c>
    </row>
  </sheetData>
  <mergeCells count="3">
    <mergeCell ref="A2:F2"/>
    <mergeCell ref="A3:F3"/>
    <mergeCell ref="A4:F4"/>
  </mergeCells>
  <phoneticPr fontId="7"/>
  <conditionalFormatting sqref="D6:D32">
    <cfRule type="cellIs" dxfId="4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65881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117</v>
      </c>
      <c r="B2" s="15"/>
      <c r="C2" s="15"/>
      <c r="D2" s="15"/>
      <c r="E2" s="15"/>
      <c r="F2" s="15"/>
    </row>
    <row r="3" spans="1:6" ht="38.1" customHeight="1">
      <c r="A3" s="16" t="s">
        <v>77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1" t="s">
        <v>44</v>
      </c>
      <c r="B5" s="11" t="s">
        <v>45</v>
      </c>
      <c r="C5" s="11" t="s">
        <v>46</v>
      </c>
      <c r="D5" s="11" t="s">
        <v>47</v>
      </c>
      <c r="E5" s="11" t="s">
        <v>17</v>
      </c>
      <c r="F5" s="11" t="s">
        <v>18</v>
      </c>
    </row>
    <row r="6" spans="1:6" ht="24.95" customHeight="1">
      <c r="A6" s="1" t="s">
        <v>85</v>
      </c>
      <c r="B6" s="2">
        <v>5000</v>
      </c>
      <c r="C6" s="2">
        <v>0</v>
      </c>
      <c r="D6" s="2">
        <f t="shared" ref="D6:D33" si="0">B6-C6</f>
        <v>5000</v>
      </c>
      <c r="E6" s="5">
        <v>50</v>
      </c>
      <c r="F6" s="7">
        <f t="shared" ref="F6:F33" si="1">E6/10</f>
        <v>5</v>
      </c>
    </row>
    <row r="7" spans="1:6" ht="24.95" customHeight="1">
      <c r="A7" s="1" t="s">
        <v>86</v>
      </c>
      <c r="B7" s="2">
        <v>10000</v>
      </c>
      <c r="C7" s="2">
        <v>0</v>
      </c>
      <c r="D7" s="2">
        <f t="shared" si="0"/>
        <v>10000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8000</v>
      </c>
      <c r="C8" s="2">
        <v>0</v>
      </c>
      <c r="D8" s="2">
        <f t="shared" si="0"/>
        <v>8000</v>
      </c>
      <c r="E8" s="5">
        <v>70</v>
      </c>
      <c r="F8" s="7">
        <f t="shared" si="1"/>
        <v>7</v>
      </c>
    </row>
    <row r="9" spans="1:6" ht="24.95" customHeight="1">
      <c r="A9" s="1" t="s">
        <v>88</v>
      </c>
      <c r="B9" s="2">
        <v>2000</v>
      </c>
      <c r="C9" s="2">
        <v>0</v>
      </c>
      <c r="D9" s="2">
        <f t="shared" si="0"/>
        <v>2000</v>
      </c>
      <c r="E9" s="5">
        <v>20</v>
      </c>
      <c r="F9" s="7">
        <f t="shared" si="1"/>
        <v>2</v>
      </c>
    </row>
    <row r="10" spans="1:6" ht="24.95" customHeight="1">
      <c r="A10" s="1" t="s">
        <v>89</v>
      </c>
      <c r="B10" s="2">
        <v>6000</v>
      </c>
      <c r="C10" s="2">
        <v>0</v>
      </c>
      <c r="D10" s="2">
        <f t="shared" si="0"/>
        <v>6000</v>
      </c>
      <c r="E10" s="5">
        <v>60</v>
      </c>
      <c r="F10" s="7">
        <f t="shared" si="1"/>
        <v>6</v>
      </c>
    </row>
    <row r="11" spans="1:6" ht="24.95" customHeight="1">
      <c r="A11" s="1" t="s">
        <v>90</v>
      </c>
      <c r="B11" s="2">
        <v>3000</v>
      </c>
      <c r="C11" s="2">
        <v>72000</v>
      </c>
      <c r="D11" s="2">
        <f t="shared" si="0"/>
        <v>-69000</v>
      </c>
      <c r="E11" s="5">
        <v>60</v>
      </c>
      <c r="F11" s="7">
        <f t="shared" si="1"/>
        <v>6</v>
      </c>
    </row>
    <row r="12" spans="1:6" ht="24.95" customHeight="1">
      <c r="A12" s="1" t="s">
        <v>91</v>
      </c>
      <c r="B12" s="2">
        <v>14000</v>
      </c>
      <c r="C12" s="2">
        <v>23000</v>
      </c>
      <c r="D12" s="2">
        <f t="shared" si="0"/>
        <v>-9000</v>
      </c>
      <c r="E12" s="5">
        <v>140</v>
      </c>
      <c r="F12" s="7">
        <f t="shared" si="1"/>
        <v>14</v>
      </c>
    </row>
    <row r="13" spans="1:6" ht="24.95" customHeight="1">
      <c r="A13" s="1" t="s">
        <v>92</v>
      </c>
      <c r="B13" s="2">
        <v>12000</v>
      </c>
      <c r="C13" s="2">
        <v>0</v>
      </c>
      <c r="D13" s="2">
        <f t="shared" si="0"/>
        <v>12000</v>
      </c>
      <c r="E13" s="5">
        <v>70</v>
      </c>
      <c r="F13" s="7">
        <f t="shared" si="1"/>
        <v>7</v>
      </c>
    </row>
    <row r="14" spans="1:6" ht="24.95" customHeight="1">
      <c r="A14" s="1" t="s">
        <v>93</v>
      </c>
      <c r="B14" s="2">
        <v>58000</v>
      </c>
      <c r="C14" s="2">
        <v>24000</v>
      </c>
      <c r="D14" s="2">
        <f t="shared" si="0"/>
        <v>34000</v>
      </c>
      <c r="E14" s="5">
        <v>120</v>
      </c>
      <c r="F14" s="7">
        <f t="shared" si="1"/>
        <v>12</v>
      </c>
    </row>
    <row r="15" spans="1:6" ht="24.95" customHeight="1">
      <c r="A15" s="1" t="s">
        <v>94</v>
      </c>
      <c r="B15" s="2">
        <v>50000</v>
      </c>
      <c r="C15" s="2">
        <v>0</v>
      </c>
      <c r="D15" s="2">
        <f t="shared" si="0"/>
        <v>50000</v>
      </c>
      <c r="E15" s="5">
        <v>280</v>
      </c>
      <c r="F15" s="7">
        <f t="shared" si="1"/>
        <v>28</v>
      </c>
    </row>
    <row r="16" spans="1:6" ht="24.95" customHeight="1">
      <c r="A16" s="1" t="s">
        <v>95</v>
      </c>
      <c r="B16" s="2">
        <v>14000</v>
      </c>
      <c r="C16" s="2">
        <v>0</v>
      </c>
      <c r="D16" s="2">
        <f t="shared" si="0"/>
        <v>14000</v>
      </c>
      <c r="E16" s="5">
        <v>140</v>
      </c>
      <c r="F16" s="7">
        <f t="shared" si="1"/>
        <v>14</v>
      </c>
    </row>
    <row r="17" spans="1:6" ht="24.95" customHeight="1">
      <c r="A17" s="1" t="s">
        <v>96</v>
      </c>
      <c r="B17" s="2">
        <v>8000</v>
      </c>
      <c r="C17" s="2">
        <v>0</v>
      </c>
      <c r="D17" s="2">
        <f t="shared" si="0"/>
        <v>8000</v>
      </c>
      <c r="E17" s="5">
        <v>70</v>
      </c>
      <c r="F17" s="7">
        <f t="shared" si="1"/>
        <v>7</v>
      </c>
    </row>
    <row r="18" spans="1:6" ht="24.95" customHeight="1">
      <c r="A18" s="1" t="s">
        <v>97</v>
      </c>
      <c r="B18" s="2">
        <v>1000</v>
      </c>
      <c r="C18" s="2">
        <v>24000</v>
      </c>
      <c r="D18" s="2">
        <f t="shared" si="0"/>
        <v>-23000</v>
      </c>
      <c r="E18" s="5">
        <v>20</v>
      </c>
      <c r="F18" s="7">
        <f t="shared" si="1"/>
        <v>2</v>
      </c>
    </row>
    <row r="19" spans="1:6" ht="24.95" customHeight="1">
      <c r="A19" s="1" t="s">
        <v>98</v>
      </c>
      <c r="B19" s="2">
        <v>48000</v>
      </c>
      <c r="C19" s="2">
        <v>48000</v>
      </c>
      <c r="D19" s="2">
        <f t="shared" si="0"/>
        <v>0</v>
      </c>
      <c r="E19" s="5">
        <v>280</v>
      </c>
      <c r="F19" s="7">
        <f t="shared" si="1"/>
        <v>28</v>
      </c>
    </row>
    <row r="20" spans="1:6" ht="24.95" customHeight="1">
      <c r="A20" s="1" t="s">
        <v>99</v>
      </c>
      <c r="B20" s="2">
        <v>10000</v>
      </c>
      <c r="C20" s="2">
        <v>0</v>
      </c>
      <c r="D20" s="2">
        <f t="shared" si="0"/>
        <v>10000</v>
      </c>
      <c r="E20" s="5">
        <v>50</v>
      </c>
      <c r="F20" s="7">
        <f t="shared" si="1"/>
        <v>5</v>
      </c>
    </row>
    <row r="21" spans="1:6" ht="24.95" customHeight="1">
      <c r="A21" s="1" t="s">
        <v>100</v>
      </c>
      <c r="B21" s="2">
        <v>5000</v>
      </c>
      <c r="C21" s="2">
        <v>0</v>
      </c>
      <c r="D21" s="2">
        <f t="shared" si="0"/>
        <v>5000</v>
      </c>
      <c r="E21" s="5">
        <v>50</v>
      </c>
      <c r="F21" s="7">
        <f t="shared" si="1"/>
        <v>5</v>
      </c>
    </row>
    <row r="22" spans="1:6" ht="24.95" customHeight="1">
      <c r="A22" s="1" t="s">
        <v>101</v>
      </c>
      <c r="B22" s="2">
        <v>12000</v>
      </c>
      <c r="C22" s="2">
        <v>0</v>
      </c>
      <c r="D22" s="2">
        <f t="shared" si="0"/>
        <v>12000</v>
      </c>
      <c r="E22" s="5">
        <v>60</v>
      </c>
      <c r="F22" s="7">
        <f t="shared" si="1"/>
        <v>6</v>
      </c>
    </row>
    <row r="23" spans="1:6" ht="24.95" customHeight="1">
      <c r="A23" s="1" t="s">
        <v>102</v>
      </c>
      <c r="B23" s="2">
        <v>13000</v>
      </c>
      <c r="C23" s="2">
        <v>48000</v>
      </c>
      <c r="D23" s="2">
        <f t="shared" si="0"/>
        <v>-35000</v>
      </c>
      <c r="E23" s="5">
        <v>90</v>
      </c>
      <c r="F23" s="7">
        <f t="shared" si="1"/>
        <v>9</v>
      </c>
    </row>
    <row r="24" spans="1:6" ht="24.95" customHeight="1">
      <c r="A24" s="1" t="s">
        <v>103</v>
      </c>
      <c r="B24" s="2">
        <v>27000</v>
      </c>
      <c r="C24" s="2">
        <v>30000</v>
      </c>
      <c r="D24" s="2">
        <f t="shared" si="0"/>
        <v>-3000</v>
      </c>
      <c r="E24" s="5">
        <v>70</v>
      </c>
      <c r="F24" s="7">
        <f t="shared" si="1"/>
        <v>7</v>
      </c>
    </row>
    <row r="25" spans="1:6" ht="24.95" customHeight="1">
      <c r="A25" s="1" t="s">
        <v>104</v>
      </c>
      <c r="B25" s="2">
        <v>32000</v>
      </c>
      <c r="C25" s="2">
        <v>0</v>
      </c>
      <c r="D25" s="2">
        <f t="shared" si="0"/>
        <v>32000</v>
      </c>
      <c r="E25" s="5">
        <v>270</v>
      </c>
      <c r="F25" s="7">
        <f t="shared" si="1"/>
        <v>27</v>
      </c>
    </row>
    <row r="26" spans="1:6" ht="24.95" customHeight="1">
      <c r="A26" s="1" t="s">
        <v>105</v>
      </c>
      <c r="B26" s="2">
        <v>26000</v>
      </c>
      <c r="C26" s="2">
        <v>0</v>
      </c>
      <c r="D26" s="2">
        <f t="shared" si="0"/>
        <v>26000</v>
      </c>
      <c r="E26" s="5">
        <v>210</v>
      </c>
      <c r="F26" s="7">
        <f t="shared" si="1"/>
        <v>21</v>
      </c>
    </row>
    <row r="27" spans="1:6" ht="24.95" customHeight="1">
      <c r="A27" s="1" t="s">
        <v>106</v>
      </c>
      <c r="B27" s="2">
        <v>12000</v>
      </c>
      <c r="C27" s="2">
        <v>0</v>
      </c>
      <c r="D27" s="2">
        <f t="shared" si="0"/>
        <v>12000</v>
      </c>
      <c r="E27" s="5">
        <v>100</v>
      </c>
      <c r="F27" s="7">
        <f t="shared" si="1"/>
        <v>10</v>
      </c>
    </row>
    <row r="28" spans="1:6" ht="24.95" customHeight="1">
      <c r="A28" s="1" t="s">
        <v>107</v>
      </c>
      <c r="B28" s="2">
        <v>12000</v>
      </c>
      <c r="C28" s="2">
        <v>0</v>
      </c>
      <c r="D28" s="2">
        <f t="shared" si="0"/>
        <v>12000</v>
      </c>
      <c r="E28" s="5">
        <v>120</v>
      </c>
      <c r="F28" s="7">
        <f t="shared" si="1"/>
        <v>12</v>
      </c>
    </row>
    <row r="29" spans="1:6" ht="24.95" customHeight="1">
      <c r="A29" s="1" t="s">
        <v>108</v>
      </c>
      <c r="B29" s="2">
        <v>61000</v>
      </c>
      <c r="C29" s="2">
        <v>0</v>
      </c>
      <c r="D29" s="2">
        <f t="shared" si="0"/>
        <v>61000</v>
      </c>
      <c r="E29" s="5">
        <v>70</v>
      </c>
      <c r="F29" s="7">
        <f t="shared" si="1"/>
        <v>7</v>
      </c>
    </row>
    <row r="30" spans="1:6" ht="24.95" customHeight="1">
      <c r="A30" s="1" t="s">
        <v>109</v>
      </c>
      <c r="B30" s="2">
        <v>21000</v>
      </c>
      <c r="C30" s="2">
        <v>23000</v>
      </c>
      <c r="D30" s="2">
        <f t="shared" si="0"/>
        <v>-2000</v>
      </c>
      <c r="E30" s="5">
        <v>110</v>
      </c>
      <c r="F30" s="7">
        <f t="shared" si="1"/>
        <v>11</v>
      </c>
    </row>
    <row r="31" spans="1:6" ht="24.95" customHeight="1">
      <c r="A31" s="1" t="s">
        <v>110</v>
      </c>
      <c r="B31" s="2">
        <v>41000</v>
      </c>
      <c r="C31" s="2">
        <v>0</v>
      </c>
      <c r="D31" s="2">
        <f t="shared" si="0"/>
        <v>41000</v>
      </c>
      <c r="E31" s="5">
        <v>160</v>
      </c>
      <c r="F31" s="7">
        <f t="shared" si="1"/>
        <v>16</v>
      </c>
    </row>
    <row r="32" spans="1:6" ht="24.95" customHeight="1">
      <c r="A32" s="1" t="s">
        <v>111</v>
      </c>
      <c r="B32" s="2">
        <v>3000</v>
      </c>
      <c r="C32" s="2">
        <v>0</v>
      </c>
      <c r="D32" s="2">
        <f t="shared" si="0"/>
        <v>3000</v>
      </c>
      <c r="E32" s="5">
        <v>20</v>
      </c>
      <c r="F32" s="7">
        <f t="shared" si="1"/>
        <v>2</v>
      </c>
    </row>
    <row r="33" spans="1:6" ht="24.95" customHeight="1">
      <c r="A33" s="3" t="s">
        <v>75</v>
      </c>
      <c r="B33" s="4">
        <f>SUM(B6:B32)</f>
        <v>514000</v>
      </c>
      <c r="C33" s="4">
        <f>SUM(C6:C32)</f>
        <v>292000</v>
      </c>
      <c r="D33" s="4">
        <f t="shared" si="0"/>
        <v>222000</v>
      </c>
      <c r="E33" s="6">
        <f>SUM(E6:E32)</f>
        <v>2810</v>
      </c>
      <c r="F33" s="8">
        <f t="shared" si="1"/>
        <v>281</v>
      </c>
    </row>
  </sheetData>
  <mergeCells count="3">
    <mergeCell ref="A2:F2"/>
    <mergeCell ref="A3:F3"/>
    <mergeCell ref="A4:F4"/>
  </mergeCells>
  <phoneticPr fontId="7"/>
  <conditionalFormatting sqref="D6:D32">
    <cfRule type="cellIs" dxfId="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65881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118</v>
      </c>
      <c r="B2" s="15"/>
      <c r="C2" s="15"/>
      <c r="D2" s="15"/>
      <c r="E2" s="15"/>
      <c r="F2" s="15"/>
    </row>
    <row r="3" spans="1:6" ht="38.1" customHeight="1">
      <c r="A3" s="16" t="s">
        <v>79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1" t="s">
        <v>44</v>
      </c>
      <c r="B5" s="11" t="s">
        <v>45</v>
      </c>
      <c r="C5" s="11" t="s">
        <v>46</v>
      </c>
      <c r="D5" s="11" t="s">
        <v>47</v>
      </c>
      <c r="E5" s="11" t="s">
        <v>17</v>
      </c>
      <c r="F5" s="11" t="s">
        <v>18</v>
      </c>
    </row>
    <row r="6" spans="1:6" ht="24.95" customHeight="1">
      <c r="A6" s="1" t="s">
        <v>85</v>
      </c>
      <c r="B6" s="2">
        <v>5000</v>
      </c>
      <c r="C6" s="2">
        <v>0</v>
      </c>
      <c r="D6" s="2">
        <f t="shared" ref="D6:D33" si="0">B6-C6</f>
        <v>5000</v>
      </c>
      <c r="E6" s="5">
        <v>50</v>
      </c>
      <c r="F6" s="7">
        <f t="shared" ref="F6:F33" si="1">E6/10</f>
        <v>5</v>
      </c>
    </row>
    <row r="7" spans="1:6" ht="24.95" customHeight="1">
      <c r="A7" s="1" t="s">
        <v>86</v>
      </c>
      <c r="B7" s="2">
        <v>10000</v>
      </c>
      <c r="C7" s="2">
        <v>0</v>
      </c>
      <c r="D7" s="2">
        <f t="shared" si="0"/>
        <v>10000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14000</v>
      </c>
      <c r="C8" s="2">
        <v>0</v>
      </c>
      <c r="D8" s="2">
        <f t="shared" si="0"/>
        <v>14000</v>
      </c>
      <c r="E8" s="5">
        <v>70</v>
      </c>
      <c r="F8" s="7">
        <f t="shared" si="1"/>
        <v>7</v>
      </c>
    </row>
    <row r="9" spans="1:6" ht="24.95" customHeight="1">
      <c r="A9" s="1" t="s">
        <v>88</v>
      </c>
      <c r="B9" s="2">
        <v>2000</v>
      </c>
      <c r="C9" s="2">
        <v>0</v>
      </c>
      <c r="D9" s="2">
        <f t="shared" si="0"/>
        <v>2000</v>
      </c>
      <c r="E9" s="5">
        <v>20</v>
      </c>
      <c r="F9" s="7">
        <f t="shared" si="1"/>
        <v>2</v>
      </c>
    </row>
    <row r="10" spans="1:6" ht="24.95" customHeight="1">
      <c r="A10" s="1" t="s">
        <v>89</v>
      </c>
      <c r="B10" s="2">
        <v>9000</v>
      </c>
      <c r="C10" s="2">
        <v>0</v>
      </c>
      <c r="D10" s="2">
        <f t="shared" si="0"/>
        <v>9000</v>
      </c>
      <c r="E10" s="5">
        <v>60</v>
      </c>
      <c r="F10" s="7">
        <f t="shared" si="1"/>
        <v>6</v>
      </c>
    </row>
    <row r="11" spans="1:6" ht="24.95" customHeight="1">
      <c r="A11" s="1" t="s">
        <v>90</v>
      </c>
      <c r="B11" s="2">
        <v>3000</v>
      </c>
      <c r="C11" s="2">
        <v>72000</v>
      </c>
      <c r="D11" s="2">
        <f t="shared" si="0"/>
        <v>-69000</v>
      </c>
      <c r="E11" s="5">
        <v>60</v>
      </c>
      <c r="F11" s="7">
        <f t="shared" si="1"/>
        <v>6</v>
      </c>
    </row>
    <row r="12" spans="1:6" ht="24.95" customHeight="1">
      <c r="A12" s="1" t="s">
        <v>91</v>
      </c>
      <c r="B12" s="2">
        <v>15000</v>
      </c>
      <c r="C12" s="2">
        <v>23000</v>
      </c>
      <c r="D12" s="2">
        <f t="shared" si="0"/>
        <v>-8000</v>
      </c>
      <c r="E12" s="5">
        <v>140</v>
      </c>
      <c r="F12" s="7">
        <f t="shared" si="1"/>
        <v>14</v>
      </c>
    </row>
    <row r="13" spans="1:6" ht="24.95" customHeight="1">
      <c r="A13" s="1" t="s">
        <v>92</v>
      </c>
      <c r="B13" s="2">
        <v>12000</v>
      </c>
      <c r="C13" s="2">
        <v>0</v>
      </c>
      <c r="D13" s="2">
        <f t="shared" si="0"/>
        <v>12000</v>
      </c>
      <c r="E13" s="5">
        <v>70</v>
      </c>
      <c r="F13" s="7">
        <f t="shared" si="1"/>
        <v>7</v>
      </c>
    </row>
    <row r="14" spans="1:6" ht="24.95" customHeight="1">
      <c r="A14" s="1" t="s">
        <v>93</v>
      </c>
      <c r="B14" s="2">
        <v>68000</v>
      </c>
      <c r="C14" s="2">
        <v>24000</v>
      </c>
      <c r="D14" s="2">
        <f t="shared" si="0"/>
        <v>44000</v>
      </c>
      <c r="E14" s="5">
        <v>120</v>
      </c>
      <c r="F14" s="7">
        <f t="shared" si="1"/>
        <v>12</v>
      </c>
    </row>
    <row r="15" spans="1:6" ht="24.95" customHeight="1">
      <c r="A15" s="1" t="s">
        <v>94</v>
      </c>
      <c r="B15" s="2">
        <v>54000</v>
      </c>
      <c r="C15" s="2">
        <v>0</v>
      </c>
      <c r="D15" s="2">
        <f t="shared" si="0"/>
        <v>54000</v>
      </c>
      <c r="E15" s="5">
        <v>280</v>
      </c>
      <c r="F15" s="7">
        <f t="shared" si="1"/>
        <v>28</v>
      </c>
    </row>
    <row r="16" spans="1:6" ht="24.95" customHeight="1">
      <c r="A16" s="1" t="s">
        <v>95</v>
      </c>
      <c r="B16" s="2">
        <v>14000</v>
      </c>
      <c r="C16" s="2">
        <v>0</v>
      </c>
      <c r="D16" s="2">
        <f t="shared" si="0"/>
        <v>14000</v>
      </c>
      <c r="E16" s="5">
        <v>140</v>
      </c>
      <c r="F16" s="7">
        <f t="shared" si="1"/>
        <v>14</v>
      </c>
    </row>
    <row r="17" spans="1:6" ht="24.95" customHeight="1">
      <c r="A17" s="1" t="s">
        <v>96</v>
      </c>
      <c r="B17" s="2">
        <v>8000</v>
      </c>
      <c r="C17" s="2">
        <v>0</v>
      </c>
      <c r="D17" s="2">
        <f t="shared" si="0"/>
        <v>8000</v>
      </c>
      <c r="E17" s="5">
        <v>70</v>
      </c>
      <c r="F17" s="7">
        <f t="shared" si="1"/>
        <v>7</v>
      </c>
    </row>
    <row r="18" spans="1:6" ht="24.95" customHeight="1">
      <c r="A18" s="1" t="s">
        <v>97</v>
      </c>
      <c r="B18" s="2">
        <v>3000</v>
      </c>
      <c r="C18" s="2">
        <v>24000</v>
      </c>
      <c r="D18" s="2">
        <f t="shared" si="0"/>
        <v>-21000</v>
      </c>
      <c r="E18" s="5">
        <v>20</v>
      </c>
      <c r="F18" s="7">
        <f t="shared" si="1"/>
        <v>2</v>
      </c>
    </row>
    <row r="19" spans="1:6" ht="24.95" customHeight="1">
      <c r="A19" s="1" t="s">
        <v>98</v>
      </c>
      <c r="B19" s="2">
        <v>30000</v>
      </c>
      <c r="C19" s="2">
        <v>48000</v>
      </c>
      <c r="D19" s="2">
        <f t="shared" si="0"/>
        <v>-18000</v>
      </c>
      <c r="E19" s="5">
        <v>280</v>
      </c>
      <c r="F19" s="7">
        <f t="shared" si="1"/>
        <v>28</v>
      </c>
    </row>
    <row r="20" spans="1:6" ht="24.95" customHeight="1">
      <c r="A20" s="1" t="s">
        <v>99</v>
      </c>
      <c r="B20" s="2">
        <v>10000</v>
      </c>
      <c r="C20" s="2">
        <v>0</v>
      </c>
      <c r="D20" s="2">
        <f t="shared" si="0"/>
        <v>10000</v>
      </c>
      <c r="E20" s="5">
        <v>50</v>
      </c>
      <c r="F20" s="7">
        <f t="shared" si="1"/>
        <v>5</v>
      </c>
    </row>
    <row r="21" spans="1:6" ht="24.95" customHeight="1">
      <c r="A21" s="1" t="s">
        <v>100</v>
      </c>
      <c r="B21" s="2">
        <v>5000</v>
      </c>
      <c r="C21" s="2">
        <v>0</v>
      </c>
      <c r="D21" s="2">
        <f t="shared" si="0"/>
        <v>5000</v>
      </c>
      <c r="E21" s="5">
        <v>50</v>
      </c>
      <c r="F21" s="7">
        <f t="shared" si="1"/>
        <v>5</v>
      </c>
    </row>
    <row r="22" spans="1:6" ht="24.95" customHeight="1">
      <c r="A22" s="1" t="s">
        <v>101</v>
      </c>
      <c r="B22" s="2">
        <v>12000</v>
      </c>
      <c r="C22" s="2">
        <v>0</v>
      </c>
      <c r="D22" s="2">
        <f t="shared" si="0"/>
        <v>12000</v>
      </c>
      <c r="E22" s="5">
        <v>60</v>
      </c>
      <c r="F22" s="7">
        <f t="shared" si="1"/>
        <v>6</v>
      </c>
    </row>
    <row r="23" spans="1:6" ht="24.95" customHeight="1">
      <c r="A23" s="1" t="s">
        <v>102</v>
      </c>
      <c r="B23" s="2">
        <v>13000</v>
      </c>
      <c r="C23" s="2">
        <v>48000</v>
      </c>
      <c r="D23" s="2">
        <f t="shared" si="0"/>
        <v>-35000</v>
      </c>
      <c r="E23" s="5">
        <v>90</v>
      </c>
      <c r="F23" s="7">
        <f t="shared" si="1"/>
        <v>9</v>
      </c>
    </row>
    <row r="24" spans="1:6" ht="24.95" customHeight="1">
      <c r="A24" s="1" t="s">
        <v>103</v>
      </c>
      <c r="B24" s="2">
        <v>11000</v>
      </c>
      <c r="C24" s="2">
        <v>30000</v>
      </c>
      <c r="D24" s="2">
        <f t="shared" si="0"/>
        <v>-19000</v>
      </c>
      <c r="E24" s="5">
        <v>70</v>
      </c>
      <c r="F24" s="7">
        <f t="shared" si="1"/>
        <v>7</v>
      </c>
    </row>
    <row r="25" spans="1:6" ht="24.95" customHeight="1">
      <c r="A25" s="1" t="s">
        <v>104</v>
      </c>
      <c r="B25" s="2">
        <v>38000</v>
      </c>
      <c r="C25" s="2">
        <v>0</v>
      </c>
      <c r="D25" s="2">
        <f t="shared" si="0"/>
        <v>38000</v>
      </c>
      <c r="E25" s="5">
        <v>270</v>
      </c>
      <c r="F25" s="7">
        <f t="shared" si="1"/>
        <v>27</v>
      </c>
    </row>
    <row r="26" spans="1:6" ht="24.95" customHeight="1">
      <c r="A26" s="1" t="s">
        <v>105</v>
      </c>
      <c r="B26" s="2">
        <v>25000</v>
      </c>
      <c r="C26" s="2">
        <v>0</v>
      </c>
      <c r="D26" s="2">
        <f t="shared" si="0"/>
        <v>25000</v>
      </c>
      <c r="E26" s="5">
        <v>210</v>
      </c>
      <c r="F26" s="7">
        <f t="shared" si="1"/>
        <v>21</v>
      </c>
    </row>
    <row r="27" spans="1:6" ht="24.95" customHeight="1">
      <c r="A27" s="1" t="s">
        <v>106</v>
      </c>
      <c r="B27" s="2">
        <v>24000</v>
      </c>
      <c r="C27" s="2">
        <v>0</v>
      </c>
      <c r="D27" s="2">
        <f t="shared" si="0"/>
        <v>24000</v>
      </c>
      <c r="E27" s="5">
        <v>100</v>
      </c>
      <c r="F27" s="7">
        <f t="shared" si="1"/>
        <v>10</v>
      </c>
    </row>
    <row r="28" spans="1:6" ht="24.95" customHeight="1">
      <c r="A28" s="1" t="s">
        <v>107</v>
      </c>
      <c r="B28" s="2">
        <v>12000</v>
      </c>
      <c r="C28" s="2">
        <v>0</v>
      </c>
      <c r="D28" s="2">
        <f t="shared" si="0"/>
        <v>12000</v>
      </c>
      <c r="E28" s="5">
        <v>120</v>
      </c>
      <c r="F28" s="7">
        <f t="shared" si="1"/>
        <v>12</v>
      </c>
    </row>
    <row r="29" spans="1:6" ht="24.95" customHeight="1">
      <c r="A29" s="1" t="s">
        <v>108</v>
      </c>
      <c r="B29" s="2">
        <v>52000</v>
      </c>
      <c r="C29" s="2">
        <v>0</v>
      </c>
      <c r="D29" s="2">
        <f t="shared" si="0"/>
        <v>52000</v>
      </c>
      <c r="E29" s="5">
        <v>70</v>
      </c>
      <c r="F29" s="7">
        <f t="shared" si="1"/>
        <v>7</v>
      </c>
    </row>
    <row r="30" spans="1:6" ht="24.95" customHeight="1">
      <c r="A30" s="1" t="s">
        <v>109</v>
      </c>
      <c r="B30" s="2">
        <v>14000</v>
      </c>
      <c r="C30" s="2">
        <v>23000</v>
      </c>
      <c r="D30" s="2">
        <f t="shared" si="0"/>
        <v>-9000</v>
      </c>
      <c r="E30" s="5">
        <v>110</v>
      </c>
      <c r="F30" s="7">
        <f t="shared" si="1"/>
        <v>11</v>
      </c>
    </row>
    <row r="31" spans="1:6" ht="24.95" customHeight="1">
      <c r="A31" s="1" t="s">
        <v>110</v>
      </c>
      <c r="B31" s="2">
        <v>25000</v>
      </c>
      <c r="C31" s="2">
        <v>0</v>
      </c>
      <c r="D31" s="2">
        <f t="shared" si="0"/>
        <v>25000</v>
      </c>
      <c r="E31" s="5">
        <v>160</v>
      </c>
      <c r="F31" s="7">
        <f t="shared" si="1"/>
        <v>16</v>
      </c>
    </row>
    <row r="32" spans="1:6" ht="24.95" customHeight="1">
      <c r="A32" s="1" t="s">
        <v>111</v>
      </c>
      <c r="B32" s="2">
        <v>3000</v>
      </c>
      <c r="C32" s="2">
        <v>0</v>
      </c>
      <c r="D32" s="2">
        <f t="shared" si="0"/>
        <v>3000</v>
      </c>
      <c r="E32" s="5">
        <v>20</v>
      </c>
      <c r="F32" s="7">
        <f t="shared" si="1"/>
        <v>2</v>
      </c>
    </row>
    <row r="33" spans="1:6" ht="24.95" customHeight="1">
      <c r="A33" s="3" t="s">
        <v>75</v>
      </c>
      <c r="B33" s="4">
        <f>SUM(B6:B32)</f>
        <v>491000</v>
      </c>
      <c r="C33" s="4">
        <f>SUM(C6:C32)</f>
        <v>292000</v>
      </c>
      <c r="D33" s="4">
        <f t="shared" si="0"/>
        <v>199000</v>
      </c>
      <c r="E33" s="6">
        <f>SUM(E6:E32)</f>
        <v>2810</v>
      </c>
      <c r="F33" s="8">
        <f t="shared" si="1"/>
        <v>281</v>
      </c>
    </row>
  </sheetData>
  <mergeCells count="3">
    <mergeCell ref="A2:F2"/>
    <mergeCell ref="A3:F3"/>
    <mergeCell ref="A4:F4"/>
  </mergeCells>
  <phoneticPr fontId="7"/>
  <conditionalFormatting sqref="D6:D32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65881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119</v>
      </c>
      <c r="B2" s="15"/>
      <c r="C2" s="15"/>
      <c r="D2" s="15"/>
      <c r="E2" s="15"/>
      <c r="F2" s="15"/>
    </row>
    <row r="3" spans="1:6" ht="38.1" customHeight="1">
      <c r="A3" s="16" t="s">
        <v>81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1" t="s">
        <v>44</v>
      </c>
      <c r="B5" s="11" t="s">
        <v>45</v>
      </c>
      <c r="C5" s="11" t="s">
        <v>46</v>
      </c>
      <c r="D5" s="11" t="s">
        <v>47</v>
      </c>
      <c r="E5" s="11" t="s">
        <v>17</v>
      </c>
      <c r="F5" s="11" t="s">
        <v>18</v>
      </c>
    </row>
    <row r="6" spans="1:6" ht="24.95" customHeight="1">
      <c r="A6" s="1" t="s">
        <v>85</v>
      </c>
      <c r="B6" s="2">
        <v>5000</v>
      </c>
      <c r="C6" s="2">
        <v>0</v>
      </c>
      <c r="D6" s="2">
        <f t="shared" ref="D6:D33" si="0">B6-C6</f>
        <v>5000</v>
      </c>
      <c r="E6" s="5">
        <v>50</v>
      </c>
      <c r="F6" s="7">
        <f t="shared" ref="F6:F33" si="1">E6/10</f>
        <v>5</v>
      </c>
    </row>
    <row r="7" spans="1:6" ht="24.95" customHeight="1">
      <c r="A7" s="1" t="s">
        <v>86</v>
      </c>
      <c r="B7" s="2">
        <v>10000</v>
      </c>
      <c r="C7" s="2">
        <v>0</v>
      </c>
      <c r="D7" s="2">
        <f t="shared" si="0"/>
        <v>10000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15200</v>
      </c>
      <c r="C8" s="2">
        <v>0</v>
      </c>
      <c r="D8" s="2">
        <f t="shared" si="0"/>
        <v>15200</v>
      </c>
      <c r="E8" s="5">
        <v>70</v>
      </c>
      <c r="F8" s="7">
        <f t="shared" si="1"/>
        <v>7</v>
      </c>
    </row>
    <row r="9" spans="1:6" ht="24.95" customHeight="1">
      <c r="A9" s="1" t="s">
        <v>88</v>
      </c>
      <c r="B9" s="2">
        <v>3600</v>
      </c>
      <c r="C9" s="2">
        <v>0</v>
      </c>
      <c r="D9" s="2">
        <f t="shared" si="0"/>
        <v>3600</v>
      </c>
      <c r="E9" s="5">
        <v>20</v>
      </c>
      <c r="F9" s="7">
        <f t="shared" si="1"/>
        <v>2</v>
      </c>
    </row>
    <row r="10" spans="1:6" ht="24.95" customHeight="1">
      <c r="A10" s="1" t="s">
        <v>89</v>
      </c>
      <c r="B10" s="2">
        <v>10800</v>
      </c>
      <c r="C10" s="2">
        <v>0</v>
      </c>
      <c r="D10" s="2">
        <f t="shared" si="0"/>
        <v>10800</v>
      </c>
      <c r="E10" s="5">
        <v>60</v>
      </c>
      <c r="F10" s="7">
        <f t="shared" si="1"/>
        <v>6</v>
      </c>
    </row>
    <row r="11" spans="1:6" ht="24.95" customHeight="1">
      <c r="A11" s="1" t="s">
        <v>90</v>
      </c>
      <c r="B11" s="2">
        <v>5400</v>
      </c>
      <c r="C11" s="2">
        <v>72000</v>
      </c>
      <c r="D11" s="2">
        <f t="shared" si="0"/>
        <v>-66600</v>
      </c>
      <c r="E11" s="5">
        <v>60</v>
      </c>
      <c r="F11" s="7">
        <f t="shared" si="1"/>
        <v>6</v>
      </c>
    </row>
    <row r="12" spans="1:6" ht="24.95" customHeight="1">
      <c r="A12" s="1" t="s">
        <v>91</v>
      </c>
      <c r="B12" s="2">
        <v>18800</v>
      </c>
      <c r="C12" s="2">
        <v>23000</v>
      </c>
      <c r="D12" s="2">
        <f t="shared" si="0"/>
        <v>-4200</v>
      </c>
      <c r="E12" s="5">
        <v>140</v>
      </c>
      <c r="F12" s="7">
        <f t="shared" si="1"/>
        <v>14</v>
      </c>
    </row>
    <row r="13" spans="1:6" ht="24.95" customHeight="1">
      <c r="A13" s="1" t="s">
        <v>92</v>
      </c>
      <c r="B13" s="2">
        <v>13600</v>
      </c>
      <c r="C13" s="2">
        <v>0</v>
      </c>
      <c r="D13" s="2">
        <f t="shared" si="0"/>
        <v>13600</v>
      </c>
      <c r="E13" s="5">
        <v>70</v>
      </c>
      <c r="F13" s="7">
        <f t="shared" si="1"/>
        <v>7</v>
      </c>
    </row>
    <row r="14" spans="1:6" ht="24.95" customHeight="1">
      <c r="A14" s="1" t="s">
        <v>93</v>
      </c>
      <c r="B14" s="2">
        <v>29200</v>
      </c>
      <c r="C14" s="2">
        <v>24000</v>
      </c>
      <c r="D14" s="2">
        <f t="shared" si="0"/>
        <v>5200</v>
      </c>
      <c r="E14" s="5">
        <v>120</v>
      </c>
      <c r="F14" s="7">
        <f t="shared" si="1"/>
        <v>12</v>
      </c>
    </row>
    <row r="15" spans="1:6" ht="24.95" customHeight="1">
      <c r="A15" s="1" t="s">
        <v>94</v>
      </c>
      <c r="B15" s="2">
        <v>52400</v>
      </c>
      <c r="C15" s="2">
        <v>0</v>
      </c>
      <c r="D15" s="2">
        <f t="shared" si="0"/>
        <v>52400</v>
      </c>
      <c r="E15" s="5">
        <v>280</v>
      </c>
      <c r="F15" s="7">
        <f t="shared" si="1"/>
        <v>28</v>
      </c>
    </row>
    <row r="16" spans="1:6" ht="24.95" customHeight="1">
      <c r="A16" s="1" t="s">
        <v>95</v>
      </c>
      <c r="B16" s="2">
        <v>26800</v>
      </c>
      <c r="C16" s="2">
        <v>0</v>
      </c>
      <c r="D16" s="2">
        <f t="shared" si="0"/>
        <v>26800</v>
      </c>
      <c r="E16" s="5">
        <v>140</v>
      </c>
      <c r="F16" s="7">
        <f t="shared" si="1"/>
        <v>14</v>
      </c>
    </row>
    <row r="17" spans="1:6" ht="24.95" customHeight="1">
      <c r="A17" s="1" t="s">
        <v>96</v>
      </c>
      <c r="B17" s="2">
        <v>12800</v>
      </c>
      <c r="C17" s="2">
        <v>0</v>
      </c>
      <c r="D17" s="2">
        <f t="shared" si="0"/>
        <v>12800</v>
      </c>
      <c r="E17" s="5">
        <v>70</v>
      </c>
      <c r="F17" s="7">
        <f t="shared" si="1"/>
        <v>7</v>
      </c>
    </row>
    <row r="18" spans="1:6" ht="24.95" customHeight="1">
      <c r="A18" s="1" t="s">
        <v>97</v>
      </c>
      <c r="B18" s="2">
        <v>1800</v>
      </c>
      <c r="C18" s="2">
        <v>24000</v>
      </c>
      <c r="D18" s="2">
        <f t="shared" si="0"/>
        <v>-22200</v>
      </c>
      <c r="E18" s="5">
        <v>20</v>
      </c>
      <c r="F18" s="7">
        <f t="shared" si="1"/>
        <v>2</v>
      </c>
    </row>
    <row r="19" spans="1:6" ht="24.95" customHeight="1">
      <c r="A19" s="1" t="s">
        <v>98</v>
      </c>
      <c r="B19" s="2">
        <v>46400</v>
      </c>
      <c r="C19" s="2">
        <v>48000</v>
      </c>
      <c r="D19" s="2">
        <f t="shared" si="0"/>
        <v>-1600</v>
      </c>
      <c r="E19" s="5">
        <v>280</v>
      </c>
      <c r="F19" s="7">
        <f t="shared" si="1"/>
        <v>28</v>
      </c>
    </row>
    <row r="20" spans="1:6" ht="24.95" customHeight="1">
      <c r="A20" s="1" t="s">
        <v>99</v>
      </c>
      <c r="B20" s="2">
        <v>10000</v>
      </c>
      <c r="C20" s="2">
        <v>0</v>
      </c>
      <c r="D20" s="2">
        <f t="shared" si="0"/>
        <v>10000</v>
      </c>
      <c r="E20" s="5">
        <v>50</v>
      </c>
      <c r="F20" s="7">
        <f t="shared" si="1"/>
        <v>5</v>
      </c>
    </row>
    <row r="21" spans="1:6" ht="24.95" customHeight="1">
      <c r="A21" s="1" t="s">
        <v>100</v>
      </c>
      <c r="B21" s="2">
        <v>9000</v>
      </c>
      <c r="C21" s="2">
        <v>0</v>
      </c>
      <c r="D21" s="2">
        <f t="shared" si="0"/>
        <v>9000</v>
      </c>
      <c r="E21" s="5">
        <v>50</v>
      </c>
      <c r="F21" s="7">
        <f t="shared" si="1"/>
        <v>5</v>
      </c>
    </row>
    <row r="22" spans="1:6" ht="24.95" customHeight="1">
      <c r="A22" s="1" t="s">
        <v>101</v>
      </c>
      <c r="B22" s="2">
        <v>11200</v>
      </c>
      <c r="C22" s="2">
        <v>0</v>
      </c>
      <c r="D22" s="2">
        <f t="shared" si="0"/>
        <v>11200</v>
      </c>
      <c r="E22" s="5">
        <v>60</v>
      </c>
      <c r="F22" s="7">
        <f t="shared" si="1"/>
        <v>6</v>
      </c>
    </row>
    <row r="23" spans="1:6" ht="24.95" customHeight="1">
      <c r="A23" s="1" t="s">
        <v>102</v>
      </c>
      <c r="B23" s="2">
        <v>13000</v>
      </c>
      <c r="C23" s="2">
        <v>48000</v>
      </c>
      <c r="D23" s="2">
        <f t="shared" si="0"/>
        <v>-35000</v>
      </c>
      <c r="E23" s="5">
        <v>90</v>
      </c>
      <c r="F23" s="7">
        <f t="shared" si="1"/>
        <v>9</v>
      </c>
    </row>
    <row r="24" spans="1:6" ht="24.95" customHeight="1">
      <c r="A24" s="1" t="s">
        <v>103</v>
      </c>
      <c r="B24" s="2">
        <v>14200</v>
      </c>
      <c r="C24" s="2">
        <v>30000</v>
      </c>
      <c r="D24" s="2">
        <f t="shared" si="0"/>
        <v>-15800</v>
      </c>
      <c r="E24" s="5">
        <v>70</v>
      </c>
      <c r="F24" s="7">
        <f t="shared" si="1"/>
        <v>7</v>
      </c>
    </row>
    <row r="25" spans="1:6" ht="24.95" customHeight="1">
      <c r="A25" s="1" t="s">
        <v>104</v>
      </c>
      <c r="B25" s="2">
        <v>49600</v>
      </c>
      <c r="C25" s="2">
        <v>0</v>
      </c>
      <c r="D25" s="2">
        <f t="shared" si="0"/>
        <v>49600</v>
      </c>
      <c r="E25" s="5">
        <v>270</v>
      </c>
      <c r="F25" s="7">
        <f t="shared" si="1"/>
        <v>27</v>
      </c>
    </row>
    <row r="26" spans="1:6" ht="24.95" customHeight="1">
      <c r="A26" s="1" t="s">
        <v>105</v>
      </c>
      <c r="B26" s="2">
        <v>34800</v>
      </c>
      <c r="C26" s="2">
        <v>0</v>
      </c>
      <c r="D26" s="2">
        <f t="shared" si="0"/>
        <v>34800</v>
      </c>
      <c r="E26" s="5">
        <v>210</v>
      </c>
      <c r="F26" s="7">
        <f t="shared" si="1"/>
        <v>21</v>
      </c>
    </row>
    <row r="27" spans="1:6" ht="24.95" customHeight="1">
      <c r="A27" s="1" t="s">
        <v>106</v>
      </c>
      <c r="B27" s="2">
        <v>16800</v>
      </c>
      <c r="C27" s="2">
        <v>0</v>
      </c>
      <c r="D27" s="2">
        <f t="shared" si="0"/>
        <v>16800</v>
      </c>
      <c r="E27" s="5">
        <v>100</v>
      </c>
      <c r="F27" s="7">
        <f t="shared" si="1"/>
        <v>10</v>
      </c>
    </row>
    <row r="28" spans="1:6" ht="24.95" customHeight="1">
      <c r="A28" s="1" t="s">
        <v>107</v>
      </c>
      <c r="B28" s="2">
        <v>20800</v>
      </c>
      <c r="C28" s="2">
        <v>0</v>
      </c>
      <c r="D28" s="2">
        <f t="shared" si="0"/>
        <v>20800</v>
      </c>
      <c r="E28" s="5">
        <v>120</v>
      </c>
      <c r="F28" s="7">
        <f t="shared" si="1"/>
        <v>12</v>
      </c>
    </row>
    <row r="29" spans="1:6" ht="24.95" customHeight="1">
      <c r="A29" s="1" t="s">
        <v>108</v>
      </c>
      <c r="B29" s="2">
        <v>23400</v>
      </c>
      <c r="C29" s="2">
        <v>0</v>
      </c>
      <c r="D29" s="2">
        <f t="shared" si="0"/>
        <v>23400</v>
      </c>
      <c r="E29" s="5">
        <v>70</v>
      </c>
      <c r="F29" s="7">
        <f t="shared" si="1"/>
        <v>7</v>
      </c>
    </row>
    <row r="30" spans="1:6" ht="24.95" customHeight="1">
      <c r="A30" s="1" t="s">
        <v>109</v>
      </c>
      <c r="B30" s="2">
        <v>20200</v>
      </c>
      <c r="C30" s="2">
        <v>23000</v>
      </c>
      <c r="D30" s="2">
        <f t="shared" si="0"/>
        <v>-2800</v>
      </c>
      <c r="E30" s="5">
        <v>110</v>
      </c>
      <c r="F30" s="7">
        <f t="shared" si="1"/>
        <v>11</v>
      </c>
    </row>
    <row r="31" spans="1:6" ht="24.95" customHeight="1">
      <c r="A31" s="1" t="s">
        <v>110</v>
      </c>
      <c r="B31" s="2">
        <v>31400</v>
      </c>
      <c r="C31" s="2">
        <v>0</v>
      </c>
      <c r="D31" s="2">
        <f t="shared" si="0"/>
        <v>31400</v>
      </c>
      <c r="E31" s="5">
        <v>160</v>
      </c>
      <c r="F31" s="7">
        <f t="shared" si="1"/>
        <v>16</v>
      </c>
    </row>
    <row r="32" spans="1:6" ht="24.95" customHeight="1">
      <c r="A32" s="1" t="s">
        <v>111</v>
      </c>
      <c r="B32" s="2">
        <v>3800</v>
      </c>
      <c r="C32" s="2">
        <v>0</v>
      </c>
      <c r="D32" s="2">
        <f t="shared" si="0"/>
        <v>3800</v>
      </c>
      <c r="E32" s="5">
        <v>20</v>
      </c>
      <c r="F32" s="7">
        <f t="shared" si="1"/>
        <v>2</v>
      </c>
    </row>
    <row r="33" spans="1:6" ht="24.95" customHeight="1">
      <c r="A33" s="3" t="s">
        <v>75</v>
      </c>
      <c r="B33" s="4">
        <f>SUM(B6:B32)</f>
        <v>510000</v>
      </c>
      <c r="C33" s="4">
        <f>SUM(C6:C32)</f>
        <v>292000</v>
      </c>
      <c r="D33" s="4">
        <f t="shared" si="0"/>
        <v>218000</v>
      </c>
      <c r="E33" s="6">
        <f>SUM(E6:E32)</f>
        <v>2810</v>
      </c>
      <c r="F33" s="8">
        <f t="shared" si="1"/>
        <v>281</v>
      </c>
    </row>
  </sheetData>
  <mergeCells count="3">
    <mergeCell ref="A2:F2"/>
    <mergeCell ref="A3:F3"/>
    <mergeCell ref="A4:F4"/>
  </mergeCells>
  <phoneticPr fontId="7"/>
  <conditionalFormatting sqref="D6:D32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65881"/>
  </sheetPr>
  <dimension ref="A1:F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8" customWidth="1"/>
    <col min="2" max="6" width="18" customWidth="1"/>
  </cols>
  <sheetData>
    <row r="1" spans="1:6" ht="9.9499999999999993" customHeight="1">
      <c r="A1" s="1"/>
      <c r="B1" s="1"/>
      <c r="C1" s="1"/>
      <c r="D1" s="1"/>
      <c r="E1" s="1"/>
      <c r="F1" s="1"/>
    </row>
    <row r="2" spans="1:6" ht="24.95" customHeight="1">
      <c r="A2" s="14" t="s">
        <v>120</v>
      </c>
      <c r="B2" s="15"/>
      <c r="C2" s="15"/>
      <c r="D2" s="15"/>
      <c r="E2" s="15"/>
      <c r="F2" s="15"/>
    </row>
    <row r="3" spans="1:6" ht="38.1" customHeight="1">
      <c r="A3" s="16" t="s">
        <v>83</v>
      </c>
      <c r="B3" s="16"/>
      <c r="C3" s="16"/>
      <c r="D3" s="16"/>
      <c r="E3" s="16"/>
      <c r="F3" s="16"/>
    </row>
    <row r="4" spans="1:6" ht="38.1" customHeight="1">
      <c r="A4" s="16" t="s">
        <v>43</v>
      </c>
      <c r="B4" s="16"/>
      <c r="C4" s="16"/>
      <c r="D4" s="16"/>
      <c r="E4" s="16"/>
      <c r="F4" s="16"/>
    </row>
    <row r="5" spans="1:6" ht="42" customHeight="1">
      <c r="A5" s="11" t="s">
        <v>44</v>
      </c>
      <c r="B5" s="11" t="s">
        <v>45</v>
      </c>
      <c r="C5" s="11" t="s">
        <v>46</v>
      </c>
      <c r="D5" s="11" t="s">
        <v>47</v>
      </c>
      <c r="E5" s="11" t="s">
        <v>17</v>
      </c>
      <c r="F5" s="11" t="s">
        <v>18</v>
      </c>
    </row>
    <row r="6" spans="1:6" ht="24.95" customHeight="1">
      <c r="A6" s="1" t="s">
        <v>85</v>
      </c>
      <c r="B6" s="2">
        <v>5000</v>
      </c>
      <c r="C6" s="2">
        <v>0</v>
      </c>
      <c r="D6" s="2">
        <f t="shared" ref="D6:D33" si="0">B6-C6</f>
        <v>5000</v>
      </c>
      <c r="E6" s="5">
        <v>50</v>
      </c>
      <c r="F6" s="7">
        <f t="shared" ref="F6:F33" si="1">E6/10</f>
        <v>5</v>
      </c>
    </row>
    <row r="7" spans="1:6" ht="24.95" customHeight="1">
      <c r="A7" s="1" t="s">
        <v>86</v>
      </c>
      <c r="B7" s="2">
        <v>10000</v>
      </c>
      <c r="C7" s="2">
        <v>0</v>
      </c>
      <c r="D7" s="2">
        <f t="shared" si="0"/>
        <v>10000</v>
      </c>
      <c r="E7" s="5">
        <v>50</v>
      </c>
      <c r="F7" s="7">
        <f t="shared" si="1"/>
        <v>5</v>
      </c>
    </row>
    <row r="8" spans="1:6" ht="24.95" customHeight="1">
      <c r="A8" s="1" t="s">
        <v>87</v>
      </c>
      <c r="B8" s="2">
        <v>8000</v>
      </c>
      <c r="C8" s="2">
        <v>0</v>
      </c>
      <c r="D8" s="2">
        <f t="shared" si="0"/>
        <v>8000</v>
      </c>
      <c r="E8" s="5">
        <v>70</v>
      </c>
      <c r="F8" s="7">
        <f t="shared" si="1"/>
        <v>7</v>
      </c>
    </row>
    <row r="9" spans="1:6" ht="24.95" customHeight="1">
      <c r="A9" s="1" t="s">
        <v>88</v>
      </c>
      <c r="B9" s="2">
        <v>2000</v>
      </c>
      <c r="C9" s="2">
        <v>0</v>
      </c>
      <c r="D9" s="2">
        <f t="shared" si="0"/>
        <v>2000</v>
      </c>
      <c r="E9" s="5">
        <v>20</v>
      </c>
      <c r="F9" s="7">
        <f t="shared" si="1"/>
        <v>2</v>
      </c>
    </row>
    <row r="10" spans="1:6" ht="24.95" customHeight="1">
      <c r="A10" s="1" t="s">
        <v>89</v>
      </c>
      <c r="B10" s="2">
        <v>6000</v>
      </c>
      <c r="C10" s="2">
        <v>0</v>
      </c>
      <c r="D10" s="2">
        <f t="shared" si="0"/>
        <v>6000</v>
      </c>
      <c r="E10" s="5">
        <v>60</v>
      </c>
      <c r="F10" s="7">
        <f t="shared" si="1"/>
        <v>6</v>
      </c>
    </row>
    <row r="11" spans="1:6" ht="24.95" customHeight="1">
      <c r="A11" s="1" t="s">
        <v>90</v>
      </c>
      <c r="B11" s="2">
        <v>2000</v>
      </c>
      <c r="C11" s="2">
        <v>47000</v>
      </c>
      <c r="D11" s="2">
        <f t="shared" si="0"/>
        <v>-45000</v>
      </c>
      <c r="E11" s="5">
        <v>60</v>
      </c>
      <c r="F11" s="7">
        <f t="shared" si="1"/>
        <v>6</v>
      </c>
    </row>
    <row r="12" spans="1:6" ht="24.95" customHeight="1">
      <c r="A12" s="1" t="s">
        <v>91</v>
      </c>
      <c r="B12" s="2">
        <v>14000</v>
      </c>
      <c r="C12" s="2">
        <v>12000</v>
      </c>
      <c r="D12" s="2">
        <f t="shared" si="0"/>
        <v>2000</v>
      </c>
      <c r="E12" s="5">
        <v>140</v>
      </c>
      <c r="F12" s="7">
        <f t="shared" si="1"/>
        <v>14</v>
      </c>
    </row>
    <row r="13" spans="1:6" ht="24.95" customHeight="1">
      <c r="A13" s="1" t="s">
        <v>92</v>
      </c>
      <c r="B13" s="2">
        <v>12000</v>
      </c>
      <c r="C13" s="2">
        <v>0</v>
      </c>
      <c r="D13" s="2">
        <f t="shared" si="0"/>
        <v>12000</v>
      </c>
      <c r="E13" s="5">
        <v>70</v>
      </c>
      <c r="F13" s="7">
        <f t="shared" si="1"/>
        <v>7</v>
      </c>
    </row>
    <row r="14" spans="1:6" ht="24.95" customHeight="1">
      <c r="A14" s="1" t="s">
        <v>93</v>
      </c>
      <c r="B14" s="2">
        <v>56000</v>
      </c>
      <c r="C14" s="2">
        <v>34000</v>
      </c>
      <c r="D14" s="2">
        <f t="shared" si="0"/>
        <v>22000</v>
      </c>
      <c r="E14" s="5">
        <v>120</v>
      </c>
      <c r="F14" s="7">
        <f t="shared" si="1"/>
        <v>12</v>
      </c>
    </row>
    <row r="15" spans="1:6" ht="24.95" customHeight="1">
      <c r="A15" s="1" t="s">
        <v>94</v>
      </c>
      <c r="B15" s="2">
        <v>48000</v>
      </c>
      <c r="C15" s="2">
        <v>24000</v>
      </c>
      <c r="D15" s="2">
        <f t="shared" si="0"/>
        <v>24000</v>
      </c>
      <c r="E15" s="5">
        <v>280</v>
      </c>
      <c r="F15" s="7">
        <f t="shared" si="1"/>
        <v>28</v>
      </c>
    </row>
    <row r="16" spans="1:6" ht="24.95" customHeight="1">
      <c r="A16" s="1" t="s">
        <v>95</v>
      </c>
      <c r="B16" s="2">
        <v>13000</v>
      </c>
      <c r="C16" s="2">
        <v>12000</v>
      </c>
      <c r="D16" s="2">
        <f t="shared" si="0"/>
        <v>1000</v>
      </c>
      <c r="E16" s="5">
        <v>140</v>
      </c>
      <c r="F16" s="7">
        <f t="shared" si="1"/>
        <v>14</v>
      </c>
    </row>
    <row r="17" spans="1:6" ht="24.95" customHeight="1">
      <c r="A17" s="1" t="s">
        <v>96</v>
      </c>
      <c r="B17" s="2">
        <v>8000</v>
      </c>
      <c r="C17" s="2">
        <v>0</v>
      </c>
      <c r="D17" s="2">
        <f t="shared" si="0"/>
        <v>8000</v>
      </c>
      <c r="E17" s="5">
        <v>70</v>
      </c>
      <c r="F17" s="7">
        <f t="shared" si="1"/>
        <v>7</v>
      </c>
    </row>
    <row r="18" spans="1:6" ht="24.95" customHeight="1">
      <c r="A18" s="1" t="s">
        <v>97</v>
      </c>
      <c r="B18" s="2">
        <v>1000</v>
      </c>
      <c r="C18" s="2">
        <v>12000</v>
      </c>
      <c r="D18" s="2">
        <f t="shared" si="0"/>
        <v>-11000</v>
      </c>
      <c r="E18" s="5">
        <v>20</v>
      </c>
      <c r="F18" s="7">
        <f t="shared" si="1"/>
        <v>2</v>
      </c>
    </row>
    <row r="19" spans="1:6" ht="24.95" customHeight="1">
      <c r="A19" s="1" t="s">
        <v>98</v>
      </c>
      <c r="B19" s="2">
        <v>48000</v>
      </c>
      <c r="C19" s="2">
        <v>24000</v>
      </c>
      <c r="D19" s="2">
        <f t="shared" si="0"/>
        <v>24000</v>
      </c>
      <c r="E19" s="5">
        <v>280</v>
      </c>
      <c r="F19" s="7">
        <f t="shared" si="1"/>
        <v>28</v>
      </c>
    </row>
    <row r="20" spans="1:6" ht="24.95" customHeight="1">
      <c r="A20" s="1" t="s">
        <v>99</v>
      </c>
      <c r="B20" s="2">
        <v>10000</v>
      </c>
      <c r="C20" s="2">
        <v>0</v>
      </c>
      <c r="D20" s="2">
        <f t="shared" si="0"/>
        <v>10000</v>
      </c>
      <c r="E20" s="5">
        <v>50</v>
      </c>
      <c r="F20" s="7">
        <f t="shared" si="1"/>
        <v>5</v>
      </c>
    </row>
    <row r="21" spans="1:6" ht="24.95" customHeight="1">
      <c r="A21" s="1" t="s">
        <v>100</v>
      </c>
      <c r="B21" s="2">
        <v>5000</v>
      </c>
      <c r="C21" s="2">
        <v>0</v>
      </c>
      <c r="D21" s="2">
        <f t="shared" si="0"/>
        <v>5000</v>
      </c>
      <c r="E21" s="5">
        <v>50</v>
      </c>
      <c r="F21" s="7">
        <f t="shared" si="1"/>
        <v>5</v>
      </c>
    </row>
    <row r="22" spans="1:6" ht="24.95" customHeight="1">
      <c r="A22" s="1" t="s">
        <v>101</v>
      </c>
      <c r="B22" s="2">
        <v>12000</v>
      </c>
      <c r="C22" s="2">
        <v>0</v>
      </c>
      <c r="D22" s="2">
        <f t="shared" si="0"/>
        <v>12000</v>
      </c>
      <c r="E22" s="5">
        <v>60</v>
      </c>
      <c r="F22" s="7">
        <f t="shared" si="1"/>
        <v>6</v>
      </c>
    </row>
    <row r="23" spans="1:6" ht="24.95" customHeight="1">
      <c r="A23" s="1" t="s">
        <v>102</v>
      </c>
      <c r="B23" s="2">
        <v>13000</v>
      </c>
      <c r="C23" s="2">
        <v>24000</v>
      </c>
      <c r="D23" s="2">
        <f t="shared" si="0"/>
        <v>-11000</v>
      </c>
      <c r="E23" s="5">
        <v>90</v>
      </c>
      <c r="F23" s="7">
        <f t="shared" si="1"/>
        <v>9</v>
      </c>
    </row>
    <row r="24" spans="1:6" ht="24.95" customHeight="1">
      <c r="A24" s="1" t="s">
        <v>103</v>
      </c>
      <c r="B24" s="2">
        <v>26000</v>
      </c>
      <c r="C24" s="2">
        <v>23000</v>
      </c>
      <c r="D24" s="2">
        <f t="shared" si="0"/>
        <v>3000</v>
      </c>
      <c r="E24" s="5">
        <v>70</v>
      </c>
      <c r="F24" s="7">
        <f t="shared" si="1"/>
        <v>7</v>
      </c>
    </row>
    <row r="25" spans="1:6" ht="24.95" customHeight="1">
      <c r="A25" s="1" t="s">
        <v>104</v>
      </c>
      <c r="B25" s="2">
        <v>31000</v>
      </c>
      <c r="C25" s="2">
        <v>12000</v>
      </c>
      <c r="D25" s="2">
        <f t="shared" si="0"/>
        <v>19000</v>
      </c>
      <c r="E25" s="5">
        <v>270</v>
      </c>
      <c r="F25" s="7">
        <f t="shared" si="1"/>
        <v>27</v>
      </c>
    </row>
    <row r="26" spans="1:6" ht="24.95" customHeight="1">
      <c r="A26" s="1" t="s">
        <v>105</v>
      </c>
      <c r="B26" s="2">
        <v>21000</v>
      </c>
      <c r="C26" s="2">
        <v>60000</v>
      </c>
      <c r="D26" s="2">
        <f t="shared" si="0"/>
        <v>-39000</v>
      </c>
      <c r="E26" s="5">
        <v>210</v>
      </c>
      <c r="F26" s="7">
        <f t="shared" si="1"/>
        <v>21</v>
      </c>
    </row>
    <row r="27" spans="1:6" ht="24.95" customHeight="1">
      <c r="A27" s="1" t="s">
        <v>106</v>
      </c>
      <c r="B27" s="2">
        <v>12000</v>
      </c>
      <c r="C27" s="2">
        <v>0</v>
      </c>
      <c r="D27" s="2">
        <f t="shared" si="0"/>
        <v>12000</v>
      </c>
      <c r="E27" s="5">
        <v>100</v>
      </c>
      <c r="F27" s="7">
        <f t="shared" si="1"/>
        <v>10</v>
      </c>
    </row>
    <row r="28" spans="1:6" ht="24.95" customHeight="1">
      <c r="A28" s="1" t="s">
        <v>107</v>
      </c>
      <c r="B28" s="2">
        <v>12000</v>
      </c>
      <c r="C28" s="2">
        <v>0</v>
      </c>
      <c r="D28" s="2">
        <f t="shared" si="0"/>
        <v>12000</v>
      </c>
      <c r="E28" s="5">
        <v>120</v>
      </c>
      <c r="F28" s="7">
        <f t="shared" si="1"/>
        <v>12</v>
      </c>
    </row>
    <row r="29" spans="1:6" ht="24.95" customHeight="1">
      <c r="A29" s="1" t="s">
        <v>108</v>
      </c>
      <c r="B29" s="2">
        <v>61000</v>
      </c>
      <c r="C29" s="2">
        <v>0</v>
      </c>
      <c r="D29" s="2">
        <f t="shared" si="0"/>
        <v>61000</v>
      </c>
      <c r="E29" s="5">
        <v>70</v>
      </c>
      <c r="F29" s="7">
        <f t="shared" si="1"/>
        <v>7</v>
      </c>
    </row>
    <row r="30" spans="1:6" ht="24.95" customHeight="1">
      <c r="A30" s="1" t="s">
        <v>109</v>
      </c>
      <c r="B30" s="2">
        <v>21000</v>
      </c>
      <c r="C30" s="2">
        <v>12000</v>
      </c>
      <c r="D30" s="2">
        <f t="shared" si="0"/>
        <v>9000</v>
      </c>
      <c r="E30" s="5">
        <v>110</v>
      </c>
      <c r="F30" s="7">
        <f t="shared" si="1"/>
        <v>11</v>
      </c>
    </row>
    <row r="31" spans="1:6" ht="24.95" customHeight="1">
      <c r="A31" s="1" t="s">
        <v>110</v>
      </c>
      <c r="B31" s="2">
        <v>35000</v>
      </c>
      <c r="C31" s="2">
        <v>46000</v>
      </c>
      <c r="D31" s="2">
        <f t="shared" si="0"/>
        <v>-11000</v>
      </c>
      <c r="E31" s="5">
        <v>160</v>
      </c>
      <c r="F31" s="7">
        <f t="shared" si="1"/>
        <v>16</v>
      </c>
    </row>
    <row r="32" spans="1:6" ht="24.95" customHeight="1">
      <c r="A32" s="1" t="s">
        <v>111</v>
      </c>
      <c r="B32" s="2">
        <v>3000</v>
      </c>
      <c r="C32" s="2">
        <v>0</v>
      </c>
      <c r="D32" s="2">
        <f t="shared" si="0"/>
        <v>3000</v>
      </c>
      <c r="E32" s="5">
        <v>20</v>
      </c>
      <c r="F32" s="7">
        <f t="shared" si="1"/>
        <v>2</v>
      </c>
    </row>
    <row r="33" spans="1:6" ht="24.95" customHeight="1">
      <c r="A33" s="3" t="s">
        <v>75</v>
      </c>
      <c r="B33" s="4">
        <f>SUM(B6:B32)</f>
        <v>495000</v>
      </c>
      <c r="C33" s="4">
        <f>SUM(C6:C32)</f>
        <v>342000</v>
      </c>
      <c r="D33" s="4">
        <f t="shared" si="0"/>
        <v>153000</v>
      </c>
      <c r="E33" s="6">
        <f>SUM(E6:E32)</f>
        <v>2810</v>
      </c>
      <c r="F33" s="8">
        <f t="shared" si="1"/>
        <v>281</v>
      </c>
    </row>
  </sheetData>
  <mergeCells count="3">
    <mergeCell ref="A2:F2"/>
    <mergeCell ref="A3:F3"/>
    <mergeCell ref="A4:F4"/>
  </mergeCells>
  <phoneticPr fontId="7"/>
  <conditionalFormatting sqref="D6:D32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比較</vt:lpstr>
      <vt:lpstr>日経_D164_15</vt:lpstr>
      <vt:lpstr>日経_D168C_01</vt:lpstr>
      <vt:lpstr>日経_D168C_02</vt:lpstr>
      <vt:lpstr>日経_D168C_03</vt:lpstr>
      <vt:lpstr>日経_D168C_04</vt:lpstr>
      <vt:lpstr>日経_P164_06</vt:lpstr>
      <vt:lpstr>日経_P168C_01</vt:lpstr>
      <vt:lpstr>日経_P168C_02</vt:lpstr>
      <vt:lpstr>日経_P168C_03</vt:lpstr>
      <vt:lpstr>日経_P168C_04</vt:lpstr>
      <vt:lpstr>日経_U165_03</vt:lpstr>
      <vt:lpstr>日経_U168C_01</vt:lpstr>
      <vt:lpstr>日経_U168C_02</vt:lpstr>
      <vt:lpstr>日経_U168C_03</vt:lpstr>
      <vt:lpstr>日経_U168C_04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Masayoshi Ito</dc:creator>
  <cp:lastModifiedBy>Masayoshi Ito</cp:lastModifiedBy>
  <dcterms:created xsi:type="dcterms:W3CDTF">2026-10-29T00:46:28Z</dcterms:created>
  <dcterms:modified xsi:type="dcterms:W3CDTF">2026-10-29T00:46:28Z</dcterms:modified>
</cp:coreProperties>
</file>