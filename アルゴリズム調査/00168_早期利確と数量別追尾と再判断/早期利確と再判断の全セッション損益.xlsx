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sheets/sheet46.xml" ContentType="application/vnd.openxmlformats-officedocument.spreadsheetml.worksheet+xml"/>
  <Override PartName="/xl/tables/table46.xml" ContentType="application/vnd.openxmlformats-officedocument.spreadsheetml.table+xml"/>
  <Override PartName="/xl/worksheets/sheet47.xml" ContentType="application/vnd.openxmlformats-officedocument.spreadsheetml.worksheet+xml"/>
  <Override PartName="/xl/tables/table47.xml" ContentType="application/vnd.openxmlformats-officedocument.spreadsheetml.table+xml"/>
  <Override PartName="/xl/worksheets/sheet48.xml" ContentType="application/vnd.openxmlformats-officedocument.spreadsheetml.worksheet+xml"/>
  <Override PartName="/xl/tables/table48.xml" ContentType="application/vnd.openxmlformats-officedocument.spreadsheetml.table+xml"/>
  <Override PartName="/xl/worksheets/sheet49.xml" ContentType="application/vnd.openxmlformats-officedocument.spreadsheetml.worksheet+xml"/>
  <Override PartName="/xl/tables/table49.xml" ContentType="application/vnd.openxmlformats-officedocument.spreadsheetml.table+xml"/>
  <Override PartName="/xl/worksheets/sheet50.xml" ContentType="application/vnd.openxmlformats-officedocument.spreadsheetml.worksheet+xml"/>
  <Override PartName="/xl/tables/table50.xml" ContentType="application/vnd.openxmlformats-officedocument.spreadsheetml.table+xml"/>
  <Override PartName="/xl/worksheets/sheet51.xml" ContentType="application/vnd.openxmlformats-officedocument.spreadsheetml.worksheet+xml"/>
  <Override PartName="/xl/tables/table51.xml" ContentType="application/vnd.openxmlformats-officedocument.spreadsheetml.table+xml"/>
  <Override PartName="/xl/worksheets/sheet52.xml" ContentType="application/vnd.openxmlformats-officedocument.spreadsheetml.worksheet+xml"/>
  <Override PartName="/xl/tables/table52.xml" ContentType="application/vnd.openxmlformats-officedocument.spreadsheetml.table+xml"/>
  <Override PartName="/xl/worksheets/sheet53.xml" ContentType="application/vnd.openxmlformats-officedocument.spreadsheetml.worksheet+xml"/>
  <Override PartName="/xl/tables/table53.xml" ContentType="application/vnd.openxmlformats-officedocument.spreadsheetml.table+xml"/>
  <Override PartName="/xl/worksheets/sheet54.xml" ContentType="application/vnd.openxmlformats-officedocument.spreadsheetml.worksheet+xml"/>
  <Override PartName="/xl/tables/table54.xml" ContentType="application/vnd.openxmlformats-officedocument.spreadsheetml.table+xml"/>
  <Override PartName="/xl/worksheets/sheet55.xml" ContentType="application/vnd.openxmlformats-officedocument.spreadsheetml.worksheet+xml"/>
  <Override PartName="/xl/tables/table55.xml" ContentType="application/vnd.openxmlformats-officedocument.spreadsheetml.table+xml"/>
  <Override PartName="/xl/worksheets/sheet56.xml" ContentType="application/vnd.openxmlformats-officedocument.spreadsheetml.worksheet+xml"/>
  <Override PartName="/xl/tables/table56.xml" ContentType="application/vnd.openxmlformats-officedocument.spreadsheetml.table+xml"/>
  <Override PartName="/xl/worksheets/sheet57.xml" ContentType="application/vnd.openxmlformats-officedocument.spreadsheetml.worksheet+xml"/>
  <Override PartName="/xl/tables/table57.xml" ContentType="application/vnd.openxmlformats-officedocument.spreadsheetml.table+xml"/>
  <Override PartName="/xl/worksheets/sheet58.xml" ContentType="application/vnd.openxmlformats-officedocument.spreadsheetml.worksheet+xml"/>
  <Override PartName="/xl/tables/table58.xml" ContentType="application/vnd.openxmlformats-officedocument.spreadsheetml.table+xml"/>
  <Override PartName="/xl/worksheets/sheet59.xml" ContentType="application/vnd.openxmlformats-officedocument.spreadsheetml.worksheet+xml"/>
  <Override PartName="/xl/tables/table59.xml" ContentType="application/vnd.openxmlformats-officedocument.spreadsheetml.table+xml"/>
  <Override PartName="/xl/worksheets/sheet60.xml" ContentType="application/vnd.openxmlformats-officedocument.spreadsheetml.worksheet+xml"/>
  <Override PartName="/xl/tables/table60.xml" ContentType="application/vnd.openxmlformats-officedocument.spreadsheetml.table+xml"/>
  <Override PartName="/xl/worksheets/sheet61.xml" ContentType="application/vnd.openxmlformats-officedocument.spreadsheetml.worksheet+xml"/>
  <Override PartName="/xl/tables/table61.xml" ContentType="application/vnd.openxmlformats-officedocument.spreadsheetml.table+xml"/>
  <Override PartName="/xl/worksheets/sheet62.xml" ContentType="application/vnd.openxmlformats-officedocument.spreadsheetml.worksheet+xml"/>
  <Override PartName="/xl/tables/table62.xml" ContentType="application/vnd.openxmlformats-officedocument.spreadsheetml.table+xml"/>
  <Override PartName="/xl/worksheets/sheet63.xml" ContentType="application/vnd.openxmlformats-officedocument.spreadsheetml.worksheet+xml"/>
  <Override PartName="/xl/tables/table63.xml" ContentType="application/vnd.openxmlformats-officedocument.spreadsheetml.table+xml"/>
  <Override PartName="/xl/worksheets/sheet64.xml" ContentType="application/vnd.openxmlformats-officedocument.spreadsheetml.worksheet+xml"/>
  <Override PartName="/xl/tables/table64.xml" ContentType="application/vnd.openxmlformats-officedocument.spreadsheetml.table+xml"/>
  <Override PartName="/xl/worksheets/sheet65.xml" ContentType="application/vnd.openxmlformats-officedocument.spreadsheetml.worksheet+xml"/>
  <Override PartName="/xl/tables/table65.xml" ContentType="application/vnd.openxmlformats-officedocument.spreadsheetml.table+xml"/>
  <Override PartName="/xl/worksheets/sheet66.xml" ContentType="application/vnd.openxmlformats-officedocument.spreadsheetml.worksheet+xml"/>
  <Override PartName="/xl/tables/table66.xml" ContentType="application/vnd.openxmlformats-officedocument.spreadsheetml.table+xml"/>
  <Override PartName="/xl/worksheets/sheet67.xml" ContentType="application/vnd.openxmlformats-officedocument.spreadsheetml.worksheet+xml"/>
  <Override PartName="/xl/tables/table67.xml" ContentType="application/vnd.openxmlformats-officedocument.spreadsheetml.table+xml"/>
  <Override PartName="/xl/worksheets/sheet68.xml" ContentType="application/vnd.openxmlformats-officedocument.spreadsheetml.worksheet+xml"/>
  <Override PartName="/xl/tables/table68.xml" ContentType="application/vnd.openxmlformats-officedocument.spreadsheetml.table+xml"/>
  <Override PartName="/xl/worksheets/sheet69.xml" ContentType="application/vnd.openxmlformats-officedocument.spreadsheetml.worksheet+xml"/>
  <Override PartName="/xl/tables/table69.xml" ContentType="application/vnd.openxmlformats-officedocument.spreadsheetml.table+xml"/>
  <Override PartName="/xl/worksheets/sheet70.xml" ContentType="application/vnd.openxmlformats-officedocument.spreadsheetml.worksheet+xml"/>
  <Override PartName="/xl/tables/table70.xml" ContentType="application/vnd.openxmlformats-officedocument.spreadsheetml.table+xml"/>
  <Override PartName="/xl/worksheets/sheet71.xml" ContentType="application/vnd.openxmlformats-officedocument.spreadsheetml.worksheet+xml"/>
  <Override PartName="/xl/tables/table71.xml" ContentType="application/vnd.openxmlformats-officedocument.spreadsheetml.table+xml"/>
  <Override PartName="/xl/worksheets/sheet72.xml" ContentType="application/vnd.openxmlformats-officedocument.spreadsheetml.worksheet+xml"/>
  <Override PartName="/xl/tables/table72.xml" ContentType="application/vnd.openxmlformats-officedocument.spreadsheetml.table+xml"/>
  <Override PartName="/xl/worksheets/sheet73.xml" ContentType="application/vnd.openxmlformats-officedocument.spreadsheetml.worksheet+xml"/>
  <Override PartName="/xl/tables/table73.xml" ContentType="application/vnd.openxmlformats-officedocument.spreadsheetml.table+xml"/>
  <Override PartName="/xl/worksheets/sheet74.xml" ContentType="application/vnd.openxmlformats-officedocument.spreadsheetml.worksheet+xml"/>
  <Override PartName="/xl/tables/table74.xml" ContentType="application/vnd.openxmlformats-officedocument.spreadsheetml.table+xml"/>
  <Override PartName="/xl/worksheets/sheet75.xml" ContentType="application/vnd.openxmlformats-officedocument.spreadsheetml.worksheet+xml"/>
  <Override PartName="/xl/tables/table75.xml" ContentType="application/vnd.openxmlformats-officedocument.spreadsheetml.table+xml"/>
  <Override PartName="/xl/worksheets/sheet76.xml" ContentType="application/vnd.openxmlformats-officedocument.spreadsheetml.worksheet+xml"/>
  <Override PartName="/xl/tables/table76.xml" ContentType="application/vnd.openxmlformats-officedocument.spreadsheetml.table+xml"/>
  <Override PartName="/xl/worksheets/sheet77.xml" ContentType="application/vnd.openxmlformats-officedocument.spreadsheetml.worksheet+xml"/>
  <Override PartName="/xl/tables/table77.xml" ContentType="application/vnd.openxmlformats-officedocument.spreadsheetml.table+xml"/>
  <Override PartName="/xl/worksheets/sheet78.xml" ContentType="application/vnd.openxmlformats-officedocument.spreadsheetml.worksheet+xml"/>
  <Override PartName="/xl/tables/table78.xml" ContentType="application/vnd.openxmlformats-officedocument.spreadsheetml.table+xml"/>
  <Override PartName="/xl/worksheets/sheet79.xml" ContentType="application/vnd.openxmlformats-officedocument.spreadsheetml.worksheet+xml"/>
  <Override PartName="/xl/tables/table79.xml" ContentType="application/vnd.openxmlformats-officedocument.spreadsheetml.table+xml"/>
  <Override PartName="/xl/worksheets/sheet80.xml" ContentType="application/vnd.openxmlformats-officedocument.spreadsheetml.worksheet+xml"/>
  <Override PartName="/xl/tables/table80.xml" ContentType="application/vnd.openxmlformats-officedocument.spreadsheetml.table+xml"/>
  <Override PartName="/xl/worksheets/sheet81.xml" ContentType="application/vnd.openxmlformats-officedocument.spreadsheetml.worksheet+xml"/>
  <Override PartName="/xl/tables/table81.xml" ContentType="application/vnd.openxmlformats-officedocument.spreadsheetml.table+xml"/>
  <Override PartName="/xl/worksheets/sheet82.xml" ContentType="application/vnd.openxmlformats-officedocument.spreadsheetml.worksheet+xml"/>
  <Override PartName="/xl/tables/table82.xml" ContentType="application/vnd.openxmlformats-officedocument.spreadsheetml.table+xml"/>
  <Override PartName="/xl/worksheets/sheet83.xml" ContentType="application/vnd.openxmlformats-officedocument.spreadsheetml.worksheet+xml"/>
  <Override PartName="/xl/tables/table83.xml" ContentType="application/vnd.openxmlformats-officedocument.spreadsheetml.table+xml"/>
  <Override PartName="/xl/worksheets/sheet84.xml" ContentType="application/vnd.openxmlformats-officedocument.spreadsheetml.worksheet+xml"/>
  <Override PartName="/xl/tables/table84.xml" ContentType="application/vnd.openxmlformats-officedocument.spreadsheetml.table+xml"/>
  <Override PartName="/xl/worksheets/sheet85.xml" ContentType="application/vnd.openxmlformats-officedocument.spreadsheetml.worksheet+xml"/>
  <Override PartName="/xl/tables/table85.xml" ContentType="application/vnd.openxmlformats-officedocument.spreadsheetml.table+xml"/>
  <Override PartName="/xl/worksheets/sheet86.xml" ContentType="application/vnd.openxmlformats-officedocument.spreadsheetml.worksheet+xml"/>
  <Override PartName="/xl/tables/table86.xml" ContentType="application/vnd.openxmlformats-officedocument.spreadsheetml.table+xml"/>
  <Override PartName="/xl/worksheets/sheet87.xml" ContentType="application/vnd.openxmlformats-officedocument.spreadsheetml.worksheet+xml"/>
  <Override PartName="/xl/tables/table87.xml" ContentType="application/vnd.openxmlformats-officedocument.spreadsheetml.table+xml"/>
  <Override PartName="/xl/worksheets/sheet88.xml" ContentType="application/vnd.openxmlformats-officedocument.spreadsheetml.worksheet+xml"/>
  <Override PartName="/xl/tables/table88.xml" ContentType="application/vnd.openxmlformats-officedocument.spreadsheetml.table+xml"/>
  <Override PartName="/xl/worksheets/sheet89.xml" ContentType="application/vnd.openxmlformats-officedocument.spreadsheetml.worksheet+xml"/>
  <Override PartName="/xl/tables/table89.xml" ContentType="application/vnd.openxmlformats-officedocument.spreadsheetml.table+xml"/>
  <Override PartName="/xl/worksheets/sheet90.xml" ContentType="application/vnd.openxmlformats-officedocument.spreadsheetml.worksheet+xml"/>
  <Override PartName="/xl/tables/table90.xml" ContentType="application/vnd.openxmlformats-officedocument.spreadsheetml.table+xml"/>
  <Override PartName="/xl/worksheets/sheet91.xml" ContentType="application/vnd.openxmlformats-officedocument.spreadsheetml.worksheet+xml"/>
  <Override PartName="/xl/tables/table91.xml" ContentType="application/vnd.openxmlformats-officedocument.spreadsheetml.table+xml"/>
  <Override PartName="/xl/worksheets/sheet92.xml" ContentType="application/vnd.openxmlformats-officedocument.spreadsheetml.worksheet+xml"/>
  <Override PartName="/xl/tables/table92.xml" ContentType="application/vnd.openxmlformats-officedocument.spreadsheetml.table+xml"/>
  <Override PartName="/xl/worksheets/sheet93.xml" ContentType="application/vnd.openxmlformats-officedocument.spreadsheetml.worksheet+xml"/>
  <Override PartName="/xl/tables/table93.xml" ContentType="application/vnd.openxmlformats-officedocument.spreadsheetml.table+xml"/>
  <Override PartName="/xl/worksheets/sheet94.xml" ContentType="application/vnd.openxmlformats-officedocument.spreadsheetml.worksheet+xml"/>
  <Override PartName="/xl/tables/table94.xml" ContentType="application/vnd.openxmlformats-officedocument.spreadsheetml.table+xml"/>
  <Override PartName="/xl/worksheets/sheet95.xml" ContentType="application/vnd.openxmlformats-officedocument.spreadsheetml.worksheet+xml"/>
  <Override PartName="/xl/tables/table95.xml" ContentType="application/vnd.openxmlformats-officedocument.spreadsheetml.table+xml"/>
  <Override PartName="/xl/worksheets/sheet96.xml" ContentType="application/vnd.openxmlformats-officedocument.spreadsheetml.worksheet+xml"/>
  <Override PartName="/xl/tables/table96.xml" ContentType="application/vnd.openxmlformats-officedocument.spreadsheetml.table+xml"/>
  <Override PartName="/xl/worksheets/sheet97.xml" ContentType="application/vnd.openxmlformats-officedocument.spreadsheetml.worksheet+xml"/>
  <Override PartName="/xl/tables/table97.xml" ContentType="application/vnd.openxmlformats-officedocument.spreadsheetml.table+xml"/>
  <Override PartName="/xl/worksheets/sheet98.xml" ContentType="application/vnd.openxmlformats-officedocument.spreadsheetml.worksheet+xml"/>
  <Override PartName="/xl/tables/table98.xml" ContentType="application/vnd.openxmlformats-officedocument.spreadsheetml.table+xml"/>
  <Override PartName="/xl/worksheets/sheet99.xml" ContentType="application/vnd.openxmlformats-officedocument.spreadsheetml.worksheet+xml"/>
  <Override PartName="/xl/tables/table99.xml" ContentType="application/vnd.openxmlformats-officedocument.spreadsheetml.table+xml"/>
  <Override PartName="/xl/worksheets/sheet100.xml" ContentType="application/vnd.openxmlformats-officedocument.spreadsheetml.worksheet+xml"/>
  <Override PartName="/xl/tables/table100.xml" ContentType="application/vnd.openxmlformats-officedocument.spreadsheetml.table+xml"/>
  <Override PartName="/xl/worksheets/sheet101.xml" ContentType="application/vnd.openxmlformats-officedocument.spreadsheetml.worksheet+xml"/>
  <Override PartName="/xl/tables/table101.xml" ContentType="application/vnd.openxmlformats-officedocument.spreadsheetml.table+xml"/>
  <Override PartName="/xl/worksheets/sheet102.xml" ContentType="application/vnd.openxmlformats-officedocument.spreadsheetml.worksheet+xml"/>
  <Override PartName="/xl/tables/table102.xml" ContentType="application/vnd.openxmlformats-officedocument.spreadsheetml.table+xml"/>
  <Override PartName="/xl/worksheets/sheet103.xml" ContentType="application/vnd.openxmlformats-officedocument.spreadsheetml.worksheet+xml"/>
  <Override PartName="/xl/tables/table103.xml" ContentType="application/vnd.openxmlformats-officedocument.spreadsheetml.table+xml"/>
  <Override PartName="/xl/worksheets/sheet104.xml" ContentType="application/vnd.openxmlformats-officedocument.spreadsheetml.worksheet+xml"/>
  <Override PartName="/xl/tables/table104.xml" ContentType="application/vnd.openxmlformats-officedocument.spreadsheetml.table+xml"/>
  <Override PartName="/xl/worksheets/sheet105.xml" ContentType="application/vnd.openxmlformats-officedocument.spreadsheetml.worksheet+xml"/>
  <Override PartName="/xl/tables/table105.xml" ContentType="application/vnd.openxmlformats-officedocument.spreadsheetml.table+xml"/>
  <Override PartName="/xl/worksheets/sheet106.xml" ContentType="application/vnd.openxmlformats-officedocument.spreadsheetml.worksheet+xml"/>
  <Override PartName="/xl/tables/table106.xml" ContentType="application/vnd.openxmlformats-officedocument.spreadsheetml.table+xml"/>
  <Override PartName="/xl/worksheets/sheet107.xml" ContentType="application/vnd.openxmlformats-officedocument.spreadsheetml.worksheet+xml"/>
  <Override PartName="/xl/tables/table107.xml" ContentType="application/vnd.openxmlformats-officedocument.spreadsheetml.table+xml"/>
  <Override PartName="/xl/worksheets/sheet108.xml" ContentType="application/vnd.openxmlformats-officedocument.spreadsheetml.worksheet+xml"/>
  <Override PartName="/xl/tables/table108.xml" ContentType="application/vnd.openxmlformats-officedocument.spreadsheetml.table+xml"/>
  <Override PartName="/xl/worksheets/sheet109.xml" ContentType="application/vnd.openxmlformats-officedocument.spreadsheetml.worksheet+xml"/>
  <Override PartName="/xl/tables/table109.xml" ContentType="application/vnd.openxmlformats-officedocument.spreadsheetml.table+xml"/>
  <Override PartName="/xl/worksheets/sheet110.xml" ContentType="application/vnd.openxmlformats-officedocument.spreadsheetml.worksheet+xml"/>
  <Override PartName="/xl/tables/table110.xml" ContentType="application/vnd.openxmlformats-officedocument.spreadsheetml.table+xml"/>
  <Override PartName="/xl/worksheets/sheet111.xml" ContentType="application/vnd.openxmlformats-officedocument.spreadsheetml.worksheet+xml"/>
  <Override PartName="/xl/tables/table111.xml" ContentType="application/vnd.openxmlformats-officedocument.spreadsheetml.table+xml"/>
  <Override PartName="/xl/worksheets/sheet112.xml" ContentType="application/vnd.openxmlformats-officedocument.spreadsheetml.worksheet+xml"/>
  <Override PartName="/xl/tables/table112.xml" ContentType="application/vnd.openxmlformats-officedocument.spreadsheetml.table+xml"/>
  <Override PartName="/xl/worksheets/sheet113.xml" ContentType="application/vnd.openxmlformats-officedocument.spreadsheetml.worksheet+xml"/>
  <Override PartName="/xl/tables/table113.xml" ContentType="application/vnd.openxmlformats-officedocument.spreadsheetml.table+xml"/>
  <Override PartName="/xl/worksheets/sheet114.xml" ContentType="application/vnd.openxmlformats-officedocument.spreadsheetml.worksheet+xml"/>
  <Override PartName="/xl/tables/table114.xml" ContentType="application/vnd.openxmlformats-officedocument.spreadsheetml.table+xml"/>
  <Override PartName="/xl/worksheets/sheet115.xml" ContentType="application/vnd.openxmlformats-officedocument.spreadsheetml.worksheet+xml"/>
  <Override PartName="/xl/tables/table115.xml" ContentType="application/vnd.openxmlformats-officedocument.spreadsheetml.table+xml"/>
  <Override PartName="/xl/worksheets/sheet116.xml" ContentType="application/vnd.openxmlformats-officedocument.spreadsheetml.worksheet+xml"/>
  <Override PartName="/xl/tables/table116.xml" ContentType="application/vnd.openxmlformats-officedocument.spreadsheetml.table+xml"/>
  <Override PartName="/xl/worksheets/sheet117.xml" ContentType="application/vnd.openxmlformats-officedocument.spreadsheetml.worksheet+xml"/>
  <Override PartName="/xl/tables/table117.xml" ContentType="application/vnd.openxmlformats-officedocument.spreadsheetml.table+xml"/>
  <Override PartName="/xl/worksheets/sheet118.xml" ContentType="application/vnd.openxmlformats-officedocument.spreadsheetml.worksheet+xml"/>
  <Override PartName="/xl/tables/table118.xml" ContentType="application/vnd.openxmlformats-officedocument.spreadsheetml.table+xml"/>
  <Override PartName="/xl/worksheets/sheet119.xml" ContentType="application/vnd.openxmlformats-officedocument.spreadsheetml.worksheet+xml"/>
  <Override PartName="/xl/tables/table119.xml" ContentType="application/vnd.openxmlformats-officedocument.spreadsheetml.table+xml"/>
  <Override PartName="/xl/worksheets/sheet120.xml" ContentType="application/vnd.openxmlformats-officedocument.spreadsheetml.worksheet+xml"/>
  <Override PartName="/xl/tables/table120.xml" ContentType="application/vnd.openxmlformats-officedocument.spreadsheetml.table+xml"/>
  <Override PartName="/xl/worksheets/sheet121.xml" ContentType="application/vnd.openxmlformats-officedocument.spreadsheetml.worksheet+xml"/>
  <Override PartName="/xl/tables/table121.xml" ContentType="application/vnd.openxmlformats-officedocument.spreadsheetml.table+xml"/>
  <Override PartName="/xl/worksheets/sheet122.xml" ContentType="application/vnd.openxmlformats-officedocument.spreadsheetml.worksheet+xml"/>
  <Override PartName="/xl/tables/table122.xml" ContentType="application/vnd.openxmlformats-officedocument.spreadsheetml.table+xml"/>
  <Override PartName="/xl/worksheets/sheet123.xml" ContentType="application/vnd.openxmlformats-officedocument.spreadsheetml.worksheet+xml"/>
  <Override PartName="/xl/tables/table123.xml" ContentType="application/vnd.openxmlformats-officedocument.spreadsheetml.table+xml"/>
  <Override PartName="/xl/worksheets/sheet124.xml" ContentType="application/vnd.openxmlformats-officedocument.spreadsheetml.worksheet+xml"/>
  <Override PartName="/xl/tables/table124.xml" ContentType="application/vnd.openxmlformats-officedocument.spreadsheetml.table+xml"/>
  <Override PartName="/xl/worksheets/sheet125.xml" ContentType="application/vnd.openxmlformats-officedocument.spreadsheetml.worksheet+xml"/>
  <Override PartName="/xl/tables/table125.xml" ContentType="application/vnd.openxmlformats-officedocument.spreadsheetml.table+xml"/>
  <Override PartName="/xl/worksheets/sheet126.xml" ContentType="application/vnd.openxmlformats-officedocument.spreadsheetml.worksheet+xml"/>
  <Override PartName="/xl/tables/table126.xml" ContentType="application/vnd.openxmlformats-officedocument.spreadsheetml.table+xml"/>
  <Override PartName="/xl/worksheets/sheet127.xml" ContentType="application/vnd.openxmlformats-officedocument.spreadsheetml.worksheet+xml"/>
  <Override PartName="/xl/tables/table127.xml" ContentType="application/vnd.openxmlformats-officedocument.spreadsheetml.table+xml"/>
  <Override PartName="/xl/worksheets/sheet128.xml" ContentType="application/vnd.openxmlformats-officedocument.spreadsheetml.worksheet+xml"/>
  <Override PartName="/xl/tables/table128.xml" ContentType="application/vnd.openxmlformats-officedocument.spreadsheetml.table+xml"/>
  <Override PartName="/xl/worksheets/sheet129.xml" ContentType="application/vnd.openxmlformats-officedocument.spreadsheetml.worksheet+xml"/>
  <Override PartName="/xl/tables/table129.xml" ContentType="application/vnd.openxmlformats-officedocument.spreadsheetml.table+xml"/>
  <Override PartName="/xl/worksheets/sheet130.xml" ContentType="application/vnd.openxmlformats-officedocument.spreadsheetml.worksheet+xml"/>
  <Override PartName="/xl/tables/table130.xml" ContentType="application/vnd.openxmlformats-officedocument.spreadsheetml.table+xml"/>
  <Override PartName="/xl/worksheets/sheet131.xml" ContentType="application/vnd.openxmlformats-officedocument.spreadsheetml.worksheet+xml"/>
  <Override PartName="/xl/tables/table131.xml" ContentType="application/vnd.openxmlformats-officedocument.spreadsheetml.table+xml"/>
  <Override PartName="/xl/worksheets/sheet132.xml" ContentType="application/vnd.openxmlformats-officedocument.spreadsheetml.worksheet+xml"/>
  <Override PartName="/xl/tables/table132.xml" ContentType="application/vnd.openxmlformats-officedocument.spreadsheetml.table+xml"/>
  <Override PartName="/xl/worksheets/sheet133.xml" ContentType="application/vnd.openxmlformats-officedocument.spreadsheetml.worksheet+xml"/>
  <Override PartName="/xl/tables/table13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c8b769fd740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" sheetId="1" r:id="Rcd4df9ba25324360"/>
    <x:sheet xmlns:r="http://schemas.openxmlformats.org/officeDocument/2006/relationships" name="日経_D164_15" sheetId="2" r:id="R475ae88ed99843ce"/>
    <x:sheet xmlns:r="http://schemas.openxmlformats.org/officeDocument/2006/relationships" name="日経_D168_01" sheetId="3" r:id="Rf706896a5db1440f"/>
    <x:sheet xmlns:r="http://schemas.openxmlformats.org/officeDocument/2006/relationships" name="日経_D168_02" sheetId="4" r:id="R510b8b6a1d264223"/>
    <x:sheet xmlns:r="http://schemas.openxmlformats.org/officeDocument/2006/relationships" name="日経_D168_03" sheetId="5" r:id="Rc3015f62247f44d6"/>
    <x:sheet xmlns:r="http://schemas.openxmlformats.org/officeDocument/2006/relationships" name="日経_D168_04" sheetId="6" r:id="R880c5910bb6b4ea2"/>
    <x:sheet xmlns:r="http://schemas.openxmlformats.org/officeDocument/2006/relationships" name="日経_D168_05" sheetId="7" r:id="R45d1a28ad2ff4bc5"/>
    <x:sheet xmlns:r="http://schemas.openxmlformats.org/officeDocument/2006/relationships" name="日経_D168_06" sheetId="8" r:id="Raa2aab23988940b3"/>
    <x:sheet xmlns:r="http://schemas.openxmlformats.org/officeDocument/2006/relationships" name="日経_D168_07" sheetId="9" r:id="R61fb676228a04878"/>
    <x:sheet xmlns:r="http://schemas.openxmlformats.org/officeDocument/2006/relationships" name="日経_D168_08" sheetId="10" r:id="R8bf9b0b48ac04f23"/>
    <x:sheet xmlns:r="http://schemas.openxmlformats.org/officeDocument/2006/relationships" name="日経_D168_09" sheetId="11" r:id="R0e35674a6b984927"/>
    <x:sheet xmlns:r="http://schemas.openxmlformats.org/officeDocument/2006/relationships" name="日経_D168_10" sheetId="12" r:id="R100ea69965cf47b7"/>
    <x:sheet xmlns:r="http://schemas.openxmlformats.org/officeDocument/2006/relationships" name="日経_D168_11" sheetId="13" r:id="R3566ebfa03c14db6"/>
    <x:sheet xmlns:r="http://schemas.openxmlformats.org/officeDocument/2006/relationships" name="日経_D168_12" sheetId="14" r:id="Read086279e1641cb"/>
    <x:sheet xmlns:r="http://schemas.openxmlformats.org/officeDocument/2006/relationships" name="日経_D168_13" sheetId="15" r:id="R3042066a170f4968"/>
    <x:sheet xmlns:r="http://schemas.openxmlformats.org/officeDocument/2006/relationships" name="日経_D168_14" sheetId="16" r:id="Rd39a69f9f2834c06"/>
    <x:sheet xmlns:r="http://schemas.openxmlformats.org/officeDocument/2006/relationships" name="日経_D168_15" sheetId="17" r:id="R7c516868292c4499"/>
    <x:sheet xmlns:r="http://schemas.openxmlformats.org/officeDocument/2006/relationships" name="日経_D168_16" sheetId="18" r:id="R0460e176a11c47ac"/>
    <x:sheet xmlns:r="http://schemas.openxmlformats.org/officeDocument/2006/relationships" name="日経_D168_17" sheetId="19" r:id="R8c26e32709d14fae"/>
    <x:sheet xmlns:r="http://schemas.openxmlformats.org/officeDocument/2006/relationships" name="日経_D168_18" sheetId="20" r:id="R4d15c750526c4403"/>
    <x:sheet xmlns:r="http://schemas.openxmlformats.org/officeDocument/2006/relationships" name="日経_D168_19" sheetId="21" r:id="R06859fe4b7164ca7"/>
    <x:sheet xmlns:r="http://schemas.openxmlformats.org/officeDocument/2006/relationships" name="日経_D168_20" sheetId="22" r:id="Rb975066f00bc4da3"/>
    <x:sheet xmlns:r="http://schemas.openxmlformats.org/officeDocument/2006/relationships" name="日経_D168_21" sheetId="23" r:id="R786164184a14431d"/>
    <x:sheet xmlns:r="http://schemas.openxmlformats.org/officeDocument/2006/relationships" name="日経_D168_22" sheetId="24" r:id="R193ccf2805794931"/>
    <x:sheet xmlns:r="http://schemas.openxmlformats.org/officeDocument/2006/relationships" name="日経_D168_23" sheetId="25" r:id="R2382d2cc570347cc"/>
    <x:sheet xmlns:r="http://schemas.openxmlformats.org/officeDocument/2006/relationships" name="日経_D168_24" sheetId="26" r:id="Rb15566b8623643ad"/>
    <x:sheet xmlns:r="http://schemas.openxmlformats.org/officeDocument/2006/relationships" name="日経_D168_25" sheetId="27" r:id="Rbc98a1a6575e4428"/>
    <x:sheet xmlns:r="http://schemas.openxmlformats.org/officeDocument/2006/relationships" name="日経_D168_26" sheetId="28" r:id="R080e851707524a56"/>
    <x:sheet xmlns:r="http://schemas.openxmlformats.org/officeDocument/2006/relationships" name="日経_D168_27" sheetId="29" r:id="Ra282879275ef45dc"/>
    <x:sheet xmlns:r="http://schemas.openxmlformats.org/officeDocument/2006/relationships" name="日経_D168B_01" sheetId="30" r:id="R6140d10f4149479c"/>
    <x:sheet xmlns:r="http://schemas.openxmlformats.org/officeDocument/2006/relationships" name="日経_D168B_02" sheetId="31" r:id="R9b897a9f38864ed1"/>
    <x:sheet xmlns:r="http://schemas.openxmlformats.org/officeDocument/2006/relationships" name="日経_D168B_03" sheetId="32" r:id="R15e71ec6cd0c4227"/>
    <x:sheet xmlns:r="http://schemas.openxmlformats.org/officeDocument/2006/relationships" name="日経_D168B_04" sheetId="33" r:id="R6795c428adf34e73"/>
    <x:sheet xmlns:r="http://schemas.openxmlformats.org/officeDocument/2006/relationships" name="日経_D168B_05" sheetId="34" r:id="R39a9e9a8b39f489f"/>
    <x:sheet xmlns:r="http://schemas.openxmlformats.org/officeDocument/2006/relationships" name="日経_D168B_06" sheetId="35" r:id="R01485dbd16924b65"/>
    <x:sheet xmlns:r="http://schemas.openxmlformats.org/officeDocument/2006/relationships" name="日経_D168B_07" sheetId="36" r:id="R8f3353a378c84fe7"/>
    <x:sheet xmlns:r="http://schemas.openxmlformats.org/officeDocument/2006/relationships" name="日経_D168B_08" sheetId="37" r:id="Ra6df3ccc1469429a"/>
    <x:sheet xmlns:r="http://schemas.openxmlformats.org/officeDocument/2006/relationships" name="日経_D168B_09" sheetId="38" r:id="R5779a37e1ca14b6b"/>
    <x:sheet xmlns:r="http://schemas.openxmlformats.org/officeDocument/2006/relationships" name="日経_D168B_10" sheetId="39" r:id="Rd5f6c37234124445"/>
    <x:sheet xmlns:r="http://schemas.openxmlformats.org/officeDocument/2006/relationships" name="日経_D168B_11" sheetId="40" r:id="R4671077be8ca4125"/>
    <x:sheet xmlns:r="http://schemas.openxmlformats.org/officeDocument/2006/relationships" name="日経_D168B_12" sheetId="41" r:id="R20f507513ff84aa1"/>
    <x:sheet xmlns:r="http://schemas.openxmlformats.org/officeDocument/2006/relationships" name="日経_D168B_13" sheetId="42" r:id="R543e485c1b33485c"/>
    <x:sheet xmlns:r="http://schemas.openxmlformats.org/officeDocument/2006/relationships" name="日経_D168B_14" sheetId="43" r:id="Rd411b6cc5f6245db"/>
    <x:sheet xmlns:r="http://schemas.openxmlformats.org/officeDocument/2006/relationships" name="日経_D168B_15" sheetId="44" r:id="Rb72efee72f95493f"/>
    <x:sheet xmlns:r="http://schemas.openxmlformats.org/officeDocument/2006/relationships" name="日経_D168B_16" sheetId="45" r:id="Rbe8caac733d04435"/>
    <x:sheet xmlns:r="http://schemas.openxmlformats.org/officeDocument/2006/relationships" name="日経_P164_06" sheetId="46" r:id="Rd1fcfa1051e04c4d"/>
    <x:sheet xmlns:r="http://schemas.openxmlformats.org/officeDocument/2006/relationships" name="日経_P168_01" sheetId="47" r:id="Rc44d7593ca164e7f"/>
    <x:sheet xmlns:r="http://schemas.openxmlformats.org/officeDocument/2006/relationships" name="日経_P168_02" sheetId="48" r:id="R837c6cec220a4450"/>
    <x:sheet xmlns:r="http://schemas.openxmlformats.org/officeDocument/2006/relationships" name="日経_P168_03" sheetId="49" r:id="Ra69c2ce978f64981"/>
    <x:sheet xmlns:r="http://schemas.openxmlformats.org/officeDocument/2006/relationships" name="日経_P168_04" sheetId="50" r:id="Re8d0de40aefe44a7"/>
    <x:sheet xmlns:r="http://schemas.openxmlformats.org/officeDocument/2006/relationships" name="日経_P168_05" sheetId="51" r:id="R14608bfd0fe241db"/>
    <x:sheet xmlns:r="http://schemas.openxmlformats.org/officeDocument/2006/relationships" name="日経_P168_06" sheetId="52" r:id="Ra47ad15f58c140c6"/>
    <x:sheet xmlns:r="http://schemas.openxmlformats.org/officeDocument/2006/relationships" name="日経_P168_07" sheetId="53" r:id="R4c26fb699f914f78"/>
    <x:sheet xmlns:r="http://schemas.openxmlformats.org/officeDocument/2006/relationships" name="日経_P168_08" sheetId="54" r:id="R024c5b76dfc44692"/>
    <x:sheet xmlns:r="http://schemas.openxmlformats.org/officeDocument/2006/relationships" name="日経_P168_09" sheetId="55" r:id="R62e4712b9eb84f17"/>
    <x:sheet xmlns:r="http://schemas.openxmlformats.org/officeDocument/2006/relationships" name="日経_P168_10" sheetId="56" r:id="Rb7fb8a6f671f4129"/>
    <x:sheet xmlns:r="http://schemas.openxmlformats.org/officeDocument/2006/relationships" name="日経_P168_11" sheetId="57" r:id="Rc26d61088ca94746"/>
    <x:sheet xmlns:r="http://schemas.openxmlformats.org/officeDocument/2006/relationships" name="日経_P168_12" sheetId="58" r:id="Re246bfbe7c734236"/>
    <x:sheet xmlns:r="http://schemas.openxmlformats.org/officeDocument/2006/relationships" name="日経_P168_13" sheetId="59" r:id="Rcef90522f90c4595"/>
    <x:sheet xmlns:r="http://schemas.openxmlformats.org/officeDocument/2006/relationships" name="日経_P168_14" sheetId="60" r:id="Rc25f1093d8d64b36"/>
    <x:sheet xmlns:r="http://schemas.openxmlformats.org/officeDocument/2006/relationships" name="日経_P168_15" sheetId="61" r:id="R063d7132cb9c4890"/>
    <x:sheet xmlns:r="http://schemas.openxmlformats.org/officeDocument/2006/relationships" name="日経_P168_16" sheetId="62" r:id="R8e25330829cf4b32"/>
    <x:sheet xmlns:r="http://schemas.openxmlformats.org/officeDocument/2006/relationships" name="日経_P168_17" sheetId="63" r:id="R97c4d7f039ab4b43"/>
    <x:sheet xmlns:r="http://schemas.openxmlformats.org/officeDocument/2006/relationships" name="日経_P168_18" sheetId="64" r:id="Rdeb61fdd6a42497c"/>
    <x:sheet xmlns:r="http://schemas.openxmlformats.org/officeDocument/2006/relationships" name="日経_P168_19" sheetId="65" r:id="R501b4a90532c472b"/>
    <x:sheet xmlns:r="http://schemas.openxmlformats.org/officeDocument/2006/relationships" name="日経_P168_20" sheetId="66" r:id="R023dffb5e8524630"/>
    <x:sheet xmlns:r="http://schemas.openxmlformats.org/officeDocument/2006/relationships" name="日経_P168_21" sheetId="67" r:id="R8f0ababe86ac4a79"/>
    <x:sheet xmlns:r="http://schemas.openxmlformats.org/officeDocument/2006/relationships" name="日経_P168_22" sheetId="68" r:id="R76b83efba5334591"/>
    <x:sheet xmlns:r="http://schemas.openxmlformats.org/officeDocument/2006/relationships" name="日経_P168_23" sheetId="69" r:id="R9a96338e7b0f44a1"/>
    <x:sheet xmlns:r="http://schemas.openxmlformats.org/officeDocument/2006/relationships" name="日経_P168_24" sheetId="70" r:id="R298f35d508014ef6"/>
    <x:sheet xmlns:r="http://schemas.openxmlformats.org/officeDocument/2006/relationships" name="日経_P168_25" sheetId="71" r:id="Rd61fb79a5e134a1f"/>
    <x:sheet xmlns:r="http://schemas.openxmlformats.org/officeDocument/2006/relationships" name="日経_P168_26" sheetId="72" r:id="Ree79c7d2c5944a14"/>
    <x:sheet xmlns:r="http://schemas.openxmlformats.org/officeDocument/2006/relationships" name="日経_P168_27" sheetId="73" r:id="R12dda584679a4a19"/>
    <x:sheet xmlns:r="http://schemas.openxmlformats.org/officeDocument/2006/relationships" name="日経_P168B_01" sheetId="74" r:id="Rb17badd98dbe464e"/>
    <x:sheet xmlns:r="http://schemas.openxmlformats.org/officeDocument/2006/relationships" name="日経_P168B_02" sheetId="75" r:id="R4aa73b5799cf4293"/>
    <x:sheet xmlns:r="http://schemas.openxmlformats.org/officeDocument/2006/relationships" name="日経_P168B_03" sheetId="76" r:id="Ra10bde06cc51426e"/>
    <x:sheet xmlns:r="http://schemas.openxmlformats.org/officeDocument/2006/relationships" name="日経_P168B_04" sheetId="77" r:id="Ra2824c3c7ebf4002"/>
    <x:sheet xmlns:r="http://schemas.openxmlformats.org/officeDocument/2006/relationships" name="日経_P168B_05" sheetId="78" r:id="R7cd58ffb30ad4722"/>
    <x:sheet xmlns:r="http://schemas.openxmlformats.org/officeDocument/2006/relationships" name="日経_P168B_06" sheetId="79" r:id="R262fd7c156a34357"/>
    <x:sheet xmlns:r="http://schemas.openxmlformats.org/officeDocument/2006/relationships" name="日経_P168B_07" sheetId="80" r:id="Rd5913437cb174141"/>
    <x:sheet xmlns:r="http://schemas.openxmlformats.org/officeDocument/2006/relationships" name="日経_P168B_08" sheetId="81" r:id="R155cde0acd0e4af5"/>
    <x:sheet xmlns:r="http://schemas.openxmlformats.org/officeDocument/2006/relationships" name="日経_P168B_09" sheetId="82" r:id="R487e8eed8d194b45"/>
    <x:sheet xmlns:r="http://schemas.openxmlformats.org/officeDocument/2006/relationships" name="日経_P168B_10" sheetId="83" r:id="R307651c9399f4c78"/>
    <x:sheet xmlns:r="http://schemas.openxmlformats.org/officeDocument/2006/relationships" name="日経_P168B_11" sheetId="84" r:id="R7e3efecef1484a7c"/>
    <x:sheet xmlns:r="http://schemas.openxmlformats.org/officeDocument/2006/relationships" name="日経_P168B_12" sheetId="85" r:id="Rc4a7366314764b16"/>
    <x:sheet xmlns:r="http://schemas.openxmlformats.org/officeDocument/2006/relationships" name="日経_P168B_13" sheetId="86" r:id="R8fc4f452fbf14f8a"/>
    <x:sheet xmlns:r="http://schemas.openxmlformats.org/officeDocument/2006/relationships" name="日経_P168B_14" sheetId="87" r:id="R3810f3421b5b46c3"/>
    <x:sheet xmlns:r="http://schemas.openxmlformats.org/officeDocument/2006/relationships" name="日経_P168B_15" sheetId="88" r:id="R59c800349b4644aa"/>
    <x:sheet xmlns:r="http://schemas.openxmlformats.org/officeDocument/2006/relationships" name="日経_P168B_16" sheetId="89" r:id="Rb26fe462d94d46a8"/>
    <x:sheet xmlns:r="http://schemas.openxmlformats.org/officeDocument/2006/relationships" name="日経_U165_03" sheetId="90" r:id="R5070bd424428441d"/>
    <x:sheet xmlns:r="http://schemas.openxmlformats.org/officeDocument/2006/relationships" name="日経_U168_01" sheetId="91" r:id="Rcfdb369910774cd3"/>
    <x:sheet xmlns:r="http://schemas.openxmlformats.org/officeDocument/2006/relationships" name="日経_U168_02" sheetId="92" r:id="R9734d72c920d4fa3"/>
    <x:sheet xmlns:r="http://schemas.openxmlformats.org/officeDocument/2006/relationships" name="日経_U168_03" sheetId="93" r:id="R54339f490b3b43a8"/>
    <x:sheet xmlns:r="http://schemas.openxmlformats.org/officeDocument/2006/relationships" name="日経_U168_04" sheetId="94" r:id="R4df1b2198f2e4ac0"/>
    <x:sheet xmlns:r="http://schemas.openxmlformats.org/officeDocument/2006/relationships" name="日経_U168_05" sheetId="95" r:id="R9e35ae5eda8a4b42"/>
    <x:sheet xmlns:r="http://schemas.openxmlformats.org/officeDocument/2006/relationships" name="日経_U168_06" sheetId="96" r:id="Refc739fa3ddb4f38"/>
    <x:sheet xmlns:r="http://schemas.openxmlformats.org/officeDocument/2006/relationships" name="日経_U168_07" sheetId="97" r:id="R22d04098c1154341"/>
    <x:sheet xmlns:r="http://schemas.openxmlformats.org/officeDocument/2006/relationships" name="日経_U168_08" sheetId="98" r:id="Rba1f087f6bad403d"/>
    <x:sheet xmlns:r="http://schemas.openxmlformats.org/officeDocument/2006/relationships" name="日経_U168_09" sheetId="99" r:id="R24c7b1653f744094"/>
    <x:sheet xmlns:r="http://schemas.openxmlformats.org/officeDocument/2006/relationships" name="日経_U168_10" sheetId="100" r:id="R71b68bcd38694f24"/>
    <x:sheet xmlns:r="http://schemas.openxmlformats.org/officeDocument/2006/relationships" name="日経_U168_11" sheetId="101" r:id="Rb43b3d3fc02a418e"/>
    <x:sheet xmlns:r="http://schemas.openxmlformats.org/officeDocument/2006/relationships" name="日経_U168_12" sheetId="102" r:id="Refae057635d54636"/>
    <x:sheet xmlns:r="http://schemas.openxmlformats.org/officeDocument/2006/relationships" name="日経_U168_13" sheetId="103" r:id="Rf528563eea084288"/>
    <x:sheet xmlns:r="http://schemas.openxmlformats.org/officeDocument/2006/relationships" name="日経_U168_14" sheetId="104" r:id="Rfe18bf45e4fa4f0b"/>
    <x:sheet xmlns:r="http://schemas.openxmlformats.org/officeDocument/2006/relationships" name="日経_U168_15" sheetId="105" r:id="R9b8b9c6d97fb4ccb"/>
    <x:sheet xmlns:r="http://schemas.openxmlformats.org/officeDocument/2006/relationships" name="日経_U168_16" sheetId="106" r:id="Rad32b6b0551546e0"/>
    <x:sheet xmlns:r="http://schemas.openxmlformats.org/officeDocument/2006/relationships" name="日経_U168_17" sheetId="107" r:id="R24ef1dac94a24f97"/>
    <x:sheet xmlns:r="http://schemas.openxmlformats.org/officeDocument/2006/relationships" name="日経_U168_18" sheetId="108" r:id="R1beeec6921354e35"/>
    <x:sheet xmlns:r="http://schemas.openxmlformats.org/officeDocument/2006/relationships" name="日経_U168_19" sheetId="109" r:id="R54b1473369474fd4"/>
    <x:sheet xmlns:r="http://schemas.openxmlformats.org/officeDocument/2006/relationships" name="日経_U168_20" sheetId="110" r:id="R90ac02db54104a66"/>
    <x:sheet xmlns:r="http://schemas.openxmlformats.org/officeDocument/2006/relationships" name="日経_U168_21" sheetId="111" r:id="Rb7898da2053c4eaf"/>
    <x:sheet xmlns:r="http://schemas.openxmlformats.org/officeDocument/2006/relationships" name="日経_U168_22" sheetId="112" r:id="Rd9064e08c9874856"/>
    <x:sheet xmlns:r="http://schemas.openxmlformats.org/officeDocument/2006/relationships" name="日経_U168_23" sheetId="113" r:id="Rc0e6b6cfdebd4c23"/>
    <x:sheet xmlns:r="http://schemas.openxmlformats.org/officeDocument/2006/relationships" name="日経_U168_24" sheetId="114" r:id="Rf78c498a4b604e4e"/>
    <x:sheet xmlns:r="http://schemas.openxmlformats.org/officeDocument/2006/relationships" name="日経_U168_25" sheetId="115" r:id="R10e39076ecf54043"/>
    <x:sheet xmlns:r="http://schemas.openxmlformats.org/officeDocument/2006/relationships" name="日経_U168_26" sheetId="116" r:id="R65b0935c1dec4e5d"/>
    <x:sheet xmlns:r="http://schemas.openxmlformats.org/officeDocument/2006/relationships" name="日経_U168_27" sheetId="117" r:id="R08717ed69b9348b9"/>
    <x:sheet xmlns:r="http://schemas.openxmlformats.org/officeDocument/2006/relationships" name="日経_U168B_01" sheetId="118" r:id="R0f74fe1c8950461b"/>
    <x:sheet xmlns:r="http://schemas.openxmlformats.org/officeDocument/2006/relationships" name="日経_U168B_02" sheetId="119" r:id="R7dbefa2ed9e84f40"/>
    <x:sheet xmlns:r="http://schemas.openxmlformats.org/officeDocument/2006/relationships" name="日経_U168B_03" sheetId="120" r:id="R6fc08a120b9e4a65"/>
    <x:sheet xmlns:r="http://schemas.openxmlformats.org/officeDocument/2006/relationships" name="日経_U168B_04" sheetId="121" r:id="Re9b4d04852b84197"/>
    <x:sheet xmlns:r="http://schemas.openxmlformats.org/officeDocument/2006/relationships" name="日経_U168B_05" sheetId="122" r:id="R0a35ec62fc0844c4"/>
    <x:sheet xmlns:r="http://schemas.openxmlformats.org/officeDocument/2006/relationships" name="日経_U168B_06" sheetId="123" r:id="R0517469a313c41c0"/>
    <x:sheet xmlns:r="http://schemas.openxmlformats.org/officeDocument/2006/relationships" name="日経_U168B_07" sheetId="124" r:id="R4cbff606bf69427a"/>
    <x:sheet xmlns:r="http://schemas.openxmlformats.org/officeDocument/2006/relationships" name="日経_U168B_08" sheetId="125" r:id="Rb4f25fabe02d47c4"/>
    <x:sheet xmlns:r="http://schemas.openxmlformats.org/officeDocument/2006/relationships" name="日経_U168B_09" sheetId="126" r:id="Rdfbd6e868f8a4e5f"/>
    <x:sheet xmlns:r="http://schemas.openxmlformats.org/officeDocument/2006/relationships" name="日経_U168B_10" sheetId="127" r:id="Re07be07b966d4b30"/>
    <x:sheet xmlns:r="http://schemas.openxmlformats.org/officeDocument/2006/relationships" name="日経_U168B_11" sheetId="128" r:id="Rf6c8dcc983e94f6a"/>
    <x:sheet xmlns:r="http://schemas.openxmlformats.org/officeDocument/2006/relationships" name="日経_U168B_12" sheetId="129" r:id="R5f100550d960445a"/>
    <x:sheet xmlns:r="http://schemas.openxmlformats.org/officeDocument/2006/relationships" name="日経_U168B_13" sheetId="130" r:id="Rbb44f9384e3d484c"/>
    <x:sheet xmlns:r="http://schemas.openxmlformats.org/officeDocument/2006/relationships" name="日経_U168B_14" sheetId="131" r:id="Rb1b4002ee52c4203"/>
    <x:sheet xmlns:r="http://schemas.openxmlformats.org/officeDocument/2006/relationships" name="日経_U168B_15" sheetId="132" r:id="Rddfb589e1ed7445a"/>
    <x:sheet xmlns:r="http://schemas.openxmlformats.org/officeDocument/2006/relationships" name="日経_U168B_16" sheetId="133" r:id="R9f6f9ba5415340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0"/>
    <x:numFmt numFmtId="201" formatCode="#,##0"/>
    <x:numFmt numFmtId="202" formatCode="#,##0.0;[Red](#,##0.0);0.0"/>
  </x:numFmts>
  <x:fonts count="6">
    <x:font>
      <x:sz val="11"/>
      <x:name val="Carlito"/>
    </x:font>
    <x:font>
      <x:sz val="10"/>
      <x:color rgb="FF20384D"/>
      <x:name val="Yu Gothic"/>
    </x:font>
    <x:font>
      <x:b/>
      <x:sz val="14"/>
      <x:color rgb="FF20384D"/>
      <x:name val="Yu Gothic"/>
    </x:font>
    <x:font>
      <x:sz val="10"/>
      <x:color rgb="FF526A7E"/>
      <x:name val="Yu Gothic"/>
    </x:font>
    <x:font>
      <x:b/>
      <x:sz val="10"/>
      <x:color rgb="FF20384D"/>
      <x:name val="Yu Gothic"/>
    </x:font>
    <x:font>
      <x:b/>
      <x:sz val="10"/>
      <x:color rgb="FFFFFFFF"/>
      <x:name val="Yu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304F73"/>
      </x:patternFill>
    </x:fill>
    <x:fill>
      <x:patternFill patternType="solid">
        <x:fgColor rgb="FF497353"/>
      </x:patternFill>
    </x:fill>
    <x:fill>
      <x:patternFill patternType="solid">
        <x:fgColor rgb="FF665881"/>
      </x:patternFill>
    </x:fill>
    <x:fill>
      <x:patternFill patternType="solid">
        <x:fgColor rgb="FF263B54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9BAEC0"/>
      </x:top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4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35"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  <x:dxf>
      <x:font>
        <x:color rgb="FF982C37"/>
      </x:font>
      <x:fill>
        <x:patternFill patternType="solid">
          <x:bgColor rgb="FFFBE9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a2e1b46f86433a" /><Relationship Type="http://schemas.openxmlformats.org/officeDocument/2006/relationships/theme" Target="/xl/theme/theme1.xml" Id="R75db45711d22473d" /><Relationship Type="http://schemas.openxmlformats.org/officeDocument/2006/relationships/sharedStrings" Target="/xl/sharedStrings.xml" Id="R3b29079705af4db8" /><Relationship Type="http://schemas.openxmlformats.org/officeDocument/2006/relationships/worksheet" Target="/xl/worksheets/sheet1.xml" Id="Rcd4df9ba25324360" /><Relationship Type="http://schemas.openxmlformats.org/officeDocument/2006/relationships/worksheet" Target="/xl/worksheets/sheet2.xml" Id="R475ae88ed99843ce" /><Relationship Type="http://schemas.openxmlformats.org/officeDocument/2006/relationships/worksheet" Target="/xl/worksheets/sheet3.xml" Id="Rf706896a5db1440f" /><Relationship Type="http://schemas.openxmlformats.org/officeDocument/2006/relationships/worksheet" Target="/xl/worksheets/sheet4.xml" Id="R510b8b6a1d264223" /><Relationship Type="http://schemas.openxmlformats.org/officeDocument/2006/relationships/worksheet" Target="/xl/worksheets/sheet5.xml" Id="Rc3015f62247f44d6" /><Relationship Type="http://schemas.openxmlformats.org/officeDocument/2006/relationships/worksheet" Target="/xl/worksheets/sheet6.xml" Id="R880c5910bb6b4ea2" /><Relationship Type="http://schemas.openxmlformats.org/officeDocument/2006/relationships/worksheet" Target="/xl/worksheets/sheet7.xml" Id="R45d1a28ad2ff4bc5" /><Relationship Type="http://schemas.openxmlformats.org/officeDocument/2006/relationships/worksheet" Target="/xl/worksheets/sheet8.xml" Id="Raa2aab23988940b3" /><Relationship Type="http://schemas.openxmlformats.org/officeDocument/2006/relationships/worksheet" Target="/xl/worksheets/sheet9.xml" Id="R61fb676228a04878" /><Relationship Type="http://schemas.openxmlformats.org/officeDocument/2006/relationships/worksheet" Target="/xl/worksheets/sheet10.xml" Id="R8bf9b0b48ac04f23" /><Relationship Type="http://schemas.openxmlformats.org/officeDocument/2006/relationships/worksheet" Target="/xl/worksheets/sheet11.xml" Id="R0e35674a6b984927" /><Relationship Type="http://schemas.openxmlformats.org/officeDocument/2006/relationships/worksheet" Target="/xl/worksheets/sheet12.xml" Id="R100ea69965cf47b7" /><Relationship Type="http://schemas.openxmlformats.org/officeDocument/2006/relationships/worksheet" Target="/xl/worksheets/sheet13.xml" Id="R3566ebfa03c14db6" /><Relationship Type="http://schemas.openxmlformats.org/officeDocument/2006/relationships/worksheet" Target="/xl/worksheets/sheet14.xml" Id="Read086279e1641cb" /><Relationship Type="http://schemas.openxmlformats.org/officeDocument/2006/relationships/worksheet" Target="/xl/worksheets/sheet15.xml" Id="R3042066a170f4968" /><Relationship Type="http://schemas.openxmlformats.org/officeDocument/2006/relationships/worksheet" Target="/xl/worksheets/sheet16.xml" Id="Rd39a69f9f2834c06" /><Relationship Type="http://schemas.openxmlformats.org/officeDocument/2006/relationships/worksheet" Target="/xl/worksheets/sheet17.xml" Id="R7c516868292c4499" /><Relationship Type="http://schemas.openxmlformats.org/officeDocument/2006/relationships/worksheet" Target="/xl/worksheets/sheet18.xml" Id="R0460e176a11c47ac" /><Relationship Type="http://schemas.openxmlformats.org/officeDocument/2006/relationships/worksheet" Target="/xl/worksheets/sheet19.xml" Id="R8c26e32709d14fae" /><Relationship Type="http://schemas.openxmlformats.org/officeDocument/2006/relationships/worksheet" Target="/xl/worksheets/sheet20.xml" Id="R4d15c750526c4403" /><Relationship Type="http://schemas.openxmlformats.org/officeDocument/2006/relationships/worksheet" Target="/xl/worksheets/sheet21.xml" Id="R06859fe4b7164ca7" /><Relationship Type="http://schemas.openxmlformats.org/officeDocument/2006/relationships/worksheet" Target="/xl/worksheets/sheet22.xml" Id="Rb975066f00bc4da3" /><Relationship Type="http://schemas.openxmlformats.org/officeDocument/2006/relationships/worksheet" Target="/xl/worksheets/sheet23.xml" Id="R786164184a14431d" /><Relationship Type="http://schemas.openxmlformats.org/officeDocument/2006/relationships/worksheet" Target="/xl/worksheets/sheet24.xml" Id="R193ccf2805794931" /><Relationship Type="http://schemas.openxmlformats.org/officeDocument/2006/relationships/worksheet" Target="/xl/worksheets/sheet25.xml" Id="R2382d2cc570347cc" /><Relationship Type="http://schemas.openxmlformats.org/officeDocument/2006/relationships/worksheet" Target="/xl/worksheets/sheet26.xml" Id="Rb15566b8623643ad" /><Relationship Type="http://schemas.openxmlformats.org/officeDocument/2006/relationships/worksheet" Target="/xl/worksheets/sheet27.xml" Id="Rbc98a1a6575e4428" /><Relationship Type="http://schemas.openxmlformats.org/officeDocument/2006/relationships/worksheet" Target="/xl/worksheets/sheet28.xml" Id="R080e851707524a56" /><Relationship Type="http://schemas.openxmlformats.org/officeDocument/2006/relationships/worksheet" Target="/xl/worksheets/sheet29.xml" Id="Ra282879275ef45dc" /><Relationship Type="http://schemas.openxmlformats.org/officeDocument/2006/relationships/worksheet" Target="/xl/worksheets/sheet30.xml" Id="R6140d10f4149479c" /><Relationship Type="http://schemas.openxmlformats.org/officeDocument/2006/relationships/worksheet" Target="/xl/worksheets/sheet31.xml" Id="R9b897a9f38864ed1" /><Relationship Type="http://schemas.openxmlformats.org/officeDocument/2006/relationships/worksheet" Target="/xl/worksheets/sheet32.xml" Id="R15e71ec6cd0c4227" /><Relationship Type="http://schemas.openxmlformats.org/officeDocument/2006/relationships/worksheet" Target="/xl/worksheets/sheet33.xml" Id="R6795c428adf34e73" /><Relationship Type="http://schemas.openxmlformats.org/officeDocument/2006/relationships/worksheet" Target="/xl/worksheets/sheet34.xml" Id="R39a9e9a8b39f489f" /><Relationship Type="http://schemas.openxmlformats.org/officeDocument/2006/relationships/worksheet" Target="/xl/worksheets/sheet35.xml" Id="R01485dbd16924b65" /><Relationship Type="http://schemas.openxmlformats.org/officeDocument/2006/relationships/worksheet" Target="/xl/worksheets/sheet36.xml" Id="R8f3353a378c84fe7" /><Relationship Type="http://schemas.openxmlformats.org/officeDocument/2006/relationships/worksheet" Target="/xl/worksheets/sheet37.xml" Id="Ra6df3ccc1469429a" /><Relationship Type="http://schemas.openxmlformats.org/officeDocument/2006/relationships/worksheet" Target="/xl/worksheets/sheet38.xml" Id="R5779a37e1ca14b6b" /><Relationship Type="http://schemas.openxmlformats.org/officeDocument/2006/relationships/worksheet" Target="/xl/worksheets/sheet39.xml" Id="Rd5f6c37234124445" /><Relationship Type="http://schemas.openxmlformats.org/officeDocument/2006/relationships/worksheet" Target="/xl/worksheets/sheet40.xml" Id="R4671077be8ca4125" /><Relationship Type="http://schemas.openxmlformats.org/officeDocument/2006/relationships/worksheet" Target="/xl/worksheets/sheet41.xml" Id="R20f507513ff84aa1" /><Relationship Type="http://schemas.openxmlformats.org/officeDocument/2006/relationships/worksheet" Target="/xl/worksheets/sheet42.xml" Id="R543e485c1b33485c" /><Relationship Type="http://schemas.openxmlformats.org/officeDocument/2006/relationships/worksheet" Target="/xl/worksheets/sheet43.xml" Id="Rd411b6cc5f6245db" /><Relationship Type="http://schemas.openxmlformats.org/officeDocument/2006/relationships/worksheet" Target="/xl/worksheets/sheet44.xml" Id="Rb72efee72f95493f" /><Relationship Type="http://schemas.openxmlformats.org/officeDocument/2006/relationships/worksheet" Target="/xl/worksheets/sheet45.xml" Id="Rbe8caac733d04435" /><Relationship Type="http://schemas.openxmlformats.org/officeDocument/2006/relationships/worksheet" Target="/xl/worksheets/sheet46.xml" Id="Rd1fcfa1051e04c4d" /><Relationship Type="http://schemas.openxmlformats.org/officeDocument/2006/relationships/worksheet" Target="/xl/worksheets/sheet47.xml" Id="Rc44d7593ca164e7f" /><Relationship Type="http://schemas.openxmlformats.org/officeDocument/2006/relationships/worksheet" Target="/xl/worksheets/sheet48.xml" Id="R837c6cec220a4450" /><Relationship Type="http://schemas.openxmlformats.org/officeDocument/2006/relationships/worksheet" Target="/xl/worksheets/sheet49.xml" Id="Ra69c2ce978f64981" /><Relationship Type="http://schemas.openxmlformats.org/officeDocument/2006/relationships/worksheet" Target="/xl/worksheets/sheet50.xml" Id="Re8d0de40aefe44a7" /><Relationship Type="http://schemas.openxmlformats.org/officeDocument/2006/relationships/worksheet" Target="/xl/worksheets/sheet51.xml" Id="R14608bfd0fe241db" /><Relationship Type="http://schemas.openxmlformats.org/officeDocument/2006/relationships/worksheet" Target="/xl/worksheets/sheet52.xml" Id="Ra47ad15f58c140c6" /><Relationship Type="http://schemas.openxmlformats.org/officeDocument/2006/relationships/worksheet" Target="/xl/worksheets/sheet53.xml" Id="R4c26fb699f914f78" /><Relationship Type="http://schemas.openxmlformats.org/officeDocument/2006/relationships/worksheet" Target="/xl/worksheets/sheet54.xml" Id="R024c5b76dfc44692" /><Relationship Type="http://schemas.openxmlformats.org/officeDocument/2006/relationships/worksheet" Target="/xl/worksheets/sheet55.xml" Id="R62e4712b9eb84f17" /><Relationship Type="http://schemas.openxmlformats.org/officeDocument/2006/relationships/worksheet" Target="/xl/worksheets/sheet56.xml" Id="Rb7fb8a6f671f4129" /><Relationship Type="http://schemas.openxmlformats.org/officeDocument/2006/relationships/worksheet" Target="/xl/worksheets/sheet57.xml" Id="Rc26d61088ca94746" /><Relationship Type="http://schemas.openxmlformats.org/officeDocument/2006/relationships/worksheet" Target="/xl/worksheets/sheet58.xml" Id="Re246bfbe7c734236" /><Relationship Type="http://schemas.openxmlformats.org/officeDocument/2006/relationships/worksheet" Target="/xl/worksheets/sheet59.xml" Id="Rcef90522f90c4595" /><Relationship Type="http://schemas.openxmlformats.org/officeDocument/2006/relationships/worksheet" Target="/xl/worksheets/sheet60.xml" Id="Rc25f1093d8d64b36" /><Relationship Type="http://schemas.openxmlformats.org/officeDocument/2006/relationships/worksheet" Target="/xl/worksheets/sheet61.xml" Id="R063d7132cb9c4890" /><Relationship Type="http://schemas.openxmlformats.org/officeDocument/2006/relationships/worksheet" Target="/xl/worksheets/sheet62.xml" Id="R8e25330829cf4b32" /><Relationship Type="http://schemas.openxmlformats.org/officeDocument/2006/relationships/worksheet" Target="/xl/worksheets/sheet63.xml" Id="R97c4d7f039ab4b43" /><Relationship Type="http://schemas.openxmlformats.org/officeDocument/2006/relationships/worksheet" Target="/xl/worksheets/sheet64.xml" Id="Rdeb61fdd6a42497c" /><Relationship Type="http://schemas.openxmlformats.org/officeDocument/2006/relationships/worksheet" Target="/xl/worksheets/sheet65.xml" Id="R501b4a90532c472b" /><Relationship Type="http://schemas.openxmlformats.org/officeDocument/2006/relationships/worksheet" Target="/xl/worksheets/sheet66.xml" Id="R023dffb5e8524630" /><Relationship Type="http://schemas.openxmlformats.org/officeDocument/2006/relationships/worksheet" Target="/xl/worksheets/sheet67.xml" Id="R8f0ababe86ac4a79" /><Relationship Type="http://schemas.openxmlformats.org/officeDocument/2006/relationships/worksheet" Target="/xl/worksheets/sheet68.xml" Id="R76b83efba5334591" /><Relationship Type="http://schemas.openxmlformats.org/officeDocument/2006/relationships/worksheet" Target="/xl/worksheets/sheet69.xml" Id="R9a96338e7b0f44a1" /><Relationship Type="http://schemas.openxmlformats.org/officeDocument/2006/relationships/worksheet" Target="/xl/worksheets/sheet70.xml" Id="R298f35d508014ef6" /><Relationship Type="http://schemas.openxmlformats.org/officeDocument/2006/relationships/worksheet" Target="/xl/worksheets/sheet71.xml" Id="Rd61fb79a5e134a1f" /><Relationship Type="http://schemas.openxmlformats.org/officeDocument/2006/relationships/worksheet" Target="/xl/worksheets/sheet72.xml" Id="Ree79c7d2c5944a14" /><Relationship Type="http://schemas.openxmlformats.org/officeDocument/2006/relationships/worksheet" Target="/xl/worksheets/sheet73.xml" Id="R12dda584679a4a19" /><Relationship Type="http://schemas.openxmlformats.org/officeDocument/2006/relationships/worksheet" Target="/xl/worksheets/sheet74.xml" Id="Rb17badd98dbe464e" /><Relationship Type="http://schemas.openxmlformats.org/officeDocument/2006/relationships/worksheet" Target="/xl/worksheets/sheet75.xml" Id="R4aa73b5799cf4293" /><Relationship Type="http://schemas.openxmlformats.org/officeDocument/2006/relationships/worksheet" Target="/xl/worksheets/sheet76.xml" Id="Ra10bde06cc51426e" /><Relationship Type="http://schemas.openxmlformats.org/officeDocument/2006/relationships/worksheet" Target="/xl/worksheets/sheet77.xml" Id="Ra2824c3c7ebf4002" /><Relationship Type="http://schemas.openxmlformats.org/officeDocument/2006/relationships/worksheet" Target="/xl/worksheets/sheet78.xml" Id="R7cd58ffb30ad4722" /><Relationship Type="http://schemas.openxmlformats.org/officeDocument/2006/relationships/worksheet" Target="/xl/worksheets/sheet79.xml" Id="R262fd7c156a34357" /><Relationship Type="http://schemas.openxmlformats.org/officeDocument/2006/relationships/worksheet" Target="/xl/worksheets/sheet80.xml" Id="Rd5913437cb174141" /><Relationship Type="http://schemas.openxmlformats.org/officeDocument/2006/relationships/worksheet" Target="/xl/worksheets/sheet81.xml" Id="R155cde0acd0e4af5" /><Relationship Type="http://schemas.openxmlformats.org/officeDocument/2006/relationships/worksheet" Target="/xl/worksheets/sheet82.xml" Id="R487e8eed8d194b45" /><Relationship Type="http://schemas.openxmlformats.org/officeDocument/2006/relationships/worksheet" Target="/xl/worksheets/sheet83.xml" Id="R307651c9399f4c78" /><Relationship Type="http://schemas.openxmlformats.org/officeDocument/2006/relationships/worksheet" Target="/xl/worksheets/sheet84.xml" Id="R7e3efecef1484a7c" /><Relationship Type="http://schemas.openxmlformats.org/officeDocument/2006/relationships/worksheet" Target="/xl/worksheets/sheet85.xml" Id="Rc4a7366314764b16" /><Relationship Type="http://schemas.openxmlformats.org/officeDocument/2006/relationships/worksheet" Target="/xl/worksheets/sheet86.xml" Id="R8fc4f452fbf14f8a" /><Relationship Type="http://schemas.openxmlformats.org/officeDocument/2006/relationships/worksheet" Target="/xl/worksheets/sheet87.xml" Id="R3810f3421b5b46c3" /><Relationship Type="http://schemas.openxmlformats.org/officeDocument/2006/relationships/worksheet" Target="/xl/worksheets/sheet88.xml" Id="R59c800349b4644aa" /><Relationship Type="http://schemas.openxmlformats.org/officeDocument/2006/relationships/worksheet" Target="/xl/worksheets/sheet89.xml" Id="Rb26fe462d94d46a8" /><Relationship Type="http://schemas.openxmlformats.org/officeDocument/2006/relationships/worksheet" Target="/xl/worksheets/sheet90.xml" Id="R5070bd424428441d" /><Relationship Type="http://schemas.openxmlformats.org/officeDocument/2006/relationships/worksheet" Target="/xl/worksheets/sheet91.xml" Id="Rcfdb369910774cd3" /><Relationship Type="http://schemas.openxmlformats.org/officeDocument/2006/relationships/worksheet" Target="/xl/worksheets/sheet92.xml" Id="R9734d72c920d4fa3" /><Relationship Type="http://schemas.openxmlformats.org/officeDocument/2006/relationships/worksheet" Target="/xl/worksheets/sheet93.xml" Id="R54339f490b3b43a8" /><Relationship Type="http://schemas.openxmlformats.org/officeDocument/2006/relationships/worksheet" Target="/xl/worksheets/sheet94.xml" Id="R4df1b2198f2e4ac0" /><Relationship Type="http://schemas.openxmlformats.org/officeDocument/2006/relationships/worksheet" Target="/xl/worksheets/sheet95.xml" Id="R9e35ae5eda8a4b42" /><Relationship Type="http://schemas.openxmlformats.org/officeDocument/2006/relationships/worksheet" Target="/xl/worksheets/sheet96.xml" Id="Refc739fa3ddb4f38" /><Relationship Type="http://schemas.openxmlformats.org/officeDocument/2006/relationships/worksheet" Target="/xl/worksheets/sheet97.xml" Id="R22d04098c1154341" /><Relationship Type="http://schemas.openxmlformats.org/officeDocument/2006/relationships/worksheet" Target="/xl/worksheets/sheet98.xml" Id="Rba1f087f6bad403d" /><Relationship Type="http://schemas.openxmlformats.org/officeDocument/2006/relationships/worksheet" Target="/xl/worksheets/sheet99.xml" Id="R24c7b1653f744094" /><Relationship Type="http://schemas.openxmlformats.org/officeDocument/2006/relationships/worksheet" Target="/xl/worksheets/sheet100.xml" Id="R71b68bcd38694f24" /><Relationship Type="http://schemas.openxmlformats.org/officeDocument/2006/relationships/worksheet" Target="/xl/worksheets/sheet101.xml" Id="Rb43b3d3fc02a418e" /><Relationship Type="http://schemas.openxmlformats.org/officeDocument/2006/relationships/worksheet" Target="/xl/worksheets/sheet102.xml" Id="Refae057635d54636" /><Relationship Type="http://schemas.openxmlformats.org/officeDocument/2006/relationships/worksheet" Target="/xl/worksheets/sheet103.xml" Id="Rf528563eea084288" /><Relationship Type="http://schemas.openxmlformats.org/officeDocument/2006/relationships/worksheet" Target="/xl/worksheets/sheet104.xml" Id="Rfe18bf45e4fa4f0b" /><Relationship Type="http://schemas.openxmlformats.org/officeDocument/2006/relationships/worksheet" Target="/xl/worksheets/sheet105.xml" Id="R9b8b9c6d97fb4ccb" /><Relationship Type="http://schemas.openxmlformats.org/officeDocument/2006/relationships/worksheet" Target="/xl/worksheets/sheet106.xml" Id="Rad32b6b0551546e0" /><Relationship Type="http://schemas.openxmlformats.org/officeDocument/2006/relationships/worksheet" Target="/xl/worksheets/sheet107.xml" Id="R24ef1dac94a24f97" /><Relationship Type="http://schemas.openxmlformats.org/officeDocument/2006/relationships/worksheet" Target="/xl/worksheets/sheet108.xml" Id="R1beeec6921354e35" /><Relationship Type="http://schemas.openxmlformats.org/officeDocument/2006/relationships/worksheet" Target="/xl/worksheets/sheet109.xml" Id="R54b1473369474fd4" /><Relationship Type="http://schemas.openxmlformats.org/officeDocument/2006/relationships/worksheet" Target="/xl/worksheets/sheet110.xml" Id="R90ac02db54104a66" /><Relationship Type="http://schemas.openxmlformats.org/officeDocument/2006/relationships/worksheet" Target="/xl/worksheets/sheet111.xml" Id="Rb7898da2053c4eaf" /><Relationship Type="http://schemas.openxmlformats.org/officeDocument/2006/relationships/worksheet" Target="/xl/worksheets/sheet112.xml" Id="Rd9064e08c9874856" /><Relationship Type="http://schemas.openxmlformats.org/officeDocument/2006/relationships/worksheet" Target="/xl/worksheets/sheet113.xml" Id="Rc0e6b6cfdebd4c23" /><Relationship Type="http://schemas.openxmlformats.org/officeDocument/2006/relationships/worksheet" Target="/xl/worksheets/sheet114.xml" Id="Rf78c498a4b604e4e" /><Relationship Type="http://schemas.openxmlformats.org/officeDocument/2006/relationships/worksheet" Target="/xl/worksheets/sheet115.xml" Id="R10e39076ecf54043" /><Relationship Type="http://schemas.openxmlformats.org/officeDocument/2006/relationships/worksheet" Target="/xl/worksheets/sheet116.xml" Id="R65b0935c1dec4e5d" /><Relationship Type="http://schemas.openxmlformats.org/officeDocument/2006/relationships/worksheet" Target="/xl/worksheets/sheet117.xml" Id="R08717ed69b9348b9" /><Relationship Type="http://schemas.openxmlformats.org/officeDocument/2006/relationships/worksheet" Target="/xl/worksheets/sheet118.xml" Id="R0f74fe1c8950461b" /><Relationship Type="http://schemas.openxmlformats.org/officeDocument/2006/relationships/worksheet" Target="/xl/worksheets/sheet119.xml" Id="R7dbefa2ed9e84f40" /><Relationship Type="http://schemas.openxmlformats.org/officeDocument/2006/relationships/worksheet" Target="/xl/worksheets/sheet120.xml" Id="R6fc08a120b9e4a65" /><Relationship Type="http://schemas.openxmlformats.org/officeDocument/2006/relationships/worksheet" Target="/xl/worksheets/sheet121.xml" Id="Re9b4d04852b84197" /><Relationship Type="http://schemas.openxmlformats.org/officeDocument/2006/relationships/worksheet" Target="/xl/worksheets/sheet122.xml" Id="R0a35ec62fc0844c4" /><Relationship Type="http://schemas.openxmlformats.org/officeDocument/2006/relationships/worksheet" Target="/xl/worksheets/sheet123.xml" Id="R0517469a313c41c0" /><Relationship Type="http://schemas.openxmlformats.org/officeDocument/2006/relationships/worksheet" Target="/xl/worksheets/sheet124.xml" Id="R4cbff606bf69427a" /><Relationship Type="http://schemas.openxmlformats.org/officeDocument/2006/relationships/worksheet" Target="/xl/worksheets/sheet125.xml" Id="Rb4f25fabe02d47c4" /><Relationship Type="http://schemas.openxmlformats.org/officeDocument/2006/relationships/worksheet" Target="/xl/worksheets/sheet126.xml" Id="Rdfbd6e868f8a4e5f" /><Relationship Type="http://schemas.openxmlformats.org/officeDocument/2006/relationships/worksheet" Target="/xl/worksheets/sheet127.xml" Id="Re07be07b966d4b30" /><Relationship Type="http://schemas.openxmlformats.org/officeDocument/2006/relationships/worksheet" Target="/xl/worksheets/sheet128.xml" Id="Rf6c8dcc983e94f6a" /><Relationship Type="http://schemas.openxmlformats.org/officeDocument/2006/relationships/worksheet" Target="/xl/worksheets/sheet129.xml" Id="R5f100550d960445a" /><Relationship Type="http://schemas.openxmlformats.org/officeDocument/2006/relationships/worksheet" Target="/xl/worksheets/sheet130.xml" Id="Rbb44f9384e3d484c" /><Relationship Type="http://schemas.openxmlformats.org/officeDocument/2006/relationships/worksheet" Target="/xl/worksheets/sheet131.xml" Id="Rb1b4002ee52c4203" /><Relationship Type="http://schemas.openxmlformats.org/officeDocument/2006/relationships/worksheet" Target="/xl/worksheets/sheet132.xml" Id="Rddfb589e1ed7445a" /><Relationship Type="http://schemas.openxmlformats.org/officeDocument/2006/relationships/worksheet" Target="/xl/worksheets/sheet133.xml" Id="R9f6f9ba541534066" /></Relationships>
</file>

<file path=xl/tables/table1.xml><?xml version="1.0" encoding="utf-8"?>
<x:table xmlns:x="http://schemas.openxmlformats.org/spreadsheetml/2006/main" id="133" name="R168_comparison" displayName="R168_comparison" ref="A5:P137" headerRowCount="1" totalsRowCount="0" totalsRowShown="0">
  <x:autoFilter ref="A5:P137"/>
  <x:tableColumns count="16">
    <x:tableColumn id="1" name="手法ID"/>
    <x:tableColumn id="2" name="時間帯"/>
    <x:tableColumn id="3" name="区分"/>
    <x:tableColumn id="4" name="総利益（円）"/>
    <x:tableColumn id="5" name="総損失（円）"/>
    <x:tableColumn id="6" name="累計収支（円）"/>
    <x:tableColumn id="7" name="赤字場数"/>
    <x:tableColumn id="8" name="平均赤字（円）"/>
    <x:tableColumn id="9" name="最大赤字（円）"/>
    <x:tableColumn id="10" name="上位3黒字場除外（円）"/>
    <x:tableColumn id="11" name="場内最悪収支（円）"/>
    <x:tableColumn id="12" name="最大下落額（円）"/>
    <x:tableColumn id="13" name="利益返し玉数"/>
    <x:tableColumn id="14" name="正益玉数"/>
    <x:tableColumn id="15" name="新規枚数（micro）"/>
    <x:tableColumn id="16" name="新規枚数（mini換算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R168_NK225_D164_15" displayName="R168_NK225_D164_15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R168_NK225_D168_01" displayName="R168_NK225_D168_01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R168_NK225_D168_02" displayName="R168_NK225_D168_02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R168_NK225_D168_03" displayName="R168_NK225_D168_03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R168_NK225_D168_04" displayName="R168_NK225_D168_04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R168_NK225_D168_05" displayName="R168_NK225_D168_05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R168_NK225_D168_06" displayName="R168_NK225_D168_06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R168_NK225_D168_07" displayName="R168_NK225_D168_07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R168_NK225_D168_08" displayName="R168_NK225_D168_08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R168_NK225_D168_09" displayName="R168_NK225_D168_09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R168_NK225_D168_10" displayName="R168_NK225_D168_10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R168_NK225_D168_11" displayName="R168_NK225_D168_11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R168_NK225_D168_12" displayName="R168_NK225_D168_12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R168_NK225_D168_13" displayName="R168_NK225_D168_13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R168_NK225_D168_14" displayName="R168_NK225_D168_14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6" name="R168_NK225_D168_15" displayName="R168_NK225_D168_15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7" name="R168_NK225_D168_16" displayName="R168_NK225_D168_16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8" name="R168_NK225_D168_17" displayName="R168_NK225_D168_17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9" name="R168_NK225_D168_18" displayName="R168_NK225_D168_18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0" name="R168_NK225_D168_19" displayName="R168_NK225_D168_19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1" name="R168_NK225_D168_20" displayName="R168_NK225_D168_20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2" name="R168_NK225_D168_21" displayName="R168_NK225_D168_21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3" name="R168_NK225_D168_22" displayName="R168_NK225_D168_22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4" name="R168_NK225_D168_23" displayName="R168_NK225_D168_23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5" name="R168_NK225_D168_24" displayName="R168_NK225_D168_24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6" name="R168_NK225_D168_25" displayName="R168_NK225_D168_25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7" name="R168_NK225_D168_26" displayName="R168_NK225_D168_26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8" name="R168_NK225_D168_27" displayName="R168_NK225_D168_27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29" name="R168_NK225_D168B_01" displayName="R168_NK225_D168B_01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0" name="R168_NK225_D168B_02" displayName="R168_NK225_D168B_02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1" name="R168_NK225_D168B_03" displayName="R168_NK225_D168B_03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2" name="R168_NK225_D168B_04" displayName="R168_NK225_D168B_04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3" name="R168_NK225_D168B_05" displayName="R168_NK225_D168B_05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4" name="R168_NK225_D168B_06" displayName="R168_NK225_D168B_06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5" name="R168_NK225_D168B_07" displayName="R168_NK225_D168B_07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6" name="R168_NK225_D168B_08" displayName="R168_NK225_D168B_08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7" name="R168_NK225_D168B_09" displayName="R168_NK225_D168B_09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8" name="R168_NK225_D168B_10" displayName="R168_NK225_D168B_10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39" name="R168_NK225_D168B_11" displayName="R168_NK225_D168B_11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40" name="R168_NK225_D168B_12" displayName="R168_NK225_D168B_12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41" name="R168_NK225_D168B_13" displayName="R168_NK225_D168B_13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43.xml><?xml version="1.0" encoding="utf-8"?>
<x:table xmlns:x="http://schemas.openxmlformats.org/spreadsheetml/2006/main" id="42" name="R168_NK225_D168B_14" displayName="R168_NK225_D168B_14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3" name="R168_NK225_D168B_15" displayName="R168_NK225_D168B_15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45.xml><?xml version="1.0" encoding="utf-8"?>
<x:table xmlns:x="http://schemas.openxmlformats.org/spreadsheetml/2006/main" id="44" name="R168_NK225_D168B_16" displayName="R168_NK225_D168B_16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46.xml><?xml version="1.0" encoding="utf-8"?>
<x:table xmlns:x="http://schemas.openxmlformats.org/spreadsheetml/2006/main" id="45" name="R168_NK225_P164_06" displayName="R168_NK225_P164_06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47.xml><?xml version="1.0" encoding="utf-8"?>
<x:table xmlns:x="http://schemas.openxmlformats.org/spreadsheetml/2006/main" id="46" name="R168_NK225_P168_01" displayName="R168_NK225_P168_01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48.xml><?xml version="1.0" encoding="utf-8"?>
<x:table xmlns:x="http://schemas.openxmlformats.org/spreadsheetml/2006/main" id="47" name="R168_NK225_P168_02" displayName="R168_NK225_P168_02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49.xml><?xml version="1.0" encoding="utf-8"?>
<x:table xmlns:x="http://schemas.openxmlformats.org/spreadsheetml/2006/main" id="48" name="R168_NK225_P168_03" displayName="R168_NK225_P168_03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50.xml><?xml version="1.0" encoding="utf-8"?>
<x:table xmlns:x="http://schemas.openxmlformats.org/spreadsheetml/2006/main" id="49" name="R168_NK225_P168_04" displayName="R168_NK225_P168_04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51.xml><?xml version="1.0" encoding="utf-8"?>
<x:table xmlns:x="http://schemas.openxmlformats.org/spreadsheetml/2006/main" id="50" name="R168_NK225_P168_05" displayName="R168_NK225_P168_05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52.xml><?xml version="1.0" encoding="utf-8"?>
<x:table xmlns:x="http://schemas.openxmlformats.org/spreadsheetml/2006/main" id="51" name="R168_NK225_P168_06" displayName="R168_NK225_P168_06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53.xml><?xml version="1.0" encoding="utf-8"?>
<x:table xmlns:x="http://schemas.openxmlformats.org/spreadsheetml/2006/main" id="52" name="R168_NK225_P168_07" displayName="R168_NK225_P168_07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54.xml><?xml version="1.0" encoding="utf-8"?>
<x:table xmlns:x="http://schemas.openxmlformats.org/spreadsheetml/2006/main" id="53" name="R168_NK225_P168_08" displayName="R168_NK225_P168_08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55.xml><?xml version="1.0" encoding="utf-8"?>
<x:table xmlns:x="http://schemas.openxmlformats.org/spreadsheetml/2006/main" id="54" name="R168_NK225_P168_09" displayName="R168_NK225_P168_09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56.xml><?xml version="1.0" encoding="utf-8"?>
<x:table xmlns:x="http://schemas.openxmlformats.org/spreadsheetml/2006/main" id="55" name="R168_NK225_P168_10" displayName="R168_NK225_P168_10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57.xml><?xml version="1.0" encoding="utf-8"?>
<x:table xmlns:x="http://schemas.openxmlformats.org/spreadsheetml/2006/main" id="56" name="R168_NK225_P168_11" displayName="R168_NK225_P168_11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58.xml><?xml version="1.0" encoding="utf-8"?>
<x:table xmlns:x="http://schemas.openxmlformats.org/spreadsheetml/2006/main" id="57" name="R168_NK225_P168_12" displayName="R168_NK225_P168_12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59.xml><?xml version="1.0" encoding="utf-8"?>
<x:table xmlns:x="http://schemas.openxmlformats.org/spreadsheetml/2006/main" id="58" name="R168_NK225_P168_13" displayName="R168_NK225_P168_13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60.xml><?xml version="1.0" encoding="utf-8"?>
<x:table xmlns:x="http://schemas.openxmlformats.org/spreadsheetml/2006/main" id="59" name="R168_NK225_P168_14" displayName="R168_NK225_P168_14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61.xml><?xml version="1.0" encoding="utf-8"?>
<x:table xmlns:x="http://schemas.openxmlformats.org/spreadsheetml/2006/main" id="60" name="R168_NK225_P168_15" displayName="R168_NK225_P168_15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62.xml><?xml version="1.0" encoding="utf-8"?>
<x:table xmlns:x="http://schemas.openxmlformats.org/spreadsheetml/2006/main" id="61" name="R168_NK225_P168_16" displayName="R168_NK225_P168_16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63.xml><?xml version="1.0" encoding="utf-8"?>
<x:table xmlns:x="http://schemas.openxmlformats.org/spreadsheetml/2006/main" id="62" name="R168_NK225_P168_17" displayName="R168_NK225_P168_17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64.xml><?xml version="1.0" encoding="utf-8"?>
<x:table xmlns:x="http://schemas.openxmlformats.org/spreadsheetml/2006/main" id="63" name="R168_NK225_P168_18" displayName="R168_NK225_P168_18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65.xml><?xml version="1.0" encoding="utf-8"?>
<x:table xmlns:x="http://schemas.openxmlformats.org/spreadsheetml/2006/main" id="64" name="R168_NK225_P168_19" displayName="R168_NK225_P168_19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66.xml><?xml version="1.0" encoding="utf-8"?>
<x:table xmlns:x="http://schemas.openxmlformats.org/spreadsheetml/2006/main" id="65" name="R168_NK225_P168_20" displayName="R168_NK225_P168_20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67.xml><?xml version="1.0" encoding="utf-8"?>
<x:table xmlns:x="http://schemas.openxmlformats.org/spreadsheetml/2006/main" id="66" name="R168_NK225_P168_21" displayName="R168_NK225_P168_21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68.xml><?xml version="1.0" encoding="utf-8"?>
<x:table xmlns:x="http://schemas.openxmlformats.org/spreadsheetml/2006/main" id="67" name="R168_NK225_P168_22" displayName="R168_NK225_P168_22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69.xml><?xml version="1.0" encoding="utf-8"?>
<x:table xmlns:x="http://schemas.openxmlformats.org/spreadsheetml/2006/main" id="68" name="R168_NK225_P168_23" displayName="R168_NK225_P168_23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70.xml><?xml version="1.0" encoding="utf-8"?>
<x:table xmlns:x="http://schemas.openxmlformats.org/spreadsheetml/2006/main" id="69" name="R168_NK225_P168_24" displayName="R168_NK225_P168_24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71.xml><?xml version="1.0" encoding="utf-8"?>
<x:table xmlns:x="http://schemas.openxmlformats.org/spreadsheetml/2006/main" id="70" name="R168_NK225_P168_25" displayName="R168_NK225_P168_25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72.xml><?xml version="1.0" encoding="utf-8"?>
<x:table xmlns:x="http://schemas.openxmlformats.org/spreadsheetml/2006/main" id="71" name="R168_NK225_P168_26" displayName="R168_NK225_P168_26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73.xml><?xml version="1.0" encoding="utf-8"?>
<x:table xmlns:x="http://schemas.openxmlformats.org/spreadsheetml/2006/main" id="72" name="R168_NK225_P168_27" displayName="R168_NK225_P168_27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74.xml><?xml version="1.0" encoding="utf-8"?>
<x:table xmlns:x="http://schemas.openxmlformats.org/spreadsheetml/2006/main" id="73" name="R168_NK225_P168B_01" displayName="R168_NK225_P168B_01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75.xml><?xml version="1.0" encoding="utf-8"?>
<x:table xmlns:x="http://schemas.openxmlformats.org/spreadsheetml/2006/main" id="74" name="R168_NK225_P168B_02" displayName="R168_NK225_P168B_02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76.xml><?xml version="1.0" encoding="utf-8"?>
<x:table xmlns:x="http://schemas.openxmlformats.org/spreadsheetml/2006/main" id="75" name="R168_NK225_P168B_03" displayName="R168_NK225_P168B_03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77.xml><?xml version="1.0" encoding="utf-8"?>
<x:table xmlns:x="http://schemas.openxmlformats.org/spreadsheetml/2006/main" id="76" name="R168_NK225_P168B_04" displayName="R168_NK225_P168B_04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78.xml><?xml version="1.0" encoding="utf-8"?>
<x:table xmlns:x="http://schemas.openxmlformats.org/spreadsheetml/2006/main" id="77" name="R168_NK225_P168B_05" displayName="R168_NK225_P168B_05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79.xml><?xml version="1.0" encoding="utf-8"?>
<x:table xmlns:x="http://schemas.openxmlformats.org/spreadsheetml/2006/main" id="78" name="R168_NK225_P168B_06" displayName="R168_NK225_P168B_06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80.xml><?xml version="1.0" encoding="utf-8"?>
<x:table xmlns:x="http://schemas.openxmlformats.org/spreadsheetml/2006/main" id="79" name="R168_NK225_P168B_07" displayName="R168_NK225_P168B_07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81.xml><?xml version="1.0" encoding="utf-8"?>
<x:table xmlns:x="http://schemas.openxmlformats.org/spreadsheetml/2006/main" id="80" name="R168_NK225_P168B_08" displayName="R168_NK225_P168B_08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82.xml><?xml version="1.0" encoding="utf-8"?>
<x:table xmlns:x="http://schemas.openxmlformats.org/spreadsheetml/2006/main" id="81" name="R168_NK225_P168B_09" displayName="R168_NK225_P168B_09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83.xml><?xml version="1.0" encoding="utf-8"?>
<x:table xmlns:x="http://schemas.openxmlformats.org/spreadsheetml/2006/main" id="82" name="R168_NK225_P168B_10" displayName="R168_NK225_P168B_10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84.xml><?xml version="1.0" encoding="utf-8"?>
<x:table xmlns:x="http://schemas.openxmlformats.org/spreadsheetml/2006/main" id="83" name="R168_NK225_P168B_11" displayName="R168_NK225_P168B_11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85.xml><?xml version="1.0" encoding="utf-8"?>
<x:table xmlns:x="http://schemas.openxmlformats.org/spreadsheetml/2006/main" id="84" name="R168_NK225_P168B_12" displayName="R168_NK225_P168B_12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86.xml><?xml version="1.0" encoding="utf-8"?>
<x:table xmlns:x="http://schemas.openxmlformats.org/spreadsheetml/2006/main" id="85" name="R168_NK225_P168B_13" displayName="R168_NK225_P168B_13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87.xml><?xml version="1.0" encoding="utf-8"?>
<x:table xmlns:x="http://schemas.openxmlformats.org/spreadsheetml/2006/main" id="86" name="R168_NK225_P168B_14" displayName="R168_NK225_P168B_14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88.xml><?xml version="1.0" encoding="utf-8"?>
<x:table xmlns:x="http://schemas.openxmlformats.org/spreadsheetml/2006/main" id="87" name="R168_NK225_P168B_15" displayName="R168_NK225_P168B_15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89.xml><?xml version="1.0" encoding="utf-8"?>
<x:table xmlns:x="http://schemas.openxmlformats.org/spreadsheetml/2006/main" id="88" name="R168_NK225_P168B_16" displayName="R168_NK225_P168B_16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90.xml><?xml version="1.0" encoding="utf-8"?>
<x:table xmlns:x="http://schemas.openxmlformats.org/spreadsheetml/2006/main" id="89" name="R168_NK225_U165_03" displayName="R168_NK225_U165_03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91.xml><?xml version="1.0" encoding="utf-8"?>
<x:table xmlns:x="http://schemas.openxmlformats.org/spreadsheetml/2006/main" id="90" name="R168_NK225_U168_01" displayName="R168_NK225_U168_01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92.xml><?xml version="1.0" encoding="utf-8"?>
<x:table xmlns:x="http://schemas.openxmlformats.org/spreadsheetml/2006/main" id="91" name="R168_NK225_U168_02" displayName="R168_NK225_U168_02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93.xml><?xml version="1.0" encoding="utf-8"?>
<x:table xmlns:x="http://schemas.openxmlformats.org/spreadsheetml/2006/main" id="92" name="R168_NK225_U168_03" displayName="R168_NK225_U168_03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94.xml><?xml version="1.0" encoding="utf-8"?>
<x:table xmlns:x="http://schemas.openxmlformats.org/spreadsheetml/2006/main" id="93" name="R168_NK225_U168_04" displayName="R168_NK225_U168_04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95.xml><?xml version="1.0" encoding="utf-8"?>
<x:table xmlns:x="http://schemas.openxmlformats.org/spreadsheetml/2006/main" id="94" name="R168_NK225_U168_05" displayName="R168_NK225_U168_05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96.xml><?xml version="1.0" encoding="utf-8"?>
<x:table xmlns:x="http://schemas.openxmlformats.org/spreadsheetml/2006/main" id="95" name="R168_NK225_U168_06" displayName="R168_NK225_U168_06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97.xml><?xml version="1.0" encoding="utf-8"?>
<x:table xmlns:x="http://schemas.openxmlformats.org/spreadsheetml/2006/main" id="96" name="R168_NK225_U168_07" displayName="R168_NK225_U168_07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98.xml><?xml version="1.0" encoding="utf-8"?>
<x:table xmlns:x="http://schemas.openxmlformats.org/spreadsheetml/2006/main" id="97" name="R168_NK225_U168_08" displayName="R168_NK225_U168_08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99.xml><?xml version="1.0" encoding="utf-8"?>
<x:table xmlns:x="http://schemas.openxmlformats.org/spreadsheetml/2006/main" id="98" name="R168_NK225_U168_09" displayName="R168_NK225_U168_09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00.xml><?xml version="1.0" encoding="utf-8"?>
<x:table xmlns:x="http://schemas.openxmlformats.org/spreadsheetml/2006/main" id="99" name="R168_NK225_U168_10" displayName="R168_NK225_U168_10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01.xml><?xml version="1.0" encoding="utf-8"?>
<x:table xmlns:x="http://schemas.openxmlformats.org/spreadsheetml/2006/main" id="100" name="R168_NK225_U168_11" displayName="R168_NK225_U168_11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02.xml><?xml version="1.0" encoding="utf-8"?>
<x:table xmlns:x="http://schemas.openxmlformats.org/spreadsheetml/2006/main" id="101" name="R168_NK225_U168_12" displayName="R168_NK225_U168_12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03.xml><?xml version="1.0" encoding="utf-8"?>
<x:table xmlns:x="http://schemas.openxmlformats.org/spreadsheetml/2006/main" id="102" name="R168_NK225_U168_13" displayName="R168_NK225_U168_13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04.xml><?xml version="1.0" encoding="utf-8"?>
<x:table xmlns:x="http://schemas.openxmlformats.org/spreadsheetml/2006/main" id="103" name="R168_NK225_U168_14" displayName="R168_NK225_U168_14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05.xml><?xml version="1.0" encoding="utf-8"?>
<x:table xmlns:x="http://schemas.openxmlformats.org/spreadsheetml/2006/main" id="104" name="R168_NK225_U168_15" displayName="R168_NK225_U168_15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06.xml><?xml version="1.0" encoding="utf-8"?>
<x:table xmlns:x="http://schemas.openxmlformats.org/spreadsheetml/2006/main" id="105" name="R168_NK225_U168_16" displayName="R168_NK225_U168_16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07.xml><?xml version="1.0" encoding="utf-8"?>
<x:table xmlns:x="http://schemas.openxmlformats.org/spreadsheetml/2006/main" id="106" name="R168_NK225_U168_17" displayName="R168_NK225_U168_17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08.xml><?xml version="1.0" encoding="utf-8"?>
<x:table xmlns:x="http://schemas.openxmlformats.org/spreadsheetml/2006/main" id="107" name="R168_NK225_U168_18" displayName="R168_NK225_U168_18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09.xml><?xml version="1.0" encoding="utf-8"?>
<x:table xmlns:x="http://schemas.openxmlformats.org/spreadsheetml/2006/main" id="108" name="R168_NK225_U168_19" displayName="R168_NK225_U168_19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10.xml><?xml version="1.0" encoding="utf-8"?>
<x:table xmlns:x="http://schemas.openxmlformats.org/spreadsheetml/2006/main" id="109" name="R168_NK225_U168_20" displayName="R168_NK225_U168_20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11.xml><?xml version="1.0" encoding="utf-8"?>
<x:table xmlns:x="http://schemas.openxmlformats.org/spreadsheetml/2006/main" id="110" name="R168_NK225_U168_21" displayName="R168_NK225_U168_21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12.xml><?xml version="1.0" encoding="utf-8"?>
<x:table xmlns:x="http://schemas.openxmlformats.org/spreadsheetml/2006/main" id="111" name="R168_NK225_U168_22" displayName="R168_NK225_U168_22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13.xml><?xml version="1.0" encoding="utf-8"?>
<x:table xmlns:x="http://schemas.openxmlformats.org/spreadsheetml/2006/main" id="112" name="R168_NK225_U168_23" displayName="R168_NK225_U168_23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14.xml><?xml version="1.0" encoding="utf-8"?>
<x:table xmlns:x="http://schemas.openxmlformats.org/spreadsheetml/2006/main" id="113" name="R168_NK225_U168_24" displayName="R168_NK225_U168_24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15.xml><?xml version="1.0" encoding="utf-8"?>
<x:table xmlns:x="http://schemas.openxmlformats.org/spreadsheetml/2006/main" id="114" name="R168_NK225_U168_25" displayName="R168_NK225_U168_25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16.xml><?xml version="1.0" encoding="utf-8"?>
<x:table xmlns:x="http://schemas.openxmlformats.org/spreadsheetml/2006/main" id="115" name="R168_NK225_U168_26" displayName="R168_NK225_U168_26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17.xml><?xml version="1.0" encoding="utf-8"?>
<x:table xmlns:x="http://schemas.openxmlformats.org/spreadsheetml/2006/main" id="116" name="R168_NK225_U168_27" displayName="R168_NK225_U168_27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18.xml><?xml version="1.0" encoding="utf-8"?>
<x:table xmlns:x="http://schemas.openxmlformats.org/spreadsheetml/2006/main" id="117" name="R168_NK225_U168B_01" displayName="R168_NK225_U168B_01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19.xml><?xml version="1.0" encoding="utf-8"?>
<x:table xmlns:x="http://schemas.openxmlformats.org/spreadsheetml/2006/main" id="118" name="R168_NK225_U168B_02" displayName="R168_NK225_U168B_02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20.xml><?xml version="1.0" encoding="utf-8"?>
<x:table xmlns:x="http://schemas.openxmlformats.org/spreadsheetml/2006/main" id="119" name="R168_NK225_U168B_03" displayName="R168_NK225_U168B_03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21.xml><?xml version="1.0" encoding="utf-8"?>
<x:table xmlns:x="http://schemas.openxmlformats.org/spreadsheetml/2006/main" id="120" name="R168_NK225_U168B_04" displayName="R168_NK225_U168B_04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22.xml><?xml version="1.0" encoding="utf-8"?>
<x:table xmlns:x="http://schemas.openxmlformats.org/spreadsheetml/2006/main" id="121" name="R168_NK225_U168B_05" displayName="R168_NK225_U168B_05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23.xml><?xml version="1.0" encoding="utf-8"?>
<x:table xmlns:x="http://schemas.openxmlformats.org/spreadsheetml/2006/main" id="122" name="R168_NK225_U168B_06" displayName="R168_NK225_U168B_06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24.xml><?xml version="1.0" encoding="utf-8"?>
<x:table xmlns:x="http://schemas.openxmlformats.org/spreadsheetml/2006/main" id="123" name="R168_NK225_U168B_07" displayName="R168_NK225_U168B_07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25.xml><?xml version="1.0" encoding="utf-8"?>
<x:table xmlns:x="http://schemas.openxmlformats.org/spreadsheetml/2006/main" id="124" name="R168_NK225_U168B_08" displayName="R168_NK225_U168B_08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26.xml><?xml version="1.0" encoding="utf-8"?>
<x:table xmlns:x="http://schemas.openxmlformats.org/spreadsheetml/2006/main" id="125" name="R168_NK225_U168B_09" displayName="R168_NK225_U168B_09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27.xml><?xml version="1.0" encoding="utf-8"?>
<x:table xmlns:x="http://schemas.openxmlformats.org/spreadsheetml/2006/main" id="126" name="R168_NK225_U168B_10" displayName="R168_NK225_U168B_10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28.xml><?xml version="1.0" encoding="utf-8"?>
<x:table xmlns:x="http://schemas.openxmlformats.org/spreadsheetml/2006/main" id="127" name="R168_NK225_U168B_11" displayName="R168_NK225_U168B_11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29.xml><?xml version="1.0" encoding="utf-8"?>
<x:table xmlns:x="http://schemas.openxmlformats.org/spreadsheetml/2006/main" id="128" name="R168_NK225_U168B_12" displayName="R168_NK225_U168B_12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30.xml><?xml version="1.0" encoding="utf-8"?>
<x:table xmlns:x="http://schemas.openxmlformats.org/spreadsheetml/2006/main" id="129" name="R168_NK225_U168B_13" displayName="R168_NK225_U168B_13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31.xml><?xml version="1.0" encoding="utf-8"?>
<x:table xmlns:x="http://schemas.openxmlformats.org/spreadsheetml/2006/main" id="130" name="R168_NK225_U168B_14" displayName="R168_NK225_U168B_14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32.xml><?xml version="1.0" encoding="utf-8"?>
<x:table xmlns:x="http://schemas.openxmlformats.org/spreadsheetml/2006/main" id="131" name="R168_NK225_U168B_15" displayName="R168_NK225_U168B_15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ables/table133.xml><?xml version="1.0" encoding="utf-8"?>
<x:table xmlns:x="http://schemas.openxmlformats.org/spreadsheetml/2006/main" id="132" name="R168_NK225_U168B_16" displayName="R168_NK225_U168B_16" ref="A5:F32" headerRowCount="1" totalsRowCount="0" totalsRowShown="0">
  <x:autoFilter ref="A5:F32"/>
  <x:tableColumns count="6">
    <x:tableColumn id="1" name="セッション"/>
    <x:tableColumn id="2" name="利益（円）"/>
    <x:tableColumn id="3" name="損失（円）"/>
    <x:tableColumn id="4" name="収支（円）"/>
    <x:tableColumn id="5" name="新規枚数（micro）"/>
    <x:tableColumn id="6" name="新規枚数（mini換算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2e0ad8a71442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357f41afb334b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ae056dae5d142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72a14a56ecf40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e125f3fb1884a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97e7470b32d47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7aed89f058f49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ca8db69ecfa47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5fdb20baa65486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48edec1aabd41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3cb3c6c1fe64f2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912e3bde3eaa474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06c2197662fd4ae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c62a487971a74ab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df016f757f2f47a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33f18974b7ec4a4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596a95329afb465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8e94e2c164cd4e4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482808b115594b8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a4627c36594b417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bb5370925db54d3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db78ae0ce674463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16ea21084008452b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b1ff3f6d310c4255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1630e14ca833446f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61fa8ae8ee524141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1ccd6c1db5b54b67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fb53f6c20dd9449c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7cc53a7633c14cb1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f09629435dff42b7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30001c85bbb94cc0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484d3daefa13491f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b197be812a1d4870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d96134041dee4409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4105372b141948c7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fa9a1725c09645fe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290505e7ba9d432f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1f7cfff878c54cdf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bd78eed5762a4f90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76ae3874137c4a2a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1.xml" Id="Rff53c4a6a4b74187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2.xml" Id="R199b042ee10f4ec8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3.xml" Id="R222e132e75624653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4.xml" Id="R5a2ebc0a551e41a3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5.xml" Id="R4037caf924494f81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6.xml" Id="Ra0064bef86db478b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47.xml" Id="Reb1c836cd66644c1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48.xml" Id="Rc51ec048e38d4d5c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table" Target="/xl/tables/table49.xml" Id="Rb0f2291da67f4329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table" Target="/xl/tables/table50.xml" Id="R6aef8ede802e4b11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table" Target="/xl/tables/table51.xml" Id="Re4cefe325bb64958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52.xml" Id="R9fbcff5fd88d42ef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table" Target="/xl/tables/table53.xml" Id="R53fa4424e72d4914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table" Target="/xl/tables/table54.xml" Id="R267835bbf16d4e7f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table" Target="/xl/tables/table55.xml" Id="R0c6b6ea5c3384c87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table" Target="/xl/tables/table56.xml" Id="R0657fe58ced049f9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table" Target="/xl/tables/table57.xml" Id="Rc5baccf6ba0b4f87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table" Target="/xl/tables/table58.xml" Id="R607eac42f4ab4455" 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table" Target="/xl/tables/table59.xml" Id="R566b12572aa645d1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table" Target="/xl/tables/table60.xml" Id="Rfa41f213f7184aa6" /></Relationships>
</file>

<file path=xl/worksheets/_rels/sheet61.xml.rels>&#65279;<?xml version="1.0" encoding="utf-8"?><Relationships xmlns="http://schemas.openxmlformats.org/package/2006/relationships"><Relationship Type="http://schemas.openxmlformats.org/officeDocument/2006/relationships/table" Target="/xl/tables/table61.xml" Id="R9ffc28ccfc864230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table" Target="/xl/tables/table62.xml" Id="R0979c73b23524e06" /></Relationships>
</file>

<file path=xl/worksheets/_rels/sheet63.xml.rels>&#65279;<?xml version="1.0" encoding="utf-8"?><Relationships xmlns="http://schemas.openxmlformats.org/package/2006/relationships"><Relationship Type="http://schemas.openxmlformats.org/officeDocument/2006/relationships/table" Target="/xl/tables/table63.xml" Id="R263a975f724b4720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table" Target="/xl/tables/table64.xml" Id="R1f36ba8dd6374ee4" 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table" Target="/xl/tables/table65.xml" Id="R26d79b10f63f4cc4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table" Target="/xl/tables/table66.xml" Id="Ra199ac9f30b0470c" /></Relationships>
</file>

<file path=xl/worksheets/_rels/sheet67.xml.rels>&#65279;<?xml version="1.0" encoding="utf-8"?><Relationships xmlns="http://schemas.openxmlformats.org/package/2006/relationships"><Relationship Type="http://schemas.openxmlformats.org/officeDocument/2006/relationships/table" Target="/xl/tables/table67.xml" Id="R4abdb91963084592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table" Target="/xl/tables/table68.xml" Id="R46f820c581b145bc" /></Relationships>
</file>

<file path=xl/worksheets/_rels/sheet69.xml.rels>&#65279;<?xml version="1.0" encoding="utf-8"?><Relationships xmlns="http://schemas.openxmlformats.org/package/2006/relationships"><Relationship Type="http://schemas.openxmlformats.org/officeDocument/2006/relationships/table" Target="/xl/tables/table69.xml" Id="Rab47b2d57a5e491d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table" Target="/xl/tables/table70.xml" Id="R0ff13545746c43a4" /></Relationships>
</file>

<file path=xl/worksheets/_rels/sheet71.xml.rels>&#65279;<?xml version="1.0" encoding="utf-8"?><Relationships xmlns="http://schemas.openxmlformats.org/package/2006/relationships"><Relationship Type="http://schemas.openxmlformats.org/officeDocument/2006/relationships/table" Target="/xl/tables/table71.xml" Id="Re9c520b809be4e38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table" Target="/xl/tables/table72.xml" Id="Rc849acbd0074403a" /></Relationships>
</file>

<file path=xl/worksheets/_rels/sheet73.xml.rels>&#65279;<?xml version="1.0" encoding="utf-8"?><Relationships xmlns="http://schemas.openxmlformats.org/package/2006/relationships"><Relationship Type="http://schemas.openxmlformats.org/officeDocument/2006/relationships/table" Target="/xl/tables/table73.xml" Id="Rc4a8b5c1766a4d2d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table" Target="/xl/tables/table74.xml" Id="R99cf320b5f84409a" /></Relationships>
</file>

<file path=xl/worksheets/_rels/sheet75.xml.rels>&#65279;<?xml version="1.0" encoding="utf-8"?><Relationships xmlns="http://schemas.openxmlformats.org/package/2006/relationships"><Relationship Type="http://schemas.openxmlformats.org/officeDocument/2006/relationships/table" Target="/xl/tables/table75.xml" Id="R01c522e446404157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table" Target="/xl/tables/table76.xml" Id="R17b674a585894d69" /></Relationships>
</file>

<file path=xl/worksheets/_rels/sheet77.xml.rels>&#65279;<?xml version="1.0" encoding="utf-8"?><Relationships xmlns="http://schemas.openxmlformats.org/package/2006/relationships"><Relationship Type="http://schemas.openxmlformats.org/officeDocument/2006/relationships/table" Target="/xl/tables/table77.xml" Id="Rf430a2412b4f41d3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table" Target="/xl/tables/table78.xml" Id="Rfd4e8dcf41334216" /></Relationships>
</file>

<file path=xl/worksheets/_rels/sheet79.xml.rels>&#65279;<?xml version="1.0" encoding="utf-8"?><Relationships xmlns="http://schemas.openxmlformats.org/package/2006/relationships"><Relationship Type="http://schemas.openxmlformats.org/officeDocument/2006/relationships/table" Target="/xl/tables/table79.xml" Id="Rf67c0be036424a4f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table" Target="/xl/tables/table80.xml" Id="R569e27b486c741ca" /></Relationships>
</file>

<file path=xl/worksheets/_rels/sheet81.xml.rels>&#65279;<?xml version="1.0" encoding="utf-8"?><Relationships xmlns="http://schemas.openxmlformats.org/package/2006/relationships"><Relationship Type="http://schemas.openxmlformats.org/officeDocument/2006/relationships/table" Target="/xl/tables/table81.xml" Id="R5ed26a8181684b09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table" Target="/xl/tables/table82.xml" Id="R2c81ae3c951a4541" /></Relationships>
</file>

<file path=xl/worksheets/_rels/sheet83.xml.rels>&#65279;<?xml version="1.0" encoding="utf-8"?><Relationships xmlns="http://schemas.openxmlformats.org/package/2006/relationships"><Relationship Type="http://schemas.openxmlformats.org/officeDocument/2006/relationships/table" Target="/xl/tables/table83.xml" Id="R1628e0dfdb3443fc" 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table" Target="/xl/tables/table84.xml" Id="R035c8c83e3134608" /></Relationships>
</file>

<file path=xl/worksheets/_rels/sheet85.xml.rels>&#65279;<?xml version="1.0" encoding="utf-8"?><Relationships xmlns="http://schemas.openxmlformats.org/package/2006/relationships"><Relationship Type="http://schemas.openxmlformats.org/officeDocument/2006/relationships/table" Target="/xl/tables/table85.xml" Id="Rdd2b8240d74543ba" /></Relationships>
</file>

<file path=xl/worksheets/_rels/sheet86.xml.rels>&#65279;<?xml version="1.0" encoding="utf-8"?><Relationships xmlns="http://schemas.openxmlformats.org/package/2006/relationships"><Relationship Type="http://schemas.openxmlformats.org/officeDocument/2006/relationships/table" Target="/xl/tables/table86.xml" Id="Rf53ae79b224f49c9" /></Relationships>
</file>

<file path=xl/worksheets/_rels/sheet87.xml.rels>&#65279;<?xml version="1.0" encoding="utf-8"?><Relationships xmlns="http://schemas.openxmlformats.org/package/2006/relationships"><Relationship Type="http://schemas.openxmlformats.org/officeDocument/2006/relationships/table" Target="/xl/tables/table87.xml" Id="R709c971db6f048f8" /></Relationships>
</file>

<file path=xl/worksheets/_rels/sheet88.xml.rels>&#65279;<?xml version="1.0" encoding="utf-8"?><Relationships xmlns="http://schemas.openxmlformats.org/package/2006/relationships"><Relationship Type="http://schemas.openxmlformats.org/officeDocument/2006/relationships/table" Target="/xl/tables/table88.xml" Id="R917e59255961460c" /></Relationships>
</file>

<file path=xl/worksheets/_rels/sheet89.xml.rels>&#65279;<?xml version="1.0" encoding="utf-8"?><Relationships xmlns="http://schemas.openxmlformats.org/package/2006/relationships"><Relationship Type="http://schemas.openxmlformats.org/officeDocument/2006/relationships/table" Target="/xl/tables/table89.xml" Id="R5cc4173aa3744104" /></Relationships>
</file>

<file path=xl/worksheets/_rels/sheet90.xml.rels>&#65279;<?xml version="1.0" encoding="utf-8"?><Relationships xmlns="http://schemas.openxmlformats.org/package/2006/relationships"><Relationship Type="http://schemas.openxmlformats.org/officeDocument/2006/relationships/table" Target="/xl/tables/table90.xml" Id="R7c792bae31074e74" /></Relationships>
</file>

<file path=xl/worksheets/_rels/sheet91.xml.rels>&#65279;<?xml version="1.0" encoding="utf-8"?><Relationships xmlns="http://schemas.openxmlformats.org/package/2006/relationships"><Relationship Type="http://schemas.openxmlformats.org/officeDocument/2006/relationships/table" Target="/xl/tables/table91.xml" Id="Rec91c4ba17324a4f" /></Relationships>
</file>

<file path=xl/worksheets/_rels/sheet92.xml.rels>&#65279;<?xml version="1.0" encoding="utf-8"?><Relationships xmlns="http://schemas.openxmlformats.org/package/2006/relationships"><Relationship Type="http://schemas.openxmlformats.org/officeDocument/2006/relationships/table" Target="/xl/tables/table92.xml" Id="Raaa025c0c6864995" /></Relationships>
</file>

<file path=xl/worksheets/_rels/sheet93.xml.rels>&#65279;<?xml version="1.0" encoding="utf-8"?><Relationships xmlns="http://schemas.openxmlformats.org/package/2006/relationships"><Relationship Type="http://schemas.openxmlformats.org/officeDocument/2006/relationships/table" Target="/xl/tables/table93.xml" Id="R2987afa497ed4174" /></Relationships>
</file>

<file path=xl/worksheets/_rels/sheet94.xml.rels>&#65279;<?xml version="1.0" encoding="utf-8"?><Relationships xmlns="http://schemas.openxmlformats.org/package/2006/relationships"><Relationship Type="http://schemas.openxmlformats.org/officeDocument/2006/relationships/table" Target="/xl/tables/table94.xml" Id="R8f8dd00930fd4d07" /></Relationships>
</file>

<file path=xl/worksheets/_rels/sheet95.xml.rels>&#65279;<?xml version="1.0" encoding="utf-8"?><Relationships xmlns="http://schemas.openxmlformats.org/package/2006/relationships"><Relationship Type="http://schemas.openxmlformats.org/officeDocument/2006/relationships/table" Target="/xl/tables/table95.xml" Id="Rb2ee14ab60e54061" /></Relationships>
</file>

<file path=xl/worksheets/_rels/sheet96.xml.rels>&#65279;<?xml version="1.0" encoding="utf-8"?><Relationships xmlns="http://schemas.openxmlformats.org/package/2006/relationships"><Relationship Type="http://schemas.openxmlformats.org/officeDocument/2006/relationships/table" Target="/xl/tables/table96.xml" Id="Rd8266cda5f5d4e2e" /></Relationships>
</file>

<file path=xl/worksheets/_rels/sheet97.xml.rels>&#65279;<?xml version="1.0" encoding="utf-8"?><Relationships xmlns="http://schemas.openxmlformats.org/package/2006/relationships"><Relationship Type="http://schemas.openxmlformats.org/officeDocument/2006/relationships/table" Target="/xl/tables/table97.xml" Id="Re0e3522880c94b72" /></Relationships>
</file>

<file path=xl/worksheets/_rels/sheet98.xml.rels>&#65279;<?xml version="1.0" encoding="utf-8"?><Relationships xmlns="http://schemas.openxmlformats.org/package/2006/relationships"><Relationship Type="http://schemas.openxmlformats.org/officeDocument/2006/relationships/table" Target="/xl/tables/table98.xml" Id="Rbc0c6bcbe42646cf" /></Relationships>
</file>

<file path=xl/worksheets/_rels/sheet99.xml.rels>&#65279;<?xml version="1.0" encoding="utf-8"?><Relationships xmlns="http://schemas.openxmlformats.org/package/2006/relationships"><Relationship Type="http://schemas.openxmlformats.org/officeDocument/2006/relationships/table" Target="/xl/tables/table99.xml" Id="R14cd682a892c4c8e" /></Relationships>
</file>

<file path=xl/worksheets/_rels/sheet100.xml.rels>&#65279;<?xml version="1.0" encoding="utf-8"?><Relationships xmlns="http://schemas.openxmlformats.org/package/2006/relationships"><Relationship Type="http://schemas.openxmlformats.org/officeDocument/2006/relationships/table" Target="/xl/tables/table100.xml" Id="Rb13c158f612e422b" /></Relationships>
</file>

<file path=xl/worksheets/_rels/sheet101.xml.rels>&#65279;<?xml version="1.0" encoding="utf-8"?><Relationships xmlns="http://schemas.openxmlformats.org/package/2006/relationships"><Relationship Type="http://schemas.openxmlformats.org/officeDocument/2006/relationships/table" Target="/xl/tables/table101.xml" Id="R4231864080a1475a" /></Relationships>
</file>

<file path=xl/worksheets/_rels/sheet102.xml.rels>&#65279;<?xml version="1.0" encoding="utf-8"?><Relationships xmlns="http://schemas.openxmlformats.org/package/2006/relationships"><Relationship Type="http://schemas.openxmlformats.org/officeDocument/2006/relationships/table" Target="/xl/tables/table102.xml" Id="R3ecfa92a2701417b" /></Relationships>
</file>

<file path=xl/worksheets/_rels/sheet103.xml.rels>&#65279;<?xml version="1.0" encoding="utf-8"?><Relationships xmlns="http://schemas.openxmlformats.org/package/2006/relationships"><Relationship Type="http://schemas.openxmlformats.org/officeDocument/2006/relationships/table" Target="/xl/tables/table103.xml" Id="Rfb18a303ad6d4235" /></Relationships>
</file>

<file path=xl/worksheets/_rels/sheet104.xml.rels>&#65279;<?xml version="1.0" encoding="utf-8"?><Relationships xmlns="http://schemas.openxmlformats.org/package/2006/relationships"><Relationship Type="http://schemas.openxmlformats.org/officeDocument/2006/relationships/table" Target="/xl/tables/table104.xml" Id="R4c140f8e89b144ec" /></Relationships>
</file>

<file path=xl/worksheets/_rels/sheet105.xml.rels>&#65279;<?xml version="1.0" encoding="utf-8"?><Relationships xmlns="http://schemas.openxmlformats.org/package/2006/relationships"><Relationship Type="http://schemas.openxmlformats.org/officeDocument/2006/relationships/table" Target="/xl/tables/table105.xml" Id="R69c42dd0cd024715" /></Relationships>
</file>

<file path=xl/worksheets/_rels/sheet106.xml.rels>&#65279;<?xml version="1.0" encoding="utf-8"?><Relationships xmlns="http://schemas.openxmlformats.org/package/2006/relationships"><Relationship Type="http://schemas.openxmlformats.org/officeDocument/2006/relationships/table" Target="/xl/tables/table106.xml" Id="R574838fc6ec545d1" /></Relationships>
</file>

<file path=xl/worksheets/_rels/sheet107.xml.rels>&#65279;<?xml version="1.0" encoding="utf-8"?><Relationships xmlns="http://schemas.openxmlformats.org/package/2006/relationships"><Relationship Type="http://schemas.openxmlformats.org/officeDocument/2006/relationships/table" Target="/xl/tables/table107.xml" Id="Rc437379e17944657" /></Relationships>
</file>

<file path=xl/worksheets/_rels/sheet108.xml.rels>&#65279;<?xml version="1.0" encoding="utf-8"?><Relationships xmlns="http://schemas.openxmlformats.org/package/2006/relationships"><Relationship Type="http://schemas.openxmlformats.org/officeDocument/2006/relationships/table" Target="/xl/tables/table108.xml" Id="R9a5cb3e1fa6d40e9" /></Relationships>
</file>

<file path=xl/worksheets/_rels/sheet109.xml.rels>&#65279;<?xml version="1.0" encoding="utf-8"?><Relationships xmlns="http://schemas.openxmlformats.org/package/2006/relationships"><Relationship Type="http://schemas.openxmlformats.org/officeDocument/2006/relationships/table" Target="/xl/tables/table109.xml" Id="R50b8c6278d8942e9" /></Relationships>
</file>

<file path=xl/worksheets/_rels/sheet110.xml.rels>&#65279;<?xml version="1.0" encoding="utf-8"?><Relationships xmlns="http://schemas.openxmlformats.org/package/2006/relationships"><Relationship Type="http://schemas.openxmlformats.org/officeDocument/2006/relationships/table" Target="/xl/tables/table110.xml" Id="R285db91b0d93493b" /></Relationships>
</file>

<file path=xl/worksheets/_rels/sheet111.xml.rels>&#65279;<?xml version="1.0" encoding="utf-8"?><Relationships xmlns="http://schemas.openxmlformats.org/package/2006/relationships"><Relationship Type="http://schemas.openxmlformats.org/officeDocument/2006/relationships/table" Target="/xl/tables/table111.xml" Id="R31f790a9f5cb4acf" /></Relationships>
</file>

<file path=xl/worksheets/_rels/sheet112.xml.rels>&#65279;<?xml version="1.0" encoding="utf-8"?><Relationships xmlns="http://schemas.openxmlformats.org/package/2006/relationships"><Relationship Type="http://schemas.openxmlformats.org/officeDocument/2006/relationships/table" Target="/xl/tables/table112.xml" Id="R09bfd9d7bfbc4ac5" /></Relationships>
</file>

<file path=xl/worksheets/_rels/sheet113.xml.rels>&#65279;<?xml version="1.0" encoding="utf-8"?><Relationships xmlns="http://schemas.openxmlformats.org/package/2006/relationships"><Relationship Type="http://schemas.openxmlformats.org/officeDocument/2006/relationships/table" Target="/xl/tables/table113.xml" Id="R5146f7851e6e4c9f" /></Relationships>
</file>

<file path=xl/worksheets/_rels/sheet114.xml.rels>&#65279;<?xml version="1.0" encoding="utf-8"?><Relationships xmlns="http://schemas.openxmlformats.org/package/2006/relationships"><Relationship Type="http://schemas.openxmlformats.org/officeDocument/2006/relationships/table" Target="/xl/tables/table114.xml" Id="R19e812fc57454253" /></Relationships>
</file>

<file path=xl/worksheets/_rels/sheet115.xml.rels>&#65279;<?xml version="1.0" encoding="utf-8"?><Relationships xmlns="http://schemas.openxmlformats.org/package/2006/relationships"><Relationship Type="http://schemas.openxmlformats.org/officeDocument/2006/relationships/table" Target="/xl/tables/table115.xml" Id="Rd2d21549e0ac4631" /></Relationships>
</file>

<file path=xl/worksheets/_rels/sheet116.xml.rels>&#65279;<?xml version="1.0" encoding="utf-8"?><Relationships xmlns="http://schemas.openxmlformats.org/package/2006/relationships"><Relationship Type="http://schemas.openxmlformats.org/officeDocument/2006/relationships/table" Target="/xl/tables/table116.xml" Id="R469fdd44044943af" /></Relationships>
</file>

<file path=xl/worksheets/_rels/sheet117.xml.rels>&#65279;<?xml version="1.0" encoding="utf-8"?><Relationships xmlns="http://schemas.openxmlformats.org/package/2006/relationships"><Relationship Type="http://schemas.openxmlformats.org/officeDocument/2006/relationships/table" Target="/xl/tables/table117.xml" Id="R4ea00e065b1f4e46" /></Relationships>
</file>

<file path=xl/worksheets/_rels/sheet118.xml.rels>&#65279;<?xml version="1.0" encoding="utf-8"?><Relationships xmlns="http://schemas.openxmlformats.org/package/2006/relationships"><Relationship Type="http://schemas.openxmlformats.org/officeDocument/2006/relationships/table" Target="/xl/tables/table118.xml" Id="Rc0f7cfc57a26482d" /></Relationships>
</file>

<file path=xl/worksheets/_rels/sheet119.xml.rels>&#65279;<?xml version="1.0" encoding="utf-8"?><Relationships xmlns="http://schemas.openxmlformats.org/package/2006/relationships"><Relationship Type="http://schemas.openxmlformats.org/officeDocument/2006/relationships/table" Target="/xl/tables/table119.xml" Id="R62f7d099ae184fc6" /></Relationships>
</file>

<file path=xl/worksheets/_rels/sheet120.xml.rels>&#65279;<?xml version="1.0" encoding="utf-8"?><Relationships xmlns="http://schemas.openxmlformats.org/package/2006/relationships"><Relationship Type="http://schemas.openxmlformats.org/officeDocument/2006/relationships/table" Target="/xl/tables/table120.xml" Id="Rda8567db2fb24d28" /></Relationships>
</file>

<file path=xl/worksheets/_rels/sheet121.xml.rels>&#65279;<?xml version="1.0" encoding="utf-8"?><Relationships xmlns="http://schemas.openxmlformats.org/package/2006/relationships"><Relationship Type="http://schemas.openxmlformats.org/officeDocument/2006/relationships/table" Target="/xl/tables/table121.xml" Id="R4e03044dd6c04524" /></Relationships>
</file>

<file path=xl/worksheets/_rels/sheet122.xml.rels>&#65279;<?xml version="1.0" encoding="utf-8"?><Relationships xmlns="http://schemas.openxmlformats.org/package/2006/relationships"><Relationship Type="http://schemas.openxmlformats.org/officeDocument/2006/relationships/table" Target="/xl/tables/table122.xml" Id="Rc785f2f1d1074d56" /></Relationships>
</file>

<file path=xl/worksheets/_rels/sheet123.xml.rels>&#65279;<?xml version="1.0" encoding="utf-8"?><Relationships xmlns="http://schemas.openxmlformats.org/package/2006/relationships"><Relationship Type="http://schemas.openxmlformats.org/officeDocument/2006/relationships/table" Target="/xl/tables/table123.xml" Id="R79175862fdcb4c1b" /></Relationships>
</file>

<file path=xl/worksheets/_rels/sheet124.xml.rels>&#65279;<?xml version="1.0" encoding="utf-8"?><Relationships xmlns="http://schemas.openxmlformats.org/package/2006/relationships"><Relationship Type="http://schemas.openxmlformats.org/officeDocument/2006/relationships/table" Target="/xl/tables/table124.xml" Id="R22fc6c97d7d04e5b" /></Relationships>
</file>

<file path=xl/worksheets/_rels/sheet125.xml.rels>&#65279;<?xml version="1.0" encoding="utf-8"?><Relationships xmlns="http://schemas.openxmlformats.org/package/2006/relationships"><Relationship Type="http://schemas.openxmlformats.org/officeDocument/2006/relationships/table" Target="/xl/tables/table125.xml" Id="R248cabf878ae44dd" /></Relationships>
</file>

<file path=xl/worksheets/_rels/sheet126.xml.rels>&#65279;<?xml version="1.0" encoding="utf-8"?><Relationships xmlns="http://schemas.openxmlformats.org/package/2006/relationships"><Relationship Type="http://schemas.openxmlformats.org/officeDocument/2006/relationships/table" Target="/xl/tables/table126.xml" Id="R5ac4002c470548c0" /></Relationships>
</file>

<file path=xl/worksheets/_rels/sheet127.xml.rels>&#65279;<?xml version="1.0" encoding="utf-8"?><Relationships xmlns="http://schemas.openxmlformats.org/package/2006/relationships"><Relationship Type="http://schemas.openxmlformats.org/officeDocument/2006/relationships/table" Target="/xl/tables/table127.xml" Id="Re62fc1d46fc943cd" /></Relationships>
</file>

<file path=xl/worksheets/_rels/sheet128.xml.rels>&#65279;<?xml version="1.0" encoding="utf-8"?><Relationships xmlns="http://schemas.openxmlformats.org/package/2006/relationships"><Relationship Type="http://schemas.openxmlformats.org/officeDocument/2006/relationships/table" Target="/xl/tables/table128.xml" Id="R556ff348d3a44191" /></Relationships>
</file>

<file path=xl/worksheets/_rels/sheet129.xml.rels>&#65279;<?xml version="1.0" encoding="utf-8"?><Relationships xmlns="http://schemas.openxmlformats.org/package/2006/relationships"><Relationship Type="http://schemas.openxmlformats.org/officeDocument/2006/relationships/table" Target="/xl/tables/table129.xml" Id="R603beadff8ac4c3d" /></Relationships>
</file>

<file path=xl/worksheets/_rels/sheet130.xml.rels>&#65279;<?xml version="1.0" encoding="utf-8"?><Relationships xmlns="http://schemas.openxmlformats.org/package/2006/relationships"><Relationship Type="http://schemas.openxmlformats.org/officeDocument/2006/relationships/table" Target="/xl/tables/table130.xml" Id="R7cca46a67d204751" /></Relationships>
</file>

<file path=xl/worksheets/_rels/sheet131.xml.rels>&#65279;<?xml version="1.0" encoding="utf-8"?><Relationships xmlns="http://schemas.openxmlformats.org/package/2006/relationships"><Relationship Type="http://schemas.openxmlformats.org/officeDocument/2006/relationships/table" Target="/xl/tables/table131.xml" Id="R823b3de3a6ff4fb2" /></Relationships>
</file>

<file path=xl/worksheets/_rels/sheet132.xml.rels>&#65279;<?xml version="1.0" encoding="utf-8"?><Relationships xmlns="http://schemas.openxmlformats.org/package/2006/relationships"><Relationship Type="http://schemas.openxmlformats.org/officeDocument/2006/relationships/table" Target="/xl/tables/table132.xml" Id="R4a7bf535980e4a21" /></Relationships>
</file>

<file path=xl/worksheets/_rels/sheet133.xml.rels>&#65279;<?xml version="1.0" encoding="utf-8"?><Relationships xmlns="http://schemas.openxmlformats.org/package/2006/relationships"><Relationship Type="http://schemas.openxmlformats.org/officeDocument/2006/relationships/table" Target="/xl/tables/table133.xml" Id="Rd920824ed0274074" /></Relationships>
</file>

<file path=xl/worksheets/sheet1.xml><?xml version="1.0" encoding="utf-8"?>
<x:worksheet xmlns:x="http://schemas.openxmlformats.org/spreadsheetml/2006/main">
  <x:sheetPr>
    <x:tabColor rgb="FF263B54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  <x:col min="7" max="7" width="11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2" hidden="0" customWidth="1"/>
    <x:col min="14" max="14" width="12" hidden="0" customWidth="1"/>
    <x:col min="15" max="15" width="18" hidden="0" customWidth="1"/>
    <x:col min="16" max="16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5" customHeight="1">
      <x:c r="A2" s="3" t="str">
        <x:v>早期利確と再判断の全セッション損益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38" customHeight="1">
      <x:c r="A3" s="5" t="str">
        <x:v>既知54場の追加開発。第一巡27案・第二巡16案を日中/米国前/米国後へ別ID。入口261件の価格経路と各玉の回収/再参加を先に確認。100micro=mini10枚相当、実mini整数粒度とは異なる。手数料0、次正常ラージAsk/Bid約定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</x:row>
    <x:row r="4" ht="38" customHeight="1">
      <x:c r="A4" s="5" t="str">
        <x:v>返済約定片の正額合計を利益、負額の絶対値合計を損失とする。全所有玉は場内完済。 利益返し＝正益後に最終赤字となった実玉数。場内最悪＝確定＋全実玉の含み。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 ht="42" customHeight="1">
      <x:c r="A5" s="32" t="str">
        <x:v>手法ID</x:v>
      </x:c>
      <x:c r="B5" s="32" t="str">
        <x:v>時間帯</x:v>
      </x:c>
      <x:c r="C5" s="32" t="str">
        <x:v>区分</x:v>
      </x:c>
      <x:c r="D5" s="32" t="str">
        <x:v>総利益（円）</x:v>
      </x:c>
      <x:c r="E5" s="32" t="str">
        <x:v>総損失（円）</x:v>
      </x:c>
      <x:c r="F5" s="32" t="str">
        <x:v>累計収支（円）</x:v>
      </x:c>
      <x:c r="G5" s="32" t="str">
        <x:v>赤字場数</x:v>
      </x:c>
      <x:c r="H5" s="32" t="str">
        <x:v>平均赤字（円）</x:v>
      </x:c>
      <x:c r="I5" s="32" t="str">
        <x:v>最大赤字（円）</x:v>
      </x:c>
      <x:c r="J5" s="32" t="str">
        <x:v>上位3黒字場除外（円）</x:v>
      </x:c>
      <x:c r="K5" s="32" t="str">
        <x:v>場内最悪収支（円）</x:v>
      </x:c>
      <x:c r="L5" s="32" t="str">
        <x:v>最大下落額（円）</x:v>
      </x:c>
      <x:c r="M5" s="32" t="str">
        <x:v>利益返し玉数</x:v>
      </x:c>
      <x:c r="N5" s="32" t="str">
        <x:v>正益玉数</x:v>
      </x:c>
      <x:c r="O5" s="32" t="str">
        <x:v>新規枚数（micro）</x:v>
      </x:c>
      <x:c r="P5" s="32" t="str">
        <x:v>新規枚数（mini換算）</x:v>
      </x:c>
    </x:row>
    <x:row r="6" ht="25" customHeight="1">
      <x:c r="A6" s="2" t="str">
        <x:v>NK225_D164_15</x:v>
      </x:c>
      <x:c r="B6" s="28" t="str">
        <x:v>日中</x:v>
      </x:c>
      <x:c r="C6" s="28" t="str">
        <x:v>基準・前20場固定</x:v>
      </x:c>
      <x:c r="D6" s="7" t="n">
        <x:f>'日経_D164_15'!B33</x:f>
        <x:v>3067600</x:v>
      </x:c>
      <x:c r="E6" s="7" t="n">
        <x:f>'日経_D164_15'!C33</x:f>
        <x:v>1819100</x:v>
      </x:c>
      <x:c r="F6" s="7" t="n">
        <x:f>'日経_D164_15'!D33</x:f>
        <x:v>1248500</x:v>
      </x:c>
      <x:c r="G6" s="12" t="n">
        <x:f>COUNTIFS('日経_D164_15'!D6:D32,"&lt;0")</x:f>
        <x:v>9</x:v>
      </x:c>
      <x:c r="H6" s="7" t="n">
        <x:f>IF(G6=0,0,-SUMIFS('日経_D164_15'!D6:D32,'日経_D164_15'!D6:D32,"&lt;0")/G6)</x:f>
        <x:v>68922.22222222222</x:v>
      </x:c>
      <x:c r="I6" s="7" t="n">
        <x:f>MAX(0,-MIN('日経_D164_15'!D6:D32))</x:f>
        <x:v>132500</x:v>
      </x:c>
      <x:c r="J6" s="7" t="n">
        <x:f>F6-MAX(0,LARGE('日経_D164_15'!D6:D32,1))-MAX(0,LARGE('日経_D164_15'!D6:D32,2))-MAX(0,LARGE('日経_D164_15'!D6:D32,3))</x:f>
        <x:v>174200</x:v>
      </x:c>
      <x:c r="K6" s="7" t="n">
        <x:v>-177600</x:v>
      </x:c>
      <x:c r="L6" s="7" t="n">
        <x:v>241200</x:v>
      </x:c>
      <x:c r="M6" s="12" t="n">
        <x:v>64</x:v>
      </x:c>
      <x:c r="N6" s="12" t="n">
        <x:v>163</x:v>
      </x:c>
      <x:c r="O6" s="12" t="n">
        <x:f>'日経_D164_15'!E33</x:f>
        <x:v>3934</x:v>
      </x:c>
      <x:c r="P6" s="14" t="n">
        <x:f>'日経_D164_15'!F33</x:f>
        <x:v>393.4</x:v>
      </x:c>
    </x:row>
    <x:row r="7" ht="25" customHeight="1">
      <x:c r="A7" s="2" t="str">
        <x:v>NK225_D168_01</x:v>
      </x:c>
      <x:c r="B7" s="28" t="str">
        <x:v>日中</x:v>
      </x:c>
      <x:c r="C7" s="28" t="str">
        <x:v>比較候補</x:v>
      </x:c>
      <x:c r="D7" s="7" t="n">
        <x:f>'日経_D168_01'!B33</x:f>
        <x:v>173700</x:v>
      </x:c>
      <x:c r="E7" s="7" t="n">
        <x:f>'日経_D168_01'!C33</x:f>
        <x:v>605900</x:v>
      </x:c>
      <x:c r="F7" s="7" t="n">
        <x:f>'日経_D168_01'!D33</x:f>
        <x:v>-432200</x:v>
      </x:c>
      <x:c r="G7" s="12" t="n">
        <x:f>COUNTIFS('日経_D168_01'!D6:D32,"&lt;0")</x:f>
        <x:v>16</x:v>
      </x:c>
      <x:c r="H7" s="7" t="n">
        <x:f>IF(G7=0,0,-SUMIFS('日経_D168_01'!D6:D32,'日経_D168_01'!D6:D32,"&lt;0")/G7)</x:f>
        <x:v>30218.75</x:v>
      </x:c>
      <x:c r="I7" s="7" t="n">
        <x:f>MAX(0,-MIN('日経_D168_01'!D6:D32))</x:f>
        <x:v>160200</x:v>
      </x:c>
      <x:c r="J7" s="7" t="n">
        <x:f>F7-MAX(0,LARGE('日経_D168_01'!D6:D32,1))-MAX(0,LARGE('日経_D168_01'!D6:D32,2))-MAX(0,LARGE('日経_D168_01'!D6:D32,3))</x:f>
        <x:v>-465600</x:v>
      </x:c>
      <x:c r="K7" s="7" t="n">
        <x:v>-173700</x:v>
      </x:c>
      <x:c r="L7" s="7" t="n">
        <x:v>176300</x:v>
      </x:c>
      <x:c r="M7" s="12" t="n">
        <x:v>0</x:v>
      </x:c>
      <x:c r="N7" s="12" t="n">
        <x:v>163</x:v>
      </x:c>
      <x:c r="O7" s="12" t="n">
        <x:f>'日経_D168_01'!E33</x:f>
        <x:v>3934</x:v>
      </x:c>
      <x:c r="P7" s="14" t="n">
        <x:f>'日経_D168_01'!F33</x:f>
        <x:v>393.4</x:v>
      </x:c>
    </x:row>
    <x:row r="8" ht="25" customHeight="1">
      <x:c r="A8" s="2" t="str">
        <x:v>NK225_D168_02</x:v>
      </x:c>
      <x:c r="B8" s="28" t="str">
        <x:v>日中</x:v>
      </x:c>
      <x:c r="C8" s="28" t="str">
        <x:v>比較候補</x:v>
      </x:c>
      <x:c r="D8" s="7" t="n">
        <x:f>'日経_D168_02'!B33</x:f>
        <x:v>422700</x:v>
      </x:c>
      <x:c r="E8" s="7" t="n">
        <x:f>'日経_D168_02'!C33</x:f>
        <x:v>717000</x:v>
      </x:c>
      <x:c r="F8" s="7" t="n">
        <x:f>'日経_D168_02'!D33</x:f>
        <x:v>-294300</x:v>
      </x:c>
      <x:c r="G8" s="12" t="n">
        <x:f>COUNTIFS('日経_D168_02'!D6:D32,"&lt;0")</x:f>
        <x:v>13</x:v>
      </x:c>
      <x:c r="H8" s="7" t="n">
        <x:f>IF(G8=0,0,-SUMIFS('日経_D168_02'!D6:D32,'日経_D168_02'!D6:D32,"&lt;0")/G8)</x:f>
        <x:v>36076.92307692308</x:v>
      </x:c>
      <x:c r="I8" s="7" t="n">
        <x:f>MAX(0,-MIN('日経_D168_02'!D6:D32))</x:f>
        <x:v>156700</x:v>
      </x:c>
      <x:c r="J8" s="7" t="n">
        <x:f>F8-MAX(0,LARGE('日経_D168_02'!D6:D32,1))-MAX(0,LARGE('日経_D168_02'!D6:D32,2))-MAX(0,LARGE('日経_D168_02'!D6:D32,3))</x:f>
        <x:v>-376000</x:v>
      </x:c>
      <x:c r="K8" s="7" t="n">
        <x:v>-166100</x:v>
      </x:c>
      <x:c r="L8" s="7" t="n">
        <x:v>171500</x:v>
      </x:c>
      <x:c r="M8" s="12" t="n">
        <x:v>10</x:v>
      </x:c>
      <x:c r="N8" s="12" t="n">
        <x:v>163</x:v>
      </x:c>
      <x:c r="O8" s="12" t="n">
        <x:f>'日経_D168_02'!E33</x:f>
        <x:v>3934</x:v>
      </x:c>
      <x:c r="P8" s="14" t="n">
        <x:f>'日経_D168_02'!F33</x:f>
        <x:v>393.4</x:v>
      </x:c>
    </x:row>
    <x:row r="9" ht="25" customHeight="1">
      <x:c r="A9" s="2" t="str">
        <x:v>NK225_D168_03</x:v>
      </x:c>
      <x:c r="B9" s="28" t="str">
        <x:v>日中</x:v>
      </x:c>
      <x:c r="C9" s="28" t="str">
        <x:v>比較候補</x:v>
      </x:c>
      <x:c r="D9" s="7" t="n">
        <x:f>'日経_D168_03'!B33</x:f>
        <x:v>1000700</x:v>
      </x:c>
      <x:c r="E9" s="7" t="n">
        <x:f>'日経_D168_03'!C33</x:f>
        <x:v>1176400</x:v>
      </x:c>
      <x:c r="F9" s="7" t="n">
        <x:f>'日経_D168_03'!D33</x:f>
        <x:v>-175700</x:v>
      </x:c>
      <x:c r="G9" s="12" t="n">
        <x:f>COUNTIFS('日経_D168_03'!D6:D32,"&lt;0")</x:f>
        <x:v>12</x:v>
      </x:c>
      <x:c r="H9" s="7" t="n">
        <x:f>IF(G9=0,0,-SUMIFS('日経_D168_03'!D6:D32,'日経_D168_03'!D6:D32,"&lt;0")/G9)</x:f>
        <x:v>47125</x:v>
      </x:c>
      <x:c r="I9" s="7" t="n">
        <x:f>MAX(0,-MIN('日経_D168_03'!D6:D32))</x:f>
        <x:v>141600</x:v>
      </x:c>
      <x:c r="J9" s="7" t="n">
        <x:f>F9-MAX(0,LARGE('日経_D168_03'!D6:D32,1))-MAX(0,LARGE('日経_D168_03'!D6:D32,2))-MAX(0,LARGE('日経_D168_03'!D6:D32,3))</x:f>
        <x:v>-391400</x:v>
      </x:c>
      <x:c r="K9" s="7" t="n">
        <x:v>-161000</x:v>
      </x:c>
      <x:c r="L9" s="7" t="n">
        <x:v>174000</x:v>
      </x:c>
      <x:c r="M9" s="12" t="n">
        <x:v>29</x:v>
      </x:c>
      <x:c r="N9" s="12" t="n">
        <x:v>163</x:v>
      </x:c>
      <x:c r="O9" s="12" t="n">
        <x:f>'日経_D168_03'!E33</x:f>
        <x:v>3934</x:v>
      </x:c>
      <x:c r="P9" s="14" t="n">
        <x:f>'日経_D168_03'!F33</x:f>
        <x:v>393.4</x:v>
      </x:c>
    </x:row>
    <x:row r="10" ht="25" customHeight="1">
      <x:c r="A10" s="2" t="str">
        <x:v>NK225_D168_04</x:v>
      </x:c>
      <x:c r="B10" s="28" t="str">
        <x:v>日中</x:v>
      </x:c>
      <x:c r="C10" s="28" t="str">
        <x:v>比較候補</x:v>
      </x:c>
      <x:c r="D10" s="7" t="n">
        <x:f>'日経_D168_04'!B33</x:f>
        <x:v>451100</x:v>
      </x:c>
      <x:c r="E10" s="7" t="n">
        <x:f>'日経_D168_04'!C33</x:f>
        <x:v>717000</x:v>
      </x:c>
      <x:c r="F10" s="7" t="n">
        <x:f>'日経_D168_04'!D33</x:f>
        <x:v>-265900</x:v>
      </x:c>
      <x:c r="G10" s="12" t="n">
        <x:f>COUNTIFS('日経_D168_04'!D6:D32,"&lt;0")</x:f>
        <x:v>14</x:v>
      </x:c>
      <x:c r="H10" s="7" t="n">
        <x:f>IF(G10=0,0,-SUMIFS('日経_D168_04'!D6:D32,'日経_D168_04'!D6:D32,"&lt;0")/G10)</x:f>
        <x:v>33057.142857142855</x:v>
      </x:c>
      <x:c r="I10" s="7" t="n">
        <x:f>MAX(0,-MIN('日経_D168_04'!D6:D32))</x:f>
        <x:v>153900</x:v>
      </x:c>
      <x:c r="J10" s="7" t="n">
        <x:f>F10-MAX(0,LARGE('日経_D168_04'!D6:D32,1))-MAX(0,LARGE('日経_D168_04'!D6:D32,2))-MAX(0,LARGE('日経_D168_04'!D6:D32,3))</x:f>
        <x:v>-367100</x:v>
      </x:c>
      <x:c r="K10" s="7" t="n">
        <x:v>-164100</x:v>
      </x:c>
      <x:c r="L10" s="7" t="n">
        <x:v>169300</x:v>
      </x:c>
      <x:c r="M10" s="12" t="n">
        <x:v>10</x:v>
      </x:c>
      <x:c r="N10" s="12" t="n">
        <x:v>163</x:v>
      </x:c>
      <x:c r="O10" s="12" t="n">
        <x:f>'日経_D168_04'!E33</x:f>
        <x:v>3934</x:v>
      </x:c>
      <x:c r="P10" s="14" t="n">
        <x:f>'日経_D168_04'!F33</x:f>
        <x:v>393.4</x:v>
      </x:c>
    </x:row>
    <x:row r="11" ht="25" customHeight="1">
      <x:c r="A11" s="2" t="str">
        <x:v>NK225_D168_05</x:v>
      </x:c>
      <x:c r="B11" s="28" t="str">
        <x:v>日中</x:v>
      </x:c>
      <x:c r="C11" s="28" t="str">
        <x:v>比較候補</x:v>
      </x:c>
      <x:c r="D11" s="7" t="n">
        <x:f>'日経_D168_05'!B33</x:f>
        <x:v>402000</x:v>
      </x:c>
      <x:c r="E11" s="7" t="n">
        <x:f>'日経_D168_05'!C33</x:f>
        <x:v>717000</x:v>
      </x:c>
      <x:c r="F11" s="7" t="n">
        <x:f>'日経_D168_05'!D33</x:f>
        <x:v>-315000</x:v>
      </x:c>
      <x:c r="G11" s="12" t="n">
        <x:f>COUNTIFS('日経_D168_05'!D6:D32,"&lt;0")</x:f>
        <x:v>15</x:v>
      </x:c>
      <x:c r="H11" s="7" t="n">
        <x:f>IF(G11=0,0,-SUMIFS('日経_D168_05'!D6:D32,'日経_D168_05'!D6:D32,"&lt;0")/G11)</x:f>
        <x:v>32553.333333333332</x:v>
      </x:c>
      <x:c r="I11" s="7" t="n">
        <x:f>MAX(0,-MIN('日経_D168_05'!D6:D32))</x:f>
        <x:v>161300</x:v>
      </x:c>
      <x:c r="J11" s="7" t="n">
        <x:f>F11-MAX(0,LARGE('日経_D168_05'!D6:D32,1))-MAX(0,LARGE('日経_D168_05'!D6:D32,2))-MAX(0,LARGE('日経_D168_05'!D6:D32,3))</x:f>
        <x:v>-384700</x:v>
      </x:c>
      <x:c r="K11" s="7" t="n">
        <x:v>-164100</x:v>
      </x:c>
      <x:c r="L11" s="7" t="n">
        <x:v>176100</x:v>
      </x:c>
      <x:c r="M11" s="12" t="n">
        <x:v>10</x:v>
      </x:c>
      <x:c r="N11" s="12" t="n">
        <x:v>163</x:v>
      </x:c>
      <x:c r="O11" s="12" t="n">
        <x:f>'日経_D168_05'!E33</x:f>
        <x:v>3934</x:v>
      </x:c>
      <x:c r="P11" s="14" t="n">
        <x:f>'日経_D168_05'!F33</x:f>
        <x:v>393.4</x:v>
      </x:c>
    </x:row>
    <x:row r="12" ht="25" customHeight="1">
      <x:c r="A12" s="2" t="str">
        <x:v>NK225_D168_06</x:v>
      </x:c>
      <x:c r="B12" s="28" t="str">
        <x:v>日中</x:v>
      </x:c>
      <x:c r="C12" s="28" t="str">
        <x:v>比較候補</x:v>
      </x:c>
      <x:c r="D12" s="7" t="n">
        <x:f>'日経_D168_06'!B33</x:f>
        <x:v>396100</x:v>
      </x:c>
      <x:c r="E12" s="7" t="n">
        <x:f>'日経_D168_06'!C33</x:f>
        <x:v>846500</x:v>
      </x:c>
      <x:c r="F12" s="7" t="n">
        <x:f>'日経_D168_06'!D33</x:f>
        <x:v>-450400</x:v>
      </x:c>
      <x:c r="G12" s="12" t="n">
        <x:f>COUNTIFS('日経_D168_06'!D6:D32,"&lt;0")</x:f>
        <x:v>16</x:v>
      </x:c>
      <x:c r="H12" s="7" t="n">
        <x:f>IF(G12=0,0,-SUMIFS('日経_D168_06'!D6:D32,'日経_D168_06'!D6:D32,"&lt;0")/G12)</x:f>
        <x:v>38787.5</x:v>
      </x:c>
      <x:c r="I12" s="7" t="n">
        <x:f>MAX(0,-MIN('日経_D168_06'!D6:D32))</x:f>
        <x:v>152300</x:v>
      </x:c>
      <x:c r="J12" s="7" t="n">
        <x:f>F12-MAX(0,LARGE('日経_D168_06'!D6:D32,1))-MAX(0,LARGE('日経_D168_06'!D6:D32,2))-MAX(0,LARGE('日経_D168_06'!D6:D32,3))</x:f>
        <x:v>-546200</x:v>
      </x:c>
      <x:c r="K12" s="7" t="n">
        <x:v>-152300</x:v>
      </x:c>
      <x:c r="L12" s="7" t="n">
        <x:v>167100</x:v>
      </x:c>
      <x:c r="M12" s="12" t="n">
        <x:v>9</x:v>
      </x:c>
      <x:c r="N12" s="12" t="n">
        <x:v>172</x:v>
      </x:c>
      <x:c r="O12" s="12" t="n">
        <x:f>'日経_D168_06'!E33</x:f>
        <x:v>3934</x:v>
      </x:c>
      <x:c r="P12" s="14" t="n">
        <x:f>'日経_D168_06'!F33</x:f>
        <x:v>393.4</x:v>
      </x:c>
    </x:row>
    <x:row r="13" ht="25" customHeight="1">
      <x:c r="A13" s="2" t="str">
        <x:v>NK225_D168_07</x:v>
      </x:c>
      <x:c r="B13" s="28" t="str">
        <x:v>日中</x:v>
      </x:c>
      <x:c r="C13" s="28" t="str">
        <x:v>比較候補</x:v>
      </x:c>
      <x:c r="D13" s="7" t="n">
        <x:f>'日経_D168_07'!B33</x:f>
        <x:v>408500</x:v>
      </x:c>
      <x:c r="E13" s="7" t="n">
        <x:f>'日経_D168_07'!C33</x:f>
        <x:v>846500</x:v>
      </x:c>
      <x:c r="F13" s="7" t="n">
        <x:f>'日経_D168_07'!D33</x:f>
        <x:v>-438000</x:v>
      </x:c>
      <x:c r="G13" s="12" t="n">
        <x:f>COUNTIFS('日経_D168_07'!D6:D32,"&lt;0")</x:f>
        <x:v>16</x:v>
      </x:c>
      <x:c r="H13" s="7" t="n">
        <x:f>IF(G13=0,0,-SUMIFS('日経_D168_07'!D6:D32,'日経_D168_07'!D6:D32,"&lt;0")/G13)</x:f>
        <x:v>39293.75</x:v>
      </x:c>
      <x:c r="I13" s="7" t="n">
        <x:f>MAX(0,-MIN('日経_D168_07'!D6:D32))</x:f>
        <x:v>149500</x:v>
      </x:c>
      <x:c r="J13" s="7" t="n">
        <x:f>F13-MAX(0,LARGE('日経_D168_07'!D6:D32,1))-MAX(0,LARGE('日経_D168_07'!D6:D32,2))-MAX(0,LARGE('日経_D168_07'!D6:D32,3))</x:f>
        <x:v>-533100</x:v>
      </x:c>
      <x:c r="K13" s="7" t="n">
        <x:v>-149500</x:v>
      </x:c>
      <x:c r="L13" s="7" t="n">
        <x:v>164300</x:v>
      </x:c>
      <x:c r="M13" s="12" t="n">
        <x:v>9</x:v>
      </x:c>
      <x:c r="N13" s="12" t="n">
        <x:v>172</x:v>
      </x:c>
      <x:c r="O13" s="12" t="n">
        <x:f>'日経_D168_07'!E33</x:f>
        <x:v>3934</x:v>
      </x:c>
      <x:c r="P13" s="14" t="n">
        <x:f>'日経_D168_07'!F33</x:f>
        <x:v>393.4</x:v>
      </x:c>
    </x:row>
    <x:row r="14" ht="25" customHeight="1">
      <x:c r="A14" s="2" t="str">
        <x:v>NK225_D168_08</x:v>
      </x:c>
      <x:c r="B14" s="28" t="str">
        <x:v>日中</x:v>
      </x:c>
      <x:c r="C14" s="28" t="str">
        <x:v>比較候補</x:v>
      </x:c>
      <x:c r="D14" s="7" t="n">
        <x:f>'日経_D168_08'!B33</x:f>
        <x:v>471500</x:v>
      </x:c>
      <x:c r="E14" s="7" t="n">
        <x:f>'日経_D168_08'!C33</x:f>
        <x:v>909900</x:v>
      </x:c>
      <x:c r="F14" s="7" t="n">
        <x:f>'日経_D168_08'!D33</x:f>
        <x:v>-438400</x:v>
      </x:c>
      <x:c r="G14" s="12" t="n">
        <x:f>COUNTIFS('日経_D168_08'!D6:D32,"&lt;0")</x:f>
        <x:v>12</x:v>
      </x:c>
      <x:c r="H14" s="7" t="n">
        <x:f>IF(G14=0,0,-SUMIFS('日経_D168_08'!D6:D32,'日経_D168_08'!D6:D32,"&lt;0")/G14)</x:f>
        <x:v>56058.333333333336</x:v>
      </x:c>
      <x:c r="I14" s="7" t="n">
        <x:f>MAX(0,-MIN('日経_D168_08'!D6:D32))</x:f>
        <x:v>203500</x:v>
      </x:c>
      <x:c r="J14" s="7" t="n">
        <x:f>F14-MAX(0,LARGE('日経_D168_08'!D6:D32,1))-MAX(0,LARGE('日経_D168_08'!D6:D32,2))-MAX(0,LARGE('日経_D168_08'!D6:D32,3))</x:f>
        <x:v>-543700</x:v>
      </x:c>
      <x:c r="K14" s="7" t="n">
        <x:v>-218700</x:v>
      </x:c>
      <x:c r="L14" s="7" t="n">
        <x:v>223900</x:v>
      </x:c>
      <x:c r="M14" s="12" t="n">
        <x:v>8</x:v>
      </x:c>
      <x:c r="N14" s="12" t="n">
        <x:v>183</x:v>
      </x:c>
      <x:c r="O14" s="12" t="n">
        <x:f>'日経_D168_08'!E33</x:f>
        <x:v>3934</x:v>
      </x:c>
      <x:c r="P14" s="14" t="n">
        <x:f>'日経_D168_08'!F33</x:f>
        <x:v>393.4</x:v>
      </x:c>
    </x:row>
    <x:row r="15" ht="25" customHeight="1">
      <x:c r="A15" s="2" t="str">
        <x:v>NK225_D168_09</x:v>
      </x:c>
      <x:c r="B15" s="28" t="str">
        <x:v>日中</x:v>
      </x:c>
      <x:c r="C15" s="28" t="str">
        <x:v>比較候補</x:v>
      </x:c>
      <x:c r="D15" s="7" t="n">
        <x:f>'日経_D168_09'!B33</x:f>
        <x:v>483500</x:v>
      </x:c>
      <x:c r="E15" s="7" t="n">
        <x:f>'日経_D168_09'!C33</x:f>
        <x:v>640500</x:v>
      </x:c>
      <x:c r="F15" s="7" t="n">
        <x:f>'日経_D168_09'!D33</x:f>
        <x:v>-157000</x:v>
      </x:c>
      <x:c r="G15" s="12" t="n">
        <x:f>COUNTIFS('日経_D168_09'!D6:D32,"&lt;0")</x:f>
        <x:v>10</x:v>
      </x:c>
      <x:c r="H15" s="7" t="n">
        <x:f>IF(G15=0,0,-SUMIFS('日経_D168_09'!D6:D32,'日経_D168_09'!D6:D32,"&lt;0")/G15)</x:f>
        <x:v>44860</x:v>
      </x:c>
      <x:c r="I15" s="7" t="n">
        <x:f>MAX(0,-MIN('日経_D168_09'!D6:D32))</x:f>
        <x:v>125100</x:v>
      </x:c>
      <x:c r="J15" s="7" t="n">
        <x:f>F15-MAX(0,LARGE('日経_D168_09'!D6:D32,1))-MAX(0,LARGE('日経_D168_09'!D6:D32,2))-MAX(0,LARGE('日経_D168_09'!D6:D32,3))</x:f>
        <x:v>-279200</x:v>
      </x:c>
      <x:c r="K15" s="7" t="n">
        <x:v>-705500</x:v>
      </x:c>
      <x:c r="L15" s="7" t="n">
        <x:v>710700</x:v>
      </x:c>
      <x:c r="M15" s="12" t="n">
        <x:v>6</x:v>
      </x:c>
      <x:c r="N15" s="12" t="n">
        <x:v>190</x:v>
      </x:c>
      <x:c r="O15" s="12" t="n">
        <x:f>'日経_D168_09'!E33</x:f>
        <x:v>3891</x:v>
      </x:c>
      <x:c r="P15" s="14" t="n">
        <x:f>'日経_D168_09'!F33</x:f>
        <x:v>389.1</x:v>
      </x:c>
    </x:row>
    <x:row r="16" ht="25" customHeight="1">
      <x:c r="A16" s="2" t="str">
        <x:v>NK225_D168_10</x:v>
      </x:c>
      <x:c r="B16" s="28" t="str">
        <x:v>日中</x:v>
      </x:c>
      <x:c r="C16" s="28" t="str">
        <x:v>比較候補</x:v>
      </x:c>
      <x:c r="D16" s="7" t="n">
        <x:f>'日経_D168_10'!B33</x:f>
        <x:v>508500</x:v>
      </x:c>
      <x:c r="E16" s="7" t="n">
        <x:f>'日経_D168_10'!C33</x:f>
        <x:v>711400</x:v>
      </x:c>
      <x:c r="F16" s="7" t="n">
        <x:f>'日経_D168_10'!D33</x:f>
        <x:v>-202900</x:v>
      </x:c>
      <x:c r="G16" s="12" t="n">
        <x:f>COUNTIFS('日経_D168_10'!D6:D32,"&lt;0")</x:f>
        <x:v>11</x:v>
      </x:c>
      <x:c r="H16" s="7" t="n">
        <x:f>IF(G16=0,0,-SUMIFS('日経_D168_10'!D6:D32,'日経_D168_10'!D6:D32,"&lt;0")/G16)</x:f>
        <x:v>35045.454545454544</x:v>
      </x:c>
      <x:c r="I16" s="7" t="n">
        <x:f>MAX(0,-MIN('日経_D168_10'!D6:D32))</x:f>
        <x:v>142300</x:v>
      </x:c>
      <x:c r="J16" s="7" t="n">
        <x:f>F16-MAX(0,LARGE('日経_D168_10'!D6:D32,1))-MAX(0,LARGE('日経_D168_10'!D6:D32,2))-MAX(0,LARGE('日経_D168_10'!D6:D32,3))</x:f>
        <x:v>-285200</x:v>
      </x:c>
      <x:c r="K16" s="7" t="n">
        <x:v>-161500</x:v>
      </x:c>
      <x:c r="L16" s="7" t="n">
        <x:v>166700</x:v>
      </x:c>
      <x:c r="M16" s="12" t="n">
        <x:v>10</x:v>
      </x:c>
      <x:c r="N16" s="12" t="n">
        <x:v>163</x:v>
      </x:c>
      <x:c r="O16" s="12" t="n">
        <x:f>'日経_D168_10'!E33</x:f>
        <x:v>3934</x:v>
      </x:c>
      <x:c r="P16" s="14" t="n">
        <x:f>'日経_D168_10'!F33</x:f>
        <x:v>393.4</x:v>
      </x:c>
    </x:row>
    <x:row r="17" ht="25" customHeight="1">
      <x:c r="A17" s="2" t="str">
        <x:v>NK225_D168_11</x:v>
      </x:c>
      <x:c r="B17" s="28" t="str">
        <x:v>日中</x:v>
      </x:c>
      <x:c r="C17" s="28" t="str">
        <x:v>比較候補</x:v>
      </x:c>
      <x:c r="D17" s="7" t="n">
        <x:f>'日経_D168_11'!B33</x:f>
        <x:v>557600</x:v>
      </x:c>
      <x:c r="E17" s="7" t="n">
        <x:f>'日経_D168_11'!C33</x:f>
        <x:v>708000</x:v>
      </x:c>
      <x:c r="F17" s="7" t="n">
        <x:f>'日経_D168_11'!D33</x:f>
        <x:v>-150400</x:v>
      </x:c>
      <x:c r="G17" s="12" t="n">
        <x:f>COUNTIFS('日経_D168_11'!D6:D32,"&lt;0")</x:f>
        <x:v>11</x:v>
      </x:c>
      <x:c r="H17" s="7" t="n">
        <x:f>IF(G17=0,0,-SUMIFS('日経_D168_11'!D6:D32,'日経_D168_11'!D6:D32,"&lt;0")/G17)</x:f>
        <x:v>31890.909090909092</x:v>
      </x:c>
      <x:c r="I17" s="7" t="n">
        <x:f>MAX(0,-MIN('日経_D168_11'!D6:D32))</x:f>
        <x:v>136700</x:v>
      </x:c>
      <x:c r="J17" s="7" t="n">
        <x:f>F17-MAX(0,LARGE('日経_D168_11'!D6:D32,1))-MAX(0,LARGE('日経_D168_11'!D6:D32,2))-MAX(0,LARGE('日経_D168_11'!D6:D32,3))</x:f>
        <x:v>-230900</x:v>
      </x:c>
      <x:c r="K17" s="7" t="n">
        <x:v>-159200</x:v>
      </x:c>
      <x:c r="L17" s="7" t="n">
        <x:v>164400</x:v>
      </x:c>
      <x:c r="M17" s="12" t="n">
        <x:v>9</x:v>
      </x:c>
      <x:c r="N17" s="12" t="n">
        <x:v>163</x:v>
      </x:c>
      <x:c r="O17" s="12" t="n">
        <x:f>'日経_D168_11'!E33</x:f>
        <x:v>3934</x:v>
      </x:c>
      <x:c r="P17" s="14" t="n">
        <x:f>'日経_D168_11'!F33</x:f>
        <x:v>393.4</x:v>
      </x:c>
    </x:row>
    <x:row r="18" ht="25" customHeight="1">
      <x:c r="A18" s="2" t="str">
        <x:v>NK225_D168_12</x:v>
      </x:c>
      <x:c r="B18" s="28" t="str">
        <x:v>日中</x:v>
      </x:c>
      <x:c r="C18" s="28" t="str">
        <x:v>比較候補</x:v>
      </x:c>
      <x:c r="D18" s="7" t="n">
        <x:f>'日経_D168_12'!B33</x:f>
        <x:v>549700</x:v>
      </x:c>
      <x:c r="E18" s="7" t="n">
        <x:f>'日経_D168_12'!C33</x:f>
        <x:v>837500</x:v>
      </x:c>
      <x:c r="F18" s="7" t="n">
        <x:f>'日経_D168_12'!D33</x:f>
        <x:v>-287800</x:v>
      </x:c>
      <x:c r="G18" s="12" t="n">
        <x:f>COUNTIFS('日経_D168_12'!D6:D32,"&lt;0")</x:f>
        <x:v>15</x:v>
      </x:c>
      <x:c r="H18" s="7" t="n">
        <x:f>IF(G18=0,0,-SUMIFS('日経_D168_12'!D6:D32,'日経_D168_12'!D6:D32,"&lt;0")/G18)</x:f>
        <x:v>34406.666666666664</x:v>
      </x:c>
      <x:c r="I18" s="7" t="n">
        <x:f>MAX(0,-MIN('日経_D168_12'!D6:D32))</x:f>
        <x:v>128700</x:v>
      </x:c>
      <x:c r="J18" s="7" t="n">
        <x:f>F18-MAX(0,LARGE('日経_D168_12'!D6:D32,1))-MAX(0,LARGE('日経_D168_12'!D6:D32,2))-MAX(0,LARGE('日経_D168_12'!D6:D32,3))</x:f>
        <x:v>-393700</x:v>
      </x:c>
      <x:c r="K18" s="7" t="n">
        <x:v>-128700</x:v>
      </x:c>
      <x:c r="L18" s="7" t="n">
        <x:v>143500</x:v>
      </x:c>
      <x:c r="M18" s="12" t="n">
        <x:v>8</x:v>
      </x:c>
      <x:c r="N18" s="12" t="n">
        <x:v>172</x:v>
      </x:c>
      <x:c r="O18" s="12" t="n">
        <x:f>'日経_D168_12'!E33</x:f>
        <x:v>3934</x:v>
      </x:c>
      <x:c r="P18" s="14" t="n">
        <x:f>'日経_D168_12'!F33</x:f>
        <x:v>393.4</x:v>
      </x:c>
    </x:row>
    <x:row r="19" ht="25" customHeight="1">
      <x:c r="A19" s="2" t="str">
        <x:v>NK225_D168_13</x:v>
      </x:c>
      <x:c r="B19" s="28" t="str">
        <x:v>日中</x:v>
      </x:c>
      <x:c r="C19" s="28" t="str">
        <x:v>比較候補</x:v>
      </x:c>
      <x:c r="D19" s="7" t="n">
        <x:f>'日経_D168_13'!B33</x:f>
        <x:v>779700</x:v>
      </x:c>
      <x:c r="E19" s="7" t="n">
        <x:f>'日経_D168_13'!C33</x:f>
        <x:v>1296300</x:v>
      </x:c>
      <x:c r="F19" s="7" t="n">
        <x:f>'日経_D168_13'!D33</x:f>
        <x:v>-516600</x:v>
      </x:c>
      <x:c r="G19" s="12" t="n">
        <x:f>COUNTIFS('日経_D168_13'!D6:D32,"&lt;0")</x:f>
        <x:v>14</x:v>
      </x:c>
      <x:c r="H19" s="7" t="n">
        <x:f>IF(G19=0,0,-SUMIFS('日経_D168_13'!D6:D32,'日経_D168_13'!D6:D32,"&lt;0")/G19)</x:f>
        <x:v>57750</x:v>
      </x:c>
      <x:c r="I19" s="7" t="n">
        <x:f>MAX(0,-MIN('日経_D168_13'!D6:D32))</x:f>
        <x:v>151200</x:v>
      </x:c>
      <x:c r="J19" s="7" t="n">
        <x:f>F19-MAX(0,LARGE('日経_D168_13'!D6:D32,1))-MAX(0,LARGE('日経_D168_13'!D6:D32,2))-MAX(0,LARGE('日経_D168_13'!D6:D32,3))</x:f>
        <x:v>-659900</x:v>
      </x:c>
      <x:c r="K19" s="7" t="n">
        <x:v>-160200</x:v>
      </x:c>
      <x:c r="L19" s="7" t="n">
        <x:v>170600</x:v>
      </x:c>
      <x:c r="M19" s="12" t="n">
        <x:v>14</x:v>
      </x:c>
      <x:c r="N19" s="12" t="n">
        <x:v>244</x:v>
      </x:c>
      <x:c r="O19" s="12" t="n">
        <x:f>'日経_D168_13'!E33</x:f>
        <x:v>6201</x:v>
      </x:c>
      <x:c r="P19" s="14" t="n">
        <x:f>'日経_D168_13'!F33</x:f>
        <x:v>620.1</x:v>
      </x:c>
    </x:row>
    <x:row r="20" ht="25" customHeight="1">
      <x:c r="A20" s="2" t="str">
        <x:v>NK225_D168_14</x:v>
      </x:c>
      <x:c r="B20" s="28" t="str">
        <x:v>日中</x:v>
      </x:c>
      <x:c r="C20" s="28" t="str">
        <x:v>比較候補</x:v>
      </x:c>
      <x:c r="D20" s="7" t="n">
        <x:f>'日経_D168_14'!B33</x:f>
        <x:v>690400</x:v>
      </x:c>
      <x:c r="E20" s="7" t="n">
        <x:f>'日経_D168_14'!C33</x:f>
        <x:v>1691300</x:v>
      </x:c>
      <x:c r="F20" s="7" t="n">
        <x:f>'日経_D168_14'!D33</x:f>
        <x:v>-1000900</x:v>
      </x:c>
      <x:c r="G20" s="12" t="n">
        <x:f>COUNTIFS('日経_D168_14'!D6:D32,"&lt;0")</x:f>
        <x:v>19</x:v>
      </x:c>
      <x:c r="H20" s="7" t="n">
        <x:f>IF(G20=0,0,-SUMIFS('日経_D168_14'!D6:D32,'日経_D168_14'!D6:D32,"&lt;0")/G20)</x:f>
        <x:v>64178.94736842105</x:v>
      </x:c>
      <x:c r="I20" s="7" t="n">
        <x:f>MAX(0,-MIN('日経_D168_14'!D6:D32))</x:f>
        <x:v>182300</x:v>
      </x:c>
      <x:c r="J20" s="7" t="n">
        <x:f>F20-MAX(0,LARGE('日経_D168_14'!D6:D32,1))-MAX(0,LARGE('日経_D168_14'!D6:D32,2))-MAX(0,LARGE('日経_D168_14'!D6:D32,3))</x:f>
        <x:v>-1146200</x:v>
      </x:c>
      <x:c r="K20" s="7" t="n">
        <x:v>-182300</x:v>
      </x:c>
      <x:c r="L20" s="7" t="n">
        <x:v>219300</x:v>
      </x:c>
      <x:c r="M20" s="12" t="n">
        <x:v>17</x:v>
      </x:c>
      <x:c r="N20" s="12" t="n">
        <x:v>251</x:v>
      </x:c>
      <x:c r="O20" s="12" t="n">
        <x:f>'日経_D168_14'!E33</x:f>
        <x:v>6119</x:v>
      </x:c>
      <x:c r="P20" s="14" t="n">
        <x:f>'日経_D168_14'!F33</x:f>
        <x:v>611.9</x:v>
      </x:c>
    </x:row>
    <x:row r="21" ht="25" customHeight="1">
      <x:c r="A21" s="2" t="str">
        <x:v>NK225_D168_15</x:v>
      </x:c>
      <x:c r="B21" s="28" t="str">
        <x:v>日中</x:v>
      </x:c>
      <x:c r="C21" s="28" t="str">
        <x:v>比較候補</x:v>
      </x:c>
      <x:c r="D21" s="7" t="n">
        <x:f>'日経_D168_15'!B33</x:f>
        <x:v>625900</x:v>
      </x:c>
      <x:c r="E21" s="7" t="n">
        <x:f>'日経_D168_15'!C33</x:f>
        <x:v>1519600</x:v>
      </x:c>
      <x:c r="F21" s="7" t="n">
        <x:f>'日経_D168_15'!D33</x:f>
        <x:v>-893700</x:v>
      </x:c>
      <x:c r="G21" s="12" t="n">
        <x:f>COUNTIFS('日経_D168_15'!D6:D32,"&lt;0")</x:f>
        <x:v>20</x:v>
      </x:c>
      <x:c r="H21" s="7" t="n">
        <x:f>IF(G21=0,0,-SUMIFS('日経_D168_15'!D6:D32,'日経_D168_15'!D6:D32,"&lt;0")/G21)</x:f>
        <x:v>56200</x:v>
      </x:c>
      <x:c r="I21" s="7" t="n">
        <x:f>MAX(0,-MIN('日経_D168_15'!D6:D32))</x:f>
        <x:v>173100</x:v>
      </x:c>
      <x:c r="J21" s="7" t="n">
        <x:f>F21-MAX(0,LARGE('日経_D168_15'!D6:D32,1))-MAX(0,LARGE('日経_D168_15'!D6:D32,2))-MAX(0,LARGE('日経_D168_15'!D6:D32,3))</x:f>
        <x:v>-1045900</x:v>
      </x:c>
      <x:c r="K21" s="7" t="n">
        <x:v>-173100</x:v>
      </x:c>
      <x:c r="L21" s="7" t="n">
        <x:v>195200</x:v>
      </x:c>
      <x:c r="M21" s="12" t="n">
        <x:v>22</x:v>
      </x:c>
      <x:c r="N21" s="12" t="n">
        <x:v>303</x:v>
      </x:c>
      <x:c r="O21" s="12" t="n">
        <x:f>'日経_D168_15'!E33</x:f>
        <x:v>6179</x:v>
      </x:c>
      <x:c r="P21" s="14" t="n">
        <x:f>'日経_D168_15'!F33</x:f>
        <x:v>617.9</x:v>
      </x:c>
    </x:row>
    <x:row r="22" ht="25" customHeight="1">
      <x:c r="A22" s="2" t="str">
        <x:v>NK225_D168_16</x:v>
      </x:c>
      <x:c r="B22" s="28" t="str">
        <x:v>日中</x:v>
      </x:c>
      <x:c r="C22" s="28" t="str">
        <x:v>比較候補</x:v>
      </x:c>
      <x:c r="D22" s="7" t="n">
        <x:f>'日経_D168_16'!B33</x:f>
        <x:v>796700</x:v>
      </x:c>
      <x:c r="E22" s="7" t="n">
        <x:f>'日経_D168_16'!C33</x:f>
        <x:v>1985800</x:v>
      </x:c>
      <x:c r="F22" s="7" t="n">
        <x:f>'日経_D168_16'!D33</x:f>
        <x:v>-1189100</x:v>
      </x:c>
      <x:c r="G22" s="12" t="n">
        <x:f>COUNTIFS('日経_D168_16'!D6:D32,"&lt;0")</x:f>
        <x:v>23</x:v>
      </x:c>
      <x:c r="H22" s="7" t="n">
        <x:f>IF(G22=0,0,-SUMIFS('日経_D168_16'!D6:D32,'日経_D168_16'!D6:D32,"&lt;0")/G22)</x:f>
        <x:v>54465.217391304344</x:v>
      </x:c>
      <x:c r="I22" s="7" t="n">
        <x:f>MAX(0,-MIN('日経_D168_16'!D6:D32))</x:f>
        <x:v>146200</x:v>
      </x:c>
      <x:c r="J22" s="7" t="n">
        <x:f>F22-MAX(0,LARGE('日経_D168_16'!D6:D32,1))-MAX(0,LARGE('日経_D168_16'!D6:D32,2))-MAX(0,LARGE('日経_D168_16'!D6:D32,3))</x:f>
        <x:v>-1247200</x:v>
      </x:c>
      <x:c r="K22" s="7" t="n">
        <x:v>-147100</x:v>
      </x:c>
      <x:c r="L22" s="7" t="n">
        <x:v>181600</x:v>
      </x:c>
      <x:c r="M22" s="12" t="n">
        <x:v>36</x:v>
      </x:c>
      <x:c r="N22" s="12" t="n">
        <x:v>456</x:v>
      </x:c>
      <x:c r="O22" s="12" t="n">
        <x:f>'日経_D168_16'!E33</x:f>
        <x:v>7712</x:v>
      </x:c>
      <x:c r="P22" s="14" t="n">
        <x:f>'日経_D168_16'!F33</x:f>
        <x:v>771.2</x:v>
      </x:c>
    </x:row>
    <x:row r="23" ht="25" customHeight="1">
      <x:c r="A23" s="2" t="str">
        <x:v>NK225_D168_17</x:v>
      </x:c>
      <x:c r="B23" s="28" t="str">
        <x:v>日中</x:v>
      </x:c>
      <x:c r="C23" s="28" t="str">
        <x:v>比較候補</x:v>
      </x:c>
      <x:c r="D23" s="7" t="n">
        <x:f>'日経_D168_17'!B33</x:f>
        <x:v>1309900</x:v>
      </x:c>
      <x:c r="E23" s="7" t="n">
        <x:f>'日経_D168_17'!C33</x:f>
        <x:v>2247100</x:v>
      </x:c>
      <x:c r="F23" s="7" t="n">
        <x:f>'日経_D168_17'!D33</x:f>
        <x:v>-937200</x:v>
      </x:c>
      <x:c r="G23" s="12" t="n">
        <x:f>COUNTIFS('日経_D168_17'!D6:D32,"&lt;0")</x:f>
        <x:v>20</x:v>
      </x:c>
      <x:c r="H23" s="7" t="n">
        <x:f>IF(G23=0,0,-SUMIFS('日経_D168_17'!D6:D32,'日経_D168_17'!D6:D32,"&lt;0")/G23)</x:f>
        <x:v>56845</x:v>
      </x:c>
      <x:c r="I23" s="7" t="n">
        <x:f>MAX(0,-MIN('日経_D168_17'!D6:D32))</x:f>
        <x:v>137000</x:v>
      </x:c>
      <x:c r="J23" s="7" t="n">
        <x:f>F23-MAX(0,LARGE('日経_D168_17'!D6:D32,1))-MAX(0,LARGE('日経_D168_17'!D6:D32,2))-MAX(0,LARGE('日経_D168_17'!D6:D32,3))</x:f>
        <x:v>-1092300</x:v>
      </x:c>
      <x:c r="K23" s="7" t="n">
        <x:v>-142000</x:v>
      </x:c>
      <x:c r="L23" s="7" t="n">
        <x:v>172600</x:v>
      </x:c>
      <x:c r="M23" s="12" t="n">
        <x:v>60</x:v>
      </x:c>
      <x:c r="N23" s="12" t="n">
        <x:v>385</x:v>
      </x:c>
      <x:c r="O23" s="12" t="n">
        <x:f>'日経_D168_17'!E33</x:f>
        <x:v>7304</x:v>
      </x:c>
      <x:c r="P23" s="14" t="n">
        <x:f>'日経_D168_17'!F33</x:f>
        <x:v>730.4</x:v>
      </x:c>
    </x:row>
    <x:row r="24" ht="25" customHeight="1">
      <x:c r="A24" s="2" t="str">
        <x:v>NK225_D168_18</x:v>
      </x:c>
      <x:c r="B24" s="28" t="str">
        <x:v>日中</x:v>
      </x:c>
      <x:c r="C24" s="28" t="str">
        <x:v>比較候補</x:v>
      </x:c>
      <x:c r="D24" s="7" t="n">
        <x:f>'日経_D168_18'!B33</x:f>
        <x:v>470000</x:v>
      </x:c>
      <x:c r="E24" s="7" t="n">
        <x:f>'日経_D168_18'!C33</x:f>
        <x:v>705600</x:v>
      </x:c>
      <x:c r="F24" s="7" t="n">
        <x:f>'日経_D168_18'!D33</x:f>
        <x:v>-235600</x:v>
      </x:c>
      <x:c r="G24" s="12" t="n">
        <x:f>COUNTIFS('日経_D168_18'!D6:D32,"&lt;0")</x:f>
        <x:v>12</x:v>
      </x:c>
      <x:c r="H24" s="7" t="n">
        <x:f>IF(G24=0,0,-SUMIFS('日経_D168_18'!D6:D32,'日経_D168_18'!D6:D32,"&lt;0")/G24)</x:f>
        <x:v>32933.333333333336</x:v>
      </x:c>
      <x:c r="I24" s="7" t="n">
        <x:f>MAX(0,-MIN('日経_D168_18'!D6:D32))</x:f>
        <x:v>147800</x:v>
      </x:c>
      <x:c r="J24" s="7" t="n">
        <x:f>F24-MAX(0,LARGE('日経_D168_18'!D6:D32,1))-MAX(0,LARGE('日経_D168_18'!D6:D32,2))-MAX(0,LARGE('日経_D168_18'!D6:D32,3))</x:f>
        <x:v>-314700</x:v>
      </x:c>
      <x:c r="K24" s="7" t="n">
        <x:v>-165100</x:v>
      </x:c>
      <x:c r="L24" s="7" t="n">
        <x:v>170300</x:v>
      </x:c>
      <x:c r="M24" s="12" t="n">
        <x:v>9</x:v>
      </x:c>
      <x:c r="N24" s="12" t="n">
        <x:v>163</x:v>
      </x:c>
      <x:c r="O24" s="12" t="n">
        <x:f>'日経_D168_18'!E33</x:f>
        <x:v>3934</x:v>
      </x:c>
      <x:c r="P24" s="14" t="n">
        <x:f>'日経_D168_18'!F33</x:f>
        <x:v>393.4</x:v>
      </x:c>
    </x:row>
    <x:row r="25" ht="25" customHeight="1">
      <x:c r="A25" s="2" t="str">
        <x:v>NK225_D168_19</x:v>
      </x:c>
      <x:c r="B25" s="28" t="str">
        <x:v>日中</x:v>
      </x:c>
      <x:c r="C25" s="28" t="str">
        <x:v>比較候補</x:v>
      </x:c>
      <x:c r="D25" s="7" t="n">
        <x:f>'日経_D168_19'!B33</x:f>
        <x:v>918700</x:v>
      </x:c>
      <x:c r="E25" s="7" t="n">
        <x:f>'日経_D168_19'!C33</x:f>
        <x:v>1941500</x:v>
      </x:c>
      <x:c r="F25" s="7" t="n">
        <x:f>'日経_D168_19'!D33</x:f>
        <x:v>-1022800</x:v>
      </x:c>
      <x:c r="G25" s="12" t="n">
        <x:f>COUNTIFS('日経_D168_19'!D6:D32,"&lt;0")</x:f>
        <x:v>20</x:v>
      </x:c>
      <x:c r="H25" s="7" t="n">
        <x:f>IF(G25=0,0,-SUMIFS('日経_D168_19'!D6:D32,'日経_D168_19'!D6:D32,"&lt;0")/G25)</x:f>
        <x:v>58100</x:v>
      </x:c>
      <x:c r="I25" s="7" t="n">
        <x:f>MAX(0,-MIN('日経_D168_19'!D6:D32))</x:f>
        <x:v>169900</x:v>
      </x:c>
      <x:c r="J25" s="7" t="n">
        <x:f>F25-MAX(0,LARGE('日経_D168_19'!D6:D32,1))-MAX(0,LARGE('日経_D168_19'!D6:D32,2))-MAX(0,LARGE('日経_D168_19'!D6:D32,3))</x:f>
        <x:v>-1119100</x:v>
      </x:c>
      <x:c r="K25" s="7" t="n">
        <x:v>-169900</x:v>
      </x:c>
      <x:c r="L25" s="7" t="n">
        <x:v>192000</x:v>
      </x:c>
      <x:c r="M25" s="12" t="n">
        <x:v>31</x:v>
      </x:c>
      <x:c r="N25" s="12" t="n">
        <x:v>461</x:v>
      </x:c>
      <x:c r="O25" s="12" t="n">
        <x:f>'日経_D168_19'!E33</x:f>
        <x:v>8411</x:v>
      </x:c>
      <x:c r="P25" s="14" t="n">
        <x:f>'日経_D168_19'!F33</x:f>
        <x:v>841.1</x:v>
      </x:c>
    </x:row>
    <x:row r="26" ht="25" customHeight="1">
      <x:c r="A26" s="2" t="str">
        <x:v>NK225_D168_20</x:v>
      </x:c>
      <x:c r="B26" s="28" t="str">
        <x:v>日中</x:v>
      </x:c>
      <x:c r="C26" s="28" t="str">
        <x:v>比較候補</x:v>
      </x:c>
      <x:c r="D26" s="7" t="n">
        <x:f>'日経_D168_20'!B33</x:f>
        <x:v>469800</x:v>
      </x:c>
      <x:c r="E26" s="7" t="n">
        <x:f>'日経_D168_20'!C33</x:f>
        <x:v>897900</x:v>
      </x:c>
      <x:c r="F26" s="7" t="n">
        <x:f>'日経_D168_20'!D33</x:f>
        <x:v>-428100</x:v>
      </x:c>
      <x:c r="G26" s="12" t="n">
        <x:f>COUNTIFS('日経_D168_20'!D6:D32,"&lt;0")</x:f>
        <x:v>13</x:v>
      </x:c>
      <x:c r="H26" s="7" t="n">
        <x:f>IF(G26=0,0,-SUMIFS('日経_D168_20'!D6:D32,'日経_D168_20'!D6:D32,"&lt;0")/G26)</x:f>
        <x:v>50715.38461538462</x:v>
      </x:c>
      <x:c r="I26" s="7" t="n">
        <x:f>MAX(0,-MIN('日経_D168_20'!D6:D32))</x:f>
        <x:v>202500</x:v>
      </x:c>
      <x:c r="J26" s="7" t="n">
        <x:f>F26-MAX(0,LARGE('日経_D168_20'!D6:D32,1))-MAX(0,LARGE('日経_D168_20'!D6:D32,2))-MAX(0,LARGE('日経_D168_20'!D6:D32,3))</x:f>
        <x:v>-533200</x:v>
      </x:c>
      <x:c r="K26" s="7" t="n">
        <x:v>-217800</x:v>
      </x:c>
      <x:c r="L26" s="7" t="n">
        <x:v>223000</x:v>
      </x:c>
      <x:c r="M26" s="12" t="n">
        <x:v>8</x:v>
      </x:c>
      <x:c r="N26" s="12" t="n">
        <x:v>183</x:v>
      </x:c>
      <x:c r="O26" s="12" t="n">
        <x:f>'日経_D168_20'!E33</x:f>
        <x:v>3934</x:v>
      </x:c>
      <x:c r="P26" s="14" t="n">
        <x:f>'日経_D168_20'!F33</x:f>
        <x:v>393.4</x:v>
      </x:c>
    </x:row>
    <x:row r="27" ht="25" customHeight="1">
      <x:c r="A27" s="2" t="str">
        <x:v>NK225_D168_21</x:v>
      </x:c>
      <x:c r="B27" s="28" t="str">
        <x:v>日中</x:v>
      </x:c>
      <x:c r="C27" s="28" t="str">
        <x:v>比較候補</x:v>
      </x:c>
      <x:c r="D27" s="7" t="n">
        <x:f>'日経_D168_21'!B33</x:f>
        <x:v>4250800</x:v>
      </x:c>
      <x:c r="E27" s="7" t="n">
        <x:f>'日経_D168_21'!C33</x:f>
        <x:v>3248700</x:v>
      </x:c>
      <x:c r="F27" s="7" t="n">
        <x:f>'日経_D168_21'!D33</x:f>
        <x:v>1002100</x:v>
      </x:c>
      <x:c r="G27" s="12" t="n">
        <x:f>COUNTIFS('日経_D168_21'!D6:D32,"&lt;0")</x:f>
        <x:v>13</x:v>
      </x:c>
      <x:c r="H27" s="7" t="n">
        <x:f>IF(G27=0,0,-SUMIFS('日経_D168_21'!D6:D32,'日経_D168_21'!D6:D32,"&lt;0")/G27)</x:f>
        <x:v>124084.61538461539</x:v>
      </x:c>
      <x:c r="I27" s="7" t="n">
        <x:f>MAX(0,-MIN('日経_D168_21'!D6:D32))</x:f>
        <x:v>260100</x:v>
      </x:c>
      <x:c r="J27" s="7" t="n">
        <x:f>F27-MAX(0,LARGE('日経_D168_21'!D6:D32,1))-MAX(0,LARGE('日経_D168_21'!D6:D32,2))-MAX(0,LARGE('日経_D168_21'!D6:D32,3))</x:f>
        <x:v>-502100</x:v>
      </x:c>
      <x:c r="K27" s="7" t="n">
        <x:v>-308300</x:v>
      </x:c>
      <x:c r="L27" s="7" t="n">
        <x:v>314800</x:v>
      </x:c>
      <x:c r="M27" s="12" t="n">
        <x:v>69</x:v>
      </x:c>
      <x:c r="N27" s="12" t="n">
        <x:v>183</x:v>
      </x:c>
      <x:c r="O27" s="12" t="n">
        <x:f>'日経_D168_21'!E33</x:f>
        <x:v>3934</x:v>
      </x:c>
      <x:c r="P27" s="14" t="n">
        <x:f>'日経_D168_21'!F33</x:f>
        <x:v>393.4</x:v>
      </x:c>
    </x:row>
    <x:row r="28" ht="25" customHeight="1">
      <x:c r="A28" s="2" t="str">
        <x:v>NK225_D168_22</x:v>
      </x:c>
      <x:c r="B28" s="28" t="str">
        <x:v>日中</x:v>
      </x:c>
      <x:c r="C28" s="28" t="str">
        <x:v>比較候補</x:v>
      </x:c>
      <x:c r="D28" s="7" t="n">
        <x:f>'日経_D168_22'!B33</x:f>
        <x:v>839800</x:v>
      </x:c>
      <x:c r="E28" s="7" t="n">
        <x:f>'日経_D168_22'!C33</x:f>
        <x:v>1803800</x:v>
      </x:c>
      <x:c r="F28" s="7" t="n">
        <x:f>'日経_D168_22'!D33</x:f>
        <x:v>-964000</x:v>
      </x:c>
      <x:c r="G28" s="12" t="n">
        <x:f>COUNTIFS('日経_D168_22'!D6:D32,"&lt;0")</x:f>
        <x:v>22</x:v>
      </x:c>
      <x:c r="H28" s="7" t="n">
        <x:f>IF(G28=0,0,-SUMIFS('日経_D168_22'!D6:D32,'日経_D168_22'!D6:D32,"&lt;0")/G28)</x:f>
        <x:v>45881.818181818184</x:v>
      </x:c>
      <x:c r="I28" s="7" t="n">
        <x:f>MAX(0,-MIN('日経_D168_22'!D6:D32))</x:f>
        <x:v>153800</x:v>
      </x:c>
      <x:c r="J28" s="7" t="n">
        <x:f>F28-MAX(0,LARGE('日経_D168_22'!D6:D32,1))-MAX(0,LARGE('日経_D168_22'!D6:D32,2))-MAX(0,LARGE('日経_D168_22'!D6:D32,3))</x:f>
        <x:v>-998400</x:v>
      </x:c>
      <x:c r="K28" s="7" t="n">
        <x:v>-175900</x:v>
      </x:c>
      <x:c r="L28" s="7" t="n">
        <x:v>187000</x:v>
      </x:c>
      <x:c r="M28" s="12" t="n">
        <x:v>34</x:v>
      </x:c>
      <x:c r="N28" s="12" t="n">
        <x:v>425</x:v>
      </x:c>
      <x:c r="O28" s="12" t="n">
        <x:f>'日経_D168_22'!E33</x:f>
        <x:v>7603</x:v>
      </x:c>
      <x:c r="P28" s="14" t="n">
        <x:f>'日経_D168_22'!F33</x:f>
        <x:v>760.3</x:v>
      </x:c>
    </x:row>
    <x:row r="29" ht="25" customHeight="1">
      <x:c r="A29" s="2" t="str">
        <x:v>NK225_D168_23</x:v>
      </x:c>
      <x:c r="B29" s="28" t="str">
        <x:v>日中</x:v>
      </x:c>
      <x:c r="C29" s="28" t="str">
        <x:v>比較候補</x:v>
      </x:c>
      <x:c r="D29" s="7" t="n">
        <x:f>'日経_D168_23'!B33</x:f>
        <x:v>898700</x:v>
      </x:c>
      <x:c r="E29" s="7" t="n">
        <x:f>'日経_D168_23'!C33</x:f>
        <x:v>1765400</x:v>
      </x:c>
      <x:c r="F29" s="7" t="n">
        <x:f>'日経_D168_23'!D33</x:f>
        <x:v>-866700</x:v>
      </x:c>
      <x:c r="G29" s="12" t="n">
        <x:f>COUNTIFS('日経_D168_23'!D6:D32,"&lt;0")</x:f>
        <x:v>20</x:v>
      </x:c>
      <x:c r="H29" s="7" t="n">
        <x:f>IF(G29=0,0,-SUMIFS('日経_D168_23'!D6:D32,'日経_D168_23'!D6:D32,"&lt;0")/G29)</x:f>
        <x:v>49845</x:v>
      </x:c>
      <x:c r="I29" s="7" t="n">
        <x:f>MAX(0,-MIN('日経_D168_23'!D6:D32))</x:f>
        <x:v>150300</x:v>
      </x:c>
      <x:c r="J29" s="7" t="n">
        <x:f>F29-MAX(0,LARGE('日経_D168_23'!D6:D32,1))-MAX(0,LARGE('日経_D168_23'!D6:D32,2))-MAX(0,LARGE('日経_D168_23'!D6:D32,3))</x:f>
        <x:v>-964000</x:v>
      </x:c>
      <x:c r="K29" s="7" t="n">
        <x:v>-150300</x:v>
      </x:c>
      <x:c r="L29" s="7" t="n">
        <x:v>174100</x:v>
      </x:c>
      <x:c r="M29" s="12" t="n">
        <x:v>31</x:v>
      </x:c>
      <x:c r="N29" s="12" t="n">
        <x:v>470</x:v>
      </x:c>
      <x:c r="O29" s="12" t="n">
        <x:f>'日経_D168_23'!E33</x:f>
        <x:v>7787</x:v>
      </x:c>
      <x:c r="P29" s="14" t="n">
        <x:f>'日経_D168_23'!F33</x:f>
        <x:v>778.7</x:v>
      </x:c>
    </x:row>
    <x:row r="30" ht="25" customHeight="1">
      <x:c r="A30" s="2" t="str">
        <x:v>NK225_D168_24</x:v>
      </x:c>
      <x:c r="B30" s="28" t="str">
        <x:v>日中</x:v>
      </x:c>
      <x:c r="C30" s="28" t="str">
        <x:v>比較候補</x:v>
      </x:c>
      <x:c r="D30" s="7" t="n">
        <x:f>'日経_D168_24'!B33</x:f>
        <x:v>625200</x:v>
      </x:c>
      <x:c r="E30" s="7" t="n">
        <x:f>'日経_D168_24'!C33</x:f>
        <x:v>1020900</x:v>
      </x:c>
      <x:c r="F30" s="7" t="n">
        <x:f>'日経_D168_24'!D33</x:f>
        <x:v>-395700</x:v>
      </x:c>
      <x:c r="G30" s="12" t="n">
        <x:f>COUNTIFS('日経_D168_24'!D6:D32,"&lt;0")</x:f>
        <x:v>17</x:v>
      </x:c>
      <x:c r="H30" s="7" t="n">
        <x:f>IF(G30=0,0,-SUMIFS('日経_D168_24'!D6:D32,'日経_D168_24'!D6:D32,"&lt;0")/G30)</x:f>
        <x:v>35570.58823529412</x:v>
      </x:c>
      <x:c r="I30" s="7" t="n">
        <x:f>MAX(0,-MIN('日経_D168_24'!D6:D32))</x:f>
        <x:v>132900</x:v>
      </x:c>
      <x:c r="J30" s="7" t="n">
        <x:f>F30-MAX(0,LARGE('日経_D168_24'!D6:D32,1))-MAX(0,LARGE('日経_D168_24'!D6:D32,2))-MAX(0,LARGE('日経_D168_24'!D6:D32,3))</x:f>
        <x:v>-498900</x:v>
      </x:c>
      <x:c r="K30" s="7" t="n">
        <x:v>-132900</x:v>
      </x:c>
      <x:c r="L30" s="7" t="n">
        <x:v>148600</x:v>
      </x:c>
      <x:c r="M30" s="12" t="n">
        <x:v>31</x:v>
      </x:c>
      <x:c r="N30" s="12" t="n">
        <x:v>457</x:v>
      </x:c>
      <x:c r="O30" s="12" t="n">
        <x:f>'日経_D168_24'!E33</x:f>
        <x:v>4584</x:v>
      </x:c>
      <x:c r="P30" s="14" t="n">
        <x:f>'日経_D168_24'!F33</x:f>
        <x:v>458.4</x:v>
      </x:c>
    </x:row>
    <x:row r="31" ht="25" customHeight="1">
      <x:c r="A31" s="2" t="str">
        <x:v>NK225_D168_25</x:v>
      </x:c>
      <x:c r="B31" s="28" t="str">
        <x:v>日中</x:v>
      </x:c>
      <x:c r="C31" s="28" t="str">
        <x:v>比較候補</x:v>
      </x:c>
      <x:c r="D31" s="7" t="n">
        <x:f>'日経_D168_25'!B33</x:f>
        <x:v>1012700</x:v>
      </x:c>
      <x:c r="E31" s="7" t="n">
        <x:f>'日経_D168_25'!C33</x:f>
        <x:v>2040300</x:v>
      </x:c>
      <x:c r="F31" s="7" t="n">
        <x:f>'日経_D168_25'!D33</x:f>
        <x:v>-1027600</x:v>
      </x:c>
      <x:c r="G31" s="12" t="n">
        <x:f>COUNTIFS('日経_D168_25'!D6:D32,"&lt;0")</x:f>
        <x:v>19</x:v>
      </x:c>
      <x:c r="H31" s="7" t="n">
        <x:f>IF(G31=0,0,-SUMIFS('日経_D168_25'!D6:D32,'日経_D168_25'!D6:D32,"&lt;0")/G31)</x:f>
        <x:v>73357.8947368421</x:v>
      </x:c>
      <x:c r="I31" s="7" t="n">
        <x:f>MAX(0,-MIN('日経_D168_25'!D6:D32))</x:f>
        <x:v>262200</x:v>
      </x:c>
      <x:c r="J31" s="7" t="n">
        <x:f>F31-MAX(0,LARGE('日経_D168_25'!D6:D32,1))-MAX(0,LARGE('日経_D168_25'!D6:D32,2))-MAX(0,LARGE('日経_D168_25'!D6:D32,3))</x:f>
        <x:v>-1266600</x:v>
      </x:c>
      <x:c r="K31" s="7" t="n">
        <x:v>-279000</x:v>
      </x:c>
      <x:c r="L31" s="7" t="n">
        <x:v>300200</x:v>
      </x:c>
      <x:c r="M31" s="12" t="n">
        <x:v>22</x:v>
      </x:c>
      <x:c r="N31" s="12" t="n">
        <x:v>556</x:v>
      </x:c>
      <x:c r="O31" s="12" t="n">
        <x:f>'日経_D168_25'!E33</x:f>
        <x:v>8375</x:v>
      </x:c>
      <x:c r="P31" s="14" t="n">
        <x:f>'日経_D168_25'!F33</x:f>
        <x:v>837.5</x:v>
      </x:c>
    </x:row>
    <x:row r="32" ht="25" customHeight="1">
      <x:c r="A32" s="2" t="str">
        <x:v>NK225_D168_26</x:v>
      </x:c>
      <x:c r="B32" s="28" t="str">
        <x:v>日中</x:v>
      </x:c>
      <x:c r="C32" s="28" t="str">
        <x:v>比較候補</x:v>
      </x:c>
      <x:c r="D32" s="7" t="n">
        <x:f>'日経_D168_26'!B33</x:f>
        <x:v>695400</x:v>
      </x:c>
      <x:c r="E32" s="7" t="n">
        <x:f>'日経_D168_26'!C33</x:f>
        <x:v>1096600</x:v>
      </x:c>
      <x:c r="F32" s="7" t="n">
        <x:f>'日経_D168_26'!D33</x:f>
        <x:v>-401200</x:v>
      </x:c>
      <x:c r="G32" s="12" t="n">
        <x:f>COUNTIFS('日経_D168_26'!D6:D32,"&lt;0")</x:f>
        <x:v>14</x:v>
      </x:c>
      <x:c r="H32" s="7" t="n">
        <x:f>IF(G32=0,0,-SUMIFS('日経_D168_26'!D6:D32,'日経_D168_26'!D6:D32,"&lt;0")/G32)</x:f>
        <x:v>46285.71428571428</x:v>
      </x:c>
      <x:c r="I32" s="7" t="n">
        <x:f>MAX(0,-MIN('日経_D168_26'!D6:D32))</x:f>
        <x:v>165300</x:v>
      </x:c>
      <x:c r="J32" s="7" t="n">
        <x:f>F32-MAX(0,LARGE('日経_D168_26'!D6:D32,1))-MAX(0,LARGE('日経_D168_26'!D6:D32,2))-MAX(0,LARGE('日経_D168_26'!D6:D32,3))</x:f>
        <x:v>-543400</x:v>
      </x:c>
      <x:c r="K32" s="7" t="n">
        <x:v>-182600</x:v>
      </x:c>
      <x:c r="L32" s="7" t="n">
        <x:v>202200</x:v>
      </x:c>
      <x:c r="M32" s="12" t="n">
        <x:v>32</x:v>
      </x:c>
      <x:c r="N32" s="12" t="n">
        <x:v>163</x:v>
      </x:c>
      <x:c r="O32" s="12" t="n">
        <x:f>'日経_D168_26'!E33</x:f>
        <x:v>3934</x:v>
      </x:c>
      <x:c r="P32" s="14" t="n">
        <x:f>'日経_D168_26'!F33</x:f>
        <x:v>393.4</x:v>
      </x:c>
    </x:row>
    <x:row r="33" ht="25" customHeight="1">
      <x:c r="A33" s="2" t="str">
        <x:v>NK225_D168_27</x:v>
      </x:c>
      <x:c r="B33" s="28" t="str">
        <x:v>日中</x:v>
      </x:c>
      <x:c r="C33" s="28" t="str">
        <x:v>比較候補</x:v>
      </x:c>
      <x:c r="D33" s="7" t="n">
        <x:f>'日経_D168_27'!B33</x:f>
        <x:v>1818400</x:v>
      </x:c>
      <x:c r="E33" s="7" t="n">
        <x:f>'日経_D168_27'!C33</x:f>
        <x:v>2207700</x:v>
      </x:c>
      <x:c r="F33" s="7" t="n">
        <x:f>'日経_D168_27'!D33</x:f>
        <x:v>-389300</x:v>
      </x:c>
      <x:c r="G33" s="12" t="n">
        <x:f>COUNTIFS('日経_D168_27'!D6:D32,"&lt;0")</x:f>
        <x:v>13</x:v>
      </x:c>
      <x:c r="H33" s="7" t="n">
        <x:f>IF(G33=0,0,-SUMIFS('日経_D168_27'!D6:D32,'日経_D168_27'!D6:D32,"&lt;0")/G33)</x:f>
        <x:v>78884.61538461539</x:v>
      </x:c>
      <x:c r="I33" s="7" t="n">
        <x:f>MAX(0,-MIN('日経_D168_27'!D6:D32))</x:f>
        <x:v>232700</x:v>
      </x:c>
      <x:c r="J33" s="7" t="n">
        <x:f>F33-MAX(0,LARGE('日経_D168_27'!D6:D32,1))-MAX(0,LARGE('日経_D168_27'!D6:D32,2))-MAX(0,LARGE('日経_D168_27'!D6:D32,3))</x:f>
        <x:v>-802200</x:v>
      </x:c>
      <x:c r="K33" s="7" t="n">
        <x:v>-245800</x:v>
      </x:c>
      <x:c r="L33" s="7" t="n">
        <x:v>340000</x:v>
      </x:c>
      <x:c r="M33" s="12" t="n">
        <x:v>47</x:v>
      </x:c>
      <x:c r="N33" s="12" t="n">
        <x:v>418</x:v>
      </x:c>
      <x:c r="O33" s="12" t="n">
        <x:f>'日経_D168_27'!E33</x:f>
        <x:v>7173</x:v>
      </x:c>
      <x:c r="P33" s="14" t="n">
        <x:f>'日経_D168_27'!F33</x:f>
        <x:v>717.3</x:v>
      </x:c>
    </x:row>
    <x:row r="34" ht="25" customHeight="1">
      <x:c r="A34" s="2" t="str">
        <x:v>NK225_D168B_01</x:v>
      </x:c>
      <x:c r="B34" s="28" t="str">
        <x:v>日中</x:v>
      </x:c>
      <x:c r="C34" s="28" t="str">
        <x:v>比較候補</x:v>
      </x:c>
      <x:c r="D34" s="7" t="n">
        <x:f>'日経_D168B_01'!B33</x:f>
        <x:v>520200</x:v>
      </x:c>
      <x:c r="E34" s="7" t="n">
        <x:f>'日経_D168B_01'!C33</x:f>
        <x:v>705600</x:v>
      </x:c>
      <x:c r="F34" s="7" t="n">
        <x:f>'日経_D168B_01'!D33</x:f>
        <x:v>-185400</x:v>
      </x:c>
      <x:c r="G34" s="12" t="n">
        <x:f>COUNTIFS('日経_D168B_01'!D6:D32,"&lt;0")</x:f>
        <x:v>12</x:v>
      </x:c>
      <x:c r="H34" s="7" t="n">
        <x:f>IF(G34=0,0,-SUMIFS('日経_D168B_01'!D6:D32,'日経_D168B_01'!D6:D32,"&lt;0")/G34)</x:f>
        <x:v>33116.666666666664</x:v>
      </x:c>
      <x:c r="I34" s="7" t="n">
        <x:f>MAX(0,-MIN('日経_D168B_01'!D6:D32))</x:f>
        <x:v>147800</x:v>
      </x:c>
      <x:c r="J34" s="7" t="n">
        <x:f>F34-MAX(0,LARGE('日経_D168B_01'!D6:D32,1))-MAX(0,LARGE('日経_D168B_01'!D6:D32,2))-MAX(0,LARGE('日経_D168B_01'!D6:D32,3))</x:f>
        <x:v>-293800</x:v>
      </x:c>
      <x:c r="K34" s="7" t="n">
        <x:v>-165100</x:v>
      </x:c>
      <x:c r="L34" s="7" t="n">
        <x:v>170300</x:v>
      </x:c>
      <x:c r="M34" s="12" t="n">
        <x:v>9</x:v>
      </x:c>
      <x:c r="N34" s="12" t="n">
        <x:v>163</x:v>
      </x:c>
      <x:c r="O34" s="12" t="n">
        <x:f>'日経_D168B_01'!E33</x:f>
        <x:v>3934</x:v>
      </x:c>
      <x:c r="P34" s="14" t="n">
        <x:f>'日経_D168B_01'!F33</x:f>
        <x:v>393.4</x:v>
      </x:c>
    </x:row>
    <x:row r="35" ht="25" customHeight="1">
      <x:c r="A35" s="2" t="str">
        <x:v>NK225_D168B_02</x:v>
      </x:c>
      <x:c r="B35" s="28" t="str">
        <x:v>日中</x:v>
      </x:c>
      <x:c r="C35" s="28" t="str">
        <x:v>比較候補</x:v>
      </x:c>
      <x:c r="D35" s="7" t="n">
        <x:f>'日経_D168B_02'!B33</x:f>
        <x:v>533200</x:v>
      </x:c>
      <x:c r="E35" s="7" t="n">
        <x:f>'日経_D168B_02'!C33</x:f>
        <x:v>705600</x:v>
      </x:c>
      <x:c r="F35" s="7" t="n">
        <x:f>'日経_D168B_02'!D33</x:f>
        <x:v>-172400</x:v>
      </x:c>
      <x:c r="G35" s="12" t="n">
        <x:f>COUNTIFS('日経_D168B_02'!D6:D32,"&lt;0")</x:f>
        <x:v>12</x:v>
      </x:c>
      <x:c r="H35" s="7" t="n">
        <x:f>IF(G35=0,0,-SUMIFS('日経_D168B_02'!D6:D32,'日経_D168B_02'!D6:D32,"&lt;0")/G35)</x:f>
        <x:v>33200</x:v>
      </x:c>
      <x:c r="I35" s="7" t="n">
        <x:f>MAX(0,-MIN('日経_D168B_02'!D6:D32))</x:f>
        <x:v>147800</x:v>
      </x:c>
      <x:c r="J35" s="7" t="n">
        <x:f>F35-MAX(0,LARGE('日経_D168B_02'!D6:D32,1))-MAX(0,LARGE('日経_D168B_02'!D6:D32,2))-MAX(0,LARGE('日経_D168B_02'!D6:D32,3))</x:f>
        <x:v>-313000</x:v>
      </x:c>
      <x:c r="K35" s="7" t="n">
        <x:v>-165100</x:v>
      </x:c>
      <x:c r="L35" s="7" t="n">
        <x:v>170300</x:v>
      </x:c>
      <x:c r="M35" s="12" t="n">
        <x:v>9</x:v>
      </x:c>
      <x:c r="N35" s="12" t="n">
        <x:v>163</x:v>
      </x:c>
      <x:c r="O35" s="12" t="n">
        <x:f>'日経_D168B_02'!E33</x:f>
        <x:v>3934</x:v>
      </x:c>
      <x:c r="P35" s="14" t="n">
        <x:f>'日経_D168B_02'!F33</x:f>
        <x:v>393.4</x:v>
      </x:c>
    </x:row>
    <x:row r="36" ht="25" customHeight="1">
      <x:c r="A36" s="2" t="str">
        <x:v>NK225_D168B_03</x:v>
      </x:c>
      <x:c r="B36" s="28" t="str">
        <x:v>日中</x:v>
      </x:c>
      <x:c r="C36" s="28" t="str">
        <x:v>比較候補</x:v>
      </x:c>
      <x:c r="D36" s="7" t="n">
        <x:f>'日経_D168B_03'!B33</x:f>
        <x:v>495200</x:v>
      </x:c>
      <x:c r="E36" s="7" t="n">
        <x:f>'日経_D168B_03'!C33</x:f>
        <x:v>705600</x:v>
      </x:c>
      <x:c r="F36" s="7" t="n">
        <x:f>'日経_D168B_03'!D33</x:f>
        <x:v>-210400</x:v>
      </x:c>
      <x:c r="G36" s="12" t="n">
        <x:f>COUNTIFS('日経_D168B_03'!D6:D32,"&lt;0")</x:f>
        <x:v>11</x:v>
      </x:c>
      <x:c r="H36" s="7" t="n">
        <x:f>IF(G36=0,0,-SUMIFS('日経_D168B_03'!D6:D32,'日経_D168B_03'!D6:D32,"&lt;0")/G36)</x:f>
        <x:v>33827.27272727273</x:v>
      </x:c>
      <x:c r="I36" s="7" t="n">
        <x:f>MAX(0,-MIN('日経_D168B_03'!D6:D32))</x:f>
        <x:v>146800</x:v>
      </x:c>
      <x:c r="J36" s="7" t="n">
        <x:f>F36-MAX(0,LARGE('日経_D168B_03'!D6:D32,1))-MAX(0,LARGE('日経_D168B_03'!D6:D32,2))-MAX(0,LARGE('日経_D168B_03'!D6:D32,3))</x:f>
        <x:v>-287000</x:v>
      </x:c>
      <x:c r="K36" s="7" t="n">
        <x:v>-164100</x:v>
      </x:c>
      <x:c r="L36" s="7" t="n">
        <x:v>169300</x:v>
      </x:c>
      <x:c r="M36" s="12" t="n">
        <x:v>9</x:v>
      </x:c>
      <x:c r="N36" s="12" t="n">
        <x:v>163</x:v>
      </x:c>
      <x:c r="O36" s="12" t="n">
        <x:f>'日経_D168B_03'!E33</x:f>
        <x:v>3934</x:v>
      </x:c>
      <x:c r="P36" s="14" t="n">
        <x:f>'日経_D168B_03'!F33</x:f>
        <x:v>393.4</x:v>
      </x:c>
    </x:row>
    <x:row r="37" ht="25" customHeight="1">
      <x:c r="A37" s="2" t="str">
        <x:v>NK225_D168B_04</x:v>
      </x:c>
      <x:c r="B37" s="28" t="str">
        <x:v>日中</x:v>
      </x:c>
      <x:c r="C37" s="28" t="str">
        <x:v>比較候補</x:v>
      </x:c>
      <x:c r="D37" s="7" t="n">
        <x:f>'日経_D168B_04'!B33</x:f>
        <x:v>464900</x:v>
      </x:c>
      <x:c r="E37" s="7" t="n">
        <x:f>'日経_D168B_04'!C33</x:f>
        <x:v>705600</x:v>
      </x:c>
      <x:c r="F37" s="7" t="n">
        <x:f>'日経_D168B_04'!D33</x:f>
        <x:v>-240700</x:v>
      </x:c>
      <x:c r="G37" s="12" t="n">
        <x:f>COUNTIFS('日経_D168B_04'!D6:D32,"&lt;0")</x:f>
        <x:v>12</x:v>
      </x:c>
      <x:c r="H37" s="7" t="n">
        <x:f>IF(G37=0,0,-SUMIFS('日経_D168B_04'!D6:D32,'日経_D168B_04'!D6:D32,"&lt;0")/G37)</x:f>
        <x:v>33200</x:v>
      </x:c>
      <x:c r="I37" s="7" t="n">
        <x:f>MAX(0,-MIN('日経_D168B_04'!D6:D32))</x:f>
        <x:v>147800</x:v>
      </x:c>
      <x:c r="J37" s="7" t="n">
        <x:f>F37-MAX(0,LARGE('日経_D168B_04'!D6:D32,1))-MAX(0,LARGE('日経_D168B_04'!D6:D32,2))-MAX(0,LARGE('日経_D168B_04'!D6:D32,3))</x:f>
        <x:v>-308900</x:v>
      </x:c>
      <x:c r="K37" s="7" t="n">
        <x:v>-165100</x:v>
      </x:c>
      <x:c r="L37" s="7" t="n">
        <x:v>170300</x:v>
      </x:c>
      <x:c r="M37" s="12" t="n">
        <x:v>9</x:v>
      </x:c>
      <x:c r="N37" s="12" t="n">
        <x:v>163</x:v>
      </x:c>
      <x:c r="O37" s="12" t="n">
        <x:f>'日経_D168B_04'!E33</x:f>
        <x:v>3934</x:v>
      </x:c>
      <x:c r="P37" s="14" t="n">
        <x:f>'日経_D168B_04'!F33</x:f>
        <x:v>393.4</x:v>
      </x:c>
    </x:row>
    <x:row r="38" ht="25" customHeight="1">
      <x:c r="A38" s="2" t="str">
        <x:v>NK225_D168B_05</x:v>
      </x:c>
      <x:c r="B38" s="28" t="str">
        <x:v>日中</x:v>
      </x:c>
      <x:c r="C38" s="28" t="str">
        <x:v>比較候補</x:v>
      </x:c>
      <x:c r="D38" s="7" t="n">
        <x:f>'日経_D168B_05'!B33</x:f>
        <x:v>559600</x:v>
      </x:c>
      <x:c r="E38" s="7" t="n">
        <x:f>'日経_D168B_05'!C33</x:f>
        <x:v>705600</x:v>
      </x:c>
      <x:c r="F38" s="7" t="n">
        <x:f>'日経_D168B_05'!D33</x:f>
        <x:v>-146000</x:v>
      </x:c>
      <x:c r="G38" s="12" t="n">
        <x:f>COUNTIFS('日経_D168B_05'!D6:D32,"&lt;0")</x:f>
        <x:v>10</x:v>
      </x:c>
      <x:c r="H38" s="7" t="n">
        <x:f>IF(G38=0,0,-SUMIFS('日経_D168B_05'!D6:D32,'日経_D168B_05'!D6:D32,"&lt;0")/G38)</x:f>
        <x:v>35760</x:v>
      </x:c>
      <x:c r="I38" s="7" t="n">
        <x:f>MAX(0,-MIN('日経_D168B_05'!D6:D32))</x:f>
        <x:v>140700</x:v>
      </x:c>
      <x:c r="J38" s="7" t="n">
        <x:f>F38-MAX(0,LARGE('日経_D168B_05'!D6:D32,1))-MAX(0,LARGE('日経_D168B_05'!D6:D32,2))-MAX(0,LARGE('日経_D168B_05'!D6:D32,3))</x:f>
        <x:v>-216300</x:v>
      </x:c>
      <x:c r="K38" s="7" t="n">
        <x:v>-160900</x:v>
      </x:c>
      <x:c r="L38" s="7" t="n">
        <x:v>166100</x:v>
      </x:c>
      <x:c r="M38" s="12" t="n">
        <x:v>9</x:v>
      </x:c>
      <x:c r="N38" s="12" t="n">
        <x:v>163</x:v>
      </x:c>
      <x:c r="O38" s="12" t="n">
        <x:f>'日経_D168B_05'!E33</x:f>
        <x:v>3934</x:v>
      </x:c>
      <x:c r="P38" s="14" t="n">
        <x:f>'日経_D168B_05'!F33</x:f>
        <x:v>393.4</x:v>
      </x:c>
    </x:row>
    <x:row r="39" ht="25" customHeight="1">
      <x:c r="A39" s="2" t="str">
        <x:v>NK225_D168B_06</x:v>
      </x:c>
      <x:c r="B39" s="28" t="str">
        <x:v>日中</x:v>
      </x:c>
      <x:c r="C39" s="28" t="str">
        <x:v>比較候補</x:v>
      </x:c>
      <x:c r="D39" s="7" t="n">
        <x:f>'日経_D168B_06'!B33</x:f>
        <x:v>579800</x:v>
      </x:c>
      <x:c r="E39" s="7" t="n">
        <x:f>'日経_D168B_06'!C33</x:f>
        <x:v>705600</x:v>
      </x:c>
      <x:c r="F39" s="7" t="n">
        <x:f>'日経_D168B_06'!D33</x:f>
        <x:v>-125800</x:v>
      </x:c>
      <x:c r="G39" s="12" t="n">
        <x:f>COUNTIFS('日経_D168B_06'!D6:D32,"&lt;0")</x:f>
        <x:v>10</x:v>
      </x:c>
      <x:c r="H39" s="7" t="n">
        <x:f>IF(G39=0,0,-SUMIFS('日経_D168B_06'!D6:D32,'日経_D168B_06'!D6:D32,"&lt;0")/G39)</x:f>
        <x:v>33580</x:v>
      </x:c>
      <x:c r="I39" s="7" t="n">
        <x:f>MAX(0,-MIN('日経_D168B_06'!D6:D32))</x:f>
        <x:v>136400</x:v>
      </x:c>
      <x:c r="J39" s="7" t="n">
        <x:f>F39-MAX(0,LARGE('日経_D168B_06'!D6:D32,1))-MAX(0,LARGE('日経_D168B_06'!D6:D32,2))-MAX(0,LARGE('日経_D168B_06'!D6:D32,3))</x:f>
        <x:v>-204800</x:v>
      </x:c>
      <x:c r="K39" s="7" t="n">
        <x:v>-159200</x:v>
      </x:c>
      <x:c r="L39" s="7" t="n">
        <x:v>164400</x:v>
      </x:c>
      <x:c r="M39" s="12" t="n">
        <x:v>9</x:v>
      </x:c>
      <x:c r="N39" s="12" t="n">
        <x:v>163</x:v>
      </x:c>
      <x:c r="O39" s="12" t="n">
        <x:f>'日経_D168B_06'!E33</x:f>
        <x:v>3934</x:v>
      </x:c>
      <x:c r="P39" s="14" t="n">
        <x:f>'日経_D168B_06'!F33</x:f>
        <x:v>393.4</x:v>
      </x:c>
    </x:row>
    <x:row r="40" ht="25" customHeight="1">
      <x:c r="A40" s="2" t="str">
        <x:v>NK225_D168B_07</x:v>
      </x:c>
      <x:c r="B40" s="28" t="str">
        <x:v>日中</x:v>
      </x:c>
      <x:c r="C40" s="28" t="str">
        <x:v>比較候補</x:v>
      </x:c>
      <x:c r="D40" s="7" t="n">
        <x:f>'日経_D168B_07'!B33</x:f>
        <x:v>563400</x:v>
      </x:c>
      <x:c r="E40" s="7" t="n">
        <x:f>'日経_D168B_07'!C33</x:f>
        <x:v>705600</x:v>
      </x:c>
      <x:c r="F40" s="7" t="n">
        <x:f>'日経_D168B_07'!D33</x:f>
        <x:v>-142200</x:v>
      </x:c>
      <x:c r="G40" s="12" t="n">
        <x:f>COUNTIFS('日経_D168B_07'!D6:D32,"&lt;0")</x:f>
        <x:v>10</x:v>
      </x:c>
      <x:c r="H40" s="7" t="n">
        <x:f>IF(G40=0,0,-SUMIFS('日経_D168B_07'!D6:D32,'日経_D168B_07'!D6:D32,"&lt;0")/G40)</x:f>
        <x:v>35810</x:v>
      </x:c>
      <x:c r="I40" s="7" t="n">
        <x:f>MAX(0,-MIN('日経_D168B_07'!D6:D32))</x:f>
        <x:v>140700</x:v>
      </x:c>
      <x:c r="J40" s="7" t="n">
        <x:f>F40-MAX(0,LARGE('日経_D168B_07'!D6:D32,1))-MAX(0,LARGE('日経_D168B_07'!D6:D32,2))-MAX(0,LARGE('日経_D168B_07'!D6:D32,3))</x:f>
        <x:v>-231600</x:v>
      </x:c>
      <x:c r="K40" s="7" t="n">
        <x:v>-160900</x:v>
      </x:c>
      <x:c r="L40" s="7" t="n">
        <x:v>166100</x:v>
      </x:c>
      <x:c r="M40" s="12" t="n">
        <x:v>9</x:v>
      </x:c>
      <x:c r="N40" s="12" t="n">
        <x:v>163</x:v>
      </x:c>
      <x:c r="O40" s="12" t="n">
        <x:f>'日経_D168B_07'!E33</x:f>
        <x:v>3934</x:v>
      </x:c>
      <x:c r="P40" s="14" t="n">
        <x:f>'日経_D168B_07'!F33</x:f>
        <x:v>393.4</x:v>
      </x:c>
    </x:row>
    <x:row r="41" ht="25" customHeight="1">
      <x:c r="A41" s="2" t="str">
        <x:v>NK225_D168B_08</x:v>
      </x:c>
      <x:c r="B41" s="28" t="str">
        <x:v>日中</x:v>
      </x:c>
      <x:c r="C41" s="28" t="str">
        <x:v>比較候補</x:v>
      </x:c>
      <x:c r="D41" s="7" t="n">
        <x:f>'日経_D168B_08'!B33</x:f>
        <x:v>582600</x:v>
      </x:c>
      <x:c r="E41" s="7" t="n">
        <x:f>'日経_D168B_08'!C33</x:f>
        <x:v>705600</x:v>
      </x:c>
      <x:c r="F41" s="7" t="n">
        <x:f>'日経_D168B_08'!D33</x:f>
        <x:v>-123000</x:v>
      </x:c>
      <x:c r="G41" s="12" t="n">
        <x:f>COUNTIFS('日経_D168B_08'!D6:D32,"&lt;0")</x:f>
        <x:v>10</x:v>
      </x:c>
      <x:c r="H41" s="7" t="n">
        <x:f>IF(G41=0,0,-SUMIFS('日経_D168B_08'!D6:D32,'日経_D168B_08'!D6:D32,"&lt;0")/G41)</x:f>
        <x:v>33600</x:v>
      </x:c>
      <x:c r="I41" s="7" t="n">
        <x:f>MAX(0,-MIN('日経_D168B_08'!D6:D32))</x:f>
        <x:v>136400</x:v>
      </x:c>
      <x:c r="J41" s="7" t="n">
        <x:f>F41-MAX(0,LARGE('日経_D168B_08'!D6:D32,1))-MAX(0,LARGE('日経_D168B_08'!D6:D32,2))-MAX(0,LARGE('日経_D168B_08'!D6:D32,3))</x:f>
        <x:v>-202200</x:v>
      </x:c>
      <x:c r="K41" s="7" t="n">
        <x:v>-159200</x:v>
      </x:c>
      <x:c r="L41" s="7" t="n">
        <x:v>164400</x:v>
      </x:c>
      <x:c r="M41" s="12" t="n">
        <x:v>9</x:v>
      </x:c>
      <x:c r="N41" s="12" t="n">
        <x:v>163</x:v>
      </x:c>
      <x:c r="O41" s="12" t="n">
        <x:f>'日経_D168B_08'!E33</x:f>
        <x:v>3934</x:v>
      </x:c>
      <x:c r="P41" s="14" t="n">
        <x:f>'日経_D168B_08'!F33</x:f>
        <x:v>393.4</x:v>
      </x:c>
    </x:row>
    <x:row r="42" ht="25" customHeight="1">
      <x:c r="A42" s="2" t="str">
        <x:v>NK225_D168B_09</x:v>
      </x:c>
      <x:c r="B42" s="28" t="str">
        <x:v>日中</x:v>
      </x:c>
      <x:c r="C42" s="28" t="str">
        <x:v>比較候補</x:v>
      </x:c>
      <x:c r="D42" s="7" t="n">
        <x:f>'日経_D168B_09'!B33</x:f>
        <x:v>766000</x:v>
      </x:c>
      <x:c r="E42" s="7" t="n">
        <x:f>'日経_D168B_09'!C33</x:f>
        <x:v>1174000</x:v>
      </x:c>
      <x:c r="F42" s="7" t="n">
        <x:f>'日経_D168B_09'!D33</x:f>
        <x:v>-408000</x:v>
      </x:c>
      <x:c r="G42" s="12" t="n">
        <x:f>COUNTIFS('日経_D168B_09'!D6:D32,"&lt;0")</x:f>
        <x:v>14</x:v>
      </x:c>
      <x:c r="H42" s="7" t="n">
        <x:f>IF(G42=0,0,-SUMIFS('日経_D168B_09'!D6:D32,'日経_D168B_09'!D6:D32,"&lt;0")/G42)</x:f>
        <x:v>53592.857142857145</x:v>
      </x:c>
      <x:c r="I42" s="7" t="n">
        <x:f>MAX(0,-MIN('日経_D168B_09'!D6:D32))</x:f>
        <x:v>226400</x:v>
      </x:c>
      <x:c r="J42" s="7" t="n">
        <x:f>F42-MAX(0,LARGE('日経_D168B_09'!D6:D32,1))-MAX(0,LARGE('日経_D168B_09'!D6:D32,2))-MAX(0,LARGE('日経_D168B_09'!D6:D32,3))</x:f>
        <x:v>-564600</x:v>
      </x:c>
      <x:c r="K42" s="7" t="n">
        <x:v>-243700</x:v>
      </x:c>
      <x:c r="L42" s="7" t="n">
        <x:v>248900</x:v>
      </x:c>
      <x:c r="M42" s="12" t="n">
        <x:v>20</x:v>
      </x:c>
      <x:c r="N42" s="12" t="n">
        <x:v>183</x:v>
      </x:c>
      <x:c r="O42" s="12" t="n">
        <x:f>'日経_D168B_09'!E33</x:f>
        <x:v>3934</x:v>
      </x:c>
      <x:c r="P42" s="14" t="n">
        <x:f>'日経_D168B_09'!F33</x:f>
        <x:v>393.4</x:v>
      </x:c>
    </x:row>
    <x:row r="43" ht="25" customHeight="1">
      <x:c r="A43" s="2" t="str">
        <x:v>NK225_D168B_10</x:v>
      </x:c>
      <x:c r="B43" s="28" t="str">
        <x:v>日中</x:v>
      </x:c>
      <x:c r="C43" s="28" t="str">
        <x:v>比較候補</x:v>
      </x:c>
      <x:c r="D43" s="7" t="n">
        <x:f>'日経_D168B_10'!B33</x:f>
        <x:v>328700</x:v>
      </x:c>
      <x:c r="E43" s="7" t="n">
        <x:f>'日経_D168B_10'!C33</x:f>
        <x:v>662300</x:v>
      </x:c>
      <x:c r="F43" s="7" t="n">
        <x:f>'日経_D168B_10'!D33</x:f>
        <x:v>-333600</x:v>
      </x:c>
      <x:c r="G43" s="12" t="n">
        <x:f>COUNTIFS('日経_D168B_10'!D6:D32,"&lt;0")</x:f>
        <x:v>10</x:v>
      </x:c>
      <x:c r="H43" s="7" t="n">
        <x:f>IF(G43=0,0,-SUMIFS('日経_D168B_10'!D6:D32,'日経_D168B_10'!D6:D32,"&lt;0")/G43)</x:f>
        <x:v>51370</x:v>
      </x:c>
      <x:c r="I43" s="7" t="n">
        <x:f>MAX(0,-MIN('日経_D168B_10'!D6:D32))</x:f>
        <x:v>204400</x:v>
      </x:c>
      <x:c r="J43" s="7" t="n">
        <x:f>F43-MAX(0,LARGE('日経_D168B_10'!D6:D32,1))-MAX(0,LARGE('日経_D168B_10'!D6:D32,2))-MAX(0,LARGE('日経_D168B_10'!D6:D32,3))</x:f>
        <x:v>-397200</x:v>
      </x:c>
      <x:c r="K43" s="7" t="n">
        <x:v>-221700</x:v>
      </x:c>
      <x:c r="L43" s="7" t="n">
        <x:v>224300</x:v>
      </x:c>
      <x:c r="M43" s="12" t="n">
        <x:v>0</x:v>
      </x:c>
      <x:c r="N43" s="12" t="n">
        <x:v>183</x:v>
      </x:c>
      <x:c r="O43" s="12" t="n">
        <x:f>'日経_D168B_10'!E33</x:f>
        <x:v>3934</x:v>
      </x:c>
      <x:c r="P43" s="14" t="n">
        <x:f>'日経_D168B_10'!F33</x:f>
        <x:v>393.4</x:v>
      </x:c>
    </x:row>
    <x:row r="44" ht="25" customHeight="1">
      <x:c r="A44" s="2" t="str">
        <x:v>NK225_D168B_11</x:v>
      </x:c>
      <x:c r="B44" s="28" t="str">
        <x:v>日中</x:v>
      </x:c>
      <x:c r="C44" s="28" t="str">
        <x:v>比較候補</x:v>
      </x:c>
      <x:c r="D44" s="7" t="n">
        <x:f>'日経_D168B_11'!B33</x:f>
        <x:v>646100</x:v>
      </x:c>
      <x:c r="E44" s="7" t="n">
        <x:f>'日経_D168B_11'!C33</x:f>
        <x:v>886500</x:v>
      </x:c>
      <x:c r="F44" s="7" t="n">
        <x:f>'日経_D168B_11'!D33</x:f>
        <x:v>-240400</x:v>
      </x:c>
      <x:c r="G44" s="12" t="n">
        <x:f>COUNTIFS('日経_D168B_11'!D6:D32,"&lt;0")</x:f>
        <x:v>12</x:v>
      </x:c>
      <x:c r="H44" s="7" t="n">
        <x:f>IF(G44=0,0,-SUMIFS('日経_D168B_11'!D6:D32,'日経_D168B_11'!D6:D32,"&lt;0")/G44)</x:f>
        <x:v>46850</x:v>
      </x:c>
      <x:c r="I44" s="7" t="n">
        <x:f>MAX(0,-MIN('日経_D168B_11'!D6:D32))</x:f>
        <x:v>186400</x:v>
      </x:c>
      <x:c r="J44" s="7" t="n">
        <x:f>F44-MAX(0,LARGE('日経_D168B_11'!D6:D32,1))-MAX(0,LARGE('日経_D168B_11'!D6:D32,2))-MAX(0,LARGE('日経_D168B_11'!D6:D32,3))</x:f>
        <x:v>-372500</x:v>
      </x:c>
      <x:c r="K44" s="7" t="n">
        <x:v>-211200</x:v>
      </x:c>
      <x:c r="L44" s="7" t="n">
        <x:v>216400</x:v>
      </x:c>
      <x:c r="M44" s="12" t="n">
        <x:v>7</x:v>
      </x:c>
      <x:c r="N44" s="12" t="n">
        <x:v>183</x:v>
      </x:c>
      <x:c r="O44" s="12" t="n">
        <x:f>'日経_D168B_11'!E33</x:f>
        <x:v>3934</x:v>
      </x:c>
      <x:c r="P44" s="14" t="n">
        <x:f>'日経_D168B_11'!F33</x:f>
        <x:v>393.4</x:v>
      </x:c>
    </x:row>
    <x:row r="45" ht="25" customHeight="1">
      <x:c r="A45" s="2" t="str">
        <x:v>NK225_D168B_12</x:v>
      </x:c>
      <x:c r="B45" s="28" t="str">
        <x:v>日中</x:v>
      </x:c>
      <x:c r="C45" s="28" t="str">
        <x:v>比較候補</x:v>
      </x:c>
      <x:c r="D45" s="7" t="n">
        <x:f>'日経_D168B_12'!B33</x:f>
        <x:v>968400</x:v>
      </x:c>
      <x:c r="E45" s="7" t="n">
        <x:f>'日経_D168B_12'!C33</x:f>
        <x:v>1176300</x:v>
      </x:c>
      <x:c r="F45" s="7" t="n">
        <x:f>'日経_D168B_12'!D33</x:f>
        <x:v>-207900</x:v>
      </x:c>
      <x:c r="G45" s="12" t="n">
        <x:f>COUNTIFS('日経_D168B_12'!D6:D32,"&lt;0")</x:f>
        <x:v>11</x:v>
      </x:c>
      <x:c r="H45" s="7" t="n">
        <x:f>IF(G45=0,0,-SUMIFS('日経_D168B_12'!D6:D32,'日経_D168B_12'!D6:D32,"&lt;0")/G45)</x:f>
        <x:v>52227.27272727273</x:v>
      </x:c>
      <x:c r="I45" s="7" t="n">
        <x:f>MAX(0,-MIN('日経_D168B_12'!D6:D32))</x:f>
        <x:v>188200</x:v>
      </x:c>
      <x:c r="J45" s="7" t="n">
        <x:f>F45-MAX(0,LARGE('日経_D168B_12'!D6:D32,1))-MAX(0,LARGE('日経_D168B_12'!D6:D32,2))-MAX(0,LARGE('日経_D168B_12'!D6:D32,3))</x:f>
        <x:v>-392300</x:v>
      </x:c>
      <x:c r="K45" s="7" t="n">
        <x:v>-219400</x:v>
      </x:c>
      <x:c r="L45" s="7" t="n">
        <x:v>229800</x:v>
      </x:c>
      <x:c r="M45" s="12" t="n">
        <x:v>19</x:v>
      </x:c>
      <x:c r="N45" s="12" t="n">
        <x:v>183</x:v>
      </x:c>
      <x:c r="O45" s="12" t="n">
        <x:f>'日経_D168B_12'!E33</x:f>
        <x:v>3934</x:v>
      </x:c>
      <x:c r="P45" s="14" t="n">
        <x:f>'日経_D168B_12'!F33</x:f>
        <x:v>393.4</x:v>
      </x:c>
    </x:row>
    <x:row r="46" ht="25" customHeight="1">
      <x:c r="A46" s="2" t="str">
        <x:v>NK225_D168B_13</x:v>
      </x:c>
      <x:c r="B46" s="28" t="str">
        <x:v>日中</x:v>
      </x:c>
      <x:c r="C46" s="28" t="str">
        <x:v>比較候補</x:v>
      </x:c>
      <x:c r="D46" s="7" t="n">
        <x:f>'日経_D168B_13'!B33</x:f>
        <x:v>1067200</x:v>
      </x:c>
      <x:c r="E46" s="7" t="n">
        <x:f>'日経_D168B_13'!C33</x:f>
        <x:v>2225300</x:v>
      </x:c>
      <x:c r="F46" s="7" t="n">
        <x:f>'日経_D168B_13'!D33</x:f>
        <x:v>-1158100</x:v>
      </x:c>
      <x:c r="G46" s="12" t="n">
        <x:f>COUNTIFS('日経_D168B_13'!D6:D32,"&lt;0")</x:f>
        <x:v>23</x:v>
      </x:c>
      <x:c r="H46" s="7" t="n">
        <x:f>IF(G46=0,0,-SUMIFS('日経_D168B_13'!D6:D32,'日経_D168B_13'!D6:D32,"&lt;0")/G46)</x:f>
        <x:v>53386.95652173913</x:v>
      </x:c>
      <x:c r="I46" s="7" t="n">
        <x:f>MAX(0,-MIN('日経_D168B_13'!D6:D32))</x:f>
        <x:v>242300</x:v>
      </x:c>
      <x:c r="J46" s="7" t="n">
        <x:f>F46-MAX(0,LARGE('日経_D168B_13'!D6:D32,1))-MAX(0,LARGE('日経_D168B_13'!D6:D32,2))-MAX(0,LARGE('日経_D168B_13'!D6:D32,3))</x:f>
        <x:v>-1225900</x:v>
      </x:c>
      <x:c r="K46" s="7" t="n">
        <x:v>-242300</x:v>
      </x:c>
      <x:c r="L46" s="7" t="n">
        <x:v>247500</x:v>
      </x:c>
      <x:c r="M46" s="12" t="n">
        <x:v>44</x:v>
      </x:c>
      <x:c r="N46" s="12" t="n">
        <x:v>367</x:v>
      </x:c>
      <x:c r="O46" s="12" t="n">
        <x:f>'日経_D168B_13'!E33</x:f>
        <x:v>8893</x:v>
      </x:c>
      <x:c r="P46" s="14" t="n">
        <x:f>'日経_D168B_13'!F33</x:f>
        <x:v>889.3</x:v>
      </x:c>
    </x:row>
    <x:row r="47" ht="25" customHeight="1">
      <x:c r="A47" s="2" t="str">
        <x:v>NK225_D168B_14</x:v>
      </x:c>
      <x:c r="B47" s="28" t="str">
        <x:v>日中</x:v>
      </x:c>
      <x:c r="C47" s="28" t="str">
        <x:v>比較候補</x:v>
      </x:c>
      <x:c r="D47" s="7" t="n">
        <x:f>'日経_D168B_14'!B33</x:f>
        <x:v>686500</x:v>
      </x:c>
      <x:c r="E47" s="7" t="n">
        <x:f>'日経_D168B_14'!C33</x:f>
        <x:v>1072900</x:v>
      </x:c>
      <x:c r="F47" s="7" t="n">
        <x:f>'日経_D168B_14'!D33</x:f>
        <x:v>-386400</x:v>
      </x:c>
      <x:c r="G47" s="12" t="n">
        <x:f>COUNTIFS('日経_D168B_14'!D6:D32,"&lt;0")</x:f>
        <x:v>12</x:v>
      </x:c>
      <x:c r="H47" s="7" t="n">
        <x:f>IF(G47=0,0,-SUMIFS('日経_D168B_14'!D6:D32,'日経_D168B_14'!D6:D32,"&lt;0")/G47)</x:f>
        <x:v>52425</x:v>
      </x:c>
      <x:c r="I47" s="7" t="n">
        <x:f>MAX(0,-MIN('日経_D168B_14'!D6:D32))</x:f>
        <x:v>199300</x:v>
      </x:c>
      <x:c r="J47" s="7" t="n">
        <x:f>F47-MAX(0,LARGE('日経_D168B_14'!D6:D32,1))-MAX(0,LARGE('日経_D168B_14'!D6:D32,2))-MAX(0,LARGE('日経_D168B_14'!D6:D32,3))</x:f>
        <x:v>-487400</x:v>
      </x:c>
      <x:c r="K47" s="7" t="n">
        <x:v>-217800</x:v>
      </x:c>
      <x:c r="L47" s="7" t="n">
        <x:v>223000</x:v>
      </x:c>
      <x:c r="M47" s="12" t="n">
        <x:v>36</x:v>
      </x:c>
      <x:c r="N47" s="12" t="n">
        <x:v>358</x:v>
      </x:c>
      <x:c r="O47" s="12" t="n">
        <x:f>'日経_D168B_14'!E33</x:f>
        <x:v>4672</x:v>
      </x:c>
      <x:c r="P47" s="14" t="n">
        <x:f>'日経_D168B_14'!F33</x:f>
        <x:v>467.2</x:v>
      </x:c>
    </x:row>
    <x:row r="48" ht="25" customHeight="1">
      <x:c r="A48" s="2" t="str">
        <x:v>NK225_D168B_15</x:v>
      </x:c>
      <x:c r="B48" s="28" t="str">
        <x:v>日中</x:v>
      </x:c>
      <x:c r="C48" s="28" t="str">
        <x:v>比較候補</x:v>
      </x:c>
      <x:c r="D48" s="7" t="n">
        <x:f>'日経_D168B_15'!B33</x:f>
        <x:v>710200</x:v>
      </x:c>
      <x:c r="E48" s="7" t="n">
        <x:f>'日経_D168B_15'!C33</x:f>
        <x:v>1088000</x:v>
      </x:c>
      <x:c r="F48" s="7" t="n">
        <x:f>'日経_D168B_15'!D33</x:f>
        <x:v>-377800</x:v>
      </x:c>
      <x:c r="G48" s="12" t="n">
        <x:f>COUNTIFS('日経_D168B_15'!D6:D32,"&lt;0")</x:f>
        <x:v>11</x:v>
      </x:c>
      <x:c r="H48" s="7" t="n">
        <x:f>IF(G48=0,0,-SUMIFS('日経_D168B_15'!D6:D32,'日経_D168B_15'!D6:D32,"&lt;0")/G48)</x:f>
        <x:v>55263.63636363636</x:v>
      </x:c>
      <x:c r="I48" s="7" t="n">
        <x:f>MAX(0,-MIN('日経_D168B_15'!D6:D32))</x:f>
        <x:v>194600</x:v>
      </x:c>
      <x:c r="J48" s="7" t="n">
        <x:f>F48-MAX(0,LARGE('日経_D168B_15'!D6:D32,1))-MAX(0,LARGE('日経_D168B_15'!D6:D32,2))-MAX(0,LARGE('日経_D168B_15'!D6:D32,3))</x:f>
        <x:v>-483100</x:v>
      </x:c>
      <x:c r="K48" s="7" t="n">
        <x:v>-215000</x:v>
      </x:c>
      <x:c r="L48" s="7" t="n">
        <x:v>220200</x:v>
      </x:c>
      <x:c r="M48" s="12" t="n">
        <x:v>37</x:v>
      </x:c>
      <x:c r="N48" s="12" t="n">
        <x:v>334</x:v>
      </x:c>
      <x:c r="O48" s="12" t="n">
        <x:f>'日経_D168B_15'!E33</x:f>
        <x:v>4683</x:v>
      </x:c>
      <x:c r="P48" s="14" t="n">
        <x:f>'日経_D168B_15'!F33</x:f>
        <x:v>468.3</x:v>
      </x:c>
    </x:row>
    <x:row r="49" ht="25" customHeight="1">
      <x:c r="A49" s="2" t="str">
        <x:v>NK225_D168B_16</x:v>
      </x:c>
      <x:c r="B49" s="28" t="str">
        <x:v>日中</x:v>
      </x:c>
      <x:c r="C49" s="28" t="str">
        <x:v>比較候補</x:v>
      </x:c>
      <x:c r="D49" s="7" t="n">
        <x:f>'日経_D168B_16'!B33</x:f>
        <x:v>693900</x:v>
      </x:c>
      <x:c r="E49" s="7" t="n">
        <x:f>'日経_D168B_16'!C33</x:f>
        <x:v>1085800</x:v>
      </x:c>
      <x:c r="F49" s="7" t="n">
        <x:f>'日経_D168B_16'!D33</x:f>
        <x:v>-391900</x:v>
      </x:c>
      <x:c r="G49" s="12" t="n">
        <x:f>COUNTIFS('日経_D168B_16'!D6:D32,"&lt;0")</x:f>
        <x:v>11</x:v>
      </x:c>
      <x:c r="H49" s="7" t="n">
        <x:f>IF(G49=0,0,-SUMIFS('日経_D168B_16'!D6:D32,'日経_D168B_16'!D6:D32,"&lt;0")/G49)</x:f>
        <x:v>56527.27272727273</x:v>
      </x:c>
      <x:c r="I49" s="7" t="n">
        <x:f>MAX(0,-MIN('日経_D168B_16'!D6:D32))</x:f>
        <x:v>195700</x:v>
      </x:c>
      <x:c r="J49" s="7" t="n">
        <x:f>F49-MAX(0,LARGE('日経_D168B_16'!D6:D32,1))-MAX(0,LARGE('日経_D168B_16'!D6:D32,2))-MAX(0,LARGE('日経_D168B_16'!D6:D32,3))</x:f>
        <x:v>-490000</x:v>
      </x:c>
      <x:c r="K49" s="7" t="n">
        <x:v>-215700</x:v>
      </x:c>
      <x:c r="L49" s="7" t="n">
        <x:v>220900</x:v>
      </x:c>
      <x:c r="M49" s="12" t="n">
        <x:v>34</x:v>
      </x:c>
      <x:c r="N49" s="12" t="n">
        <x:v>352</x:v>
      </x:c>
      <x:c r="O49" s="12" t="n">
        <x:f>'日経_D168B_16'!E33</x:f>
        <x:v>4726</x:v>
      </x:c>
      <x:c r="P49" s="14" t="n">
        <x:f>'日経_D168B_16'!F33</x:f>
        <x:v>472.6</x:v>
      </x:c>
    </x:row>
    <x:row r="50" ht="25" customHeight="1">
      <x:c r="A50" s="2" t="str">
        <x:v>NK225_P164_06</x:v>
      </x:c>
      <x:c r="B50" s="28" t="str">
        <x:v>米国前</x:v>
      </x:c>
      <x:c r="C50" s="28" t="str">
        <x:v>基準</x:v>
      </x:c>
      <x:c r="D50" s="7" t="n">
        <x:f>'日経_P164_06'!B33</x:f>
        <x:v>427000</x:v>
      </x:c>
      <x:c r="E50" s="7" t="n">
        <x:f>'日経_P164_06'!C33</x:f>
        <x:v>35000</x:v>
      </x:c>
      <x:c r="F50" s="7" t="n">
        <x:f>'日経_P164_06'!D33</x:f>
        <x:v>392000</x:v>
      </x:c>
      <x:c r="G50" s="12" t="n">
        <x:f>COUNTIFS('日経_P164_06'!D6:D32,"&lt;0")</x:f>
        <x:v>1</x:v>
      </x:c>
      <x:c r="H50" s="7" t="n">
        <x:f>IF(G50=0,0,-SUMIFS('日経_P164_06'!D6:D32,'日経_P164_06'!D6:D32,"&lt;0")/G50)</x:f>
        <x:v>20000</x:v>
      </x:c>
      <x:c r="I50" s="7" t="n">
        <x:f>MAX(0,-MIN('日経_P164_06'!D6:D32))</x:f>
        <x:v>20000</x:v>
      </x:c>
      <x:c r="J50" s="7" t="n">
        <x:f>F50-MAX(0,LARGE('日経_P164_06'!D6:D32,1))-MAX(0,LARGE('日経_P164_06'!D6:D32,2))-MAX(0,LARGE('日経_P164_06'!D6:D32,3))</x:f>
        <x:v>225000</x:v>
      </x:c>
      <x:c r="K50" s="7" t="n">
        <x:v>-120000</x:v>
      </x:c>
      <x:c r="L50" s="7" t="n">
        <x:v>120000</x:v>
      </x:c>
      <x:c r="M50" s="12" t="n">
        <x:v>2</x:v>
      </x:c>
      <x:c r="N50" s="12" t="n">
        <x:v>38</x:v>
      </x:c>
      <x:c r="O50" s="12" t="n">
        <x:f>'日経_P164_06'!E33</x:f>
        <x:v>1380</x:v>
      </x:c>
      <x:c r="P50" s="14" t="n">
        <x:f>'日経_P164_06'!F33</x:f>
        <x:v>138</x:v>
      </x:c>
    </x:row>
    <x:row r="51" ht="25" customHeight="1">
      <x:c r="A51" s="2" t="str">
        <x:v>NK225_P168_01</x:v>
      </x:c>
      <x:c r="B51" s="28" t="str">
        <x:v>米国前</x:v>
      </x:c>
      <x:c r="C51" s="28" t="str">
        <x:v>比較候補</x:v>
      </x:c>
      <x:c r="D51" s="7" t="n">
        <x:f>'日経_P168_01'!B33</x:f>
        <x:v>44000</x:v>
      </x:c>
      <x:c r="E51" s="7" t="n">
        <x:f>'日経_P168_01'!C33</x:f>
        <x:v>15000</x:v>
      </x:c>
      <x:c r="F51" s="7" t="n">
        <x:f>'日経_P168_01'!D33</x:f>
        <x:v>29000</x:v>
      </x:c>
      <x:c r="G51" s="12" t="n">
        <x:f>COUNTIFS('日経_P168_01'!D6:D32,"&lt;0")</x:f>
        <x:v>2</x:v>
      </x:c>
      <x:c r="H51" s="7" t="n">
        <x:f>IF(G51=0,0,-SUMIFS('日経_P168_01'!D6:D32,'日経_P168_01'!D6:D32,"&lt;0")/G51)</x:f>
        <x:v>4500</x:v>
      </x:c>
      <x:c r="I51" s="7" t="n">
        <x:f>MAX(0,-MIN('日経_P168_01'!D6:D32))</x:f>
        <x:v>5000</x:v>
      </x:c>
      <x:c r="J51" s="7" t="n">
        <x:f>F51-MAX(0,LARGE('日経_P168_01'!D6:D32,1))-MAX(0,LARGE('日経_P168_01'!D6:D32,2))-MAX(0,LARGE('日経_P168_01'!D6:D32,3))</x:f>
        <x:v>1000</x:v>
      </x:c>
      <x:c r="K51" s="7" t="n">
        <x:v>-120000</x:v>
      </x:c>
      <x:c r="L51" s="7" t="n">
        <x:v>120000</x:v>
      </x:c>
      <x:c r="M51" s="12" t="n">
        <x:v>1</x:v>
      </x:c>
      <x:c r="N51" s="12" t="n">
        <x:v>38</x:v>
      </x:c>
      <x:c r="O51" s="12" t="n">
        <x:f>'日経_P168_01'!E33</x:f>
        <x:v>1380</x:v>
      </x:c>
      <x:c r="P51" s="14" t="n">
        <x:f>'日経_P168_01'!F33</x:f>
        <x:v>138</x:v>
      </x:c>
    </x:row>
    <x:row r="52" ht="25" customHeight="1">
      <x:c r="A52" s="2" t="str">
        <x:v>NK225_P168_02</x:v>
      </x:c>
      <x:c r="B52" s="28" t="str">
        <x:v>米国前</x:v>
      </x:c>
      <x:c r="C52" s="28" t="str">
        <x:v>比較候補</x:v>
      </x:c>
      <x:c r="D52" s="7" t="n">
        <x:f>'日経_P168_02'!B33</x:f>
        <x:v>195000</x:v>
      </x:c>
      <x:c r="E52" s="7" t="n">
        <x:f>'日経_P168_02'!C33</x:f>
        <x:v>10000</x:v>
      </x:c>
      <x:c r="F52" s="7" t="n">
        <x:f>'日経_P168_02'!D33</x:f>
        <x:v>185000</x:v>
      </x:c>
      <x:c r="G52" s="12" t="n">
        <x:f>COUNTIFS('日経_P168_02'!D6:D32,"&lt;0")</x:f>
        <x:v>0</x:v>
      </x:c>
      <x:c r="H52" s="7" t="n">
        <x:f>IF(G52=0,0,-SUMIFS('日経_P168_02'!D6:D32,'日経_P168_02'!D6:D32,"&lt;0")/G52)</x:f>
        <x:v>0</x:v>
      </x:c>
      <x:c r="I52" s="7" t="n">
        <x:f>MAX(0,-MIN('日経_P168_02'!D6:D32))</x:f>
        <x:v>0</x:v>
      </x:c>
      <x:c r="J52" s="7" t="n">
        <x:f>F52-MAX(0,LARGE('日経_P168_02'!D6:D32,1))-MAX(0,LARGE('日経_P168_02'!D6:D32,2))-MAX(0,LARGE('日経_P168_02'!D6:D32,3))</x:f>
        <x:v>70000</x:v>
      </x:c>
      <x:c r="K52" s="7" t="n">
        <x:v>-120000</x:v>
      </x:c>
      <x:c r="L52" s="7" t="n">
        <x:v>120000</x:v>
      </x:c>
      <x:c r="M52" s="12" t="n">
        <x:v>0</x:v>
      </x:c>
      <x:c r="N52" s="12" t="n">
        <x:v>38</x:v>
      </x:c>
      <x:c r="O52" s="12" t="n">
        <x:f>'日経_P168_02'!E33</x:f>
        <x:v>1380</x:v>
      </x:c>
      <x:c r="P52" s="14" t="n">
        <x:f>'日経_P168_02'!F33</x:f>
        <x:v>138</x:v>
      </x:c>
    </x:row>
    <x:row r="53" ht="25" customHeight="1">
      <x:c r="A53" s="2" t="str">
        <x:v>NK225_P168_03</x:v>
      </x:c>
      <x:c r="B53" s="28" t="str">
        <x:v>米国前</x:v>
      </x:c>
      <x:c r="C53" s="28" t="str">
        <x:v>比較候補</x:v>
      </x:c>
      <x:c r="D53" s="7" t="n">
        <x:f>'日経_P168_03'!B33</x:f>
        <x:v>427000</x:v>
      </x:c>
      <x:c r="E53" s="7" t="n">
        <x:f>'日経_P168_03'!C33</x:f>
        <x:v>35000</x:v>
      </x:c>
      <x:c r="F53" s="7" t="n">
        <x:f>'日経_P168_03'!D33</x:f>
        <x:v>392000</x:v>
      </x:c>
      <x:c r="G53" s="12" t="n">
        <x:f>COUNTIFS('日経_P168_03'!D6:D32,"&lt;0")</x:f>
        <x:v>1</x:v>
      </x:c>
      <x:c r="H53" s="7" t="n">
        <x:f>IF(G53=0,0,-SUMIFS('日経_P168_03'!D6:D32,'日経_P168_03'!D6:D32,"&lt;0")/G53)</x:f>
        <x:v>20000</x:v>
      </x:c>
      <x:c r="I53" s="7" t="n">
        <x:f>MAX(0,-MIN('日経_P168_03'!D6:D32))</x:f>
        <x:v>20000</x:v>
      </x:c>
      <x:c r="J53" s="7" t="n">
        <x:f>F53-MAX(0,LARGE('日経_P168_03'!D6:D32,1))-MAX(0,LARGE('日経_P168_03'!D6:D32,2))-MAX(0,LARGE('日経_P168_03'!D6:D32,3))</x:f>
        <x:v>225000</x:v>
      </x:c>
      <x:c r="K53" s="7" t="n">
        <x:v>-120000</x:v>
      </x:c>
      <x:c r="L53" s="7" t="n">
        <x:v>120000</x:v>
      </x:c>
      <x:c r="M53" s="12" t="n">
        <x:v>2</x:v>
      </x:c>
      <x:c r="N53" s="12" t="n">
        <x:v>38</x:v>
      </x:c>
      <x:c r="O53" s="12" t="n">
        <x:f>'日経_P168_03'!E33</x:f>
        <x:v>1380</x:v>
      </x:c>
      <x:c r="P53" s="14" t="n">
        <x:f>'日経_P168_03'!F33</x:f>
        <x:v>138</x:v>
      </x:c>
    </x:row>
    <x:row r="54" ht="25" customHeight="1">
      <x:c r="A54" s="2" t="str">
        <x:v>NK225_P168_04</x:v>
      </x:c>
      <x:c r="B54" s="28" t="str">
        <x:v>米国前</x:v>
      </x:c>
      <x:c r="C54" s="28" t="str">
        <x:v>比較候補</x:v>
      </x:c>
      <x:c r="D54" s="7" t="n">
        <x:f>'日経_P168_04'!B33</x:f>
        <x:v>193000</x:v>
      </x:c>
      <x:c r="E54" s="7" t="n">
        <x:f>'日経_P168_04'!C33</x:f>
        <x:v>10000</x:v>
      </x:c>
      <x:c r="F54" s="7" t="n">
        <x:f>'日経_P168_04'!D33</x:f>
        <x:v>183000</x:v>
      </x:c>
      <x:c r="G54" s="12" t="n">
        <x:f>COUNTIFS('日経_P168_04'!D6:D32,"&lt;0")</x:f>
        <x:v>0</x:v>
      </x:c>
      <x:c r="H54" s="7" t="n">
        <x:f>IF(G54=0,0,-SUMIFS('日経_P168_04'!D6:D32,'日経_P168_04'!D6:D32,"&lt;0")/G54)</x:f>
        <x:v>0</x:v>
      </x:c>
      <x:c r="I54" s="7" t="n">
        <x:f>MAX(0,-MIN('日経_P168_04'!D6:D32))</x:f>
        <x:v>0</x:v>
      </x:c>
      <x:c r="J54" s="7" t="n">
        <x:f>F54-MAX(0,LARGE('日経_P168_04'!D6:D32,1))-MAX(0,LARGE('日経_P168_04'!D6:D32,2))-MAX(0,LARGE('日経_P168_04'!D6:D32,3))</x:f>
        <x:v>70000</x:v>
      </x:c>
      <x:c r="K54" s="7" t="n">
        <x:v>-120000</x:v>
      </x:c>
      <x:c r="L54" s="7" t="n">
        <x:v>120000</x:v>
      </x:c>
      <x:c r="M54" s="12" t="n">
        <x:v>0</x:v>
      </x:c>
      <x:c r="N54" s="12" t="n">
        <x:v>38</x:v>
      </x:c>
      <x:c r="O54" s="12" t="n">
        <x:f>'日経_P168_04'!E33</x:f>
        <x:v>1380</x:v>
      </x:c>
      <x:c r="P54" s="14" t="n">
        <x:f>'日経_P168_04'!F33</x:f>
        <x:v>138</x:v>
      </x:c>
    </x:row>
    <x:row r="55" ht="25" customHeight="1">
      <x:c r="A55" s="2" t="str">
        <x:v>NK225_P168_05</x:v>
      </x:c>
      <x:c r="B55" s="28" t="str">
        <x:v>米国前</x:v>
      </x:c>
      <x:c r="C55" s="28" t="str">
        <x:v>比較候補</x:v>
      </x:c>
      <x:c r="D55" s="7" t="n">
        <x:f>'日経_P168_05'!B33</x:f>
        <x:v>178000</x:v>
      </x:c>
      <x:c r="E55" s="7" t="n">
        <x:f>'日経_P168_05'!C33</x:f>
        <x:v>10000</x:v>
      </x:c>
      <x:c r="F55" s="7" t="n">
        <x:f>'日経_P168_05'!D33</x:f>
        <x:v>168000</x:v>
      </x:c>
      <x:c r="G55" s="12" t="n">
        <x:f>COUNTIFS('日経_P168_05'!D6:D32,"&lt;0")</x:f>
        <x:v>0</x:v>
      </x:c>
      <x:c r="H55" s="7" t="n">
        <x:f>IF(G55=0,0,-SUMIFS('日経_P168_05'!D6:D32,'日経_P168_05'!D6:D32,"&lt;0")/G55)</x:f>
        <x:v>0</x:v>
      </x:c>
      <x:c r="I55" s="7" t="n">
        <x:f>MAX(0,-MIN('日経_P168_05'!D6:D32))</x:f>
        <x:v>0</x:v>
      </x:c>
      <x:c r="J55" s="7" t="n">
        <x:f>F55-MAX(0,LARGE('日経_P168_05'!D6:D32,1))-MAX(0,LARGE('日経_P168_05'!D6:D32,2))-MAX(0,LARGE('日経_P168_05'!D6:D32,3))</x:f>
        <x:v>60000</x:v>
      </x:c>
      <x:c r="K55" s="7" t="n">
        <x:v>-120000</x:v>
      </x:c>
      <x:c r="L55" s="7" t="n">
        <x:v>120000</x:v>
      </x:c>
      <x:c r="M55" s="12" t="n">
        <x:v>0</x:v>
      </x:c>
      <x:c r="N55" s="12" t="n">
        <x:v>38</x:v>
      </x:c>
      <x:c r="O55" s="12" t="n">
        <x:f>'日経_P168_05'!E33</x:f>
        <x:v>1380</x:v>
      </x:c>
      <x:c r="P55" s="14" t="n">
        <x:f>'日経_P168_05'!F33</x:f>
        <x:v>138</x:v>
      </x:c>
    </x:row>
    <x:row r="56" ht="25" customHeight="1">
      <x:c r="A56" s="2" t="str">
        <x:v>NK225_P168_06</x:v>
      </x:c>
      <x:c r="B56" s="28" t="str">
        <x:v>米国前</x:v>
      </x:c>
      <x:c r="C56" s="28" t="str">
        <x:v>比較候補</x:v>
      </x:c>
      <x:c r="D56" s="7" t="n">
        <x:f>'日経_P168_06'!B33</x:f>
        <x:v>148000</x:v>
      </x:c>
      <x:c r="E56" s="7" t="n">
        <x:f>'日経_P168_06'!C33</x:f>
        <x:v>198000</x:v>
      </x:c>
      <x:c r="F56" s="7" t="n">
        <x:f>'日経_P168_06'!D33</x:f>
        <x:v>-50000</x:v>
      </x:c>
      <x:c r="G56" s="12" t="n">
        <x:f>COUNTIFS('日経_P168_06'!D6:D32,"&lt;0")</x:f>
        <x:v>4</x:v>
      </x:c>
      <x:c r="H56" s="7" t="n">
        <x:f>IF(G56=0,0,-SUMIFS('日経_P168_06'!D6:D32,'日経_P168_06'!D6:D32,"&lt;0")/G56)</x:f>
        <x:v>41750</x:v>
      </x:c>
      <x:c r="I56" s="7" t="n">
        <x:f>MAX(0,-MIN('日経_P168_06'!D6:D32))</x:f>
        <x:v>60000</x:v>
      </x:c>
      <x:c r="J56" s="7" t="n">
        <x:f>F56-MAX(0,LARGE('日経_P168_06'!D6:D32,1))-MAX(0,LARGE('日経_P168_06'!D6:D32,2))-MAX(0,LARGE('日経_P168_06'!D6:D32,3))</x:f>
        <x:v>-146000</x:v>
      </x:c>
      <x:c r="K56" s="7" t="n">
        <x:v>-85000</x:v>
      </x:c>
      <x:c r="L56" s="7" t="n">
        <x:v>95000</x:v>
      </x:c>
      <x:c r="M56" s="12" t="n">
        <x:v>1</x:v>
      </x:c>
      <x:c r="N56" s="12" t="n">
        <x:v>36</x:v>
      </x:c>
      <x:c r="O56" s="12" t="n">
        <x:f>'日経_P168_06'!E33</x:f>
        <x:v>1380</x:v>
      </x:c>
      <x:c r="P56" s="14" t="n">
        <x:f>'日経_P168_06'!F33</x:f>
        <x:v>138</x:v>
      </x:c>
    </x:row>
    <x:row r="57" ht="25" customHeight="1">
      <x:c r="A57" s="2" t="str">
        <x:v>NK225_P168_07</x:v>
      </x:c>
      <x:c r="B57" s="28" t="str">
        <x:v>米国前</x:v>
      </x:c>
      <x:c r="C57" s="28" t="str">
        <x:v>比較候補</x:v>
      </x:c>
      <x:c r="D57" s="7" t="n">
        <x:f>'日経_P168_07'!B33</x:f>
        <x:v>137000</x:v>
      </x:c>
      <x:c r="E57" s="7" t="n">
        <x:f>'日経_P168_07'!C33</x:f>
        <x:v>198000</x:v>
      </x:c>
      <x:c r="F57" s="7" t="n">
        <x:f>'日経_P168_07'!D33</x:f>
        <x:v>-61000</x:v>
      </x:c>
      <x:c r="G57" s="12" t="n">
        <x:f>COUNTIFS('日経_P168_07'!D6:D32,"&lt;0")</x:f>
        <x:v>5</x:v>
      </x:c>
      <x:c r="H57" s="7" t="n">
        <x:f>IF(G57=0,0,-SUMIFS('日経_P168_07'!D6:D32,'日経_P168_07'!D6:D32,"&lt;0")/G57)</x:f>
        <x:v>34400</x:v>
      </x:c>
      <x:c r="I57" s="7" t="n">
        <x:f>MAX(0,-MIN('日経_P168_07'!D6:D32))</x:f>
        <x:v>60000</x:v>
      </x:c>
      <x:c r="J57" s="7" t="n">
        <x:f>F57-MAX(0,LARGE('日経_P168_07'!D6:D32,1))-MAX(0,LARGE('日経_P168_07'!D6:D32,2))-MAX(0,LARGE('日経_P168_07'!D6:D32,3))</x:f>
        <x:v>-152000</x:v>
      </x:c>
      <x:c r="K57" s="7" t="n">
        <x:v>-85000</x:v>
      </x:c>
      <x:c r="L57" s="7" t="n">
        <x:v>95000</x:v>
      </x:c>
      <x:c r="M57" s="12" t="n">
        <x:v>1</x:v>
      </x:c>
      <x:c r="N57" s="12" t="n">
        <x:v>36</x:v>
      </x:c>
      <x:c r="O57" s="12" t="n">
        <x:f>'日経_P168_07'!E33</x:f>
        <x:v>1380</x:v>
      </x:c>
      <x:c r="P57" s="14" t="n">
        <x:f>'日経_P168_07'!F33</x:f>
        <x:v>138</x:v>
      </x:c>
    </x:row>
    <x:row r="58" ht="25" customHeight="1">
      <x:c r="A58" s="2" t="str">
        <x:v>NK225_P168_08</x:v>
      </x:c>
      <x:c r="B58" s="28" t="str">
        <x:v>米国前</x:v>
      </x:c>
      <x:c r="C58" s="28" t="str">
        <x:v>比較候補</x:v>
      </x:c>
      <x:c r="D58" s="7" t="n">
        <x:f>'日経_P168_08'!B33</x:f>
        <x:v>142000</x:v>
      </x:c>
      <x:c r="E58" s="7" t="n">
        <x:f>'日経_P168_08'!C33</x:f>
        <x:v>167000</x:v>
      </x:c>
      <x:c r="F58" s="7" t="n">
        <x:f>'日経_P168_08'!D33</x:f>
        <x:v>-25000</x:v>
      </x:c>
      <x:c r="G58" s="12" t="n">
        <x:f>COUNTIFS('日経_P168_08'!D6:D32,"&lt;0")</x:f>
        <x:v>3</x:v>
      </x:c>
      <x:c r="H58" s="7" t="n">
        <x:f>IF(G58=0,0,-SUMIFS('日経_P168_08'!D6:D32,'日経_P168_08'!D6:D32,"&lt;0")/G58)</x:f>
        <x:v>50333.333333333336</x:v>
      </x:c>
      <x:c r="I58" s="7" t="n">
        <x:f>MAX(0,-MIN('日経_P168_08'!D6:D32))</x:f>
        <x:v>120000</x:v>
      </x:c>
      <x:c r="J58" s="7" t="n">
        <x:f>F58-MAX(0,LARGE('日経_P168_08'!D6:D32,1))-MAX(0,LARGE('日経_P168_08'!D6:D32,2))-MAX(0,LARGE('日経_P168_08'!D6:D32,3))</x:f>
        <x:v>-116000</x:v>
      </x:c>
      <x:c r="K58" s="7" t="n">
        <x:v>-120000</x:v>
      </x:c>
      <x:c r="L58" s="7" t="n">
        <x:v>120000</x:v>
      </x:c>
      <x:c r="M58" s="12" t="n">
        <x:v>0</x:v>
      </x:c>
      <x:c r="N58" s="12" t="n">
        <x:v>37</x:v>
      </x:c>
      <x:c r="O58" s="12" t="n">
        <x:f>'日経_P168_08'!E33</x:f>
        <x:v>1380</x:v>
      </x:c>
      <x:c r="P58" s="14" t="n">
        <x:f>'日経_P168_08'!F33</x:f>
        <x:v>138</x:v>
      </x:c>
    </x:row>
    <x:row r="59" ht="25" customHeight="1">
      <x:c r="A59" s="2" t="str">
        <x:v>NK225_P168_09</x:v>
      </x:c>
      <x:c r="B59" s="28" t="str">
        <x:v>米国前</x:v>
      </x:c>
      <x:c r="C59" s="28" t="str">
        <x:v>比較候補</x:v>
      </x:c>
      <x:c r="D59" s="7" t="n">
        <x:f>'日経_P168_09'!B33</x:f>
        <x:v>147000</x:v>
      </x:c>
      <x:c r="E59" s="7" t="n">
        <x:f>'日経_P168_09'!C33</x:f>
        <x:v>57000</x:v>
      </x:c>
      <x:c r="F59" s="7" t="n">
        <x:f>'日経_P168_09'!D33</x:f>
        <x:v>90000</x:v>
      </x:c>
      <x:c r="G59" s="12" t="n">
        <x:f>COUNTIFS('日経_P168_09'!D6:D32,"&lt;0")</x:f>
        <x:v>2</x:v>
      </x:c>
      <x:c r="H59" s="7" t="n">
        <x:f>IF(G59=0,0,-SUMIFS('日経_P168_09'!D6:D32,'日経_P168_09'!D6:D32,"&lt;0")/G59)</x:f>
        <x:v>20500</x:v>
      </x:c>
      <x:c r="I59" s="7" t="n">
        <x:f>MAX(0,-MIN('日経_P168_09'!D6:D32))</x:f>
        <x:v>26000</x:v>
      </x:c>
      <x:c r="J59" s="7" t="n">
        <x:f>F59-MAX(0,LARGE('日経_P168_09'!D6:D32,1))-MAX(0,LARGE('日経_P168_09'!D6:D32,2))-MAX(0,LARGE('日経_P168_09'!D6:D32,3))</x:f>
        <x:v>-1000</x:v>
      </x:c>
      <x:c r="K59" s="7" t="n">
        <x:v>-120000</x:v>
      </x:c>
      <x:c r="L59" s="7" t="n">
        <x:v>120000</x:v>
      </x:c>
      <x:c r="M59" s="12" t="n">
        <x:v>0</x:v>
      </x:c>
      <x:c r="N59" s="12" t="n">
        <x:v>38</x:v>
      </x:c>
      <x:c r="O59" s="12" t="n">
        <x:f>'日経_P168_09'!E33</x:f>
        <x:v>1380</x:v>
      </x:c>
      <x:c r="P59" s="14" t="n">
        <x:f>'日経_P168_09'!F33</x:f>
        <x:v>138</x:v>
      </x:c>
    </x:row>
    <x:row r="60" ht="25" customHeight="1">
      <x:c r="A60" s="2" t="str">
        <x:v>NK225_P168_10</x:v>
      </x:c>
      <x:c r="B60" s="28" t="str">
        <x:v>米国前</x:v>
      </x:c>
      <x:c r="C60" s="28" t="str">
        <x:v>比較候補</x:v>
      </x:c>
      <x:c r="D60" s="7" t="n">
        <x:f>'日経_P168_10'!B33</x:f>
        <x:v>217500</x:v>
      </x:c>
      <x:c r="E60" s="7" t="n">
        <x:f>'日経_P168_10'!C33</x:f>
        <x:v>10000</x:v>
      </x:c>
      <x:c r="F60" s="7" t="n">
        <x:f>'日経_P168_10'!D33</x:f>
        <x:v>207500</x:v>
      </x:c>
      <x:c r="G60" s="12" t="n">
        <x:f>COUNTIFS('日経_P168_10'!D6:D32,"&lt;0")</x:f>
        <x:v>0</x:v>
      </x:c>
      <x:c r="H60" s="7" t="n">
        <x:f>IF(G60=0,0,-SUMIFS('日経_P168_10'!D6:D32,'日経_P168_10'!D6:D32,"&lt;0")/G60)</x:f>
        <x:v>0</x:v>
      </x:c>
      <x:c r="I60" s="7" t="n">
        <x:f>MAX(0,-MIN('日経_P168_10'!D6:D32))</x:f>
        <x:v>0</x:v>
      </x:c>
      <x:c r="J60" s="7" t="n">
        <x:f>F60-MAX(0,LARGE('日経_P168_10'!D6:D32,1))-MAX(0,LARGE('日経_P168_10'!D6:D32,2))-MAX(0,LARGE('日経_P168_10'!D6:D32,3))</x:f>
        <x:v>109000</x:v>
      </x:c>
      <x:c r="K60" s="7" t="n">
        <x:v>-120000</x:v>
      </x:c>
      <x:c r="L60" s="7" t="n">
        <x:v>120000</x:v>
      </x:c>
      <x:c r="M60" s="12" t="n">
        <x:v>0</x:v>
      </x:c>
      <x:c r="N60" s="12" t="n">
        <x:v>38</x:v>
      </x:c>
      <x:c r="O60" s="12" t="n">
        <x:f>'日経_P168_10'!E33</x:f>
        <x:v>1380</x:v>
      </x:c>
      <x:c r="P60" s="14" t="n">
        <x:f>'日経_P168_10'!F33</x:f>
        <x:v>138</x:v>
      </x:c>
    </x:row>
    <x:row r="61" ht="25" customHeight="1">
      <x:c r="A61" s="2" t="str">
        <x:v>NK225_P168_11</x:v>
      </x:c>
      <x:c r="B61" s="28" t="str">
        <x:v>米国前</x:v>
      </x:c>
      <x:c r="C61" s="28" t="str">
        <x:v>比較候補</x:v>
      </x:c>
      <x:c r="D61" s="7" t="n">
        <x:f>'日経_P168_11'!B33</x:f>
        <x:v>227600</x:v>
      </x:c>
      <x:c r="E61" s="7" t="n">
        <x:f>'日経_P168_11'!C33</x:f>
        <x:v>10000</x:v>
      </x:c>
      <x:c r="F61" s="7" t="n">
        <x:f>'日経_P168_11'!D33</x:f>
        <x:v>217600</x:v>
      </x:c>
      <x:c r="G61" s="12" t="n">
        <x:f>COUNTIFS('日経_P168_11'!D6:D32,"&lt;0")</x:f>
        <x:v>0</x:v>
      </x:c>
      <x:c r="H61" s="7" t="n">
        <x:f>IF(G61=0,0,-SUMIFS('日経_P168_11'!D6:D32,'日経_P168_11'!D6:D32,"&lt;0")/G61)</x:f>
        <x:v>0</x:v>
      </x:c>
      <x:c r="I61" s="7" t="n">
        <x:f>MAX(0,-MIN('日経_P168_11'!D6:D32))</x:f>
        <x:v>0</x:v>
      </x:c>
      <x:c r="J61" s="7" t="n">
        <x:f>F61-MAX(0,LARGE('日経_P168_11'!D6:D32,1))-MAX(0,LARGE('日経_P168_11'!D6:D32,2))-MAX(0,LARGE('日経_P168_11'!D6:D32,3))</x:f>
        <x:v>130400</x:v>
      </x:c>
      <x:c r="K61" s="7" t="n">
        <x:v>-120000</x:v>
      </x:c>
      <x:c r="L61" s="7" t="n">
        <x:v>120000</x:v>
      </x:c>
      <x:c r="M61" s="12" t="n">
        <x:v>0</x:v>
      </x:c>
      <x:c r="N61" s="12" t="n">
        <x:v>38</x:v>
      </x:c>
      <x:c r="O61" s="12" t="n">
        <x:f>'日経_P168_11'!E33</x:f>
        <x:v>1380</x:v>
      </x:c>
      <x:c r="P61" s="14" t="n">
        <x:f>'日経_P168_11'!F33</x:f>
        <x:v>138</x:v>
      </x:c>
    </x:row>
    <x:row r="62" ht="25" customHeight="1">
      <x:c r="A62" s="2" t="str">
        <x:v>NK225_P168_12</x:v>
      </x:c>
      <x:c r="B62" s="28" t="str">
        <x:v>米国前</x:v>
      </x:c>
      <x:c r="C62" s="28" t="str">
        <x:v>比較候補</x:v>
      </x:c>
      <x:c r="D62" s="7" t="n">
        <x:f>'日経_P168_12'!B33</x:f>
        <x:v>199200</x:v>
      </x:c>
      <x:c r="E62" s="7" t="n">
        <x:f>'日経_P168_12'!C33</x:f>
        <x:v>198000</x:v>
      </x:c>
      <x:c r="F62" s="7" t="n">
        <x:f>'日経_P168_12'!D33</x:f>
        <x:v>1200</x:v>
      </x:c>
      <x:c r="G62" s="12" t="n">
        <x:f>COUNTIFS('日経_P168_12'!D6:D32,"&lt;0")</x:f>
        <x:v>4</x:v>
      </x:c>
      <x:c r="H62" s="7" t="n">
        <x:f>IF(G62=0,0,-SUMIFS('日経_P168_12'!D6:D32,'日経_P168_12'!D6:D32,"&lt;0")/G62)</x:f>
        <x:v>39850</x:v>
      </x:c>
      <x:c r="I62" s="7" t="n">
        <x:f>MAX(0,-MIN('日経_P168_12'!D6:D32))</x:f>
        <x:v>60000</x:v>
      </x:c>
      <x:c r="J62" s="7" t="n">
        <x:f>F62-MAX(0,LARGE('日経_P168_12'!D6:D32,1))-MAX(0,LARGE('日経_P168_12'!D6:D32,2))-MAX(0,LARGE('日経_P168_12'!D6:D32,3))</x:f>
        <x:v>-80400</x:v>
      </x:c>
      <x:c r="K62" s="7" t="n">
        <x:v>-85000</x:v>
      </x:c>
      <x:c r="L62" s="7" t="n">
        <x:v>95000</x:v>
      </x:c>
      <x:c r="M62" s="12" t="n">
        <x:v>1</x:v>
      </x:c>
      <x:c r="N62" s="12" t="n">
        <x:v>36</x:v>
      </x:c>
      <x:c r="O62" s="12" t="n">
        <x:f>'日経_P168_12'!E33</x:f>
        <x:v>1380</x:v>
      </x:c>
      <x:c r="P62" s="14" t="n">
        <x:f>'日経_P168_12'!F33</x:f>
        <x:v>138</x:v>
      </x:c>
    </x:row>
    <x:row r="63" ht="25" customHeight="1">
      <x:c r="A63" s="2" t="str">
        <x:v>NK225_P168_13</x:v>
      </x:c>
      <x:c r="B63" s="28" t="str">
        <x:v>米国前</x:v>
      </x:c>
      <x:c r="C63" s="28" t="str">
        <x:v>比較候補</x:v>
      </x:c>
      <x:c r="D63" s="7" t="n">
        <x:f>'日経_P168_13'!B33</x:f>
        <x:v>280000</x:v>
      </x:c>
      <x:c r="E63" s="7" t="n">
        <x:f>'日経_P168_13'!C33</x:f>
        <x:v>30000</x:v>
      </x:c>
      <x:c r="F63" s="7" t="n">
        <x:f>'日経_P168_13'!D33</x:f>
        <x:v>250000</x:v>
      </x:c>
      <x:c r="G63" s="12" t="n">
        <x:f>COUNTIFS('日経_P168_13'!D6:D32,"&lt;0")</x:f>
        <x:v>1</x:v>
      </x:c>
      <x:c r="H63" s="7" t="n">
        <x:f>IF(G63=0,0,-SUMIFS('日経_P168_13'!D6:D32,'日経_P168_13'!D6:D32,"&lt;0")/G63)</x:f>
        <x:v>20000</x:v>
      </x:c>
      <x:c r="I63" s="7" t="n">
        <x:f>MAX(0,-MIN('日経_P168_13'!D6:D32))</x:f>
        <x:v>20000</x:v>
      </x:c>
      <x:c r="J63" s="7" t="n">
        <x:f>F63-MAX(0,LARGE('日経_P168_13'!D6:D32,1))-MAX(0,LARGE('日経_P168_13'!D6:D32,2))-MAX(0,LARGE('日経_P168_13'!D6:D32,3))</x:f>
        <x:v>117000</x:v>
      </x:c>
      <x:c r="K63" s="7" t="n">
        <x:v>-120000</x:v>
      </x:c>
      <x:c r="L63" s="7" t="n">
        <x:v>120000</x:v>
      </x:c>
      <x:c r="M63" s="12" t="n">
        <x:v>1</x:v>
      </x:c>
      <x:c r="N63" s="12" t="n">
        <x:v>51</x:v>
      </x:c>
      <x:c r="O63" s="12" t="n">
        <x:f>'日経_P168_13'!E33</x:f>
        <x:v>1990</x:v>
      </x:c>
      <x:c r="P63" s="14" t="n">
        <x:f>'日経_P168_13'!F33</x:f>
        <x:v>199</x:v>
      </x:c>
    </x:row>
    <x:row r="64" ht="25" customHeight="1">
      <x:c r="A64" s="2" t="str">
        <x:v>NK225_P168_14</x:v>
      </x:c>
      <x:c r="B64" s="28" t="str">
        <x:v>米国前</x:v>
      </x:c>
      <x:c r="C64" s="28" t="str">
        <x:v>比較候補</x:v>
      </x:c>
      <x:c r="D64" s="7" t="n">
        <x:f>'日経_P168_14'!B33</x:f>
        <x:v>196000</x:v>
      </x:c>
      <x:c r="E64" s="7" t="n">
        <x:f>'日経_P168_14'!C33</x:f>
        <x:v>218000</x:v>
      </x:c>
      <x:c r="F64" s="7" t="n">
        <x:f>'日経_P168_14'!D33</x:f>
        <x:v>-22000</x:v>
      </x:c>
      <x:c r="G64" s="12" t="n">
        <x:f>COUNTIFS('日経_P168_14'!D6:D32,"&lt;0")</x:f>
        <x:v>6</x:v>
      </x:c>
      <x:c r="H64" s="7" t="n">
        <x:f>IF(G64=0,0,-SUMIFS('日経_P168_14'!D6:D32,'日経_P168_14'!D6:D32,"&lt;0")/G64)</x:f>
        <x:v>32000</x:v>
      </x:c>
      <x:c r="I64" s="7" t="n">
        <x:f>MAX(0,-MIN('日経_P168_14'!D6:D32))</x:f>
        <x:v>60000</x:v>
      </x:c>
      <x:c r="J64" s="7" t="n">
        <x:f>F64-MAX(0,LARGE('日経_P168_14'!D6:D32,1))-MAX(0,LARGE('日経_P168_14'!D6:D32,2))-MAX(0,LARGE('日経_P168_14'!D6:D32,3))</x:f>
        <x:v>-128000</x:v>
      </x:c>
      <x:c r="K64" s="7" t="n">
        <x:v>-85000</x:v>
      </x:c>
      <x:c r="L64" s="7" t="n">
        <x:v>95000</x:v>
      </x:c>
      <x:c r="M64" s="12" t="n">
        <x:v>2</x:v>
      </x:c>
      <x:c r="N64" s="12" t="n">
        <x:v>48</x:v>
      </x:c>
      <x:c r="O64" s="12" t="n">
        <x:f>'日経_P168_14'!E33</x:f>
        <x:v>1940</x:v>
      </x:c>
      <x:c r="P64" s="14" t="n">
        <x:f>'日経_P168_14'!F33</x:f>
        <x:v>194</x:v>
      </x:c>
    </x:row>
    <x:row r="65" ht="25" customHeight="1">
      <x:c r="A65" s="2" t="str">
        <x:v>NK225_P168_15</x:v>
      </x:c>
      <x:c r="B65" s="28" t="str">
        <x:v>米国前</x:v>
      </x:c>
      <x:c r="C65" s="28" t="str">
        <x:v>比較候補</x:v>
      </x:c>
      <x:c r="D65" s="7" t="n">
        <x:f>'日経_P168_15'!B33</x:f>
        <x:v>255500</x:v>
      </x:c>
      <x:c r="E65" s="7" t="n">
        <x:f>'日経_P168_15'!C33</x:f>
        <x:v>352800</x:v>
      </x:c>
      <x:c r="F65" s="7" t="n">
        <x:f>'日経_P168_15'!D33</x:f>
        <x:v>-97300</x:v>
      </x:c>
      <x:c r="G65" s="12" t="n">
        <x:f>COUNTIFS('日経_P168_15'!D6:D32,"&lt;0")</x:f>
        <x:v>7</x:v>
      </x:c>
      <x:c r="H65" s="7" t="n">
        <x:f>IF(G65=0,0,-SUMIFS('日経_P168_15'!D6:D32,'日経_P168_15'!D6:D32,"&lt;0")/G65)</x:f>
        <x:v>36157.142857142855</x:v>
      </x:c>
      <x:c r="I65" s="7" t="n">
        <x:f>MAX(0,-MIN('日経_P168_15'!D6:D32))</x:f>
        <x:v>80000</x:v>
      </x:c>
      <x:c r="J65" s="7" t="n">
        <x:f>F65-MAX(0,LARGE('日経_P168_15'!D6:D32,1))-MAX(0,LARGE('日経_P168_15'!D6:D32,2))-MAX(0,LARGE('日経_P168_15'!D6:D32,3))</x:f>
        <x:v>-193300</x:v>
      </x:c>
      <x:c r="K65" s="7" t="n">
        <x:v>-85000</x:v>
      </x:c>
      <x:c r="L65" s="7" t="n">
        <x:v>99900</x:v>
      </x:c>
      <x:c r="M65" s="12" t="n">
        <x:v>5</x:v>
      </x:c>
      <x:c r="N65" s="12" t="n">
        <x:v>65</x:v>
      </x:c>
      <x:c r="O65" s="12" t="n">
        <x:f>'日経_P168_15'!E33</x:f>
        <x:v>2181</x:v>
      </x:c>
      <x:c r="P65" s="14" t="n">
        <x:f>'日経_P168_15'!F33</x:f>
        <x:v>218.1</x:v>
      </x:c>
    </x:row>
    <x:row r="66" ht="25" customHeight="1">
      <x:c r="A66" s="2" t="str">
        <x:v>NK225_P168_16</x:v>
      </x:c>
      <x:c r="B66" s="28" t="str">
        <x:v>米国前</x:v>
      </x:c>
      <x:c r="C66" s="28" t="str">
        <x:v>比較候補</x:v>
      </x:c>
      <x:c r="D66" s="7" t="n">
        <x:f>'日経_P168_16'!B33</x:f>
        <x:v>338600</x:v>
      </x:c>
      <x:c r="E66" s="7" t="n">
        <x:f>'日経_P168_16'!C33</x:f>
        <x:v>483000</x:v>
      </x:c>
      <x:c r="F66" s="7" t="n">
        <x:f>'日経_P168_16'!D33</x:f>
        <x:v>-144400</x:v>
      </x:c>
      <x:c r="G66" s="12" t="n">
        <x:f>COUNTIFS('日経_P168_16'!D6:D32,"&lt;0")</x:f>
        <x:v>10</x:v>
      </x:c>
      <x:c r="H66" s="7" t="n">
        <x:f>IF(G66=0,0,-SUMIFS('日経_P168_16'!D6:D32,'日経_P168_16'!D6:D32,"&lt;0")/G66)</x:f>
        <x:v>28660</x:v>
      </x:c>
      <x:c r="I66" s="7" t="n">
        <x:f>MAX(0,-MIN('日経_P168_16'!D6:D32))</x:f>
        <x:v>80000</x:v>
      </x:c>
      <x:c r="J66" s="7" t="n">
        <x:f>F66-MAX(0,LARGE('日経_P168_16'!D6:D32,1))-MAX(0,LARGE('日経_P168_16'!D6:D32,2))-MAX(0,LARGE('日経_P168_16'!D6:D32,3))</x:f>
        <x:v>-243700</x:v>
      </x:c>
      <x:c r="K66" s="7" t="n">
        <x:v>-85000</x:v>
      </x:c>
      <x:c r="L66" s="7" t="n">
        <x:v>95600</x:v>
      </x:c>
      <x:c r="M66" s="12" t="n">
        <x:v>7</x:v>
      </x:c>
      <x:c r="N66" s="12" t="n">
        <x:v>94</x:v>
      </x:c>
      <x:c r="O66" s="12" t="n">
        <x:f>'日経_P168_16'!E33</x:f>
        <x:v>2840</x:v>
      </x:c>
      <x:c r="P66" s="14" t="n">
        <x:f>'日経_P168_16'!F33</x:f>
        <x:v>284</x:v>
      </x:c>
    </x:row>
    <x:row r="67" ht="25" customHeight="1">
      <x:c r="A67" s="2" t="str">
        <x:v>NK225_P168_17</x:v>
      </x:c>
      <x:c r="B67" s="28" t="str">
        <x:v>米国前</x:v>
      </x:c>
      <x:c r="C67" s="28" t="str">
        <x:v>比較候補</x:v>
      </x:c>
      <x:c r="D67" s="7" t="n">
        <x:f>'日経_P168_17'!B33</x:f>
        <x:v>485700</x:v>
      </x:c>
      <x:c r="E67" s="7" t="n">
        <x:f>'日経_P168_17'!C33</x:f>
        <x:v>501700</x:v>
      </x:c>
      <x:c r="F67" s="7" t="n">
        <x:f>'日経_P168_17'!D33</x:f>
        <x:v>-16000</x:v>
      </x:c>
      <x:c r="G67" s="12" t="n">
        <x:f>COUNTIFS('日経_P168_17'!D6:D32,"&lt;0")</x:f>
        <x:v>8</x:v>
      </x:c>
      <x:c r="H67" s="7" t="n">
        <x:f>IF(G67=0,0,-SUMIFS('日経_P168_17'!D6:D32,'日経_P168_17'!D6:D32,"&lt;0")/G67)</x:f>
        <x:v>26637.5</x:v>
      </x:c>
      <x:c r="I67" s="7" t="n">
        <x:f>MAX(0,-MIN('日経_P168_17'!D6:D32))</x:f>
        <x:v>80000</x:v>
      </x:c>
      <x:c r="J67" s="7" t="n">
        <x:f>F67-MAX(0,LARGE('日経_P168_17'!D6:D32,1))-MAX(0,LARGE('日経_P168_17'!D6:D32,2))-MAX(0,LARGE('日経_P168_17'!D6:D32,3))</x:f>
        <x:v>-122500</x:v>
      </x:c>
      <x:c r="K67" s="7" t="n">
        <x:v>-85000</x:v>
      </x:c>
      <x:c r="L67" s="7" t="n">
        <x:v>100200</x:v>
      </x:c>
      <x:c r="M67" s="12" t="n">
        <x:v>12</x:v>
      </x:c>
      <x:c r="N67" s="12" t="n">
        <x:v>92</x:v>
      </x:c>
      <x:c r="O67" s="12" t="n">
        <x:f>'日経_P168_17'!E33</x:f>
        <x:v>2795</x:v>
      </x:c>
      <x:c r="P67" s="14" t="n">
        <x:f>'日経_P168_17'!F33</x:f>
        <x:v>279.5</x:v>
      </x:c>
    </x:row>
    <x:row r="68" ht="25" customHeight="1">
      <x:c r="A68" s="2" t="str">
        <x:v>NK225_P168_18</x:v>
      </x:c>
      <x:c r="B68" s="28" t="str">
        <x:v>米国前</x:v>
      </x:c>
      <x:c r="C68" s="28" t="str">
        <x:v>比較候補</x:v>
      </x:c>
      <x:c r="D68" s="7" t="n">
        <x:f>'日経_P168_18'!B33</x:f>
        <x:v>205000</x:v>
      </x:c>
      <x:c r="E68" s="7" t="n">
        <x:f>'日経_P168_18'!C33</x:f>
        <x:v>10000</x:v>
      </x:c>
      <x:c r="F68" s="7" t="n">
        <x:f>'日経_P168_18'!D33</x:f>
        <x:v>195000</x:v>
      </x:c>
      <x:c r="G68" s="12" t="n">
        <x:f>COUNTIFS('日経_P168_18'!D6:D32,"&lt;0")</x:f>
        <x:v>0</x:v>
      </x:c>
      <x:c r="H68" s="7" t="n">
        <x:f>IF(G68=0,0,-SUMIFS('日経_P168_18'!D6:D32,'日経_P168_18'!D6:D32,"&lt;0")/G68)</x:f>
        <x:v>0</x:v>
      </x:c>
      <x:c r="I68" s="7" t="n">
        <x:f>MAX(0,-MIN('日経_P168_18'!D6:D32))</x:f>
        <x:v>0</x:v>
      </x:c>
      <x:c r="J68" s="7" t="n">
        <x:f>F68-MAX(0,LARGE('日経_P168_18'!D6:D32,1))-MAX(0,LARGE('日経_P168_18'!D6:D32,2))-MAX(0,LARGE('日経_P168_18'!D6:D32,3))</x:f>
        <x:v>109000</x:v>
      </x:c>
      <x:c r="K68" s="7" t="n">
        <x:v>-120000</x:v>
      </x:c>
      <x:c r="L68" s="7" t="n">
        <x:v>120000</x:v>
      </x:c>
      <x:c r="M68" s="12" t="n">
        <x:v>0</x:v>
      </x:c>
      <x:c r="N68" s="12" t="n">
        <x:v>38</x:v>
      </x:c>
      <x:c r="O68" s="12" t="n">
        <x:f>'日経_P168_18'!E33</x:f>
        <x:v>1380</x:v>
      </x:c>
      <x:c r="P68" s="14" t="n">
        <x:f>'日経_P168_18'!F33</x:f>
        <x:v>138</x:v>
      </x:c>
    </x:row>
    <x:row r="69" ht="25" customHeight="1">
      <x:c r="A69" s="2" t="str">
        <x:v>NK225_P168_19</x:v>
      </x:c>
      <x:c r="B69" s="28" t="str">
        <x:v>米国前</x:v>
      </x:c>
      <x:c r="C69" s="28" t="str">
        <x:v>比較候補</x:v>
      </x:c>
      <x:c r="D69" s="7" t="n">
        <x:f>'日経_P168_19'!B33</x:f>
        <x:v>362000</x:v>
      </x:c>
      <x:c r="E69" s="7" t="n">
        <x:f>'日経_P168_19'!C33</x:f>
        <x:v>511600</x:v>
      </x:c>
      <x:c r="F69" s="7" t="n">
        <x:f>'日経_P168_19'!D33</x:f>
        <x:v>-149600</x:v>
      </x:c>
      <x:c r="G69" s="12" t="n">
        <x:f>COUNTIFS('日経_P168_19'!D6:D32,"&lt;0")</x:f>
        <x:v>10</x:v>
      </x:c>
      <x:c r="H69" s="7" t="n">
        <x:f>IF(G69=0,0,-SUMIFS('日経_P168_19'!D6:D32,'日経_P168_19'!D6:D32,"&lt;0")/G69)</x:f>
        <x:v>31790</x:v>
      </x:c>
      <x:c r="I69" s="7" t="n">
        <x:f>MAX(0,-MIN('日経_P168_19'!D6:D32))</x:f>
        <x:v>80000</x:v>
      </x:c>
      <x:c r="J69" s="7" t="n">
        <x:f>F69-MAX(0,LARGE('日経_P168_19'!D6:D32,1))-MAX(0,LARGE('日経_P168_19'!D6:D32,2))-MAX(0,LARGE('日経_P168_19'!D6:D32,3))</x:f>
        <x:v>-247400</x:v>
      </x:c>
      <x:c r="K69" s="7" t="n">
        <x:v>-85000</x:v>
      </x:c>
      <x:c r="L69" s="7" t="n">
        <x:v>97700</x:v>
      </x:c>
      <x:c r="M69" s="12" t="n">
        <x:v>3</x:v>
      </x:c>
      <x:c r="N69" s="12" t="n">
        <x:v>95</x:v>
      </x:c>
      <x:c r="O69" s="12" t="n">
        <x:f>'日経_P168_19'!E33</x:f>
        <x:v>2908</x:v>
      </x:c>
      <x:c r="P69" s="14" t="n">
        <x:f>'日経_P168_19'!F33</x:f>
        <x:v>290.8</x:v>
      </x:c>
    </x:row>
    <x:row r="70" ht="25" customHeight="1">
      <x:c r="A70" s="2" t="str">
        <x:v>NK225_P168_20</x:v>
      </x:c>
      <x:c r="B70" s="28" t="str">
        <x:v>米国前</x:v>
      </x:c>
      <x:c r="C70" s="28" t="str">
        <x:v>比較候補</x:v>
      </x:c>
      <x:c r="D70" s="7" t="n">
        <x:f>'日経_P168_20'!B33</x:f>
        <x:v>188000</x:v>
      </x:c>
      <x:c r="E70" s="7" t="n">
        <x:f>'日経_P168_20'!C33</x:f>
        <x:v>167000</x:v>
      </x:c>
      <x:c r="F70" s="7" t="n">
        <x:f>'日経_P168_20'!D33</x:f>
        <x:v>21000</x:v>
      </x:c>
      <x:c r="G70" s="12" t="n">
        <x:f>COUNTIFS('日経_P168_20'!D6:D32,"&lt;0")</x:f>
        <x:v>3</x:v>
      </x:c>
      <x:c r="H70" s="7" t="n">
        <x:f>IF(G70=0,0,-SUMIFS('日経_P168_20'!D6:D32,'日経_P168_20'!D6:D32,"&lt;0")/G70)</x:f>
        <x:v>45666.666666666664</x:v>
      </x:c>
      <x:c r="I70" s="7" t="n">
        <x:f>MAX(0,-MIN('日経_P168_20'!D6:D32))</x:f>
        <x:v>120000</x:v>
      </x:c>
      <x:c r="J70" s="7" t="n">
        <x:f>F70-MAX(0,LARGE('日経_P168_20'!D6:D32,1))-MAX(0,LARGE('日経_P168_20'!D6:D32,2))-MAX(0,LARGE('日経_P168_20'!D6:D32,3))</x:f>
        <x:v>-92000</x:v>
      </x:c>
      <x:c r="K70" s="7" t="n">
        <x:v>-120000</x:v>
      </x:c>
      <x:c r="L70" s="7" t="n">
        <x:v>120000</x:v>
      </x:c>
      <x:c r="M70" s="12" t="n">
        <x:v>0</x:v>
      </x:c>
      <x:c r="N70" s="12" t="n">
        <x:v>37</x:v>
      </x:c>
      <x:c r="O70" s="12" t="n">
        <x:f>'日経_P168_20'!E33</x:f>
        <x:v>1380</x:v>
      </x:c>
      <x:c r="P70" s="14" t="n">
        <x:f>'日経_P168_20'!F33</x:f>
        <x:v>138</x:v>
      </x:c>
    </x:row>
    <x:row r="71" ht="25" customHeight="1">
      <x:c r="A71" s="2" t="str">
        <x:v>NK225_P168_21</x:v>
      </x:c>
      <x:c r="B71" s="28" t="str">
        <x:v>米国前</x:v>
      </x:c>
      <x:c r="C71" s="28" t="str">
        <x:v>比較候補</x:v>
      </x:c>
      <x:c r="D71" s="7" t="n">
        <x:f>'日経_P168_21'!B33</x:f>
        <x:v>412000</x:v>
      </x:c>
      <x:c r="E71" s="7" t="n">
        <x:f>'日経_P168_21'!C33</x:f>
        <x:v>211000</x:v>
      </x:c>
      <x:c r="F71" s="7" t="n">
        <x:f>'日経_P168_21'!D33</x:f>
        <x:v>201000</x:v>
      </x:c>
      <x:c r="G71" s="12" t="n">
        <x:f>COUNTIFS('日経_P168_21'!D6:D32,"&lt;0")</x:f>
        <x:v>4</x:v>
      </x:c>
      <x:c r="H71" s="7" t="n">
        <x:f>IF(G71=0,0,-SUMIFS('日経_P168_21'!D6:D32,'日経_P168_21'!D6:D32,"&lt;0")/G71)</x:f>
        <x:v>36750</x:v>
      </x:c>
      <x:c r="I71" s="7" t="n">
        <x:f>MAX(0,-MIN('日経_P168_21'!D6:D32))</x:f>
        <x:v>120000</x:v>
      </x:c>
      <x:c r="J71" s="7" t="n">
        <x:f>F71-MAX(0,LARGE('日経_P168_21'!D6:D32,1))-MAX(0,LARGE('日経_P168_21'!D6:D32,2))-MAX(0,LARGE('日経_P168_21'!D6:D32,3))</x:f>
        <x:v>44000</x:v>
      </x:c>
      <x:c r="K71" s="7" t="n">
        <x:v>-120000</x:v>
      </x:c>
      <x:c r="L71" s="7" t="n">
        <x:v>120000</x:v>
      </x:c>
      <x:c r="M71" s="12" t="n">
        <x:v>2</x:v>
      </x:c>
      <x:c r="N71" s="12" t="n">
        <x:v>37</x:v>
      </x:c>
      <x:c r="O71" s="12" t="n">
        <x:f>'日経_P168_21'!E33</x:f>
        <x:v>1380</x:v>
      </x:c>
      <x:c r="P71" s="14" t="n">
        <x:f>'日経_P168_21'!F33</x:f>
        <x:v>138</x:v>
      </x:c>
    </x:row>
    <x:row r="72" ht="25" customHeight="1">
      <x:c r="A72" s="2" t="str">
        <x:v>NK225_P168_22</x:v>
      </x:c>
      <x:c r="B72" s="28" t="str">
        <x:v>米国前</x:v>
      </x:c>
      <x:c r="C72" s="28" t="str">
        <x:v>比較候補</x:v>
      </x:c>
      <x:c r="D72" s="7" t="n">
        <x:f>'日経_P168_22'!B33</x:f>
        <x:v>391700</x:v>
      </x:c>
      <x:c r="E72" s="7" t="n">
        <x:f>'日経_P168_22'!C33</x:f>
        <x:v>204000</x:v>
      </x:c>
      <x:c r="F72" s="7" t="n">
        <x:f>'日経_P168_22'!D33</x:f>
        <x:v>187700</x:v>
      </x:c>
      <x:c r="G72" s="12" t="n">
        <x:f>COUNTIFS('日経_P168_22'!D6:D32,"&lt;0")</x:f>
        <x:v>5</x:v>
      </x:c>
      <x:c r="H72" s="7" t="n">
        <x:f>IF(G72=0,0,-SUMIFS('日経_P168_22'!D6:D32,'日経_P168_22'!D6:D32,"&lt;0")/G72)</x:f>
        <x:v>17960</x:v>
      </x:c>
      <x:c r="I72" s="7" t="n">
        <x:f>MAX(0,-MIN('日経_P168_22'!D6:D32))</x:f>
        <x:v>39600</x:v>
      </x:c>
      <x:c r="J72" s="7" t="n">
        <x:f>F72-MAX(0,LARGE('日経_P168_22'!D6:D32,1))-MAX(0,LARGE('日経_P168_22'!D6:D32,2))-MAX(0,LARGE('日経_P168_22'!D6:D32,3))</x:f>
        <x:v>38300</x:v>
      </x:c>
      <x:c r="K72" s="7" t="n">
        <x:v>-120000</x:v>
      </x:c>
      <x:c r="L72" s="7" t="n">
        <x:v>120000</x:v>
      </x:c>
      <x:c r="M72" s="12" t="n">
        <x:v>3</x:v>
      </x:c>
      <x:c r="N72" s="12" t="n">
        <x:v>77</x:v>
      </x:c>
      <x:c r="O72" s="12" t="n">
        <x:f>'日経_P168_22'!E33</x:f>
        <x:v>2472</x:v>
      </x:c>
      <x:c r="P72" s="14" t="n">
        <x:f>'日経_P168_22'!F33</x:f>
        <x:v>247.2</x:v>
      </x:c>
    </x:row>
    <x:row r="73" ht="25" customHeight="1">
      <x:c r="A73" s="2" t="str">
        <x:v>NK225_P168_23</x:v>
      </x:c>
      <x:c r="B73" s="28" t="str">
        <x:v>米国前</x:v>
      </x:c>
      <x:c r="C73" s="28" t="str">
        <x:v>比較候補</x:v>
      </x:c>
      <x:c r="D73" s="7" t="n">
        <x:f>'日経_P168_23'!B33</x:f>
        <x:v>402000</x:v>
      </x:c>
      <x:c r="E73" s="7" t="n">
        <x:f>'日経_P168_23'!C33</x:f>
        <x:v>437200</x:v>
      </x:c>
      <x:c r="F73" s="7" t="n">
        <x:f>'日経_P168_23'!D33</x:f>
        <x:v>-35200</x:v>
      </x:c>
      <x:c r="G73" s="12" t="n">
        <x:f>COUNTIFS('日経_P168_23'!D6:D32,"&lt;0")</x:f>
        <x:v>8</x:v>
      </x:c>
      <x:c r="H73" s="7" t="n">
        <x:f>IF(G73=0,0,-SUMIFS('日経_P168_23'!D6:D32,'日経_P168_23'!D6:D32,"&lt;0")/G73)</x:f>
        <x:v>34412.5</x:v>
      </x:c>
      <x:c r="I73" s="7" t="n">
        <x:f>MAX(0,-MIN('日経_P168_23'!D6:D32))</x:f>
        <x:v>80000</x:v>
      </x:c>
      <x:c r="J73" s="7" t="n">
        <x:f>F73-MAX(0,LARGE('日経_P168_23'!D6:D32,1))-MAX(0,LARGE('日経_P168_23'!D6:D32,2))-MAX(0,LARGE('日経_P168_23'!D6:D32,3))</x:f>
        <x:v>-179300</x:v>
      </x:c>
      <x:c r="K73" s="7" t="n">
        <x:v>-85000</x:v>
      </x:c>
      <x:c r="L73" s="7" t="n">
        <x:v>95000</x:v>
      </x:c>
      <x:c r="M73" s="12" t="n">
        <x:v>5</x:v>
      </x:c>
      <x:c r="N73" s="12" t="n">
        <x:v>98</x:v>
      </x:c>
      <x:c r="O73" s="12" t="n">
        <x:f>'日経_P168_23'!E33</x:f>
        <x:v>2889</x:v>
      </x:c>
      <x:c r="P73" s="14" t="n">
        <x:f>'日経_P168_23'!F33</x:f>
        <x:v>288.9</x:v>
      </x:c>
    </x:row>
    <x:row r="74" ht="25" customHeight="1">
      <x:c r="A74" s="2" t="str">
        <x:v>NK225_P168_24</x:v>
      </x:c>
      <x:c r="B74" s="28" t="str">
        <x:v>米国前</x:v>
      </x:c>
      <x:c r="C74" s="28" t="str">
        <x:v>比較候補</x:v>
      </x:c>
      <x:c r="D74" s="7" t="n">
        <x:f>'日経_P168_24'!B33</x:f>
        <x:v>226500</x:v>
      </x:c>
      <x:c r="E74" s="7" t="n">
        <x:f>'日経_P168_24'!C33</x:f>
        <x:v>234900</x:v>
      </x:c>
      <x:c r="F74" s="7" t="n">
        <x:f>'日経_P168_24'!D33</x:f>
        <x:v>-8400</x:v>
      </x:c>
      <x:c r="G74" s="12" t="n">
        <x:f>COUNTIFS('日経_P168_24'!D6:D32,"&lt;0")</x:f>
        <x:v>4</x:v>
      </x:c>
      <x:c r="H74" s="7" t="n">
        <x:f>IF(G74=0,0,-SUMIFS('日経_P168_24'!D6:D32,'日経_P168_24'!D6:D32,"&lt;0")/G74)</x:f>
        <x:v>40800</x:v>
      </x:c>
      <x:c r="I74" s="7" t="n">
        <x:f>MAX(0,-MIN('日経_P168_24'!D6:D32))</x:f>
        <x:v>60000</x:v>
      </x:c>
      <x:c r="J74" s="7" t="n">
        <x:f>F74-MAX(0,LARGE('日経_P168_24'!D6:D32,1))-MAX(0,LARGE('日経_P168_24'!D6:D32,2))-MAX(0,LARGE('日経_P168_24'!D6:D32,3))</x:f>
        <x:v>-87600</x:v>
      </x:c>
      <x:c r="K74" s="7" t="n">
        <x:v>-84000</x:v>
      </x:c>
      <x:c r="L74" s="7" t="n">
        <x:v>95000</x:v>
      </x:c>
      <x:c r="M74" s="12" t="n">
        <x:v>11</x:v>
      </x:c>
      <x:c r="N74" s="12" t="n">
        <x:v>94</x:v>
      </x:c>
      <x:c r="O74" s="12" t="n">
        <x:f>'日経_P168_24'!E33</x:f>
        <x:v>1561</x:v>
      </x:c>
      <x:c r="P74" s="14" t="n">
        <x:f>'日経_P168_24'!F33</x:f>
        <x:v>156.1</x:v>
      </x:c>
    </x:row>
    <x:row r="75" ht="25" customHeight="1">
      <x:c r="A75" s="2" t="str">
        <x:v>NK225_P168_25</x:v>
      </x:c>
      <x:c r="B75" s="28" t="str">
        <x:v>米国前</x:v>
      </x:c>
      <x:c r="C75" s="28" t="str">
        <x:v>比較候補</x:v>
      </x:c>
      <x:c r="D75" s="7" t="n">
        <x:f>'日経_P168_25'!B33</x:f>
        <x:v>364200</x:v>
      </x:c>
      <x:c r="E75" s="7" t="n">
        <x:f>'日経_P168_25'!C33</x:f>
        <x:v>623100</x:v>
      </x:c>
      <x:c r="F75" s="7" t="n">
        <x:f>'日経_P168_25'!D33</x:f>
        <x:v>-258900</x:v>
      </x:c>
      <x:c r="G75" s="12" t="n">
        <x:f>COUNTIFS('日経_P168_25'!D6:D32,"&lt;0")</x:f>
        <x:v>9</x:v>
      </x:c>
      <x:c r="H75" s="7" t="n">
        <x:f>IF(G75=0,0,-SUMIFS('日経_P168_25'!D6:D32,'日経_P168_25'!D6:D32,"&lt;0")/G75)</x:f>
        <x:v>38800</x:v>
      </x:c>
      <x:c r="I75" s="7" t="n">
        <x:f>MAX(0,-MIN('日経_P168_25'!D6:D32))</x:f>
        <x:v>120000</x:v>
      </x:c>
      <x:c r="J75" s="7" t="n">
        <x:f>F75-MAX(0,LARGE('日経_P168_25'!D6:D32,1))-MAX(0,LARGE('日経_P168_25'!D6:D32,2))-MAX(0,LARGE('日経_P168_25'!D6:D32,3))</x:f>
        <x:v>-315800</x:v>
      </x:c>
      <x:c r="K75" s="7" t="n">
        <x:v>-120000</x:v>
      </x:c>
      <x:c r="L75" s="7" t="n">
        <x:v>142500</x:v>
      </x:c>
      <x:c r="M75" s="12" t="n">
        <x:v>5</x:v>
      </x:c>
      <x:c r="N75" s="12" t="n">
        <x:v>100</x:v>
      </x:c>
      <x:c r="O75" s="12" t="n">
        <x:f>'日経_P168_25'!E33</x:f>
        <x:v>2942</x:v>
      </x:c>
      <x:c r="P75" s="14" t="n">
        <x:f>'日経_P168_25'!F33</x:f>
        <x:v>294.2</x:v>
      </x:c>
    </x:row>
    <x:row r="76" ht="25" customHeight="1">
      <x:c r="A76" s="2" t="str">
        <x:v>NK225_P168_26</x:v>
      </x:c>
      <x:c r="B76" s="28" t="str">
        <x:v>米国前</x:v>
      </x:c>
      <x:c r="C76" s="28" t="str">
        <x:v>前20場で固定</x:v>
      </x:c>
      <x:c r="D76" s="7" t="n">
        <x:f>'日経_P168_26'!B33</x:f>
        <x:v>252000</x:v>
      </x:c>
      <x:c r="E76" s="7" t="n">
        <x:f>'日経_P168_26'!C33</x:f>
        <x:v>10000</x:v>
      </x:c>
      <x:c r="F76" s="7" t="n">
        <x:f>'日経_P168_26'!D33</x:f>
        <x:v>242000</x:v>
      </x:c>
      <x:c r="G76" s="12" t="n">
        <x:f>COUNTIFS('日経_P168_26'!D6:D32,"&lt;0")</x:f>
        <x:v>0</x:v>
      </x:c>
      <x:c r="H76" s="7" t="n">
        <x:f>IF(G76=0,0,-SUMIFS('日経_P168_26'!D6:D32,'日経_P168_26'!D6:D32,"&lt;0")/G76)</x:f>
        <x:v>0</x:v>
      </x:c>
      <x:c r="I76" s="7" t="n">
        <x:f>MAX(0,-MIN('日経_P168_26'!D6:D32))</x:f>
        <x:v>0</x:v>
      </x:c>
      <x:c r="J76" s="7" t="n">
        <x:f>F76-MAX(0,LARGE('日経_P168_26'!D6:D32,1))-MAX(0,LARGE('日経_P168_26'!D6:D32,2))-MAX(0,LARGE('日経_P168_26'!D6:D32,3))</x:f>
        <x:v>115000</x:v>
      </x:c>
      <x:c r="K76" s="7" t="n">
        <x:v>-120000</x:v>
      </x:c>
      <x:c r="L76" s="7" t="n">
        <x:v>120000</x:v>
      </x:c>
      <x:c r="M76" s="12" t="n">
        <x:v>0</x:v>
      </x:c>
      <x:c r="N76" s="12" t="n">
        <x:v>38</x:v>
      </x:c>
      <x:c r="O76" s="12" t="n">
        <x:f>'日経_P168_26'!E33</x:f>
        <x:v>1380</x:v>
      </x:c>
      <x:c r="P76" s="14" t="n">
        <x:f>'日経_P168_26'!F33</x:f>
        <x:v>138</x:v>
      </x:c>
    </x:row>
    <x:row r="77" ht="25" customHeight="1">
      <x:c r="A77" s="2" t="str">
        <x:v>NK225_P168_27</x:v>
      </x:c>
      <x:c r="B77" s="28" t="str">
        <x:v>米国前</x:v>
      </x:c>
      <x:c r="C77" s="28" t="str">
        <x:v>比較候補</x:v>
      </x:c>
      <x:c r="D77" s="7" t="n">
        <x:f>'日経_P168_27'!B33</x:f>
        <x:v>560000</x:v>
      </x:c>
      <x:c r="E77" s="7" t="n">
        <x:f>'日経_P168_27'!C33</x:f>
        <x:v>228200</x:v>
      </x:c>
      <x:c r="F77" s="7" t="n">
        <x:f>'日経_P168_27'!D33</x:f>
        <x:v>331800</x:v>
      </x:c>
      <x:c r="G77" s="12" t="n">
        <x:f>COUNTIFS('日経_P168_27'!D6:D32,"&lt;0")</x:f>
        <x:v>3</x:v>
      </x:c>
      <x:c r="H77" s="7" t="n">
        <x:f>IF(G77=0,0,-SUMIFS('日経_P168_27'!D6:D32,'日経_P168_27'!D6:D32,"&lt;0")/G77)</x:f>
        <x:v>42233.333333333336</x:v>
      </x:c>
      <x:c r="I77" s="7" t="n">
        <x:f>MAX(0,-MIN('日経_P168_27'!D6:D32))</x:f>
        <x:v>120000</x:v>
      </x:c>
      <x:c r="J77" s="7" t="n">
        <x:f>F77-MAX(0,LARGE('日経_P168_27'!D6:D32,1))-MAX(0,LARGE('日経_P168_27'!D6:D32,2))-MAX(0,LARGE('日経_P168_27'!D6:D32,3))</x:f>
        <x:v>82200</x:v>
      </x:c>
      <x:c r="K77" s="7" t="n">
        <x:v>-120000</x:v>
      </x:c>
      <x:c r="L77" s="7" t="n">
        <x:v>120000</x:v>
      </x:c>
      <x:c r="M77" s="12" t="n">
        <x:v>3</x:v>
      </x:c>
      <x:c r="N77" s="12" t="n">
        <x:v>65</x:v>
      </x:c>
      <x:c r="O77" s="12" t="n">
        <x:f>'日経_P168_27'!E33</x:f>
        <x:v>2174</x:v>
      </x:c>
      <x:c r="P77" s="14" t="n">
        <x:f>'日経_P168_27'!F33</x:f>
        <x:v>217.4</x:v>
      </x:c>
    </x:row>
    <x:row r="78" ht="25" customHeight="1">
      <x:c r="A78" s="2" t="str">
        <x:v>NK225_P168B_01</x:v>
      </x:c>
      <x:c r="B78" s="28" t="str">
        <x:v>米国前</x:v>
      </x:c>
      <x:c r="C78" s="28" t="str">
        <x:v>比較候補</x:v>
      </x:c>
      <x:c r="D78" s="7" t="n">
        <x:f>'日経_P168B_01'!B33</x:f>
        <x:v>205000</x:v>
      </x:c>
      <x:c r="E78" s="7" t="n">
        <x:f>'日経_P168B_01'!C33</x:f>
        <x:v>10000</x:v>
      </x:c>
      <x:c r="F78" s="7" t="n">
        <x:f>'日経_P168B_01'!D33</x:f>
        <x:v>195000</x:v>
      </x:c>
      <x:c r="G78" s="12" t="n">
        <x:f>COUNTIFS('日経_P168B_01'!D6:D32,"&lt;0")</x:f>
        <x:v>0</x:v>
      </x:c>
      <x:c r="H78" s="7" t="n">
        <x:f>IF(G78=0,0,-SUMIFS('日経_P168B_01'!D6:D32,'日経_P168B_01'!D6:D32,"&lt;0")/G78)</x:f>
        <x:v>0</x:v>
      </x:c>
      <x:c r="I78" s="7" t="n">
        <x:f>MAX(0,-MIN('日経_P168B_01'!D6:D32))</x:f>
        <x:v>0</x:v>
      </x:c>
      <x:c r="J78" s="7" t="n">
        <x:f>F78-MAX(0,LARGE('日経_P168B_01'!D6:D32,1))-MAX(0,LARGE('日経_P168B_01'!D6:D32,2))-MAX(0,LARGE('日経_P168B_01'!D6:D32,3))</x:f>
        <x:v>109000</x:v>
      </x:c>
      <x:c r="K78" s="7" t="n">
        <x:v>-120000</x:v>
      </x:c>
      <x:c r="L78" s="7" t="n">
        <x:v>120000</x:v>
      </x:c>
      <x:c r="M78" s="12" t="n">
        <x:v>0</x:v>
      </x:c>
      <x:c r="N78" s="12" t="n">
        <x:v>38</x:v>
      </x:c>
      <x:c r="O78" s="12" t="n">
        <x:f>'日経_P168B_01'!E33</x:f>
        <x:v>1380</x:v>
      </x:c>
      <x:c r="P78" s="14" t="n">
        <x:f>'日経_P168B_01'!F33</x:f>
        <x:v>138</x:v>
      </x:c>
    </x:row>
    <x:row r="79" ht="25" customHeight="1">
      <x:c r="A79" s="2" t="str">
        <x:v>NK225_P168B_02</x:v>
      </x:c>
      <x:c r="B79" s="28" t="str">
        <x:v>米国前</x:v>
      </x:c>
      <x:c r="C79" s="28" t="str">
        <x:v>比較候補</x:v>
      </x:c>
      <x:c r="D79" s="7" t="n">
        <x:f>'日経_P168B_02'!B33</x:f>
        <x:v>205000</x:v>
      </x:c>
      <x:c r="E79" s="7" t="n">
        <x:f>'日経_P168B_02'!C33</x:f>
        <x:v>10000</x:v>
      </x:c>
      <x:c r="F79" s="7" t="n">
        <x:f>'日経_P168B_02'!D33</x:f>
        <x:v>195000</x:v>
      </x:c>
      <x:c r="G79" s="12" t="n">
        <x:f>COUNTIFS('日経_P168B_02'!D6:D32,"&lt;0")</x:f>
        <x:v>0</x:v>
      </x:c>
      <x:c r="H79" s="7" t="n">
        <x:f>IF(G79=0,0,-SUMIFS('日経_P168B_02'!D6:D32,'日経_P168B_02'!D6:D32,"&lt;0")/G79)</x:f>
        <x:v>0</x:v>
      </x:c>
      <x:c r="I79" s="7" t="n">
        <x:f>MAX(0,-MIN('日経_P168B_02'!D6:D32))</x:f>
        <x:v>0</x:v>
      </x:c>
      <x:c r="J79" s="7" t="n">
        <x:f>F79-MAX(0,LARGE('日経_P168B_02'!D6:D32,1))-MAX(0,LARGE('日経_P168B_02'!D6:D32,2))-MAX(0,LARGE('日経_P168B_02'!D6:D32,3))</x:f>
        <x:v>109000</x:v>
      </x:c>
      <x:c r="K79" s="7" t="n">
        <x:v>-120000</x:v>
      </x:c>
      <x:c r="L79" s="7" t="n">
        <x:v>120000</x:v>
      </x:c>
      <x:c r="M79" s="12" t="n">
        <x:v>0</x:v>
      </x:c>
      <x:c r="N79" s="12" t="n">
        <x:v>38</x:v>
      </x:c>
      <x:c r="O79" s="12" t="n">
        <x:f>'日経_P168B_02'!E33</x:f>
        <x:v>1380</x:v>
      </x:c>
      <x:c r="P79" s="14" t="n">
        <x:f>'日経_P168B_02'!F33</x:f>
        <x:v>138</x:v>
      </x:c>
    </x:row>
    <x:row r="80" ht="25" customHeight="1">
      <x:c r="A80" s="2" t="str">
        <x:v>NK225_P168B_03</x:v>
      </x:c>
      <x:c r="B80" s="28" t="str">
        <x:v>米国前</x:v>
      </x:c>
      <x:c r="C80" s="28" t="str">
        <x:v>比較候補</x:v>
      </x:c>
      <x:c r="D80" s="7" t="n">
        <x:f>'日経_P168B_03'!B33</x:f>
        <x:v>196000</x:v>
      </x:c>
      <x:c r="E80" s="7" t="n">
        <x:f>'日経_P168B_03'!C33</x:f>
        <x:v>10000</x:v>
      </x:c>
      <x:c r="F80" s="7" t="n">
        <x:f>'日経_P168B_03'!D33</x:f>
        <x:v>186000</x:v>
      </x:c>
      <x:c r="G80" s="12" t="n">
        <x:f>COUNTIFS('日経_P168B_03'!D6:D32,"&lt;0")</x:f>
        <x:v>0</x:v>
      </x:c>
      <x:c r="H80" s="7" t="n">
        <x:f>IF(G80=0,0,-SUMIFS('日経_P168B_03'!D6:D32,'日経_P168B_03'!D6:D32,"&lt;0")/G80)</x:f>
        <x:v>0</x:v>
      </x:c>
      <x:c r="I80" s="7" t="n">
        <x:f>MAX(0,-MIN('日経_P168B_03'!D6:D32))</x:f>
        <x:v>0</x:v>
      </x:c>
      <x:c r="J80" s="7" t="n">
        <x:f>F80-MAX(0,LARGE('日経_P168B_03'!D6:D32,1))-MAX(0,LARGE('日経_P168B_03'!D6:D32,2))-MAX(0,LARGE('日経_P168B_03'!D6:D32,3))</x:f>
        <x:v>110000</x:v>
      </x:c>
      <x:c r="K80" s="7" t="n">
        <x:v>-120000</x:v>
      </x:c>
      <x:c r="L80" s="7" t="n">
        <x:v>120000</x:v>
      </x:c>
      <x:c r="M80" s="12" t="n">
        <x:v>0</x:v>
      </x:c>
      <x:c r="N80" s="12" t="n">
        <x:v>38</x:v>
      </x:c>
      <x:c r="O80" s="12" t="n">
        <x:f>'日経_P168B_03'!E33</x:f>
        <x:v>1380</x:v>
      </x:c>
      <x:c r="P80" s="14" t="n">
        <x:f>'日経_P168B_03'!F33</x:f>
        <x:v>138</x:v>
      </x:c>
    </x:row>
    <x:row r="81" ht="25" customHeight="1">
      <x:c r="A81" s="2" t="str">
        <x:v>NK225_P168B_04</x:v>
      </x:c>
      <x:c r="B81" s="28" t="str">
        <x:v>米国前</x:v>
      </x:c>
      <x:c r="C81" s="28" t="str">
        <x:v>比較候補</x:v>
      </x:c>
      <x:c r="D81" s="7" t="n">
        <x:f>'日経_P168B_04'!B33</x:f>
        <x:v>205000</x:v>
      </x:c>
      <x:c r="E81" s="7" t="n">
        <x:f>'日経_P168B_04'!C33</x:f>
        <x:v>10000</x:v>
      </x:c>
      <x:c r="F81" s="7" t="n">
        <x:f>'日経_P168B_04'!D33</x:f>
        <x:v>195000</x:v>
      </x:c>
      <x:c r="G81" s="12" t="n">
        <x:f>COUNTIFS('日経_P168B_04'!D6:D32,"&lt;0")</x:f>
        <x:v>0</x:v>
      </x:c>
      <x:c r="H81" s="7" t="n">
        <x:f>IF(G81=0,0,-SUMIFS('日経_P168B_04'!D6:D32,'日経_P168B_04'!D6:D32,"&lt;0")/G81)</x:f>
        <x:v>0</x:v>
      </x:c>
      <x:c r="I81" s="7" t="n">
        <x:f>MAX(0,-MIN('日経_P168B_04'!D6:D32))</x:f>
        <x:v>0</x:v>
      </x:c>
      <x:c r="J81" s="7" t="n">
        <x:f>F81-MAX(0,LARGE('日経_P168B_04'!D6:D32,1))-MAX(0,LARGE('日経_P168B_04'!D6:D32,2))-MAX(0,LARGE('日経_P168B_04'!D6:D32,3))</x:f>
        <x:v>109000</x:v>
      </x:c>
      <x:c r="K81" s="7" t="n">
        <x:v>-120000</x:v>
      </x:c>
      <x:c r="L81" s="7" t="n">
        <x:v>120000</x:v>
      </x:c>
      <x:c r="M81" s="12" t="n">
        <x:v>0</x:v>
      </x:c>
      <x:c r="N81" s="12" t="n">
        <x:v>38</x:v>
      </x:c>
      <x:c r="O81" s="12" t="n">
        <x:f>'日経_P168B_04'!E33</x:f>
        <x:v>1380</x:v>
      </x:c>
      <x:c r="P81" s="14" t="n">
        <x:f>'日経_P168B_04'!F33</x:f>
        <x:v>138</x:v>
      </x:c>
    </x:row>
    <x:row r="82" ht="25" customHeight="1">
      <x:c r="A82" s="2" t="str">
        <x:v>NK225_P168B_05</x:v>
      </x:c>
      <x:c r="B82" s="28" t="str">
        <x:v>米国前</x:v>
      </x:c>
      <x:c r="C82" s="28" t="str">
        <x:v>比較候補</x:v>
      </x:c>
      <x:c r="D82" s="7" t="n">
        <x:f>'日経_P168B_05'!B33</x:f>
        <x:v>222500</x:v>
      </x:c>
      <x:c r="E82" s="7" t="n">
        <x:f>'日経_P168B_05'!C33</x:f>
        <x:v>10000</x:v>
      </x:c>
      <x:c r="F82" s="7" t="n">
        <x:f>'日経_P168B_05'!D33</x:f>
        <x:v>212500</x:v>
      </x:c>
      <x:c r="G82" s="12" t="n">
        <x:f>COUNTIFS('日経_P168B_05'!D6:D32,"&lt;0")</x:f>
        <x:v>0</x:v>
      </x:c>
      <x:c r="H82" s="7" t="n">
        <x:f>IF(G82=0,0,-SUMIFS('日経_P168B_05'!D6:D32,'日経_P168B_05'!D6:D32,"&lt;0")/G82)</x:f>
        <x:v>0</x:v>
      </x:c>
      <x:c r="I82" s="7" t="n">
        <x:f>MAX(0,-MIN('日経_P168B_05'!D6:D32))</x:f>
        <x:v>0</x:v>
      </x:c>
      <x:c r="J82" s="7" t="n">
        <x:f>F82-MAX(0,LARGE('日経_P168B_05'!D6:D32,1))-MAX(0,LARGE('日経_P168B_05'!D6:D32,2))-MAX(0,LARGE('日経_P168B_05'!D6:D32,3))</x:f>
        <x:v>128500</x:v>
      </x:c>
      <x:c r="K82" s="7" t="n">
        <x:v>-120000</x:v>
      </x:c>
      <x:c r="L82" s="7" t="n">
        <x:v>120000</x:v>
      </x:c>
      <x:c r="M82" s="12" t="n">
        <x:v>0</x:v>
      </x:c>
      <x:c r="N82" s="12" t="n">
        <x:v>38</x:v>
      </x:c>
      <x:c r="O82" s="12" t="n">
        <x:f>'日経_P168B_05'!E33</x:f>
        <x:v>1380</x:v>
      </x:c>
      <x:c r="P82" s="14" t="n">
        <x:f>'日経_P168B_05'!F33</x:f>
        <x:v>138</x:v>
      </x:c>
    </x:row>
    <x:row r="83" ht="25" customHeight="1">
      <x:c r="A83" s="2" t="str">
        <x:v>NK225_P168B_06</x:v>
      </x:c>
      <x:c r="B83" s="28" t="str">
        <x:v>米国前</x:v>
      </x:c>
      <x:c r="C83" s="28" t="str">
        <x:v>比較候補</x:v>
      </x:c>
      <x:c r="D83" s="7" t="n">
        <x:f>'日経_P168B_06'!B33</x:f>
        <x:v>233000</x:v>
      </x:c>
      <x:c r="E83" s="7" t="n">
        <x:f>'日経_P168B_06'!C33</x:f>
        <x:v>10000</x:v>
      </x:c>
      <x:c r="F83" s="7" t="n">
        <x:f>'日経_P168B_06'!D33</x:f>
        <x:v>223000</x:v>
      </x:c>
      <x:c r="G83" s="12" t="n">
        <x:f>COUNTIFS('日経_P168B_06'!D6:D32,"&lt;0")</x:f>
        <x:v>0</x:v>
      </x:c>
      <x:c r="H83" s="7" t="n">
        <x:f>IF(G83=0,0,-SUMIFS('日経_P168B_06'!D6:D32,'日経_P168B_06'!D6:D32,"&lt;0")/G83)</x:f>
        <x:v>0</x:v>
      </x:c>
      <x:c r="I83" s="7" t="n">
        <x:f>MAX(0,-MIN('日経_P168B_06'!D6:D32))</x:f>
        <x:v>0</x:v>
      </x:c>
      <x:c r="J83" s="7" t="n">
        <x:f>F83-MAX(0,LARGE('日経_P168B_06'!D6:D32,1))-MAX(0,LARGE('日経_P168B_06'!D6:D32,2))-MAX(0,LARGE('日経_P168B_06'!D6:D32,3))</x:f>
        <x:v>140200</x:v>
      </x:c>
      <x:c r="K83" s="7" t="n">
        <x:v>-120000</x:v>
      </x:c>
      <x:c r="L83" s="7" t="n">
        <x:v>120000</x:v>
      </x:c>
      <x:c r="M83" s="12" t="n">
        <x:v>0</x:v>
      </x:c>
      <x:c r="N83" s="12" t="n">
        <x:v>38</x:v>
      </x:c>
      <x:c r="O83" s="12" t="n">
        <x:f>'日経_P168B_06'!E33</x:f>
        <x:v>1380</x:v>
      </x:c>
      <x:c r="P83" s="14" t="n">
        <x:f>'日経_P168B_06'!F33</x:f>
        <x:v>138</x:v>
      </x:c>
    </x:row>
    <x:row r="84" ht="25" customHeight="1">
      <x:c r="A84" s="2" t="str">
        <x:v>NK225_P168B_07</x:v>
      </x:c>
      <x:c r="B84" s="28" t="str">
        <x:v>米国前</x:v>
      </x:c>
      <x:c r="C84" s="28" t="str">
        <x:v>比較候補</x:v>
      </x:c>
      <x:c r="D84" s="7" t="n">
        <x:f>'日経_P168B_07'!B33</x:f>
        <x:v>222500</x:v>
      </x:c>
      <x:c r="E84" s="7" t="n">
        <x:f>'日経_P168B_07'!C33</x:f>
        <x:v>10000</x:v>
      </x:c>
      <x:c r="F84" s="7" t="n">
        <x:f>'日経_P168B_07'!D33</x:f>
        <x:v>212500</x:v>
      </x:c>
      <x:c r="G84" s="12" t="n">
        <x:f>COUNTIFS('日経_P168B_07'!D6:D32,"&lt;0")</x:f>
        <x:v>0</x:v>
      </x:c>
      <x:c r="H84" s="7" t="n">
        <x:f>IF(G84=0,0,-SUMIFS('日経_P168B_07'!D6:D32,'日経_P168B_07'!D6:D32,"&lt;0")/G84)</x:f>
        <x:v>0</x:v>
      </x:c>
      <x:c r="I84" s="7" t="n">
        <x:f>MAX(0,-MIN('日経_P168B_07'!D6:D32))</x:f>
        <x:v>0</x:v>
      </x:c>
      <x:c r="J84" s="7" t="n">
        <x:f>F84-MAX(0,LARGE('日経_P168B_07'!D6:D32,1))-MAX(0,LARGE('日経_P168B_07'!D6:D32,2))-MAX(0,LARGE('日経_P168B_07'!D6:D32,3))</x:f>
        <x:v>128500</x:v>
      </x:c>
      <x:c r="K84" s="7" t="n">
        <x:v>-120000</x:v>
      </x:c>
      <x:c r="L84" s="7" t="n">
        <x:v>120000</x:v>
      </x:c>
      <x:c r="M84" s="12" t="n">
        <x:v>0</x:v>
      </x:c>
      <x:c r="N84" s="12" t="n">
        <x:v>38</x:v>
      </x:c>
      <x:c r="O84" s="12" t="n">
        <x:f>'日経_P168B_07'!E33</x:f>
        <x:v>1380</x:v>
      </x:c>
      <x:c r="P84" s="14" t="n">
        <x:f>'日経_P168B_07'!F33</x:f>
        <x:v>138</x:v>
      </x:c>
    </x:row>
    <x:row r="85" ht="25" customHeight="1">
      <x:c r="A85" s="2" t="str">
        <x:v>NK225_P168B_08</x:v>
      </x:c>
      <x:c r="B85" s="28" t="str">
        <x:v>米国前</x:v>
      </x:c>
      <x:c r="C85" s="28" t="str">
        <x:v>比較候補</x:v>
      </x:c>
      <x:c r="D85" s="7" t="n">
        <x:f>'日経_P168B_08'!B33</x:f>
        <x:v>233000</x:v>
      </x:c>
      <x:c r="E85" s="7" t="n">
        <x:f>'日経_P168B_08'!C33</x:f>
        <x:v>10000</x:v>
      </x:c>
      <x:c r="F85" s="7" t="n">
        <x:f>'日経_P168B_08'!D33</x:f>
        <x:v>223000</x:v>
      </x:c>
      <x:c r="G85" s="12" t="n">
        <x:f>COUNTIFS('日経_P168B_08'!D6:D32,"&lt;0")</x:f>
        <x:v>0</x:v>
      </x:c>
      <x:c r="H85" s="7" t="n">
        <x:f>IF(G85=0,0,-SUMIFS('日経_P168B_08'!D6:D32,'日経_P168B_08'!D6:D32,"&lt;0")/G85)</x:f>
        <x:v>0</x:v>
      </x:c>
      <x:c r="I85" s="7" t="n">
        <x:f>MAX(0,-MIN('日経_P168B_08'!D6:D32))</x:f>
        <x:v>0</x:v>
      </x:c>
      <x:c r="J85" s="7" t="n">
        <x:f>F85-MAX(0,LARGE('日経_P168B_08'!D6:D32,1))-MAX(0,LARGE('日経_P168B_08'!D6:D32,2))-MAX(0,LARGE('日経_P168B_08'!D6:D32,3))</x:f>
        <x:v>140200</x:v>
      </x:c>
      <x:c r="K85" s="7" t="n">
        <x:v>-120000</x:v>
      </x:c>
      <x:c r="L85" s="7" t="n">
        <x:v>120000</x:v>
      </x:c>
      <x:c r="M85" s="12" t="n">
        <x:v>0</x:v>
      </x:c>
      <x:c r="N85" s="12" t="n">
        <x:v>38</x:v>
      </x:c>
      <x:c r="O85" s="12" t="n">
        <x:f>'日経_P168B_08'!E33</x:f>
        <x:v>1380</x:v>
      </x:c>
      <x:c r="P85" s="14" t="n">
        <x:f>'日経_P168B_08'!F33</x:f>
        <x:v>138</x:v>
      </x:c>
    </x:row>
    <x:row r="86" ht="25" customHeight="1">
      <x:c r="A86" s="2" t="str">
        <x:v>NK225_P168B_09</x:v>
      </x:c>
      <x:c r="B86" s="28" t="str">
        <x:v>米国前</x:v>
      </x:c>
      <x:c r="C86" s="28" t="str">
        <x:v>比較候補</x:v>
      </x:c>
      <x:c r="D86" s="7" t="n">
        <x:f>'日経_P168B_09'!B33</x:f>
        <x:v>286000</x:v>
      </x:c>
      <x:c r="E86" s="7" t="n">
        <x:f>'日経_P168B_09'!C33</x:f>
        <x:v>167000</x:v>
      </x:c>
      <x:c r="F86" s="7" t="n">
        <x:f>'日経_P168B_09'!D33</x:f>
        <x:v>119000</x:v>
      </x:c>
      <x:c r="G86" s="12" t="n">
        <x:f>COUNTIFS('日経_P168B_09'!D6:D32,"&lt;0")</x:f>
        <x:v>3</x:v>
      </x:c>
      <x:c r="H86" s="7" t="n">
        <x:f>IF(G86=0,0,-SUMIFS('日経_P168B_09'!D6:D32,'日経_P168B_09'!D6:D32,"&lt;0")/G86)</x:f>
        <x:v>49000</x:v>
      </x:c>
      <x:c r="I86" s="7" t="n">
        <x:f>MAX(0,-MIN('日経_P168B_09'!D6:D32))</x:f>
        <x:v>120000</x:v>
      </x:c>
      <x:c r="J86" s="7" t="n">
        <x:f>F86-MAX(0,LARGE('日経_P168B_09'!D6:D32,1))-MAX(0,LARGE('日経_P168B_09'!D6:D32,2))-MAX(0,LARGE('日経_P168B_09'!D6:D32,3))</x:f>
        <x:v>-7000</x:v>
      </x:c>
      <x:c r="K86" s="7" t="n">
        <x:v>-120000</x:v>
      </x:c>
      <x:c r="L86" s="7" t="n">
        <x:v>120000</x:v>
      </x:c>
      <x:c r="M86" s="12" t="n">
        <x:v>0</x:v>
      </x:c>
      <x:c r="N86" s="12" t="n">
        <x:v>37</x:v>
      </x:c>
      <x:c r="O86" s="12" t="n">
        <x:f>'日経_P168B_09'!E33</x:f>
        <x:v>1380</x:v>
      </x:c>
      <x:c r="P86" s="14" t="n">
        <x:f>'日経_P168B_09'!F33</x:f>
        <x:v>138</x:v>
      </x:c>
    </x:row>
    <x:row r="87" ht="25" customHeight="1">
      <x:c r="A87" s="2" t="str">
        <x:v>NK225_P168B_10</x:v>
      </x:c>
      <x:c r="B87" s="28" t="str">
        <x:v>米国前</x:v>
      </x:c>
      <x:c r="C87" s="28" t="str">
        <x:v>比較候補</x:v>
      </x:c>
      <x:c r="D87" s="7" t="n">
        <x:f>'日経_P168B_10'!B33</x:f>
        <x:v>102000</x:v>
      </x:c>
      <x:c r="E87" s="7" t="n">
        <x:f>'日経_P168B_10'!C33</x:f>
        <x:v>167000</x:v>
      </x:c>
      <x:c r="F87" s="7" t="n">
        <x:f>'日経_P168B_10'!D33</x:f>
        <x:v>-65000</x:v>
      </x:c>
      <x:c r="G87" s="12" t="n">
        <x:f>COUNTIFS('日経_P168B_10'!D6:D32,"&lt;0")</x:f>
        <x:v>3</x:v>
      </x:c>
      <x:c r="H87" s="7" t="n">
        <x:f>IF(G87=0,0,-SUMIFS('日経_P168B_10'!D6:D32,'日経_P168B_10'!D6:D32,"&lt;0")/G87)</x:f>
        <x:v>51333.333333333336</x:v>
      </x:c>
      <x:c r="I87" s="7" t="n">
        <x:f>MAX(0,-MIN('日経_P168B_10'!D6:D32))</x:f>
        <x:v>120000</x:v>
      </x:c>
      <x:c r="J87" s="7" t="n">
        <x:f>F87-MAX(0,LARGE('日経_P168B_10'!D6:D32,1))-MAX(0,LARGE('日経_P168B_10'!D6:D32,2))-MAX(0,LARGE('日経_P168B_10'!D6:D32,3))</x:f>
        <x:v>-112000</x:v>
      </x:c>
      <x:c r="K87" s="7" t="n">
        <x:v>-120000</x:v>
      </x:c>
      <x:c r="L87" s="7" t="n">
        <x:v>120000</x:v>
      </x:c>
      <x:c r="M87" s="12" t="n">
        <x:v>0</x:v>
      </x:c>
      <x:c r="N87" s="12" t="n">
        <x:v>37</x:v>
      </x:c>
      <x:c r="O87" s="12" t="n">
        <x:f>'日経_P168B_10'!E33</x:f>
        <x:v>1380</x:v>
      </x:c>
      <x:c r="P87" s="14" t="n">
        <x:f>'日経_P168B_10'!F33</x:f>
        <x:v>138</x:v>
      </x:c>
    </x:row>
    <x:row r="88" ht="25" customHeight="1">
      <x:c r="A88" s="2" t="str">
        <x:v>NK225_P168B_11</x:v>
      </x:c>
      <x:c r="B88" s="28" t="str">
        <x:v>米国前</x:v>
      </x:c>
      <x:c r="C88" s="28" t="str">
        <x:v>比較候補</x:v>
      </x:c>
      <x:c r="D88" s="7" t="n">
        <x:f>'日経_P168B_11'!B33</x:f>
        <x:v>230000</x:v>
      </x:c>
      <x:c r="E88" s="7" t="n">
        <x:f>'日経_P168B_11'!C33</x:f>
        <x:v>167000</x:v>
      </x:c>
      <x:c r="F88" s="7" t="n">
        <x:f>'日経_P168B_11'!D33</x:f>
        <x:v>63000</x:v>
      </x:c>
      <x:c r="G88" s="12" t="n">
        <x:f>COUNTIFS('日経_P168B_11'!D6:D32,"&lt;0")</x:f>
        <x:v>3</x:v>
      </x:c>
      <x:c r="H88" s="7" t="n">
        <x:f>IF(G88=0,0,-SUMIFS('日経_P168B_11'!D6:D32,'日経_P168B_11'!D6:D32,"&lt;0")/G88)</x:f>
        <x:v>47000</x:v>
      </x:c>
      <x:c r="I88" s="7" t="n">
        <x:f>MAX(0,-MIN('日経_P168B_11'!D6:D32))</x:f>
        <x:v>120000</x:v>
      </x:c>
      <x:c r="J88" s="7" t="n">
        <x:f>F88-MAX(0,LARGE('日経_P168B_11'!D6:D32,1))-MAX(0,LARGE('日経_P168B_11'!D6:D32,2))-MAX(0,LARGE('日経_P168B_11'!D6:D32,3))</x:f>
        <x:v>-19000</x:v>
      </x:c>
      <x:c r="K88" s="7" t="n">
        <x:v>-120000</x:v>
      </x:c>
      <x:c r="L88" s="7" t="n">
        <x:v>120000</x:v>
      </x:c>
      <x:c r="M88" s="12" t="n">
        <x:v>0</x:v>
      </x:c>
      <x:c r="N88" s="12" t="n">
        <x:v>37</x:v>
      </x:c>
      <x:c r="O88" s="12" t="n">
        <x:f>'日経_P168B_11'!E33</x:f>
        <x:v>1380</x:v>
      </x:c>
      <x:c r="P88" s="14" t="n">
        <x:f>'日経_P168B_11'!F33</x:f>
        <x:v>138</x:v>
      </x:c>
    </x:row>
    <x:row r="89" ht="25" customHeight="1">
      <x:c r="A89" s="2" t="str">
        <x:v>NK225_P168B_12</x:v>
      </x:c>
      <x:c r="B89" s="28" t="str">
        <x:v>米国前</x:v>
      </x:c>
      <x:c r="C89" s="28" t="str">
        <x:v>比較候補</x:v>
      </x:c>
      <x:c r="D89" s="7" t="n">
        <x:f>'日経_P168B_12'!B33</x:f>
        <x:v>237000</x:v>
      </x:c>
      <x:c r="E89" s="7" t="n">
        <x:f>'日経_P168B_12'!C33</x:f>
        <x:v>167000</x:v>
      </x:c>
      <x:c r="F89" s="7" t="n">
        <x:f>'日経_P168B_12'!D33</x:f>
        <x:v>70000</x:v>
      </x:c>
      <x:c r="G89" s="12" t="n">
        <x:f>COUNTIFS('日経_P168B_12'!D6:D32,"&lt;0")</x:f>
        <x:v>3</x:v>
      </x:c>
      <x:c r="H89" s="7" t="n">
        <x:f>IF(G89=0,0,-SUMIFS('日経_P168B_12'!D6:D32,'日経_P168B_12'!D6:D32,"&lt;0")/G89)</x:f>
        <x:v>47666.666666666664</x:v>
      </x:c>
      <x:c r="I89" s="7" t="n">
        <x:f>MAX(0,-MIN('日経_P168B_12'!D6:D32))</x:f>
        <x:v>120000</x:v>
      </x:c>
      <x:c r="J89" s="7" t="n">
        <x:f>F89-MAX(0,LARGE('日経_P168B_12'!D6:D32,1))-MAX(0,LARGE('日経_P168B_12'!D6:D32,2))-MAX(0,LARGE('日経_P168B_12'!D6:D32,3))</x:f>
        <x:v>-19000</x:v>
      </x:c>
      <x:c r="K89" s="7" t="n">
        <x:v>-120000</x:v>
      </x:c>
      <x:c r="L89" s="7" t="n">
        <x:v>120000</x:v>
      </x:c>
      <x:c r="M89" s="12" t="n">
        <x:v>0</x:v>
      </x:c>
      <x:c r="N89" s="12" t="n">
        <x:v>37</x:v>
      </x:c>
      <x:c r="O89" s="12" t="n">
        <x:f>'日経_P168B_12'!E33</x:f>
        <x:v>1380</x:v>
      </x:c>
      <x:c r="P89" s="14" t="n">
        <x:f>'日経_P168B_12'!F33</x:f>
        <x:v>138</x:v>
      </x:c>
    </x:row>
    <x:row r="90" ht="25" customHeight="1">
      <x:c r="A90" s="2" t="str">
        <x:v>NK225_P168B_13</x:v>
      </x:c>
      <x:c r="B90" s="28" t="str">
        <x:v>米国前</x:v>
      </x:c>
      <x:c r="C90" s="28" t="str">
        <x:v>比較候補</x:v>
      </x:c>
      <x:c r="D90" s="7" t="n">
        <x:f>'日経_P168B_13'!B33</x:f>
        <x:v>317500</x:v>
      </x:c>
      <x:c r="E90" s="7" t="n">
        <x:f>'日経_P168B_13'!C33</x:f>
        <x:v>564200</x:v>
      </x:c>
      <x:c r="F90" s="7" t="n">
        <x:f>'日経_P168B_13'!D33</x:f>
        <x:v>-246700</x:v>
      </x:c>
      <x:c r="G90" s="12" t="n">
        <x:f>COUNTIFS('日経_P168B_13'!D6:D32,"&lt;0")</x:f>
        <x:v>10</x:v>
      </x:c>
      <x:c r="H90" s="7" t="n">
        <x:f>IF(G90=0,0,-SUMIFS('日経_P168B_13'!D6:D32,'日経_P168B_13'!D6:D32,"&lt;0")/G90)</x:f>
        <x:v>30490</x:v>
      </x:c>
      <x:c r="I90" s="7" t="n">
        <x:f>MAX(0,-MIN('日経_P168B_13'!D6:D32))</x:f>
        <x:v>120000</x:v>
      </x:c>
      <x:c r="J90" s="7" t="n">
        <x:f>F90-MAX(0,LARGE('日経_P168B_13'!D6:D32,1))-MAX(0,LARGE('日経_P168B_13'!D6:D32,2))-MAX(0,LARGE('日経_P168B_13'!D6:D32,3))</x:f>
        <x:v>-289100</x:v>
      </x:c>
      <x:c r="K90" s="7" t="n">
        <x:v>-120000</x:v>
      </x:c>
      <x:c r="L90" s="7" t="n">
        <x:v>120000</x:v>
      </x:c>
      <x:c r="M90" s="12" t="n">
        <x:v>4</x:v>
      </x:c>
      <x:c r="N90" s="12" t="n">
        <x:v>61</x:v>
      </x:c>
      <x:c r="O90" s="12" t="n">
        <x:f>'日経_P168B_13'!E33</x:f>
        <x:v>2649</x:v>
      </x:c>
      <x:c r="P90" s="14" t="n">
        <x:f>'日経_P168B_13'!F33</x:f>
        <x:v>264.9</x:v>
      </x:c>
    </x:row>
    <x:row r="91" ht="25" customHeight="1">
      <x:c r="A91" s="2" t="str">
        <x:v>NK225_P168B_14</x:v>
      </x:c>
      <x:c r="B91" s="28" t="str">
        <x:v>米国前</x:v>
      </x:c>
      <x:c r="C91" s="28" t="str">
        <x:v>比較候補</x:v>
      </x:c>
      <x:c r="D91" s="7" t="n">
        <x:f>'日経_P168B_14'!B33</x:f>
        <x:v>236300</x:v>
      </x:c>
      <x:c r="E91" s="7" t="n">
        <x:f>'日経_P168B_14'!C33</x:f>
        <x:v>215900</x:v>
      </x:c>
      <x:c r="F91" s="7" t="n">
        <x:f>'日経_P168B_14'!D33</x:f>
        <x:v>20400</x:v>
      </x:c>
      <x:c r="G91" s="12" t="n">
        <x:f>COUNTIFS('日経_P168B_14'!D6:D32,"&lt;0")</x:f>
        <x:v>3</x:v>
      </x:c>
      <x:c r="H91" s="7" t="n">
        <x:f>IF(G91=0,0,-SUMIFS('日経_P168B_14'!D6:D32,'日経_P168B_14'!D6:D32,"&lt;0")/G91)</x:f>
        <x:v>51200</x:v>
      </x:c>
      <x:c r="I91" s="7" t="n">
        <x:f>MAX(0,-MIN('日経_P168B_14'!D6:D32))</x:f>
        <x:v>120000</x:v>
      </x:c>
      <x:c r="J91" s="7" t="n">
        <x:f>F91-MAX(0,LARGE('日経_P168B_14'!D6:D32,1))-MAX(0,LARGE('日経_P168B_14'!D6:D32,2))-MAX(0,LARGE('日経_P168B_14'!D6:D32,3))</x:f>
        <x:v>-57500</x:v>
      </x:c>
      <x:c r="K91" s="7" t="n">
        <x:v>-120000</x:v>
      </x:c>
      <x:c r="L91" s="7" t="n">
        <x:v>120000</x:v>
      </x:c>
      <x:c r="M91" s="12" t="n">
        <x:v>4</x:v>
      </x:c>
      <x:c r="N91" s="12" t="n">
        <x:v>63</x:v>
      </x:c>
      <x:c r="O91" s="12" t="n">
        <x:f>'日経_P168B_14'!E33</x:f>
        <x:v>1549</x:v>
      </x:c>
      <x:c r="P91" s="14" t="n">
        <x:f>'日経_P168B_14'!F33</x:f>
        <x:v>154.9</x:v>
      </x:c>
    </x:row>
    <x:row r="92" ht="25" customHeight="1">
      <x:c r="A92" s="2" t="str">
        <x:v>NK225_P168B_15</x:v>
      </x:c>
      <x:c r="B92" s="28" t="str">
        <x:v>米国前</x:v>
      </x:c>
      <x:c r="C92" s="28" t="str">
        <x:v>比較候補</x:v>
      </x:c>
      <x:c r="D92" s="7" t="n">
        <x:f>'日経_P168B_15'!B33</x:f>
        <x:v>247900</x:v>
      </x:c>
      <x:c r="E92" s="7" t="n">
        <x:f>'日経_P168B_15'!C33</x:f>
        <x:v>245700</x:v>
      </x:c>
      <x:c r="F92" s="7" t="n">
        <x:f>'日経_P168B_15'!D33</x:f>
        <x:v>2200</x:v>
      </x:c>
      <x:c r="G92" s="12" t="n">
        <x:f>COUNTIFS('日経_P168B_15'!D6:D32,"&lt;0")</x:f>
        <x:v>3</x:v>
      </x:c>
      <x:c r="H92" s="7" t="n">
        <x:f>IF(G92=0,0,-SUMIFS('日経_P168B_15'!D6:D32,'日経_P168B_15'!D6:D32,"&lt;0")/G92)</x:f>
        <x:v>50000</x:v>
      </x:c>
      <x:c r="I92" s="7" t="n">
        <x:f>MAX(0,-MIN('日経_P168B_15'!D6:D32))</x:f>
        <x:v>120000</x:v>
      </x:c>
      <x:c r="J92" s="7" t="n">
        <x:f>F92-MAX(0,LARGE('日経_P168B_15'!D6:D32,1))-MAX(0,LARGE('日経_P168B_15'!D6:D32,2))-MAX(0,LARGE('日経_P168B_15'!D6:D32,3))</x:f>
        <x:v>-58600</x:v>
      </x:c>
      <x:c r="K92" s="7" t="n">
        <x:v>-120000</x:v>
      </x:c>
      <x:c r="L92" s="7" t="n">
        <x:v>120000</x:v>
      </x:c>
      <x:c r="M92" s="12" t="n">
        <x:v>4</x:v>
      </x:c>
      <x:c r="N92" s="12" t="n">
        <x:v>61</x:v>
      </x:c>
      <x:c r="O92" s="12" t="n">
        <x:f>'日経_P168B_15'!E33</x:f>
        <x:v>1635</x:v>
      </x:c>
      <x:c r="P92" s="14" t="n">
        <x:f>'日経_P168B_15'!F33</x:f>
        <x:v>163.5</x:v>
      </x:c>
    </x:row>
    <x:row r="93" ht="25" customHeight="1">
      <x:c r="A93" s="2" t="str">
        <x:v>NK225_P168B_16</x:v>
      </x:c>
      <x:c r="B93" s="28" t="str">
        <x:v>米国前</x:v>
      </x:c>
      <x:c r="C93" s="28" t="str">
        <x:v>比較候補</x:v>
      </x:c>
      <x:c r="D93" s="7" t="n">
        <x:f>'日経_P168B_16'!B33</x:f>
        <x:v>242800</x:v>
      </x:c>
      <x:c r="E93" s="7" t="n">
        <x:f>'日経_P168B_16'!C33</x:f>
        <x:v>231900</x:v>
      </x:c>
      <x:c r="F93" s="7" t="n">
        <x:f>'日経_P168B_16'!D33</x:f>
        <x:v>10900</x:v>
      </x:c>
      <x:c r="G93" s="12" t="n">
        <x:f>COUNTIFS('日経_P168B_16'!D6:D32,"&lt;0")</x:f>
        <x:v>3</x:v>
      </x:c>
      <x:c r="H93" s="7" t="n">
        <x:f>IF(G93=0,0,-SUMIFS('日経_P168B_16'!D6:D32,'日経_P168B_16'!D6:D32,"&lt;0")/G93)</x:f>
        <x:v>50033.333333333336</x:v>
      </x:c>
      <x:c r="I93" s="7" t="n">
        <x:f>MAX(0,-MIN('日経_P168B_16'!D6:D32))</x:f>
        <x:v>120000</x:v>
      </x:c>
      <x:c r="J93" s="7" t="n">
        <x:f>F93-MAX(0,LARGE('日経_P168B_16'!D6:D32,1))-MAX(0,LARGE('日経_P168B_16'!D6:D32,2))-MAX(0,LARGE('日経_P168B_16'!D6:D32,3))</x:f>
        <x:v>-59000</x:v>
      </x:c>
      <x:c r="K93" s="7" t="n">
        <x:v>-120000</x:v>
      </x:c>
      <x:c r="L93" s="7" t="n">
        <x:v>120000</x:v>
      </x:c>
      <x:c r="M93" s="12" t="n">
        <x:v>2</x:v>
      </x:c>
      <x:c r="N93" s="12" t="n">
        <x:v>60</x:v>
      </x:c>
      <x:c r="O93" s="12" t="n">
        <x:f>'日経_P168B_16'!E33</x:f>
        <x:v>1619</x:v>
      </x:c>
      <x:c r="P93" s="14" t="n">
        <x:f>'日経_P168B_16'!F33</x:f>
        <x:v>161.9</x:v>
      </x:c>
    </x:row>
    <x:row r="94" ht="25" customHeight="1">
      <x:c r="A94" s="2" t="str">
        <x:v>NK225_U165_03</x:v>
      </x:c>
      <x:c r="B94" s="28" t="str">
        <x:v>米国後</x:v>
      </x:c>
      <x:c r="C94" s="28" t="str">
        <x:v>基準</x:v>
      </x:c>
      <x:c r="D94" s="7" t="n">
        <x:f>'日経_U165_03'!B33</x:f>
        <x:v>2280000</x:v>
      </x:c>
      <x:c r="E94" s="7" t="n">
        <x:f>'日経_U165_03'!C33</x:f>
        <x:v>1099000</x:v>
      </x:c>
      <x:c r="F94" s="7" t="n">
        <x:f>'日経_U165_03'!D33</x:f>
        <x:v>1181000</x:v>
      </x:c>
      <x:c r="G94" s="12" t="n">
        <x:f>COUNTIFS('日経_U165_03'!D6:D32,"&lt;0")</x:f>
        <x:v>8</x:v>
      </x:c>
      <x:c r="H94" s="7" t="n">
        <x:f>IF(G94=0,0,-SUMIFS('日経_U165_03'!D6:D32,'日経_U165_03'!D6:D32,"&lt;0")/G94)</x:f>
        <x:v>31375</x:v>
      </x:c>
      <x:c r="I94" s="7" t="n">
        <x:f>MAX(0,-MIN('日経_U165_03'!D6:D32))</x:f>
        <x:v>53000</x:v>
      </x:c>
      <x:c r="J94" s="7" t="n">
        <x:f>F94-MAX(0,LARGE('日経_U165_03'!D6:D32,1))-MAX(0,LARGE('日経_U165_03'!D6:D32,2))-MAX(0,LARGE('日経_U165_03'!D6:D32,3))</x:f>
        <x:v>459000</x:v>
      </x:c>
      <x:c r="K94" s="7" t="n">
        <x:v>-88000</x:v>
      </x:c>
      <x:c r="L94" s="7" t="n">
        <x:v>162000</x:v>
      </x:c>
      <x:c r="M94" s="12" t="n">
        <x:v>45</x:v>
      </x:c>
      <x:c r="N94" s="12" t="n">
        <x:v>127</x:v>
      </x:c>
      <x:c r="O94" s="12" t="n">
        <x:f>'日経_U165_03'!E33</x:f>
        <x:v>2810</x:v>
      </x:c>
      <x:c r="P94" s="14" t="n">
        <x:f>'日経_U165_03'!F33</x:f>
        <x:v>281</x:v>
      </x:c>
    </x:row>
    <x:row r="95" ht="25" customHeight="1">
      <x:c r="A95" s="2" t="str">
        <x:v>NK225_U168_01</x:v>
      </x:c>
      <x:c r="B95" s="28" t="str">
        <x:v>米国後</x:v>
      </x:c>
      <x:c r="C95" s="28" t="str">
        <x:v>比較候補</x:v>
      </x:c>
      <x:c r="D95" s="7" t="n">
        <x:f>'日経_U168_01'!B33</x:f>
        <x:v>109000</x:v>
      </x:c>
      <x:c r="E95" s="7" t="n">
        <x:f>'日経_U168_01'!C33</x:f>
        <x:v>292000</x:v>
      </x:c>
      <x:c r="F95" s="7" t="n">
        <x:f>'日経_U168_01'!D33</x:f>
        <x:v>-183000</x:v>
      </x:c>
      <x:c r="G95" s="12" t="n">
        <x:f>COUNTIFS('日経_U168_01'!D6:D32,"&lt;0")</x:f>
        <x:v>12</x:v>
      </x:c>
      <x:c r="H95" s="7" t="n">
        <x:f>IF(G95=0,0,-SUMIFS('日経_U168_01'!D6:D32,'日経_U168_01'!D6:D32,"&lt;0")/G95)</x:f>
        <x:v>18666.666666666668</x:v>
      </x:c>
      <x:c r="I95" s="7" t="n">
        <x:f>MAX(0,-MIN('日経_U168_01'!D6:D32))</x:f>
        <x:v>36000</x:v>
      </x:c>
      <x:c r="J95" s="7" t="n">
        <x:f>F95-MAX(0,LARGE('日経_U168_01'!D6:D32,1))-MAX(0,LARGE('日経_U168_01'!D6:D32,2))-MAX(0,LARGE('日経_U168_01'!D6:D32,3))</x:f>
        <x:v>-206000</x:v>
      </x:c>
      <x:c r="K95" s="7" t="n">
        <x:v>-54000</x:v>
      </x:c>
      <x:c r="L95" s="7" t="n">
        <x:v>59000</x:v>
      </x:c>
      <x:c r="M95" s="12" t="n">
        <x:v>1</x:v>
      </x:c>
      <x:c r="N95" s="12" t="n">
        <x:v>127</x:v>
      </x:c>
      <x:c r="O95" s="12" t="n">
        <x:f>'日経_U168_01'!E33</x:f>
        <x:v>2810</x:v>
      </x:c>
      <x:c r="P95" s="14" t="n">
        <x:f>'日経_U168_01'!F33</x:f>
        <x:v>281</x:v>
      </x:c>
    </x:row>
    <x:row r="96" ht="25" customHeight="1">
      <x:c r="A96" s="2" t="str">
        <x:v>NK225_U168_02</x:v>
      </x:c>
      <x:c r="B96" s="28" t="str">
        <x:v>米国後</x:v>
      </x:c>
      <x:c r="C96" s="28" t="str">
        <x:v>比較候補</x:v>
      </x:c>
      <x:c r="D96" s="7" t="n">
        <x:f>'日経_U168_02'!B33</x:f>
        <x:v>353000</x:v>
      </x:c>
      <x:c r="E96" s="7" t="n">
        <x:f>'日経_U168_02'!C33</x:f>
        <x:v>387000</x:v>
      </x:c>
      <x:c r="F96" s="7" t="n">
        <x:f>'日経_U168_02'!D33</x:f>
        <x:v>-34000</x:v>
      </x:c>
      <x:c r="G96" s="12" t="n">
        <x:f>COUNTIFS('日経_U168_02'!D6:D32,"&lt;0")</x:f>
        <x:v>11</x:v>
      </x:c>
      <x:c r="H96" s="7" t="n">
        <x:f>IF(G96=0,0,-SUMIFS('日経_U168_02'!D6:D32,'日経_U168_02'!D6:D32,"&lt;0")/G96)</x:f>
        <x:v>23272.727272727272</x:v>
      </x:c>
      <x:c r="I96" s="7" t="n">
        <x:f>MAX(0,-MIN('日経_U168_02'!D6:D32))</x:f>
        <x:v>53000</x:v>
      </x:c>
      <x:c r="J96" s="7" t="n">
        <x:f>F96-MAX(0,LARGE('日経_U168_02'!D6:D32,1))-MAX(0,LARGE('日経_U168_02'!D6:D32,2))-MAX(0,LARGE('日経_U168_02'!D6:D32,3))</x:f>
        <x:v>-121000</x:v>
      </x:c>
      <x:c r="K96" s="7" t="n">
        <x:v>-65000</x:v>
      </x:c>
      <x:c r="L96" s="7" t="n">
        <x:v>65000</x:v>
      </x:c>
      <x:c r="M96" s="12" t="n">
        <x:v>6</x:v>
      </x:c>
      <x:c r="N96" s="12" t="n">
        <x:v>127</x:v>
      </x:c>
      <x:c r="O96" s="12" t="n">
        <x:f>'日経_U168_02'!E33</x:f>
        <x:v>2810</x:v>
      </x:c>
      <x:c r="P96" s="14" t="n">
        <x:f>'日経_U168_02'!F33</x:f>
        <x:v>281</x:v>
      </x:c>
    </x:row>
    <x:row r="97" ht="25" customHeight="1">
      <x:c r="A97" s="2" t="str">
        <x:v>NK225_U168_03</x:v>
      </x:c>
      <x:c r="B97" s="28" t="str">
        <x:v>米国後</x:v>
      </x:c>
      <x:c r="C97" s="28" t="str">
        <x:v>比較候補</x:v>
      </x:c>
      <x:c r="D97" s="7" t="n">
        <x:f>'日経_U168_03'!B33</x:f>
        <x:v>996000</x:v>
      </x:c>
      <x:c r="E97" s="7" t="n">
        <x:f>'日経_U168_03'!C33</x:f>
        <x:v>633000</x:v>
      </x:c>
      <x:c r="F97" s="7" t="n">
        <x:f>'日経_U168_03'!D33</x:f>
        <x:v>363000</x:v>
      </x:c>
      <x:c r="G97" s="12" t="n">
        <x:f>COUNTIFS('日経_U168_03'!D6:D32,"&lt;0")</x:f>
        <x:v>9</x:v>
      </x:c>
      <x:c r="H97" s="7" t="n">
        <x:f>IF(G97=0,0,-SUMIFS('日経_U168_03'!D6:D32,'日経_U168_03'!D6:D32,"&lt;0")/G97)</x:f>
        <x:v>33222.22222222222</x:v>
      </x:c>
      <x:c r="I97" s="7" t="n">
        <x:f>MAX(0,-MIN('日経_U168_03'!D6:D32))</x:f>
        <x:v>53000</x:v>
      </x:c>
      <x:c r="J97" s="7" t="n">
        <x:f>F97-MAX(0,LARGE('日経_U168_03'!D6:D32,1))-MAX(0,LARGE('日経_U168_03'!D6:D32,2))-MAX(0,LARGE('日経_U168_03'!D6:D32,3))</x:f>
        <x:v>69000</x:v>
      </x:c>
      <x:c r="K97" s="7" t="n">
        <x:v>-59000</x:v>
      </x:c>
      <x:c r="L97" s="7" t="n">
        <x:v>105000</x:v>
      </x:c>
      <x:c r="M97" s="12" t="n">
        <x:v>18</x:v>
      </x:c>
      <x:c r="N97" s="12" t="n">
        <x:v>127</x:v>
      </x:c>
      <x:c r="O97" s="12" t="n">
        <x:f>'日経_U168_03'!E33</x:f>
        <x:v>2810</x:v>
      </x:c>
      <x:c r="P97" s="14" t="n">
        <x:f>'日経_U168_03'!F33</x:f>
        <x:v>281</x:v>
      </x:c>
    </x:row>
    <x:row r="98" ht="25" customHeight="1">
      <x:c r="A98" s="2" t="str">
        <x:v>NK225_U168_04</x:v>
      </x:c>
      <x:c r="B98" s="28" t="str">
        <x:v>米国後</x:v>
      </x:c>
      <x:c r="C98" s="28" t="str">
        <x:v>比較候補</x:v>
      </x:c>
      <x:c r="D98" s="7" t="n">
        <x:f>'日経_U168_04'!B33</x:f>
        <x:v>459000</x:v>
      </x:c>
      <x:c r="E98" s="7" t="n">
        <x:f>'日経_U168_04'!C33</x:f>
        <x:v>388000</x:v>
      </x:c>
      <x:c r="F98" s="7" t="n">
        <x:f>'日経_U168_04'!D33</x:f>
        <x:v>71000</x:v>
      </x:c>
      <x:c r="G98" s="12" t="n">
        <x:f>COUNTIFS('日経_U168_04'!D6:D32,"&lt;0")</x:f>
        <x:v>11</x:v>
      </x:c>
      <x:c r="H98" s="7" t="n">
        <x:f>IF(G98=0,0,-SUMIFS('日経_U168_04'!D6:D32,'日経_U168_04'!D6:D32,"&lt;0")/G98)</x:f>
        <x:v>23545.454545454544</x:v>
      </x:c>
      <x:c r="I98" s="7" t="n">
        <x:f>MAX(0,-MIN('日経_U168_04'!D6:D32))</x:f>
        <x:v>53000</x:v>
      </x:c>
      <x:c r="J98" s="7" t="n">
        <x:f>F98-MAX(0,LARGE('日経_U168_04'!D6:D32,1))-MAX(0,LARGE('日経_U168_04'!D6:D32,2))-MAX(0,LARGE('日経_U168_04'!D6:D32,3))</x:f>
        <x:v>-99000</x:v>
      </x:c>
      <x:c r="K98" s="7" t="n">
        <x:v>-63000</x:v>
      </x:c>
      <x:c r="L98" s="7" t="n">
        <x:v>71000</x:v>
      </x:c>
      <x:c r="M98" s="12" t="n">
        <x:v>7</x:v>
      </x:c>
      <x:c r="N98" s="12" t="n">
        <x:v>127</x:v>
      </x:c>
      <x:c r="O98" s="12" t="n">
        <x:f>'日経_U168_04'!E33</x:f>
        <x:v>2810</x:v>
      </x:c>
      <x:c r="P98" s="14" t="n">
        <x:f>'日経_U168_04'!F33</x:f>
        <x:v>281</x:v>
      </x:c>
    </x:row>
    <x:row r="99" ht="25" customHeight="1">
      <x:c r="A99" s="2" t="str">
        <x:v>NK225_U168_05</x:v>
      </x:c>
      <x:c r="B99" s="28" t="str">
        <x:v>米国後</x:v>
      </x:c>
      <x:c r="C99" s="28" t="str">
        <x:v>比較候補</x:v>
      </x:c>
      <x:c r="D99" s="7" t="n">
        <x:f>'日経_U168_05'!B33</x:f>
        <x:v>471000</x:v>
      </x:c>
      <x:c r="E99" s="7" t="n">
        <x:f>'日経_U168_05'!C33</x:f>
        <x:v>388000</x:v>
      </x:c>
      <x:c r="F99" s="7" t="n">
        <x:f>'日経_U168_05'!D33</x:f>
        <x:v>83000</x:v>
      </x:c>
      <x:c r="G99" s="12" t="n">
        <x:f>COUNTIFS('日経_U168_05'!D6:D32,"&lt;0")</x:f>
        <x:v>11</x:v>
      </x:c>
      <x:c r="H99" s="7" t="n">
        <x:f>IF(G99=0,0,-SUMIFS('日経_U168_05'!D6:D32,'日経_U168_05'!D6:D32,"&lt;0")/G99)</x:f>
        <x:v>24363.636363636364</x:v>
      </x:c>
      <x:c r="I99" s="7" t="n">
        <x:f>MAX(0,-MIN('日経_U168_05'!D6:D32))</x:f>
        <x:v>53000</x:v>
      </x:c>
      <x:c r="J99" s="7" t="n">
        <x:f>F99-MAX(0,LARGE('日経_U168_05'!D6:D32,1))-MAX(0,LARGE('日経_U168_05'!D6:D32,2))-MAX(0,LARGE('日経_U168_05'!D6:D32,3))</x:f>
        <x:v>-153000</x:v>
      </x:c>
      <x:c r="K99" s="7" t="n">
        <x:v>-65000</x:v>
      </x:c>
      <x:c r="L99" s="7" t="n">
        <x:v>73000</x:v>
      </x:c>
      <x:c r="M99" s="12" t="n">
        <x:v>7</x:v>
      </x:c>
      <x:c r="N99" s="12" t="n">
        <x:v>127</x:v>
      </x:c>
      <x:c r="O99" s="12" t="n">
        <x:f>'日経_U168_05'!E33</x:f>
        <x:v>2810</x:v>
      </x:c>
      <x:c r="P99" s="14" t="n">
        <x:f>'日経_U168_05'!F33</x:f>
        <x:v>281</x:v>
      </x:c>
    </x:row>
    <x:row r="100" ht="25" customHeight="1">
      <x:c r="A100" s="2" t="str">
        <x:v>NK225_U168_06</x:v>
      </x:c>
      <x:c r="B100" s="28" t="str">
        <x:v>米国後</x:v>
      </x:c>
      <x:c r="C100" s="28" t="str">
        <x:v>比較候補</x:v>
      </x:c>
      <x:c r="D100" s="7" t="n">
        <x:f>'日経_U168_06'!B33</x:f>
        <x:v>368000</x:v>
      </x:c>
      <x:c r="E100" s="7" t="n">
        <x:f>'日経_U168_06'!C33</x:f>
        <x:v>342000</x:v>
      </x:c>
      <x:c r="F100" s="7" t="n">
        <x:f>'日経_U168_06'!D33</x:f>
        <x:v>26000</x:v>
      </x:c>
      <x:c r="G100" s="12" t="n">
        <x:f>COUNTIFS('日経_U168_06'!D6:D32,"&lt;0")</x:f>
        <x:v>8</x:v>
      </x:c>
      <x:c r="H100" s="7" t="n">
        <x:f>IF(G100=0,0,-SUMIFS('日経_U168_06'!D6:D32,'日経_U168_06'!D6:D32,"&lt;0")/G100)</x:f>
        <x:v>19500</x:v>
      </x:c>
      <x:c r="I100" s="7" t="n">
        <x:f>MAX(0,-MIN('日経_U168_06'!D6:D32))</x:f>
        <x:v>43000</x:v>
      </x:c>
      <x:c r="J100" s="7" t="n">
        <x:f>F100-MAX(0,LARGE('日経_U168_06'!D6:D32,1))-MAX(0,LARGE('日経_U168_06'!D6:D32,2))-MAX(0,LARGE('日経_U168_06'!D6:D32,3))</x:f>
        <x:v>-38000</x:v>
      </x:c>
      <x:c r="K100" s="7" t="n">
        <x:v>-60000</x:v>
      </x:c>
      <x:c r="L100" s="7" t="n">
        <x:v>73000</x:v>
      </x:c>
      <x:c r="M100" s="12" t="n">
        <x:v>3</x:v>
      </x:c>
      <x:c r="N100" s="12" t="n">
        <x:v>125</x:v>
      </x:c>
      <x:c r="O100" s="12" t="n">
        <x:f>'日経_U168_06'!E33</x:f>
        <x:v>2810</x:v>
      </x:c>
      <x:c r="P100" s="14" t="n">
        <x:f>'日経_U168_06'!F33</x:f>
        <x:v>281</x:v>
      </x:c>
    </x:row>
    <x:row r="101" ht="25" customHeight="1">
      <x:c r="A101" s="2" t="str">
        <x:v>NK225_U168_07</x:v>
      </x:c>
      <x:c r="B101" s="28" t="str">
        <x:v>米国後</x:v>
      </x:c>
      <x:c r="C101" s="28" t="str">
        <x:v>比較候補</x:v>
      </x:c>
      <x:c r="D101" s="7" t="n">
        <x:f>'日経_U168_07'!B33</x:f>
        <x:v>455000</x:v>
      </x:c>
      <x:c r="E101" s="7" t="n">
        <x:f>'日経_U168_07'!C33</x:f>
        <x:v>343000</x:v>
      </x:c>
      <x:c r="F101" s="7" t="n">
        <x:f>'日経_U168_07'!D33</x:f>
        <x:v>112000</x:v>
      </x:c>
      <x:c r="G101" s="12" t="n">
        <x:f>COUNTIFS('日経_U168_07'!D6:D32,"&lt;0")</x:f>
        <x:v>7</x:v>
      </x:c>
      <x:c r="H101" s="7" t="n">
        <x:f>IF(G101=0,0,-SUMIFS('日経_U168_07'!D6:D32,'日経_U168_07'!D6:D32,"&lt;0")/G101)</x:f>
        <x:v>22714.285714285714</x:v>
      </x:c>
      <x:c r="I101" s="7" t="n">
        <x:f>MAX(0,-MIN('日経_U168_07'!D6:D32))</x:f>
        <x:v>47000</x:v>
      </x:c>
      <x:c r="J101" s="7" t="n">
        <x:f>F101-MAX(0,LARGE('日経_U168_07'!D6:D32,1))-MAX(0,LARGE('日経_U168_07'!D6:D32,2))-MAX(0,LARGE('日経_U168_07'!D6:D32,3))</x:f>
        <x:v>1000</x:v>
      </x:c>
      <x:c r="K101" s="7" t="n">
        <x:v>-67000</x:v>
      </x:c>
      <x:c r="L101" s="7" t="n">
        <x:v>80000</x:v>
      </x:c>
      <x:c r="M101" s="12" t="n">
        <x:v>4</x:v>
      </x:c>
      <x:c r="N101" s="12" t="n">
        <x:v>125</x:v>
      </x:c>
      <x:c r="O101" s="12" t="n">
        <x:f>'日経_U168_07'!E33</x:f>
        <x:v>2810</x:v>
      </x:c>
      <x:c r="P101" s="14" t="n">
        <x:f>'日経_U168_07'!F33</x:f>
        <x:v>281</x:v>
      </x:c>
    </x:row>
    <x:row r="102" ht="25" customHeight="1">
      <x:c r="A102" s="2" t="str">
        <x:v>NK225_U168_08</x:v>
      </x:c>
      <x:c r="B102" s="28" t="str">
        <x:v>米国後</x:v>
      </x:c>
      <x:c r="C102" s="28" t="str">
        <x:v>比較候補</x:v>
      </x:c>
      <x:c r="D102" s="7" t="n">
        <x:f>'日経_U168_08'!B33</x:f>
        <x:v>487000</x:v>
      </x:c>
      <x:c r="E102" s="7" t="n">
        <x:f>'日経_U168_08'!C33</x:f>
        <x:v>293000</x:v>
      </x:c>
      <x:c r="F102" s="7" t="n">
        <x:f>'日経_U168_08'!D33</x:f>
        <x:v>194000</x:v>
      </x:c>
      <x:c r="G102" s="12" t="n">
        <x:f>COUNTIFS('日経_U168_08'!D6:D32,"&lt;0")</x:f>
        <x:v>7</x:v>
      </x:c>
      <x:c r="H102" s="7" t="n">
        <x:f>IF(G102=0,0,-SUMIFS('日経_U168_08'!D6:D32,'日経_U168_08'!D6:D32,"&lt;0")/G102)</x:f>
        <x:v>24714.285714285714</x:v>
      </x:c>
      <x:c r="I102" s="7" t="n">
        <x:f>MAX(0,-MIN('日経_U168_08'!D6:D32))</x:f>
        <x:v>71000</x:v>
      </x:c>
      <x:c r="J102" s="7" t="n">
        <x:f>F102-MAX(0,LARGE('日経_U168_08'!D6:D32,1))-MAX(0,LARGE('日経_U168_08'!D6:D32,2))-MAX(0,LARGE('日経_U168_08'!D6:D32,3))</x:f>
        <x:v>31000</x:v>
      </x:c>
      <x:c r="K102" s="7" t="n">
        <x:v>-94000</x:v>
      </x:c>
      <x:c r="L102" s="7" t="n">
        <x:v>94000</x:v>
      </x:c>
      <x:c r="M102" s="12" t="n">
        <x:v>2</x:v>
      </x:c>
      <x:c r="N102" s="12" t="n">
        <x:v>135</x:v>
      </x:c>
      <x:c r="O102" s="12" t="n">
        <x:f>'日経_U168_08'!E33</x:f>
        <x:v>2810</x:v>
      </x:c>
      <x:c r="P102" s="14" t="n">
        <x:f>'日経_U168_08'!F33</x:f>
        <x:v>281</x:v>
      </x:c>
    </x:row>
    <x:row r="103" ht="25" customHeight="1">
      <x:c r="A103" s="2" t="str">
        <x:v>NK225_U168_09</x:v>
      </x:c>
      <x:c r="B103" s="28" t="str">
        <x:v>米国後</x:v>
      </x:c>
      <x:c r="C103" s="28" t="str">
        <x:v>比較候補</x:v>
      </x:c>
      <x:c r="D103" s="7" t="n">
        <x:f>'日経_U168_09'!B33</x:f>
        <x:v>517000</x:v>
      </x:c>
      <x:c r="E103" s="7" t="n">
        <x:f>'日経_U168_09'!C33</x:f>
        <x:v>342000</x:v>
      </x:c>
      <x:c r="F103" s="7" t="n">
        <x:f>'日経_U168_09'!D33</x:f>
        <x:v>175000</x:v>
      </x:c>
      <x:c r="G103" s="12" t="n">
        <x:f>COUNTIFS('日経_U168_09'!D6:D32,"&lt;0")</x:f>
        <x:v>4</x:v>
      </x:c>
      <x:c r="H103" s="7" t="n">
        <x:f>IF(G103=0,0,-SUMIFS('日経_U168_09'!D6:D32,'日経_U168_09'!D6:D32,"&lt;0")/G103)</x:f>
        <x:v>71250</x:v>
      </x:c>
      <x:c r="I103" s="7" t="n">
        <x:f>MAX(0,-MIN('日経_U168_09'!D6:D32))</x:f>
        <x:v>135000</x:v>
      </x:c>
      <x:c r="J103" s="7" t="n">
        <x:f>F103-MAX(0,LARGE('日経_U168_09'!D6:D32,1))-MAX(0,LARGE('日経_U168_09'!D6:D32,2))-MAX(0,LARGE('日経_U168_09'!D6:D32,3))</x:f>
        <x:v>-12000</x:v>
      </x:c>
      <x:c r="K103" s="7" t="n">
        <x:v>-221000</x:v>
      </x:c>
      <x:c r="L103" s="7" t="n">
        <x:v>242000</x:v>
      </x:c>
      <x:c r="M103" s="12" t="n">
        <x:v>1</x:v>
      </x:c>
      <x:c r="N103" s="12" t="n">
        <x:v>139</x:v>
      </x:c>
      <x:c r="O103" s="12" t="n">
        <x:f>'日経_U168_09'!E33</x:f>
        <x:v>2810</x:v>
      </x:c>
      <x:c r="P103" s="14" t="n">
        <x:f>'日経_U168_09'!F33</x:f>
        <x:v>281</x:v>
      </x:c>
    </x:row>
    <x:row r="104" ht="25" customHeight="1">
      <x:c r="A104" s="2" t="str">
        <x:v>NK225_U168_10</x:v>
      </x:c>
      <x:c r="B104" s="28" t="str">
        <x:v>米国後</x:v>
      </x:c>
      <x:c r="C104" s="28" t="str">
        <x:v>比較候補</x:v>
      </x:c>
      <x:c r="D104" s="7" t="n">
        <x:f>'日経_U168_10'!B33</x:f>
        <x:v>405500</x:v>
      </x:c>
      <x:c r="E104" s="7" t="n">
        <x:f>'日経_U168_10'!C33</x:f>
        <x:v>387000</x:v>
      </x:c>
      <x:c r="F104" s="7" t="n">
        <x:f>'日経_U168_10'!D33</x:f>
        <x:v>18500</x:v>
      </x:c>
      <x:c r="G104" s="12" t="n">
        <x:f>COUNTIFS('日経_U168_10'!D6:D32,"&lt;0")</x:f>
        <x:v>9</x:v>
      </x:c>
      <x:c r="H104" s="7" t="n">
        <x:f>IF(G104=0,0,-SUMIFS('日経_U168_10'!D6:D32,'日経_U168_10'!D6:D32,"&lt;0")/G104)</x:f>
        <x:v>27055.555555555555</x:v>
      </x:c>
      <x:c r="I104" s="7" t="n">
        <x:f>MAX(0,-MIN('日経_U168_10'!D6:D32))</x:f>
        <x:v>53000</x:v>
      </x:c>
      <x:c r="J104" s="7" t="n">
        <x:f>F104-MAX(0,LARGE('日経_U168_10'!D6:D32,1))-MAX(0,LARGE('日経_U168_10'!D6:D32,2))-MAX(0,LARGE('日経_U168_10'!D6:D32,3))</x:f>
        <x:v>-86500</x:v>
      </x:c>
      <x:c r="K104" s="7" t="n">
        <x:v>-64000</x:v>
      </x:c>
      <x:c r="L104" s="7" t="n">
        <x:v>64000</x:v>
      </x:c>
      <x:c r="M104" s="12" t="n">
        <x:v>6</x:v>
      </x:c>
      <x:c r="N104" s="12" t="n">
        <x:v>127</x:v>
      </x:c>
      <x:c r="O104" s="12" t="n">
        <x:f>'日経_U168_10'!E33</x:f>
        <x:v>2810</x:v>
      </x:c>
      <x:c r="P104" s="14" t="n">
        <x:f>'日経_U168_10'!F33</x:f>
        <x:v>281</x:v>
      </x:c>
    </x:row>
    <x:row r="105" ht="25" customHeight="1">
      <x:c r="A105" s="2" t="str">
        <x:v>NK225_U168_11</x:v>
      </x:c>
      <x:c r="B105" s="28" t="str">
        <x:v>米国後</x:v>
      </x:c>
      <x:c r="C105" s="28" t="str">
        <x:v>比較候補</x:v>
      </x:c>
      <x:c r="D105" s="7" t="n">
        <x:f>'日経_U168_11'!B33</x:f>
        <x:v>462200</x:v>
      </x:c>
      <x:c r="E105" s="7" t="n">
        <x:f>'日経_U168_11'!C33</x:f>
        <x:v>387200</x:v>
      </x:c>
      <x:c r="F105" s="7" t="n">
        <x:f>'日経_U168_11'!D33</x:f>
        <x:v>75000</x:v>
      </x:c>
      <x:c r="G105" s="12" t="n">
        <x:f>COUNTIFS('日経_U168_11'!D6:D32,"&lt;0")</x:f>
        <x:v>9</x:v>
      </x:c>
      <x:c r="H105" s="7" t="n">
        <x:f>IF(G105=0,0,-SUMIFS('日経_U168_11'!D6:D32,'日経_U168_11'!D6:D32,"&lt;0")/G105)</x:f>
        <x:v>26400</x:v>
      </x:c>
      <x:c r="I105" s="7" t="n">
        <x:f>MAX(0,-MIN('日経_U168_11'!D6:D32))</x:f>
        <x:v>53000</x:v>
      </x:c>
      <x:c r="J105" s="7" t="n">
        <x:f>F105-MAX(0,LARGE('日経_U168_11'!D6:D32,1))-MAX(0,LARGE('日経_U168_11'!D6:D32,2))-MAX(0,LARGE('日経_U168_11'!D6:D32,3))</x:f>
        <x:v>-58400</x:v>
      </x:c>
      <x:c r="K105" s="7" t="n">
        <x:v>-63400</x:v>
      </x:c>
      <x:c r="L105" s="7" t="n">
        <x:v>63400</x:v>
      </x:c>
      <x:c r="M105" s="12" t="n">
        <x:v>6</x:v>
      </x:c>
      <x:c r="N105" s="12" t="n">
        <x:v>127</x:v>
      </x:c>
      <x:c r="O105" s="12" t="n">
        <x:f>'日経_U168_11'!E33</x:f>
        <x:v>2810</x:v>
      </x:c>
      <x:c r="P105" s="14" t="n">
        <x:f>'日経_U168_11'!F33</x:f>
        <x:v>281</x:v>
      </x:c>
    </x:row>
    <x:row r="106" ht="25" customHeight="1">
      <x:c r="A106" s="2" t="str">
        <x:v>NK225_U168_12</x:v>
      </x:c>
      <x:c r="B106" s="28" t="str">
        <x:v>米国後</x:v>
      </x:c>
      <x:c r="C106" s="28" t="str">
        <x:v>比較候補</x:v>
      </x:c>
      <x:c r="D106" s="7" t="n">
        <x:f>'日経_U168_12'!B33</x:f>
        <x:v>489200</x:v>
      </x:c>
      <x:c r="E106" s="7" t="n">
        <x:f>'日経_U168_12'!C33</x:f>
        <x:v>342200</x:v>
      </x:c>
      <x:c r="F106" s="7" t="n">
        <x:f>'日経_U168_12'!D33</x:f>
        <x:v>147000</x:v>
      </x:c>
      <x:c r="G106" s="12" t="n">
        <x:f>COUNTIFS('日経_U168_12'!D6:D32,"&lt;0")</x:f>
        <x:v>7</x:v>
      </x:c>
      <x:c r="H106" s="7" t="n">
        <x:f>IF(G106=0,0,-SUMIFS('日経_U168_12'!D6:D32,'日経_U168_12'!D6:D32,"&lt;0")/G106)</x:f>
        <x:v>20228.571428571428</x:v>
      </x:c>
      <x:c r="I106" s="7" t="n">
        <x:f>MAX(0,-MIN('日経_U168_12'!D6:D32))</x:f>
        <x:v>43800</x:v>
      </x:c>
      <x:c r="J106" s="7" t="n">
        <x:f>F106-MAX(0,LARGE('日経_U168_12'!D6:D32,1))-MAX(0,LARGE('日経_U168_12'!D6:D32,2))-MAX(0,LARGE('日経_U168_12'!D6:D32,3))</x:f>
        <x:v>44000</x:v>
      </x:c>
      <x:c r="K106" s="7" t="n">
        <x:v>-57800</x:v>
      </x:c>
      <x:c r="L106" s="7" t="n">
        <x:v>66200</x:v>
      </x:c>
      <x:c r="M106" s="12" t="n">
        <x:v>3</x:v>
      </x:c>
      <x:c r="N106" s="12" t="n">
        <x:v>125</x:v>
      </x:c>
      <x:c r="O106" s="12" t="n">
        <x:f>'日経_U168_12'!E33</x:f>
        <x:v>2810</x:v>
      </x:c>
      <x:c r="P106" s="14" t="n">
        <x:f>'日経_U168_12'!F33</x:f>
        <x:v>281</x:v>
      </x:c>
    </x:row>
    <x:row r="107" ht="25" customHeight="1">
      <x:c r="A107" s="2" t="str">
        <x:v>NK225_U168_13</x:v>
      </x:c>
      <x:c r="B107" s="28" t="str">
        <x:v>米国後</x:v>
      </x:c>
      <x:c r="C107" s="28" t="str">
        <x:v>比較候補</x:v>
      </x:c>
      <x:c r="D107" s="7" t="n">
        <x:f>'日経_U168_13'!B33</x:f>
        <x:v>679000</x:v>
      </x:c>
      <x:c r="E107" s="7" t="n">
        <x:f>'日経_U168_13'!C33</x:f>
        <x:v>603000</x:v>
      </x:c>
      <x:c r="F107" s="7" t="n">
        <x:f>'日経_U168_13'!D33</x:f>
        <x:v>76000</x:v>
      </x:c>
      <x:c r="G107" s="12" t="n">
        <x:f>COUNTIFS('日経_U168_13'!D6:D32,"&lt;0")</x:f>
        <x:v>12</x:v>
      </x:c>
      <x:c r="H107" s="7" t="n">
        <x:f>IF(G107=0,0,-SUMIFS('日経_U168_13'!D6:D32,'日経_U168_13'!D6:D32,"&lt;0")/G107)</x:f>
        <x:v>27333.333333333332</x:v>
      </x:c>
      <x:c r="I107" s="7" t="n">
        <x:f>MAX(0,-MIN('日経_U168_13'!D6:D32))</x:f>
        <x:v>53000</x:v>
      </x:c>
      <x:c r="J107" s="7" t="n">
        <x:f>F107-MAX(0,LARGE('日経_U168_13'!D6:D32,1))-MAX(0,LARGE('日経_U168_13'!D6:D32,2))-MAX(0,LARGE('日経_U168_13'!D6:D32,3))</x:f>
        <x:v>-133000</x:v>
      </x:c>
      <x:c r="K107" s="7" t="n">
        <x:v>-58000</x:v>
      </x:c>
      <x:c r="L107" s="7" t="n">
        <x:v>65000</x:v>
      </x:c>
      <x:c r="M107" s="12" t="n">
        <x:v>11</x:v>
      </x:c>
      <x:c r="N107" s="12" t="n">
        <x:v>193</x:v>
      </x:c>
      <x:c r="O107" s="12" t="n">
        <x:f>'日経_U168_13'!E33</x:f>
        <x:v>4300</x:v>
      </x:c>
      <x:c r="P107" s="14" t="n">
        <x:f>'日経_U168_13'!F33</x:f>
        <x:v>430</x:v>
      </x:c>
    </x:row>
    <x:row r="108" ht="25" customHeight="1">
      <x:c r="A108" s="2" t="str">
        <x:v>NK225_U168_14</x:v>
      </x:c>
      <x:c r="B108" s="28" t="str">
        <x:v>米国後</x:v>
      </x:c>
      <x:c r="C108" s="28" t="str">
        <x:v>比較候補</x:v>
      </x:c>
      <x:c r="D108" s="7" t="n">
        <x:f>'日経_U168_14'!B33</x:f>
        <x:v>657000</x:v>
      </x:c>
      <x:c r="E108" s="7" t="n">
        <x:f>'日経_U168_14'!C33</x:f>
        <x:v>614000</x:v>
      </x:c>
      <x:c r="F108" s="7" t="n">
        <x:f>'日経_U168_14'!D33</x:f>
        <x:v>43000</x:v>
      </x:c>
      <x:c r="G108" s="12" t="n">
        <x:f>COUNTIFS('日経_U168_14'!D6:D32,"&lt;0")</x:f>
        <x:v>9</x:v>
      </x:c>
      <x:c r="H108" s="7" t="n">
        <x:f>IF(G108=0,0,-SUMIFS('日経_U168_14'!D6:D32,'日経_U168_14'!D6:D32,"&lt;0")/G108)</x:f>
        <x:v>32888.88888888889</x:v>
      </x:c>
      <x:c r="I108" s="7" t="n">
        <x:f>MAX(0,-MIN('日経_U168_14'!D6:D32))</x:f>
        <x:v>74000</x:v>
      </x:c>
      <x:c r="J108" s="7" t="n">
        <x:f>F108-MAX(0,LARGE('日経_U168_14'!D6:D32,1))-MAX(0,LARGE('日経_U168_14'!D6:D32,2))-MAX(0,LARGE('日経_U168_14'!D6:D32,3))</x:f>
        <x:v>-94000</x:v>
      </x:c>
      <x:c r="K108" s="7" t="n">
        <x:v>-74000</x:v>
      </x:c>
      <x:c r="L108" s="7" t="n">
        <x:v>90000</x:v>
      </x:c>
      <x:c r="M108" s="12" t="n">
        <x:v>8</x:v>
      </x:c>
      <x:c r="N108" s="12" t="n">
        <x:v>184</x:v>
      </x:c>
      <x:c r="O108" s="12" t="n">
        <x:f>'日経_U168_14'!E33</x:f>
        <x:v>4230</x:v>
      </x:c>
      <x:c r="P108" s="14" t="n">
        <x:f>'日経_U168_14'!F33</x:f>
        <x:v>423</x:v>
      </x:c>
    </x:row>
    <x:row r="109" ht="25" customHeight="1">
      <x:c r="A109" s="2" t="str">
        <x:v>NK225_U168_15</x:v>
      </x:c>
      <x:c r="B109" s="28" t="str">
        <x:v>米国後</x:v>
      </x:c>
      <x:c r="C109" s="28" t="str">
        <x:v>比較候補</x:v>
      </x:c>
      <x:c r="D109" s="7" t="n">
        <x:f>'日経_U168_15'!B33</x:f>
        <x:v>636300</x:v>
      </x:c>
      <x:c r="E109" s="7" t="n">
        <x:f>'日経_U168_15'!C33</x:f>
        <x:v>891600</x:v>
      </x:c>
      <x:c r="F109" s="7" t="n">
        <x:f>'日経_U168_15'!D33</x:f>
        <x:v>-255300</x:v>
      </x:c>
      <x:c r="G109" s="12" t="n">
        <x:f>COUNTIFS('日経_U168_15'!D6:D32,"&lt;0")</x:f>
        <x:v>13</x:v>
      </x:c>
      <x:c r="H109" s="7" t="n">
        <x:f>IF(G109=0,0,-SUMIFS('日経_U168_15'!D6:D32,'日経_U168_15'!D6:D32,"&lt;0")/G109)</x:f>
        <x:v>37184.61538461538</x:v>
      </x:c>
      <x:c r="I109" s="7" t="n">
        <x:f>MAX(0,-MIN('日経_U168_15'!D6:D32))</x:f>
        <x:v>92700</x:v>
      </x:c>
      <x:c r="J109" s="7" t="n">
        <x:f>F109-MAX(0,LARGE('日経_U168_15'!D6:D32,1))-MAX(0,LARGE('日経_U168_15'!D6:D32,2))-MAX(0,LARGE('日経_U168_15'!D6:D32,3))</x:f>
        <x:v>-378200</x:v>
      </x:c>
      <x:c r="K109" s="7" t="n">
        <x:v>-110200</x:v>
      </x:c>
      <x:c r="L109" s="7" t="n">
        <x:v>123200</x:v>
      </x:c>
      <x:c r="M109" s="12" t="n">
        <x:v>10</x:v>
      </x:c>
      <x:c r="N109" s="12" t="n">
        <x:v>209</x:v>
      </x:c>
      <x:c r="O109" s="12" t="n">
        <x:f>'日経_U168_15'!E33</x:f>
        <x:v>4459</x:v>
      </x:c>
      <x:c r="P109" s="14" t="n">
        <x:f>'日経_U168_15'!F33</x:f>
        <x:v>445.9</x:v>
      </x:c>
    </x:row>
    <x:row r="110" ht="25" customHeight="1">
      <x:c r="A110" s="2" t="str">
        <x:v>NK225_U168_16</x:v>
      </x:c>
      <x:c r="B110" s="28" t="str">
        <x:v>米国後</x:v>
      </x:c>
      <x:c r="C110" s="28" t="str">
        <x:v>比較候補</x:v>
      </x:c>
      <x:c r="D110" s="7" t="n">
        <x:f>'日経_U168_16'!B33</x:f>
        <x:v>811000</x:v>
      </x:c>
      <x:c r="E110" s="7" t="n">
        <x:f>'日経_U168_16'!C33</x:f>
        <x:v>1149600</x:v>
      </x:c>
      <x:c r="F110" s="7" t="n">
        <x:f>'日経_U168_16'!D33</x:f>
        <x:v>-338600</x:v>
      </x:c>
      <x:c r="G110" s="12" t="n">
        <x:f>COUNTIFS('日経_U168_16'!D6:D32,"&lt;0")</x:f>
        <x:v>17</x:v>
      </x:c>
      <x:c r="H110" s="7" t="n">
        <x:f>IF(G110=0,0,-SUMIFS('日経_U168_16'!D6:D32,'日経_U168_16'!D6:D32,"&lt;0")/G110)</x:f>
        <x:v>33335.294117647056</x:v>
      </x:c>
      <x:c r="I110" s="7" t="n">
        <x:f>MAX(0,-MIN('日経_U168_16'!D6:D32))</x:f>
        <x:v>136500</x:v>
      </x:c>
      <x:c r="J110" s="7" t="n">
        <x:f>F110-MAX(0,LARGE('日経_U168_16'!D6:D32,1))-MAX(0,LARGE('日経_U168_16'!D6:D32,2))-MAX(0,LARGE('日経_U168_16'!D6:D32,3))</x:f>
        <x:v>-467700</x:v>
      </x:c>
      <x:c r="K110" s="7" t="n">
        <x:v>-136500</x:v>
      </x:c>
      <x:c r="L110" s="7" t="n">
        <x:v>143200</x:v>
      </x:c>
      <x:c r="M110" s="12" t="n">
        <x:v>16</x:v>
      </x:c>
      <x:c r="N110" s="12" t="n">
        <x:v>310</x:v>
      </x:c>
      <x:c r="O110" s="12" t="n">
        <x:f>'日経_U168_16'!E33</x:f>
        <x:v>5702</x:v>
      </x:c>
      <x:c r="P110" s="14" t="n">
        <x:f>'日経_U168_16'!F33</x:f>
        <x:v>570.2</x:v>
      </x:c>
    </x:row>
    <x:row r="111" ht="25" customHeight="1">
      <x:c r="A111" s="2" t="str">
        <x:v>NK225_U168_17</x:v>
      </x:c>
      <x:c r="B111" s="28" t="str">
        <x:v>米国後</x:v>
      </x:c>
      <x:c r="C111" s="28" t="str">
        <x:v>比較候補</x:v>
      </x:c>
      <x:c r="D111" s="7" t="n">
        <x:f>'日経_U168_17'!B33</x:f>
        <x:v>1119300</x:v>
      </x:c>
      <x:c r="E111" s="7" t="n">
        <x:f>'日経_U168_17'!C33</x:f>
        <x:v>1445500</x:v>
      </x:c>
      <x:c r="F111" s="7" t="n">
        <x:f>'日経_U168_17'!D33</x:f>
        <x:v>-326200</x:v>
      </x:c>
      <x:c r="G111" s="12" t="n">
        <x:f>COUNTIFS('日経_U168_17'!D6:D32,"&lt;0")</x:f>
        <x:v>15</x:v>
      </x:c>
      <x:c r="H111" s="7" t="n">
        <x:f>IF(G111=0,0,-SUMIFS('日経_U168_17'!D6:D32,'日経_U168_17'!D6:D32,"&lt;0")/G111)</x:f>
        <x:v>42613.333333333336</x:v>
      </x:c>
      <x:c r="I111" s="7" t="n">
        <x:f>MAX(0,-MIN('日経_U168_17'!D6:D32))</x:f>
        <x:v>117500</x:v>
      </x:c>
      <x:c r="J111" s="7" t="n">
        <x:f>F111-MAX(0,LARGE('日経_U168_17'!D6:D32,1))-MAX(0,LARGE('日経_U168_17'!D6:D32,2))-MAX(0,LARGE('日経_U168_17'!D6:D32,3))</x:f>
        <x:v>-484200</x:v>
      </x:c>
      <x:c r="K111" s="7" t="n">
        <x:v>-135400</x:v>
      </x:c>
      <x:c r="L111" s="7" t="n">
        <x:v>148400</x:v>
      </x:c>
      <x:c r="M111" s="12" t="n">
        <x:v>43</x:v>
      </x:c>
      <x:c r="N111" s="12" t="n">
        <x:v>275</x:v>
      </x:c>
      <x:c r="O111" s="12" t="n">
        <x:f>'日経_U168_17'!E33</x:f>
        <x:v>5387</x:v>
      </x:c>
      <x:c r="P111" s="14" t="n">
        <x:f>'日経_U168_17'!F33</x:f>
        <x:v>538.7</x:v>
      </x:c>
    </x:row>
    <x:row r="112" ht="25" customHeight="1">
      <x:c r="A112" s="2" t="str">
        <x:v>NK225_U168_18</x:v>
      </x:c>
      <x:c r="B112" s="28" t="str">
        <x:v>米国後</x:v>
      </x:c>
      <x:c r="C112" s="28" t="str">
        <x:v>比較候補</x:v>
      </x:c>
      <x:c r="D112" s="7" t="n">
        <x:f>'日経_U168_18'!B33</x:f>
        <x:v>506000</x:v>
      </x:c>
      <x:c r="E112" s="7" t="n">
        <x:f>'日経_U168_18'!C33</x:f>
        <x:v>387000</x:v>
      </x:c>
      <x:c r="F112" s="7" t="n">
        <x:f>'日経_U168_18'!D33</x:f>
        <x:v>119000</x:v>
      </x:c>
      <x:c r="G112" s="12" t="n">
        <x:f>COUNTIFS('日経_U168_18'!D6:D32,"&lt;0")</x:f>
        <x:v>10</x:v>
      </x:c>
      <x:c r="H112" s="7" t="n">
        <x:f>IF(G112=0,0,-SUMIFS('日経_U168_18'!D6:D32,'日経_U168_18'!D6:D32,"&lt;0")/G112)</x:f>
        <x:v>24000</x:v>
      </x:c>
      <x:c r="I112" s="7" t="n">
        <x:f>MAX(0,-MIN('日経_U168_18'!D6:D32))</x:f>
        <x:v>53000</x:v>
      </x:c>
      <x:c r="J112" s="7" t="n">
        <x:f>F112-MAX(0,LARGE('日経_U168_18'!D6:D32,1))-MAX(0,LARGE('日経_U168_18'!D6:D32,2))-MAX(0,LARGE('日経_U168_18'!D6:D32,3))</x:f>
        <x:v>-62000</x:v>
      </x:c>
      <x:c r="K112" s="7" t="n">
        <x:v>-58000</x:v>
      </x:c>
      <x:c r="L112" s="7" t="n">
        <x:v>66000</x:v>
      </x:c>
      <x:c r="M112" s="12" t="n">
        <x:v>6</x:v>
      </x:c>
      <x:c r="N112" s="12" t="n">
        <x:v>127</x:v>
      </x:c>
      <x:c r="O112" s="12" t="n">
        <x:f>'日経_U168_18'!E33</x:f>
        <x:v>2810</x:v>
      </x:c>
      <x:c r="P112" s="14" t="n">
        <x:f>'日経_U168_18'!F33</x:f>
        <x:v>281</x:v>
      </x:c>
    </x:row>
    <x:row r="113" ht="25" customHeight="1">
      <x:c r="A113" s="2" t="str">
        <x:v>NK225_U168_19</x:v>
      </x:c>
      <x:c r="B113" s="28" t="str">
        <x:v>米国後</x:v>
      </x:c>
      <x:c r="C113" s="28" t="str">
        <x:v>比較候補</x:v>
      </x:c>
      <x:c r="D113" s="7" t="n">
        <x:f>'日経_U168_19'!B33</x:f>
        <x:v>937600</x:v>
      </x:c>
      <x:c r="E113" s="7" t="n">
        <x:f>'日経_U168_19'!C33</x:f>
        <x:v>977600</x:v>
      </x:c>
      <x:c r="F113" s="7" t="n">
        <x:f>'日経_U168_19'!D33</x:f>
        <x:v>-40000</x:v>
      </x:c>
      <x:c r="G113" s="12" t="n">
        <x:f>COUNTIFS('日経_U168_19'!D6:D32,"&lt;0")</x:f>
        <x:v>16</x:v>
      </x:c>
      <x:c r="H113" s="7" t="n">
        <x:f>IF(G113=0,0,-SUMIFS('日経_U168_19'!D6:D32,'日経_U168_19'!D6:D32,"&lt;0")/G113)</x:f>
        <x:v>22875</x:v>
      </x:c>
      <x:c r="I113" s="7" t="n">
        <x:f>MAX(0,-MIN('日経_U168_19'!D6:D32))</x:f>
        <x:v>110200</x:v>
      </x:c>
      <x:c r="J113" s="7" t="n">
        <x:f>F113-MAX(0,LARGE('日経_U168_19'!D6:D32,1))-MAX(0,LARGE('日経_U168_19'!D6:D32,2))-MAX(0,LARGE('日経_U168_19'!D6:D32,3))</x:f>
        <x:v>-197900</x:v>
      </x:c>
      <x:c r="K113" s="7" t="n">
        <x:v>-118800</x:v>
      </x:c>
      <x:c r="L113" s="7" t="n">
        <x:v>124800</x:v>
      </x:c>
      <x:c r="M113" s="12" t="n">
        <x:v>14</x:v>
      </x:c>
      <x:c r="N113" s="12" t="n">
        <x:v>356</x:v>
      </x:c>
      <x:c r="O113" s="12" t="n">
        <x:f>'日経_U168_19'!E33</x:f>
        <x:v>6100</x:v>
      </x:c>
      <x:c r="P113" s="14" t="n">
        <x:f>'日経_U168_19'!F33</x:f>
        <x:v>610</x:v>
      </x:c>
    </x:row>
    <x:row r="114" ht="25" customHeight="1">
      <x:c r="A114" s="2" t="str">
        <x:v>NK225_U168_20</x:v>
      </x:c>
      <x:c r="B114" s="28" t="str">
        <x:v>米国後</x:v>
      </x:c>
      <x:c r="C114" s="28" t="str">
        <x:v>比較候補</x:v>
      </x:c>
      <x:c r="D114" s="7" t="n">
        <x:f>'日経_U168_20'!B33</x:f>
        <x:v>487000</x:v>
      </x:c>
      <x:c r="E114" s="7" t="n">
        <x:f>'日経_U168_20'!C33</x:f>
        <x:v>293000</x:v>
      </x:c>
      <x:c r="F114" s="7" t="n">
        <x:f>'日経_U168_20'!D33</x:f>
        <x:v>194000</x:v>
      </x:c>
      <x:c r="G114" s="12" t="n">
        <x:f>COUNTIFS('日経_U168_20'!D6:D32,"&lt;0")</x:f>
        <x:v>7</x:v>
      </x:c>
      <x:c r="H114" s="7" t="n">
        <x:f>IF(G114=0,0,-SUMIFS('日経_U168_20'!D6:D32,'日経_U168_20'!D6:D32,"&lt;0")/G114)</x:f>
        <x:v>24714.285714285714</x:v>
      </x:c>
      <x:c r="I114" s="7" t="n">
        <x:f>MAX(0,-MIN('日経_U168_20'!D6:D32))</x:f>
        <x:v>71000</x:v>
      </x:c>
      <x:c r="J114" s="7" t="n">
        <x:f>F114-MAX(0,LARGE('日経_U168_20'!D6:D32,1))-MAX(0,LARGE('日経_U168_20'!D6:D32,2))-MAX(0,LARGE('日経_U168_20'!D6:D32,3))</x:f>
        <x:v>31000</x:v>
      </x:c>
      <x:c r="K114" s="7" t="n">
        <x:v>-94000</x:v>
      </x:c>
      <x:c r="L114" s="7" t="n">
        <x:v>94000</x:v>
      </x:c>
      <x:c r="M114" s="12" t="n">
        <x:v>2</x:v>
      </x:c>
      <x:c r="N114" s="12" t="n">
        <x:v>135</x:v>
      </x:c>
      <x:c r="O114" s="12" t="n">
        <x:f>'日経_U168_20'!E33</x:f>
        <x:v>2810</x:v>
      </x:c>
      <x:c r="P114" s="14" t="n">
        <x:f>'日経_U168_20'!F33</x:f>
        <x:v>281</x:v>
      </x:c>
    </x:row>
    <x:row r="115" ht="25" customHeight="1">
      <x:c r="A115" s="2" t="str">
        <x:v>NK225_U168_21</x:v>
      </x:c>
      <x:c r="B115" s="28" t="str">
        <x:v>米国後</x:v>
      </x:c>
      <x:c r="C115" s="28" t="str">
        <x:v>比較候補</x:v>
      </x:c>
      <x:c r="D115" s="7" t="n">
        <x:f>'日経_U168_21'!B33</x:f>
        <x:v>3052000</x:v>
      </x:c>
      <x:c r="E115" s="7" t="n">
        <x:f>'日経_U168_21'!C33</x:f>
        <x:v>1535000</x:v>
      </x:c>
      <x:c r="F115" s="7" t="n">
        <x:f>'日経_U168_21'!D33</x:f>
        <x:v>1517000</x:v>
      </x:c>
      <x:c r="G115" s="12" t="n">
        <x:f>COUNTIFS('日経_U168_21'!D6:D32,"&lt;0")</x:f>
        <x:v>8</x:v>
      </x:c>
      <x:c r="H115" s="7" t="n">
        <x:f>IF(G115=0,0,-SUMIFS('日経_U168_21'!D6:D32,'日経_U168_21'!D6:D32,"&lt;0")/G115)</x:f>
        <x:v>41250</x:v>
      </x:c>
      <x:c r="I115" s="7" t="n">
        <x:f>MAX(0,-MIN('日経_U168_21'!D6:D32))</x:f>
        <x:v>86000</x:v>
      </x:c>
      <x:c r="J115" s="7" t="n">
        <x:f>F115-MAX(0,LARGE('日経_U168_21'!D6:D32,1))-MAX(0,LARGE('日経_U168_21'!D6:D32,2))-MAX(0,LARGE('日経_U168_21'!D6:D32,3))</x:f>
        <x:v>820000</x:v>
      </x:c>
      <x:c r="K115" s="7" t="n">
        <x:v>-121000</x:v>
      </x:c>
      <x:c r="L115" s="7" t="n">
        <x:v>330000</x:v>
      </x:c>
      <x:c r="M115" s="12" t="n">
        <x:v>42</x:v>
      </x:c>
      <x:c r="N115" s="12" t="n">
        <x:v>135</x:v>
      </x:c>
      <x:c r="O115" s="12" t="n">
        <x:f>'日経_U168_21'!E33</x:f>
        <x:v>2810</x:v>
      </x:c>
      <x:c r="P115" s="14" t="n">
        <x:f>'日経_U168_21'!F33</x:f>
        <x:v>281</x:v>
      </x:c>
    </x:row>
    <x:row r="116" ht="25" customHeight="1">
      <x:c r="A116" s="2" t="str">
        <x:v>NK225_U168_22</x:v>
      </x:c>
      <x:c r="B116" s="28" t="str">
        <x:v>米国後</x:v>
      </x:c>
      <x:c r="C116" s="28" t="str">
        <x:v>比較候補</x:v>
      </x:c>
      <x:c r="D116" s="7" t="n">
        <x:f>'日経_U168_22'!B33</x:f>
        <x:v>792900</x:v>
      </x:c>
      <x:c r="E116" s="7" t="n">
        <x:f>'日経_U168_22'!C33</x:f>
        <x:v>1176600</x:v>
      </x:c>
      <x:c r="F116" s="7" t="n">
        <x:f>'日経_U168_22'!D33</x:f>
        <x:v>-383700</x:v>
      </x:c>
      <x:c r="G116" s="12" t="n">
        <x:f>COUNTIFS('日経_U168_22'!D6:D32,"&lt;0")</x:f>
        <x:v>17</x:v>
      </x:c>
      <x:c r="H116" s="7" t="n">
        <x:f>IF(G116=0,0,-SUMIFS('日経_U168_22'!D6:D32,'日経_U168_22'!D6:D32,"&lt;0")/G116)</x:f>
        <x:v>38535.294117647056</x:v>
      </x:c>
      <x:c r="I116" s="7" t="n">
        <x:f>MAX(0,-MIN('日経_U168_22'!D6:D32))</x:f>
        <x:v>136500</x:v>
      </x:c>
      <x:c r="J116" s="7" t="n">
        <x:f>F116-MAX(0,LARGE('日経_U168_22'!D6:D32,1))-MAX(0,LARGE('日経_U168_22'!D6:D32,2))-MAX(0,LARGE('日経_U168_22'!D6:D32,3))</x:f>
        <x:v>-548600</x:v>
      </x:c>
      <x:c r="K116" s="7" t="n">
        <x:v>-136500</x:v>
      </x:c>
      <x:c r="L116" s="7" t="n">
        <x:v>143200</x:v>
      </x:c>
      <x:c r="M116" s="12" t="n">
        <x:v>20</x:v>
      </x:c>
      <x:c r="N116" s="12" t="n">
        <x:v>305</x:v>
      </x:c>
      <x:c r="O116" s="12" t="n">
        <x:f>'日経_U168_22'!E33</x:f>
        <x:v>5542</x:v>
      </x:c>
      <x:c r="P116" s="14" t="n">
        <x:f>'日経_U168_22'!F33</x:f>
        <x:v>554.2</x:v>
      </x:c>
    </x:row>
    <x:row r="117" ht="25" customHeight="1">
      <x:c r="A117" s="2" t="str">
        <x:v>NK225_U168_23</x:v>
      </x:c>
      <x:c r="B117" s="28" t="str">
        <x:v>米国後</x:v>
      </x:c>
      <x:c r="C117" s="28" t="str">
        <x:v>比較候補</x:v>
      </x:c>
      <x:c r="D117" s="7" t="n">
        <x:f>'日経_U168_23'!B33</x:f>
        <x:v>736800</x:v>
      </x:c>
      <x:c r="E117" s="7" t="n">
        <x:f>'日経_U168_23'!C33</x:f>
        <x:v>1115800</x:v>
      </x:c>
      <x:c r="F117" s="7" t="n">
        <x:f>'日経_U168_23'!D33</x:f>
        <x:v>-379000</x:v>
      </x:c>
      <x:c r="G117" s="12" t="n">
        <x:f>COUNTIFS('日経_U168_23'!D6:D32,"&lt;0")</x:f>
        <x:v>18</x:v>
      </x:c>
      <x:c r="H117" s="7" t="n">
        <x:f>IF(G117=0,0,-SUMIFS('日経_U168_23'!D6:D32,'日経_U168_23'!D6:D32,"&lt;0")/G117)</x:f>
        <x:v>30388.88888888889</x:v>
      </x:c>
      <x:c r="I117" s="7" t="n">
        <x:f>MAX(0,-MIN('日経_U168_23'!D6:D32))</x:f>
        <x:v>96000</x:v>
      </x:c>
      <x:c r="J117" s="7" t="n">
        <x:f>F117-MAX(0,LARGE('日経_U168_23'!D6:D32,1))-MAX(0,LARGE('日経_U168_23'!D6:D32,2))-MAX(0,LARGE('日経_U168_23'!D6:D32,3))</x:f>
        <x:v>-472500</x:v>
      </x:c>
      <x:c r="K117" s="7" t="n">
        <x:v>-112500</x:v>
      </x:c>
      <x:c r="L117" s="7" t="n">
        <x:v>118500</x:v>
      </x:c>
      <x:c r="M117" s="12" t="n">
        <x:v>14</x:v>
      </x:c>
      <x:c r="N117" s="12" t="n">
        <x:v>349</x:v>
      </x:c>
      <x:c r="O117" s="12" t="n">
        <x:f>'日経_U168_23'!E33</x:f>
        <x:v>5961</x:v>
      </x:c>
      <x:c r="P117" s="14" t="n">
        <x:f>'日経_U168_23'!F33</x:f>
        <x:v>596.1</x:v>
      </x:c>
    </x:row>
    <x:row r="118" ht="25" customHeight="1">
      <x:c r="A118" s="2" t="str">
        <x:v>NK225_U168_24</x:v>
      </x:c>
      <x:c r="B118" s="28" t="str">
        <x:v>米国後</x:v>
      </x:c>
      <x:c r="C118" s="28" t="str">
        <x:v>比較候補</x:v>
      </x:c>
      <x:c r="D118" s="7" t="n">
        <x:f>'日経_U168_24'!B33</x:f>
        <x:v>539800</x:v>
      </x:c>
      <x:c r="E118" s="7" t="n">
        <x:f>'日経_U168_24'!C33</x:f>
        <x:v>485900</x:v>
      </x:c>
      <x:c r="F118" s="7" t="n">
        <x:f>'日経_U168_24'!D33</x:f>
        <x:v>53900</x:v>
      </x:c>
      <x:c r="G118" s="12" t="n">
        <x:f>COUNTIFS('日経_U168_24'!D6:D32,"&lt;0")</x:f>
        <x:v>8</x:v>
      </x:c>
      <x:c r="H118" s="7" t="n">
        <x:f>IF(G118=0,0,-SUMIFS('日経_U168_24'!D6:D32,'日経_U168_24'!D6:D32,"&lt;0")/G118)</x:f>
        <x:v>19350</x:v>
      </x:c>
      <x:c r="I118" s="7" t="n">
        <x:f>MAX(0,-MIN('日経_U168_24'!D6:D32))</x:f>
        <x:v>42700</x:v>
      </x:c>
      <x:c r="J118" s="7" t="n">
        <x:f>F118-MAX(0,LARGE('日経_U168_24'!D6:D32,1))-MAX(0,LARGE('日経_U168_24'!D6:D32,2))-MAX(0,LARGE('日経_U168_24'!D6:D32,3))</x:f>
        <x:v>-18200</x:v>
      </x:c>
      <x:c r="K118" s="7" t="n">
        <x:v>-64900</x:v>
      </x:c>
      <x:c r="L118" s="7" t="n">
        <x:v>73500</x:v>
      </x:c>
      <x:c r="M118" s="12" t="n">
        <x:v>19</x:v>
      </x:c>
      <x:c r="N118" s="12" t="n">
        <x:v>308</x:v>
      </x:c>
      <x:c r="O118" s="12" t="n">
        <x:f>'日経_U168_24'!E33</x:f>
        <x:v>3240</x:v>
      </x:c>
      <x:c r="P118" s="14" t="n">
        <x:f>'日経_U168_24'!F33</x:f>
        <x:v>324</x:v>
      </x:c>
    </x:row>
    <x:row r="119" ht="25" customHeight="1">
      <x:c r="A119" s="2" t="str">
        <x:v>NK225_U168_25</x:v>
      </x:c>
      <x:c r="B119" s="28" t="str">
        <x:v>米国後</x:v>
      </x:c>
      <x:c r="C119" s="28" t="str">
        <x:v>比較候補</x:v>
      </x:c>
      <x:c r="D119" s="7" t="n">
        <x:f>'日経_U168_25'!B33</x:f>
        <x:v>1001100</x:v>
      </x:c>
      <x:c r="E119" s="7" t="n">
        <x:f>'日経_U168_25'!C33</x:f>
        <x:v>1381000</x:v>
      </x:c>
      <x:c r="F119" s="7" t="n">
        <x:f>'日経_U168_25'!D33</x:f>
        <x:v>-379900</x:v>
      </x:c>
      <x:c r="G119" s="12" t="n">
        <x:f>COUNTIFS('日経_U168_25'!D6:D32,"&lt;0")</x:f>
        <x:v>15</x:v>
      </x:c>
      <x:c r="H119" s="7" t="n">
        <x:f>IF(G119=0,0,-SUMIFS('日経_U168_25'!D6:D32,'日経_U168_25'!D6:D32,"&lt;0")/G119)</x:f>
        <x:v>44526.666666666664</x:v>
      </x:c>
      <x:c r="I119" s="7" t="n">
        <x:f>MAX(0,-MIN('日経_U168_25'!D6:D32))</x:f>
        <x:v>88200</x:v>
      </x:c>
      <x:c r="J119" s="7" t="n">
        <x:f>F119-MAX(0,LARGE('日経_U168_25'!D6:D32,1))-MAX(0,LARGE('日経_U168_25'!D6:D32,2))-MAX(0,LARGE('日経_U168_25'!D6:D32,3))</x:f>
        <x:v>-527900</x:v>
      </x:c>
      <x:c r="K119" s="7" t="n">
        <x:v>-117100</x:v>
      </x:c>
      <x:c r="L119" s="7" t="n">
        <x:v>149600</x:v>
      </x:c>
      <x:c r="M119" s="12" t="n">
        <x:v>11</x:v>
      </x:c>
      <x:c r="N119" s="12" t="n">
        <x:v>385</x:v>
      </x:c>
      <x:c r="O119" s="12" t="n">
        <x:f>'日経_U168_25'!E33</x:f>
        <x:v>6201</x:v>
      </x:c>
      <x:c r="P119" s="14" t="n">
        <x:f>'日経_U168_25'!F33</x:f>
        <x:v>620.1</x:v>
      </x:c>
    </x:row>
    <x:row r="120" ht="25" customHeight="1">
      <x:c r="A120" s="2" t="str">
        <x:v>NK225_U168_26</x:v>
      </x:c>
      <x:c r="B120" s="28" t="str">
        <x:v>米国後</x:v>
      </x:c>
      <x:c r="C120" s="28" t="str">
        <x:v>比較候補</x:v>
      </x:c>
      <x:c r="D120" s="7" t="n">
        <x:f>'日経_U168_26'!B33</x:f>
        <x:v>1072000</x:v>
      </x:c>
      <x:c r="E120" s="7" t="n">
        <x:f>'日経_U168_26'!C33</x:f>
        <x:v>515000</x:v>
      </x:c>
      <x:c r="F120" s="7" t="n">
        <x:f>'日経_U168_26'!D33</x:f>
        <x:v>557000</x:v>
      </x:c>
      <x:c r="G120" s="12" t="n">
        <x:f>COUNTIFS('日経_U168_26'!D6:D32,"&lt;0")</x:f>
        <x:v>10</x:v>
      </x:c>
      <x:c r="H120" s="7" t="n">
        <x:f>IF(G120=0,0,-SUMIFS('日経_U168_26'!D6:D32,'日経_U168_26'!D6:D32,"&lt;0")/G120)</x:f>
        <x:v>29100</x:v>
      </x:c>
      <x:c r="I120" s="7" t="n">
        <x:f>MAX(0,-MIN('日経_U168_26'!D6:D32))</x:f>
        <x:v>53000</x:v>
      </x:c>
      <x:c r="J120" s="7" t="n">
        <x:f>F120-MAX(0,LARGE('日経_U168_26'!D6:D32,1))-MAX(0,LARGE('日経_U168_26'!D6:D32,2))-MAX(0,LARGE('日経_U168_26'!D6:D32,3))</x:f>
        <x:v>77000</x:v>
      </x:c>
      <x:c r="K120" s="7" t="n">
        <x:v>-66000</x:v>
      </x:c>
      <x:c r="L120" s="7" t="n">
        <x:v>93000</x:v>
      </x:c>
      <x:c r="M120" s="12" t="n">
        <x:v>17</x:v>
      </x:c>
      <x:c r="N120" s="12" t="n">
        <x:v>127</x:v>
      </x:c>
      <x:c r="O120" s="12" t="n">
        <x:f>'日経_U168_26'!E33</x:f>
        <x:v>2810</x:v>
      </x:c>
      <x:c r="P120" s="14" t="n">
        <x:f>'日経_U168_26'!F33</x:f>
        <x:v>281</x:v>
      </x:c>
    </x:row>
    <x:row r="121" ht="25" customHeight="1">
      <x:c r="A121" s="2" t="str">
        <x:v>NK225_U168_27</x:v>
      </x:c>
      <x:c r="B121" s="28" t="str">
        <x:v>米国後</x:v>
      </x:c>
      <x:c r="C121" s="28" t="str">
        <x:v>比較候補</x:v>
      </x:c>
      <x:c r="D121" s="7" t="n">
        <x:f>'日経_U168_27'!B33</x:f>
        <x:v>1979000</x:v>
      </x:c>
      <x:c r="E121" s="7" t="n">
        <x:f>'日経_U168_27'!C33</x:f>
        <x:v>1244300</x:v>
      </x:c>
      <x:c r="F121" s="7" t="n">
        <x:f>'日経_U168_27'!D33</x:f>
        <x:v>734700</x:v>
      </x:c>
      <x:c r="G121" s="12" t="n">
        <x:f>COUNTIFS('日経_U168_27'!D6:D32,"&lt;0")</x:f>
        <x:v>10</x:v>
      </x:c>
      <x:c r="H121" s="7" t="n">
        <x:f>IF(G121=0,0,-SUMIFS('日経_U168_27'!D6:D32,'日経_U168_27'!D6:D32,"&lt;0")/G121)</x:f>
        <x:v>48890</x:v>
      </x:c>
      <x:c r="I121" s="7" t="n">
        <x:f>MAX(0,-MIN('日経_U168_27'!D6:D32))</x:f>
        <x:v>97700</x:v>
      </x:c>
      <x:c r="J121" s="7" t="n">
        <x:f>F121-MAX(0,LARGE('日経_U168_27'!D6:D32,1))-MAX(0,LARGE('日経_U168_27'!D6:D32,2))-MAX(0,LARGE('日経_U168_27'!D6:D32,3))</x:f>
        <x:v>211100</x:v>
      </x:c>
      <x:c r="K121" s="7" t="n">
        <x:v>-133600</x:v>
      </x:c>
      <x:c r="L121" s="7" t="n">
        <x:v>263100</x:v>
      </x:c>
      <x:c r="M121" s="12" t="n">
        <x:v>24</x:v>
      </x:c>
      <x:c r="N121" s="12" t="n">
        <x:v>296</x:v>
      </x:c>
      <x:c r="O121" s="12" t="n">
        <x:f>'日経_U168_27'!E33</x:f>
        <x:v>4966</x:v>
      </x:c>
      <x:c r="P121" s="14" t="n">
        <x:f>'日経_U168_27'!F33</x:f>
        <x:v>496.6</x:v>
      </x:c>
    </x:row>
    <x:row r="122" ht="25" customHeight="1">
      <x:c r="A122" s="2" t="str">
        <x:v>NK225_U168B_01</x:v>
      </x:c>
      <x:c r="B122" s="28" t="str">
        <x:v>米国後</x:v>
      </x:c>
      <x:c r="C122" s="28" t="str">
        <x:v>比較候補</x:v>
      </x:c>
      <x:c r="D122" s="7" t="n">
        <x:f>'日経_U168B_01'!B33</x:f>
        <x:v>479000</x:v>
      </x:c>
      <x:c r="E122" s="7" t="n">
        <x:f>'日経_U168B_01'!C33</x:f>
        <x:v>387000</x:v>
      </x:c>
      <x:c r="F122" s="7" t="n">
        <x:f>'日経_U168B_01'!D33</x:f>
        <x:v>92000</x:v>
      </x:c>
      <x:c r="G122" s="12" t="n">
        <x:f>COUNTIFS('日経_U168B_01'!D6:D32,"&lt;0")</x:f>
        <x:v>9</x:v>
      </x:c>
      <x:c r="H122" s="7" t="n">
        <x:f>IF(G122=0,0,-SUMIFS('日経_U168B_01'!D6:D32,'日経_U168B_01'!D6:D32,"&lt;0")/G122)</x:f>
        <x:v>26222.222222222223</x:v>
      </x:c>
      <x:c r="I122" s="7" t="n">
        <x:f>MAX(0,-MIN('日経_U168B_01'!D6:D32))</x:f>
        <x:v>53000</x:v>
      </x:c>
      <x:c r="J122" s="7" t="n">
        <x:f>F122-MAX(0,LARGE('日経_U168B_01'!D6:D32,1))-MAX(0,LARGE('日経_U168B_01'!D6:D32,2))-MAX(0,LARGE('日経_U168B_01'!D6:D32,3))</x:f>
        <x:v>-54000</x:v>
      </x:c>
      <x:c r="K122" s="7" t="n">
        <x:v>-64000</x:v>
      </x:c>
      <x:c r="L122" s="7" t="n">
        <x:v>74000</x:v>
      </x:c>
      <x:c r="M122" s="12" t="n">
        <x:v>6</x:v>
      </x:c>
      <x:c r="N122" s="12" t="n">
        <x:v>127</x:v>
      </x:c>
      <x:c r="O122" s="12" t="n">
        <x:f>'日経_U168B_01'!E33</x:f>
        <x:v>2810</x:v>
      </x:c>
      <x:c r="P122" s="14" t="n">
        <x:f>'日経_U168B_01'!F33</x:f>
        <x:v>281</x:v>
      </x:c>
    </x:row>
    <x:row r="123" ht="25" customHeight="1">
      <x:c r="A123" s="2" t="str">
        <x:v>NK225_U168B_02</x:v>
      </x:c>
      <x:c r="B123" s="28" t="str">
        <x:v>米国後</x:v>
      </x:c>
      <x:c r="C123" s="28" t="str">
        <x:v>比較候補</x:v>
      </x:c>
      <x:c r="D123" s="7" t="n">
        <x:f>'日経_U168B_02'!B33</x:f>
        <x:v>449000</x:v>
      </x:c>
      <x:c r="E123" s="7" t="n">
        <x:f>'日経_U168B_02'!C33</x:f>
        <x:v>387000</x:v>
      </x:c>
      <x:c r="F123" s="7" t="n">
        <x:f>'日経_U168B_02'!D33</x:f>
        <x:v>62000</x:v>
      </x:c>
      <x:c r="G123" s="12" t="n">
        <x:f>COUNTIFS('日経_U168B_02'!D6:D32,"&lt;0")</x:f>
        <x:v>10</x:v>
      </x:c>
      <x:c r="H123" s="7" t="n">
        <x:f>IF(G123=0,0,-SUMIFS('日経_U168B_02'!D6:D32,'日経_U168B_02'!D6:D32,"&lt;0")/G123)</x:f>
        <x:v>25400</x:v>
      </x:c>
      <x:c r="I123" s="7" t="n">
        <x:f>MAX(0,-MIN('日経_U168B_02'!D6:D32))</x:f>
        <x:v>53000</x:v>
      </x:c>
      <x:c r="J123" s="7" t="n">
        <x:f>F123-MAX(0,LARGE('日経_U168B_02'!D6:D32,1))-MAX(0,LARGE('日経_U168B_02'!D6:D32,2))-MAX(0,LARGE('日経_U168B_02'!D6:D32,3))</x:f>
        <x:v>-89000</x:v>
      </x:c>
      <x:c r="K123" s="7" t="n">
        <x:v>-66000</x:v>
      </x:c>
      <x:c r="L123" s="7" t="n">
        <x:v>66000</x:v>
      </x:c>
      <x:c r="M123" s="12" t="n">
        <x:v>6</x:v>
      </x:c>
      <x:c r="N123" s="12" t="n">
        <x:v>127</x:v>
      </x:c>
      <x:c r="O123" s="12" t="n">
        <x:f>'日経_U168B_02'!E33</x:f>
        <x:v>2810</x:v>
      </x:c>
      <x:c r="P123" s="14" t="n">
        <x:f>'日経_U168B_02'!F33</x:f>
        <x:v>281</x:v>
      </x:c>
    </x:row>
    <x:row r="124" ht="25" customHeight="1">
      <x:c r="A124" s="2" t="str">
        <x:v>NK225_U168B_03</x:v>
      </x:c>
      <x:c r="B124" s="28" t="str">
        <x:v>米国後</x:v>
      </x:c>
      <x:c r="C124" s="28" t="str">
        <x:v>比較候補</x:v>
      </x:c>
      <x:c r="D124" s="7" t="n">
        <x:f>'日経_U168B_03'!B33</x:f>
        <x:v>383000</x:v>
      </x:c>
      <x:c r="E124" s="7" t="n">
        <x:f>'日経_U168B_03'!C33</x:f>
        <x:v>387000</x:v>
      </x:c>
      <x:c r="F124" s="7" t="n">
        <x:f>'日経_U168B_03'!D33</x:f>
        <x:v>-4000</x:v>
      </x:c>
      <x:c r="G124" s="12" t="n">
        <x:f>COUNTIFS('日経_U168B_03'!D6:D32,"&lt;0")</x:f>
        <x:v>10</x:v>
      </x:c>
      <x:c r="H124" s="7" t="n">
        <x:f>IF(G124=0,0,-SUMIFS('日経_U168B_03'!D6:D32,'日経_U168B_03'!D6:D32,"&lt;0")/G124)</x:f>
        <x:v>24800</x:v>
      </x:c>
      <x:c r="I124" s="7" t="n">
        <x:f>MAX(0,-MIN('日経_U168B_03'!D6:D32))</x:f>
        <x:v>53000</x:v>
      </x:c>
      <x:c r="J124" s="7" t="n">
        <x:f>F124-MAX(0,LARGE('日経_U168B_03'!D6:D32,1))-MAX(0,LARGE('日経_U168B_03'!D6:D32,2))-MAX(0,LARGE('日経_U168B_03'!D6:D32,3))</x:f>
        <x:v>-94000</x:v>
      </x:c>
      <x:c r="K124" s="7" t="n">
        <x:v>-66000</x:v>
      </x:c>
      <x:c r="L124" s="7" t="n">
        <x:v>66000</x:v>
      </x:c>
      <x:c r="M124" s="12" t="n">
        <x:v>6</x:v>
      </x:c>
      <x:c r="N124" s="12" t="n">
        <x:v>127</x:v>
      </x:c>
      <x:c r="O124" s="12" t="n">
        <x:f>'日経_U168B_03'!E33</x:f>
        <x:v>2810</x:v>
      </x:c>
      <x:c r="P124" s="14" t="n">
        <x:f>'日経_U168B_03'!F33</x:f>
        <x:v>281</x:v>
      </x:c>
    </x:row>
    <x:row r="125" ht="25" customHeight="1">
      <x:c r="A125" s="2" t="str">
        <x:v>NK225_U168B_04</x:v>
      </x:c>
      <x:c r="B125" s="28" t="str">
        <x:v>米国後</x:v>
      </x:c>
      <x:c r="C125" s="28" t="str">
        <x:v>比較候補</x:v>
      </x:c>
      <x:c r="D125" s="7" t="n">
        <x:f>'日経_U168B_04'!B33</x:f>
        <x:v>466000</x:v>
      </x:c>
      <x:c r="E125" s="7" t="n">
        <x:f>'日経_U168B_04'!C33</x:f>
        <x:v>387000</x:v>
      </x:c>
      <x:c r="F125" s="7" t="n">
        <x:f>'日経_U168B_04'!D33</x:f>
        <x:v>79000</x:v>
      </x:c>
      <x:c r="G125" s="12" t="n">
        <x:f>COUNTIFS('日経_U168B_04'!D6:D32,"&lt;0")</x:f>
        <x:v>10</x:v>
      </x:c>
      <x:c r="H125" s="7" t="n">
        <x:f>IF(G125=0,0,-SUMIFS('日経_U168B_04'!D6:D32,'日経_U168B_04'!D6:D32,"&lt;0")/G125)</x:f>
        <x:v>25400</x:v>
      </x:c>
      <x:c r="I125" s="7" t="n">
        <x:f>MAX(0,-MIN('日経_U168B_04'!D6:D32))</x:f>
        <x:v>53000</x:v>
      </x:c>
      <x:c r="J125" s="7" t="n">
        <x:f>F125-MAX(0,LARGE('日経_U168B_04'!D6:D32,1))-MAX(0,LARGE('日経_U168B_04'!D6:D32,2))-MAX(0,LARGE('日経_U168B_04'!D6:D32,3))</x:f>
        <x:v>-77000</x:v>
      </x:c>
      <x:c r="K125" s="7" t="n">
        <x:v>-66000</x:v>
      </x:c>
      <x:c r="L125" s="7" t="n">
        <x:v>66000</x:v>
      </x:c>
      <x:c r="M125" s="12" t="n">
        <x:v>6</x:v>
      </x:c>
      <x:c r="N125" s="12" t="n">
        <x:v>127</x:v>
      </x:c>
      <x:c r="O125" s="12" t="n">
        <x:f>'日経_U168B_04'!E33</x:f>
        <x:v>2810</x:v>
      </x:c>
      <x:c r="P125" s="14" t="n">
        <x:f>'日経_U168B_04'!F33</x:f>
        <x:v>281</x:v>
      </x:c>
    </x:row>
    <x:row r="126" ht="25" customHeight="1">
      <x:c r="A126" s="2" t="str">
        <x:v>NK225_U168B_05</x:v>
      </x:c>
      <x:c r="B126" s="28" t="str">
        <x:v>米国後</x:v>
      </x:c>
      <x:c r="C126" s="28" t="str">
        <x:v>比較候補</x:v>
      </x:c>
      <x:c r="D126" s="7" t="n">
        <x:f>'日経_U168B_05'!B33</x:f>
        <x:v>468500</x:v>
      </x:c>
      <x:c r="E126" s="7" t="n">
        <x:f>'日経_U168B_05'!C33</x:f>
        <x:v>387000</x:v>
      </x:c>
      <x:c r="F126" s="7" t="n">
        <x:f>'日経_U168B_05'!D33</x:f>
        <x:v>81500</x:v>
      </x:c>
      <x:c r="G126" s="12" t="n">
        <x:f>COUNTIFS('日経_U168B_05'!D6:D32,"&lt;0")</x:f>
        <x:v>9</x:v>
      </x:c>
      <x:c r="H126" s="7" t="n">
        <x:f>IF(G126=0,0,-SUMIFS('日経_U168B_05'!D6:D32,'日経_U168B_05'!D6:D32,"&lt;0")/G126)</x:f>
        <x:v>26055.555555555555</x:v>
      </x:c>
      <x:c r="I126" s="7" t="n">
        <x:f>MAX(0,-MIN('日経_U168B_05'!D6:D32))</x:f>
        <x:v>53000</x:v>
      </x:c>
      <x:c r="J126" s="7" t="n">
        <x:f>F126-MAX(0,LARGE('日経_U168B_05'!D6:D32,1))-MAX(0,LARGE('日経_U168B_05'!D6:D32,2))-MAX(0,LARGE('日経_U168B_05'!D6:D32,3))</x:f>
        <x:v>-40500</x:v>
      </x:c>
      <x:c r="K126" s="7" t="n">
        <x:v>-63500</x:v>
      </x:c>
      <x:c r="L126" s="7" t="n">
        <x:v>65500</x:v>
      </x:c>
      <x:c r="M126" s="12" t="n">
        <x:v>6</x:v>
      </x:c>
      <x:c r="N126" s="12" t="n">
        <x:v>127</x:v>
      </x:c>
      <x:c r="O126" s="12" t="n">
        <x:f>'日経_U168B_05'!E33</x:f>
        <x:v>2810</x:v>
      </x:c>
      <x:c r="P126" s="14" t="n">
        <x:f>'日経_U168B_05'!F33</x:f>
        <x:v>281</x:v>
      </x:c>
    </x:row>
    <x:row r="127" ht="25" customHeight="1">
      <x:c r="A127" s="2" t="str">
        <x:v>NK225_U168B_06</x:v>
      </x:c>
      <x:c r="B127" s="28" t="str">
        <x:v>米国後</x:v>
      </x:c>
      <x:c r="C127" s="28" t="str">
        <x:v>比較候補</x:v>
      </x:c>
      <x:c r="D127" s="7" t="n">
        <x:f>'日経_U168B_06'!B33</x:f>
        <x:v>462200</x:v>
      </x:c>
      <x:c r="E127" s="7" t="n">
        <x:f>'日経_U168B_06'!C33</x:f>
        <x:v>387000</x:v>
      </x:c>
      <x:c r="F127" s="7" t="n">
        <x:f>'日経_U168B_06'!D33</x:f>
        <x:v>75200</x:v>
      </x:c>
      <x:c r="G127" s="12" t="n">
        <x:f>COUNTIFS('日経_U168B_06'!D6:D32,"&lt;0")</x:f>
        <x:v>9</x:v>
      </x:c>
      <x:c r="H127" s="7" t="n">
        <x:f>IF(G127=0,0,-SUMIFS('日経_U168B_06'!D6:D32,'日経_U168B_06'!D6:D32,"&lt;0")/G127)</x:f>
        <x:v>25955.555555555555</x:v>
      </x:c>
      <x:c r="I127" s="7" t="n">
        <x:f>MAX(0,-MIN('日経_U168B_06'!D6:D32))</x:f>
        <x:v>53000</x:v>
      </x:c>
      <x:c r="J127" s="7" t="n">
        <x:f>F127-MAX(0,LARGE('日経_U168B_06'!D6:D32,1))-MAX(0,LARGE('日経_U168B_06'!D6:D32,2))-MAX(0,LARGE('日経_U168B_06'!D6:D32,3))</x:f>
        <x:v>-51200</x:v>
      </x:c>
      <x:c r="K127" s="7" t="n">
        <x:v>-63200</x:v>
      </x:c>
      <x:c r="L127" s="7" t="n">
        <x:v>63200</x:v>
      </x:c>
      <x:c r="M127" s="12" t="n">
        <x:v>6</x:v>
      </x:c>
      <x:c r="N127" s="12" t="n">
        <x:v>127</x:v>
      </x:c>
      <x:c r="O127" s="12" t="n">
        <x:f>'日経_U168B_06'!E33</x:f>
        <x:v>2810</x:v>
      </x:c>
      <x:c r="P127" s="14" t="n">
        <x:f>'日経_U168B_06'!F33</x:f>
        <x:v>281</x:v>
      </x:c>
    </x:row>
    <x:row r="128" ht="25" customHeight="1">
      <x:c r="A128" s="2" t="str">
        <x:v>NK225_U168B_07</x:v>
      </x:c>
      <x:c r="B128" s="28" t="str">
        <x:v>米国後</x:v>
      </x:c>
      <x:c r="C128" s="28" t="str">
        <x:v>比較候補</x:v>
      </x:c>
      <x:c r="D128" s="7" t="n">
        <x:f>'日経_U168B_07'!B33</x:f>
        <x:v>453500</x:v>
      </x:c>
      <x:c r="E128" s="7" t="n">
        <x:f>'日経_U168B_07'!C33</x:f>
        <x:v>387000</x:v>
      </x:c>
      <x:c r="F128" s="7" t="n">
        <x:f>'日経_U168B_07'!D33</x:f>
        <x:v>66500</x:v>
      </x:c>
      <x:c r="G128" s="12" t="n">
        <x:f>COUNTIFS('日経_U168B_07'!D6:D32,"&lt;0")</x:f>
        <x:v>9</x:v>
      </x:c>
      <x:c r="H128" s="7" t="n">
        <x:f>IF(G128=0,0,-SUMIFS('日経_U168B_07'!D6:D32,'日経_U168B_07'!D6:D32,"&lt;0")/G128)</x:f>
        <x:v>26888.88888888889</x:v>
      </x:c>
      <x:c r="I128" s="7" t="n">
        <x:f>MAX(0,-MIN('日経_U168B_07'!D6:D32))</x:f>
        <x:v>53000</x:v>
      </x:c>
      <x:c r="J128" s="7" t="n">
        <x:f>F128-MAX(0,LARGE('日経_U168B_07'!D6:D32,1))-MAX(0,LARGE('日経_U168B_07'!D6:D32,2))-MAX(0,LARGE('日経_U168B_07'!D6:D32,3))</x:f>
        <x:v>-56000</x:v>
      </x:c>
      <x:c r="K128" s="7" t="n">
        <x:v>-64500</x:v>
      </x:c>
      <x:c r="L128" s="7" t="n">
        <x:v>64500</x:v>
      </x:c>
      <x:c r="M128" s="12" t="n">
        <x:v>6</x:v>
      </x:c>
      <x:c r="N128" s="12" t="n">
        <x:v>127</x:v>
      </x:c>
      <x:c r="O128" s="12" t="n">
        <x:f>'日経_U168B_07'!E33</x:f>
        <x:v>2810</x:v>
      </x:c>
      <x:c r="P128" s="14" t="n">
        <x:f>'日経_U168B_07'!F33</x:f>
        <x:v>281</x:v>
      </x:c>
    </x:row>
    <x:row r="129" ht="25" customHeight="1">
      <x:c r="A129" s="2" t="str">
        <x:v>NK225_U168B_08</x:v>
      </x:c>
      <x:c r="B129" s="28" t="str">
        <x:v>米国後</x:v>
      </x:c>
      <x:c r="C129" s="28" t="str">
        <x:v>比較候補</x:v>
      </x:c>
      <x:c r="D129" s="7" t="n">
        <x:f>'日経_U168B_08'!B33</x:f>
        <x:v>456200</x:v>
      </x:c>
      <x:c r="E129" s="7" t="n">
        <x:f>'日経_U168B_08'!C33</x:f>
        <x:v>387000</x:v>
      </x:c>
      <x:c r="F129" s="7" t="n">
        <x:f>'日経_U168B_08'!D33</x:f>
        <x:v>69200</x:v>
      </x:c>
      <x:c r="G129" s="12" t="n">
        <x:f>COUNTIFS('日経_U168B_08'!D6:D32,"&lt;0")</x:f>
        <x:v>9</x:v>
      </x:c>
      <x:c r="H129" s="7" t="n">
        <x:f>IF(G129=0,0,-SUMIFS('日経_U168B_08'!D6:D32,'日経_U168B_08'!D6:D32,"&lt;0")/G129)</x:f>
        <x:v>26288.88888888889</x:v>
      </x:c>
      <x:c r="I129" s="7" t="n">
        <x:f>MAX(0,-MIN('日経_U168B_08'!D6:D32))</x:f>
        <x:v>53000</x:v>
      </x:c>
      <x:c r="J129" s="7" t="n">
        <x:f>F129-MAX(0,LARGE('日経_U168B_08'!D6:D32,1))-MAX(0,LARGE('日経_U168B_08'!D6:D32,2))-MAX(0,LARGE('日経_U168B_08'!D6:D32,3))</x:f>
        <x:v>-55600</x:v>
      </x:c>
      <x:c r="K129" s="7" t="n">
        <x:v>-63600</x:v>
      </x:c>
      <x:c r="L129" s="7" t="n">
        <x:v>63600</x:v>
      </x:c>
      <x:c r="M129" s="12" t="n">
        <x:v>6</x:v>
      </x:c>
      <x:c r="N129" s="12" t="n">
        <x:v>127</x:v>
      </x:c>
      <x:c r="O129" s="12" t="n">
        <x:f>'日経_U168B_08'!E33</x:f>
        <x:v>2810</x:v>
      </x:c>
      <x:c r="P129" s="14" t="n">
        <x:f>'日経_U168B_08'!F33</x:f>
        <x:v>281</x:v>
      </x:c>
    </x:row>
    <x:row r="130" ht="25" customHeight="1">
      <x:c r="A130" s="2" t="str">
        <x:v>NK225_U168B_09</x:v>
      </x:c>
      <x:c r="B130" s="28" t="str">
        <x:v>米国後</x:v>
      </x:c>
      <x:c r="C130" s="28" t="str">
        <x:v>前20場で固定</x:v>
      </x:c>
      <x:c r="D130" s="7" t="n">
        <x:f>'日経_U168B_09'!B33</x:f>
        <x:v>1125000</x:v>
      </x:c>
      <x:c r="E130" s="7" t="n">
        <x:f>'日経_U168B_09'!C33</x:f>
        <x:v>388000</x:v>
      </x:c>
      <x:c r="F130" s="7" t="n">
        <x:f>'日経_U168B_09'!D33</x:f>
        <x:v>737000</x:v>
      </x:c>
      <x:c r="G130" s="12" t="n">
        <x:f>COUNTIFS('日経_U168B_09'!D6:D32,"&lt;0")</x:f>
        <x:v>5</x:v>
      </x:c>
      <x:c r="H130" s="7" t="n">
        <x:f>IF(G130=0,0,-SUMIFS('日経_U168B_09'!D6:D32,'日経_U168B_09'!D6:D32,"&lt;0")/G130)</x:f>
        <x:v>30200</x:v>
      </x:c>
      <x:c r="I130" s="7" t="n">
        <x:f>MAX(0,-MIN('日経_U168B_09'!D6:D32))</x:f>
        <x:v>61000</x:v>
      </x:c>
      <x:c r="J130" s="7" t="n">
        <x:f>F130-MAX(0,LARGE('日経_U168B_09'!D6:D32,1))-MAX(0,LARGE('日経_U168B_09'!D6:D32,2))-MAX(0,LARGE('日経_U168B_09'!D6:D32,3))</x:f>
        <x:v>281000</x:v>
      </x:c>
      <x:c r="K130" s="7" t="n">
        <x:v>-84000</x:v>
      </x:c>
      <x:c r="L130" s="7" t="n">
        <x:v>99000</x:v>
      </x:c>
      <x:c r="M130" s="12" t="n">
        <x:v>4</x:v>
      </x:c>
      <x:c r="N130" s="12" t="n">
        <x:v>135</x:v>
      </x:c>
      <x:c r="O130" s="12" t="n">
        <x:f>'日経_U168B_09'!E33</x:f>
        <x:v>2810</x:v>
      </x:c>
      <x:c r="P130" s="14" t="n">
        <x:f>'日経_U168B_09'!F33</x:f>
        <x:v>281</x:v>
      </x:c>
    </x:row>
    <x:row r="131" ht="25" customHeight="1">
      <x:c r="A131" s="2" t="str">
        <x:v>NK225_U168B_10</x:v>
      </x:c>
      <x:c r="B131" s="28" t="str">
        <x:v>米国後</x:v>
      </x:c>
      <x:c r="C131" s="28" t="str">
        <x:v>比較候補</x:v>
      </x:c>
      <x:c r="D131" s="7" t="n">
        <x:f>'日経_U168B_10'!B33</x:f>
        <x:v>225000</x:v>
      </x:c>
      <x:c r="E131" s="7" t="n">
        <x:f>'日経_U168B_10'!C33</x:f>
        <x:v>244000</x:v>
      </x:c>
      <x:c r="F131" s="7" t="n">
        <x:f>'日経_U168B_10'!D33</x:f>
        <x:v>-19000</x:v>
      </x:c>
      <x:c r="G131" s="12" t="n">
        <x:f>COUNTIFS('日経_U168B_10'!D6:D32,"&lt;0")</x:f>
        <x:v>7</x:v>
      </x:c>
      <x:c r="H131" s="7" t="n">
        <x:f>IF(G131=0,0,-SUMIFS('日経_U168B_10'!D6:D32,'日経_U168B_10'!D6:D32,"&lt;0")/G131)</x:f>
        <x:v>27000</x:v>
      </x:c>
      <x:c r="I131" s="7" t="n">
        <x:f>MAX(0,-MIN('日経_U168B_10'!D6:D32))</x:f>
        <x:v>69000</x:v>
      </x:c>
      <x:c r="J131" s="7" t="n">
        <x:f>F131-MAX(0,LARGE('日経_U168B_10'!D6:D32,1))-MAX(0,LARGE('日経_U168B_10'!D6:D32,2))-MAX(0,LARGE('日経_U168B_10'!D6:D32,3))</x:f>
        <x:v>-79000</x:v>
      </x:c>
      <x:c r="K131" s="7" t="n">
        <x:v>-71000</x:v>
      </x:c>
      <x:c r="L131" s="7" t="n">
        <x:v>71000</x:v>
      </x:c>
      <x:c r="M131" s="12" t="n">
        <x:v>0</x:v>
      </x:c>
      <x:c r="N131" s="12" t="n">
        <x:v>135</x:v>
      </x:c>
      <x:c r="O131" s="12" t="n">
        <x:f>'日経_U168B_10'!E33</x:f>
        <x:v>2810</x:v>
      </x:c>
      <x:c r="P131" s="14" t="n">
        <x:f>'日経_U168B_10'!F33</x:f>
        <x:v>281</x:v>
      </x:c>
    </x:row>
    <x:row r="132" ht="25" customHeight="1">
      <x:c r="A132" s="2" t="str">
        <x:v>NK225_U168B_11</x:v>
      </x:c>
      <x:c r="B132" s="28" t="str">
        <x:v>米国後</x:v>
      </x:c>
      <x:c r="C132" s="28" t="str">
        <x:v>比較候補</x:v>
      </x:c>
      <x:c r="D132" s="7" t="n">
        <x:f>'日経_U168B_11'!B33</x:f>
        <x:v>509000</x:v>
      </x:c>
      <x:c r="E132" s="7" t="n">
        <x:f>'日経_U168B_11'!C33</x:f>
        <x:v>292000</x:v>
      </x:c>
      <x:c r="F132" s="7" t="n">
        <x:f>'日経_U168B_11'!D33</x:f>
        <x:v>217000</x:v>
      </x:c>
      <x:c r="G132" s="12" t="n">
        <x:f>COUNTIFS('日経_U168B_11'!D6:D32,"&lt;0")</x:f>
        <x:v>8</x:v>
      </x:c>
      <x:c r="H132" s="7" t="n">
        <x:f>IF(G132=0,0,-SUMIFS('日経_U168B_11'!D6:D32,'日経_U168B_11'!D6:D32,"&lt;0")/G132)</x:f>
        <x:v>19000</x:v>
      </x:c>
      <x:c r="I132" s="7" t="n">
        <x:f>MAX(0,-MIN('日経_U168B_11'!D6:D32))</x:f>
        <x:v>66000</x:v>
      </x:c>
      <x:c r="J132" s="7" t="n">
        <x:f>F132-MAX(0,LARGE('日経_U168B_11'!D6:D32,1))-MAX(0,LARGE('日経_U168B_11'!D6:D32,2))-MAX(0,LARGE('日経_U168B_11'!D6:D32,3))</x:f>
        <x:v>73000</x:v>
      </x:c>
      <x:c r="K132" s="7" t="n">
        <x:v>-90000</x:v>
      </x:c>
      <x:c r="L132" s="7" t="n">
        <x:v>90000</x:v>
      </x:c>
      <x:c r="M132" s="12" t="n">
        <x:v>1</x:v>
      </x:c>
      <x:c r="N132" s="12" t="n">
        <x:v>135</x:v>
      </x:c>
      <x:c r="O132" s="12" t="n">
        <x:f>'日経_U168B_11'!E33</x:f>
        <x:v>2810</x:v>
      </x:c>
      <x:c r="P132" s="14" t="n">
        <x:f>'日経_U168B_11'!F33</x:f>
        <x:v>281</x:v>
      </x:c>
    </x:row>
    <x:row r="133" ht="25" customHeight="1">
      <x:c r="A133" s="2" t="str">
        <x:v>NK225_U168B_12</x:v>
      </x:c>
      <x:c r="B133" s="28" t="str">
        <x:v>米国後</x:v>
      </x:c>
      <x:c r="C133" s="28" t="str">
        <x:v>比較候補</x:v>
      </x:c>
      <x:c r="D133" s="7" t="n">
        <x:f>'日経_U168B_12'!B33</x:f>
        <x:v>709000</x:v>
      </x:c>
      <x:c r="E133" s="7" t="n">
        <x:f>'日経_U168B_12'!C33</x:f>
        <x:v>526000</x:v>
      </x:c>
      <x:c r="F133" s="7" t="n">
        <x:f>'日経_U168B_12'!D33</x:f>
        <x:v>183000</x:v>
      </x:c>
      <x:c r="G133" s="12" t="n">
        <x:f>COUNTIFS('日経_U168B_12'!D6:D32,"&lt;0")</x:f>
        <x:v>7</x:v>
      </x:c>
      <x:c r="H133" s="7" t="n">
        <x:f>IF(G133=0,0,-SUMIFS('日経_U168B_12'!D6:D32,'日経_U168B_12'!D6:D32,"&lt;0")/G133)</x:f>
        <x:v>23571.428571428572</x:v>
      </x:c>
      <x:c r="I133" s="7" t="n">
        <x:f>MAX(0,-MIN('日経_U168B_12'!D6:D32))</x:f>
        <x:v>61000</x:v>
      </x:c>
      <x:c r="J133" s="7" t="n">
        <x:f>F133-MAX(0,LARGE('日経_U168B_12'!D6:D32,1))-MAX(0,LARGE('日経_U168B_12'!D6:D32,2))-MAX(0,LARGE('日経_U168B_12'!D6:D32,3))</x:f>
        <x:v>66000</x:v>
      </x:c>
      <x:c r="K133" s="7" t="n">
        <x:v>-86000</x:v>
      </x:c>
      <x:c r="L133" s="7" t="n">
        <x:v>86000</x:v>
      </x:c>
      <x:c r="M133" s="12" t="n">
        <x:v>9</x:v>
      </x:c>
      <x:c r="N133" s="12" t="n">
        <x:v>135</x:v>
      </x:c>
      <x:c r="O133" s="12" t="n">
        <x:f>'日経_U168B_12'!E33</x:f>
        <x:v>2810</x:v>
      </x:c>
      <x:c r="P133" s="14" t="n">
        <x:f>'日経_U168B_12'!F33</x:f>
        <x:v>281</x:v>
      </x:c>
    </x:row>
    <x:row r="134" ht="25" customHeight="1">
      <x:c r="A134" s="2" t="str">
        <x:v>NK225_U168B_13</x:v>
      </x:c>
      <x:c r="B134" s="28" t="str">
        <x:v>米国後</x:v>
      </x:c>
      <x:c r="C134" s="28" t="str">
        <x:v>比較候補</x:v>
      </x:c>
      <x:c r="D134" s="7" t="n">
        <x:f>'日経_U168B_13'!B33</x:f>
        <x:v>936100</x:v>
      </x:c>
      <x:c r="E134" s="7" t="n">
        <x:f>'日経_U168B_13'!C33</x:f>
        <x:v>1097900</x:v>
      </x:c>
      <x:c r="F134" s="7" t="n">
        <x:f>'日経_U168B_13'!D33</x:f>
        <x:v>-161800</x:v>
      </x:c>
      <x:c r="G134" s="12" t="n">
        <x:f>COUNTIFS('日経_U168B_13'!D6:D32,"&lt;0")</x:f>
        <x:v>13</x:v>
      </x:c>
      <x:c r="H134" s="7" t="n">
        <x:f>IF(G134=0,0,-SUMIFS('日経_U168B_13'!D6:D32,'日経_U168B_13'!D6:D32,"&lt;0")/G134)</x:f>
        <x:v>31500</x:v>
      </x:c>
      <x:c r="I134" s="7" t="n">
        <x:f>MAX(0,-MIN('日経_U168B_13'!D6:D32))</x:f>
        <x:v>71100</x:v>
      </x:c>
      <x:c r="J134" s="7" t="n">
        <x:f>F134-MAX(0,LARGE('日経_U168B_13'!D6:D32,1))-MAX(0,LARGE('日経_U168B_13'!D6:D32,2))-MAX(0,LARGE('日経_U168B_13'!D6:D32,3))</x:f>
        <x:v>-286800</x:v>
      </x:c>
      <x:c r="K134" s="7" t="n">
        <x:v>-100000</x:v>
      </x:c>
      <x:c r="L134" s="7" t="n">
        <x:v>100000</x:v>
      </x:c>
      <x:c r="M134" s="12" t="n">
        <x:v>33</x:v>
      </x:c>
      <x:c r="N134" s="12" t="n">
        <x:v>296</x:v>
      </x:c>
      <x:c r="O134" s="12" t="n">
        <x:f>'日経_U168B_13'!E33</x:f>
        <x:v>6761</x:v>
      </x:c>
      <x:c r="P134" s="14" t="n">
        <x:f>'日経_U168B_13'!F33</x:f>
        <x:v>676.1</x:v>
      </x:c>
    </x:row>
    <x:row r="135" ht="25" customHeight="1">
      <x:c r="A135" s="2" t="str">
        <x:v>NK225_U168B_14</x:v>
      </x:c>
      <x:c r="B135" s="28" t="str">
        <x:v>米国後</x:v>
      </x:c>
      <x:c r="C135" s="28" t="str">
        <x:v>比較候補</x:v>
      </x:c>
      <x:c r="D135" s="7" t="n">
        <x:f>'日経_U168B_14'!B33</x:f>
        <x:v>548100</x:v>
      </x:c>
      <x:c r="E135" s="7" t="n">
        <x:f>'日経_U168B_14'!C33</x:f>
        <x:v>395600</x:v>
      </x:c>
      <x:c r="F135" s="7" t="n">
        <x:f>'日経_U168B_14'!D33</x:f>
        <x:v>152500</x:v>
      </x:c>
      <x:c r="G135" s="12" t="n">
        <x:f>COUNTIFS('日経_U168B_14'!D6:D32,"&lt;0")</x:f>
        <x:v>7</x:v>
      </x:c>
      <x:c r="H135" s="7" t="n">
        <x:f>IF(G135=0,0,-SUMIFS('日経_U168B_14'!D6:D32,'日経_U168B_14'!D6:D32,"&lt;0")/G135)</x:f>
        <x:v>24914.285714285714</x:v>
      </x:c>
      <x:c r="I135" s="7" t="n">
        <x:f>MAX(0,-MIN('日経_U168B_14'!D6:D32))</x:f>
        <x:v>68000</x:v>
      </x:c>
      <x:c r="J135" s="7" t="n">
        <x:f>F135-MAX(0,LARGE('日経_U168B_14'!D6:D32,1))-MAX(0,LARGE('日経_U168B_14'!D6:D32,2))-MAX(0,LARGE('日経_U168B_14'!D6:D32,3))</x:f>
        <x:v>41800</x:v>
      </x:c>
      <x:c r="K135" s="7" t="n">
        <x:v>-92400</x:v>
      </x:c>
      <x:c r="L135" s="7" t="n">
        <x:v>92400</x:v>
      </x:c>
      <x:c r="M135" s="12" t="n">
        <x:v>30</x:v>
      </x:c>
      <x:c r="N135" s="12" t="n">
        <x:v>279</x:v>
      </x:c>
      <x:c r="O135" s="12" t="n">
        <x:f>'日経_U168B_14'!E33</x:f>
        <x:v>3287</x:v>
      </x:c>
      <x:c r="P135" s="14" t="n">
        <x:f>'日経_U168B_14'!F33</x:f>
        <x:v>328.7</x:v>
      </x:c>
    </x:row>
    <x:row r="136" ht="25" customHeight="1">
      <x:c r="A136" s="2" t="str">
        <x:v>NK225_U168B_15</x:v>
      </x:c>
      <x:c r="B136" s="28" t="str">
        <x:v>米国後</x:v>
      </x:c>
      <x:c r="C136" s="28" t="str">
        <x:v>比較候補</x:v>
      </x:c>
      <x:c r="D136" s="7" t="n">
        <x:f>'日経_U168B_15'!B33</x:f>
        <x:v>589300</x:v>
      </x:c>
      <x:c r="E136" s="7" t="n">
        <x:f>'日経_U168B_15'!C33</x:f>
        <x:v>437100</x:v>
      </x:c>
      <x:c r="F136" s="7" t="n">
        <x:f>'日経_U168B_15'!D33</x:f>
        <x:v>152200</x:v>
      </x:c>
      <x:c r="G136" s="12" t="n">
        <x:f>COUNTIFS('日経_U168B_15'!D6:D32,"&lt;0")</x:f>
        <x:v>7</x:v>
      </x:c>
      <x:c r="H136" s="7" t="n">
        <x:f>IF(G136=0,0,-SUMIFS('日経_U168B_15'!D6:D32,'日経_U168B_15'!D6:D32,"&lt;0")/G136)</x:f>
        <x:v>25242.85714285714</x:v>
      </x:c>
      <x:c r="I136" s="7" t="n">
        <x:f>MAX(0,-MIN('日経_U168B_15'!D6:D32))</x:f>
        <x:v>66700</x:v>
      </x:c>
      <x:c r="J136" s="7" t="n">
        <x:f>F136-MAX(0,LARGE('日経_U168B_15'!D6:D32,1))-MAX(0,LARGE('日経_U168B_15'!D6:D32,2))-MAX(0,LARGE('日経_U168B_15'!D6:D32,3))</x:f>
        <x:v>32400</x:v>
      </x:c>
      <x:c r="K136" s="7" t="n">
        <x:v>-91500</x:v>
      </x:c>
      <x:c r="L136" s="7" t="n">
        <x:v>91500</x:v>
      </x:c>
      <x:c r="M136" s="12" t="n">
        <x:v>30</x:v>
      </x:c>
      <x:c r="N136" s="12" t="n">
        <x:v>287</x:v>
      </x:c>
      <x:c r="O136" s="12" t="n">
        <x:f>'日経_U168B_15'!E33</x:f>
        <x:v>3545</x:v>
      </x:c>
      <x:c r="P136" s="14" t="n">
        <x:f>'日経_U168B_15'!F33</x:f>
        <x:v>354.5</x:v>
      </x:c>
    </x:row>
    <x:row r="137" ht="25" customHeight="1">
      <x:c r="A137" s="2" t="str">
        <x:v>NK225_U168B_16</x:v>
      </x:c>
      <x:c r="B137" s="28" t="str">
        <x:v>米国後</x:v>
      </x:c>
      <x:c r="C137" s="28" t="str">
        <x:v>比較候補</x:v>
      </x:c>
      <x:c r="D137" s="7" t="n">
        <x:f>'日経_U168B_16'!B33</x:f>
        <x:v>579900</x:v>
      </x:c>
      <x:c r="E137" s="7" t="n">
        <x:f>'日経_U168B_16'!C33</x:f>
        <x:v>473100</x:v>
      </x:c>
      <x:c r="F137" s="7" t="n">
        <x:f>'日経_U168B_16'!D33</x:f>
        <x:v>106800</x:v>
      </x:c>
      <x:c r="G137" s="12" t="n">
        <x:f>COUNTIFS('日経_U168B_16'!D6:D32,"&lt;0")</x:f>
        <x:v>7</x:v>
      </x:c>
      <x:c r="H137" s="7" t="n">
        <x:f>IF(G137=0,0,-SUMIFS('日経_U168B_16'!D6:D32,'日経_U168B_16'!D6:D32,"&lt;0")/G137)</x:f>
        <x:v>25842.85714285714</x:v>
      </x:c>
      <x:c r="I137" s="7" t="n">
        <x:f>MAX(0,-MIN('日経_U168B_16'!D6:D32))</x:f>
        <x:v>68300</x:v>
      </x:c>
      <x:c r="J137" s="7" t="n">
        <x:f>F137-MAX(0,LARGE('日経_U168B_16'!D6:D32,1))-MAX(0,LARGE('日経_U168B_16'!D6:D32,2))-MAX(0,LARGE('日経_U168B_16'!D6:D32,3))</x:f>
        <x:v>1900</x:v>
      </x:c>
      <x:c r="K137" s="7" t="n">
        <x:v>-91900</x:v>
      </x:c>
      <x:c r="L137" s="7" t="n">
        <x:v>91900</x:v>
      </x:c>
      <x:c r="M137" s="12" t="n">
        <x:v>34</x:v>
      </x:c>
      <x:c r="N137" s="12" t="n">
        <x:v>299</x:v>
      </x:c>
      <x:c r="O137" s="12" t="n">
        <x:f>'日経_U168B_16'!E33</x:f>
        <x:v>3616</x:v>
      </x:c>
      <x:c r="P137" s="14" t="n">
        <x:f>'日経_U168B_16'!F33</x:f>
        <x:v>361.6</x:v>
      </x:c>
    </x:row>
  </x:sheetData>
  <x:mergeCells>
    <x:mergeCell ref="A2:P2"/>
    <x:mergeCell ref="A3:P3"/>
    <x:mergeCell ref="A4:P4"/>
  </x:mergeCells>
  <x:conditionalFormatting sqref="F6:F137">
    <x:cfRule type="cellIs" dxfId="132" priority="1" operator="lessThan">
      <x:formula>0</x:formula>
    </x:cfRule>
  </x:conditionalFormatting>
  <x:conditionalFormatting sqref="J6:J137">
    <x:cfRule type="cellIs" dxfId="133" priority="2" operator="lessThan">
      <x:formula>0</x:formula>
    </x:cfRule>
  </x:conditionalFormatting>
  <x:conditionalFormatting sqref="K6:K137">
    <x:cfRule type="cellIs" dxfId="134" priority="3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12e0ad8a71442e8"/>
  </x:tableParts>
</x:worksheet>
</file>

<file path=xl/worksheets/sheet2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NK225_D164_15　日中の損益</x:v>
      </x:c>
      <x:c r="B2" s="2"/>
      <x:c r="C2" s="2"/>
      <x:c r="D2" s="2"/>
      <x:c r="E2" s="2"/>
      <x:c r="F2" s="2"/>
    </x:row>
    <x:row r="3" ht="38" customHeight="1">
      <x:c r="A3" s="5" t="str">
        <x:v>現行の保存済み通知を同じ次正常板で再現する比較元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7200</x:v>
      </x:c>
      <x:c r="C6" s="7" t="n">
        <x:v>0</x:v>
      </x:c>
      <x:c r="D6" s="7" t="n">
        <x:f>B6-C6</x:f>
        <x:v>7200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0</x:v>
      </x:c>
      <x:c r="C7" s="7" t="n">
        <x:v>14000</x:v>
      </x:c>
      <x:c r="D7" s="7" t="n">
        <x:f>B7-C7</x:f>
        <x:v>-14000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10000</x:v>
      </x:c>
      <x:c r="C8" s="7" t="n">
        <x:v>0</x:v>
      </x:c>
      <x:c r="D8" s="7" t="n">
        <x:f>B8-C8</x:f>
        <x:v>10000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155500</x:v>
      </x:c>
      <x:c r="C9" s="7" t="n">
        <x:v>28500</x:v>
      </x:c>
      <x:c r="D9" s="7" t="n">
        <x:f>B9-C9</x:f>
        <x:v>127000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149400</x:v>
      </x:c>
      <x:c r="C10" s="7" t="n">
        <x:v>8000</x:v>
      </x:c>
      <x:c r="D10" s="7" t="n">
        <x:f>B10-C10</x:f>
        <x:v>141400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90600</x:v>
      </x:c>
      <x:c r="C11" s="7" t="n">
        <x:v>54500</x:v>
      </x:c>
      <x:c r="D11" s="7" t="n">
        <x:f>B11-C11</x:f>
        <x:v>36100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101200</x:v>
      </x:c>
      <x:c r="C12" s="7" t="n">
        <x:v>191800</x:v>
      </x:c>
      <x:c r="D12" s="7" t="n">
        <x:f>B12-C12</x:f>
        <x:v>-90600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46900</x:v>
      </x:c>
      <x:c r="C13" s="7" t="n">
        <x:v>12500</x:v>
      </x:c>
      <x:c r="D13" s="7" t="n">
        <x:f>B13-C13</x:f>
        <x:v>34400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56000</x:v>
      </x:c>
      <x:c r="C14" s="7" t="n">
        <x:v>140800</x:v>
      </x:c>
      <x:c r="D14" s="7" t="n">
        <x:f>B14-C14</x:f>
        <x:v>-84800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14400</x:v>
      </x:c>
      <x:c r="C15" s="7" t="n">
        <x:v>47600</x:v>
      </x:c>
      <x:c r="D15" s="7" t="n">
        <x:f>B15-C15</x:f>
        <x:v>-33200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70500</x:v>
      </x:c>
      <x:c r="C16" s="7" t="n">
        <x:v>58900</x:v>
      </x:c>
      <x:c r="D16" s="7" t="n">
        <x:f>B16-C16</x:f>
        <x:v>11600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44900</x:v>
      </x:c>
      <x:c r="C17" s="7" t="n">
        <x:v>177400</x:v>
      </x:c>
      <x:c r="D17" s="7" t="n">
        <x:f>B17-C17</x:f>
        <x:v>-132500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145200</x:v>
      </x:c>
      <x:c r="C18" s="7" t="n">
        <x:v>49800</x:v>
      </x:c>
      <x:c r="D18" s="7" t="n">
        <x:f>B18-C18</x:f>
        <x:v>95400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31200</x:v>
      </x:c>
      <x:c r="C19" s="7" t="n">
        <x:v>23000</x:v>
      </x:c>
      <x:c r="D19" s="7" t="n">
        <x:f>B19-C19</x:f>
        <x:v>8200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101800</x:v>
      </x:c>
      <x:c r="C20" s="7" t="n">
        <x:v>46400</x:v>
      </x:c>
      <x:c r="D20" s="7" t="n">
        <x:f>B20-C20</x:f>
        <x:v>55400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14200</x:v>
      </x:c>
      <x:c r="C21" s="7" t="n">
        <x:v>5000</x:v>
      </x:c>
      <x:c r="D21" s="7" t="n">
        <x:f>B21-C21</x:f>
        <x:v>9200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158800</x:v>
      </x:c>
      <x:c r="C22" s="7" t="n">
        <x:v>223000</x:v>
      </x:c>
      <x:c r="D22" s="7" t="n">
        <x:f>B22-C22</x:f>
        <x:v>-64200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41300</x:v>
      </x:c>
      <x:c r="C23" s="7" t="n">
        <x:v>37200</x:v>
      </x:c>
      <x:c r="D23" s="7" t="n">
        <x:f>B23-C23</x:f>
        <x:v>4100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349300</x:v>
      </x:c>
      <x:c r="C24" s="7" t="n">
        <x:v>33000</x:v>
      </x:c>
      <x:c r="D24" s="7" t="n">
        <x:f>B24-C24</x:f>
        <x:v>316300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73600</x:v>
      </x:c>
      <x:c r="C25" s="7" t="n">
        <x:v>100100</x:v>
      </x:c>
      <x:c r="D25" s="7" t="n">
        <x:f>B25-C25</x:f>
        <x:v>-26500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497400</x:v>
      </x:c>
      <x:c r="C26" s="7" t="n">
        <x:v>0</x:v>
      </x:c>
      <x:c r="D26" s="7" t="n">
        <x:f>B26-C26</x:f>
        <x:v>497400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91700</x:v>
      </x:c>
      <x:c r="C27" s="7" t="n">
        <x:v>88800</x:v>
      </x:c>
      <x:c r="D27" s="7" t="n">
        <x:f>B27-C27</x:f>
        <x:v>2900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44800</x:v>
      </x:c>
      <x:c r="C28" s="7" t="n">
        <x:v>137000</x:v>
      </x:c>
      <x:c r="D28" s="7" t="n">
        <x:f>B28-C28</x:f>
        <x:v>-92200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260600</x:v>
      </x:c>
      <x:c r="C29" s="7" t="n">
        <x:v>0</x:v>
      </x:c>
      <x:c r="D29" s="7" t="n">
        <x:f>B29-C29</x:f>
        <x:v>260600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297500</x:v>
      </x:c>
      <x:c r="C30" s="7" t="n">
        <x:v>67800</x:v>
      </x:c>
      <x:c r="D30" s="7" t="n">
        <x:f>B30-C30</x:f>
        <x:v>229700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121800</x:v>
      </x:c>
      <x:c r="C31" s="7" t="n">
        <x:v>99900</x:v>
      </x:c>
      <x:c r="D31" s="7" t="n">
        <x:f>B31-C31</x:f>
        <x:v>21900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91800</x:v>
      </x:c>
      <x:c r="C32" s="7" t="n">
        <x:v>174100</x:v>
      </x:c>
      <x:c r="D32" s="7" t="n">
        <x:f>B32-C32</x:f>
        <x:v>-82300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3067600</x:v>
      </x:c>
      <x:c r="C33" s="11" t="n">
        <x:f>SUM(C6:C32)</x:f>
        <x:v>1819100</x:v>
      </x:c>
      <x:c r="D33" s="11" t="n">
        <x:f>B33-C33</x:f>
        <x:v>1248500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57f41afb334b76"/>
  </x:tableParts>
</x:worksheet>
</file>

<file path=xl/worksheets/sheet3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NK225_D168_01　日中の損益</x:v>
      </x:c>
      <x:c r="B2" s="2"/>
      <x:c r="C2" s="2"/>
      <x:c r="D2" s="2"/>
      <x:c r="E2" s="2"/>
      <x:c r="F2" s="2"/>
    </x:row>
    <x:row r="3" ht="38" customHeight="1">
      <x:c r="A3" s="5" t="str">
        <x:v>10円から固定20円追尾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0</x:v>
      </x:c>
      <x:c r="C7" s="7" t="n">
        <x:v>6000</x:v>
      </x:c>
      <x:c r="D7" s="7" t="n">
        <x:f>B7-C7</x:f>
        <x:v>-6000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1800</x:v>
      </x:c>
      <x:c r="C9" s="7" t="n">
        <x:v>16500</x:v>
      </x:c>
      <x:c r="D9" s="7" t="n">
        <x:f>B9-C9</x:f>
        <x:v>-14700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1000</x:v>
      </x:c>
      <x:c r="C10" s="7" t="n">
        <x:v>8000</x:v>
      </x:c>
      <x:c r="D10" s="7" t="n">
        <x:f>B10-C10</x:f>
        <x:v>-7000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6200</x:v>
      </x:c>
      <x:c r="C11" s="7" t="n">
        <x:v>20000</x:v>
      </x:c>
      <x:c r="D11" s="7" t="n">
        <x:f>B11-C11</x:f>
        <x:v>-13800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2100</x:v>
      </x:c>
      <x:c r="C12" s="7" t="n">
        <x:v>162300</x:v>
      </x:c>
      <x:c r="D12" s="7" t="n">
        <x:f>B12-C12</x:f>
        <x:v>-160200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0</x:v>
      </x:c>
      <x:c r="C13" s="7" t="n">
        <x:v>2500</x:v>
      </x:c>
      <x:c r="D13" s="7" t="n">
        <x:f>B13-C13</x:f>
        <x:v>-2500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4500</x:v>
      </x:c>
      <x:c r="C14" s="7" t="n">
        <x:v>0</x:v>
      </x:c>
      <x:c r="D14" s="7" t="n">
        <x:f>B14-C14</x:f>
        <x:v>4500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6200</x:v>
      </x:c>
      <x:c r="C15" s="7" t="n">
        <x:v>6000</x:v>
      </x:c>
      <x:c r="D15" s="7" t="n">
        <x:f>B15-C15</x:f>
        <x:v>200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2200</x:v>
      </x:c>
      <x:c r="C16" s="7" t="n">
        <x:v>3000</x:v>
      </x:c>
      <x:c r="D16" s="7" t="n">
        <x:f>B16-C16</x:f>
        <x:v>-800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6700</x:v>
      </x:c>
      <x:c r="C17" s="7" t="n">
        <x:v>17500</x:v>
      </x:c>
      <x:c r="D17" s="7" t="n">
        <x:f>B17-C17</x:f>
        <x:v>-10800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1000</x:v>
      </x:c>
      <x:c r="C18" s="7" t="n">
        <x:v>37700</x:v>
      </x:c>
      <x:c r="D18" s="7" t="n">
        <x:f>B18-C18</x:f>
        <x:v>-36700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0</x:v>
      </x:c>
      <x:c r="C19" s="7" t="n">
        <x:v>19000</x:v>
      </x:c>
      <x:c r="D19" s="7" t="n">
        <x:f>B19-C19</x:f>
        <x:v>-19000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15100</x:v>
      </x:c>
      <x:c r="C20" s="7" t="n">
        <x:v>35900</x:v>
      </x:c>
      <x:c r="D20" s="7" t="n">
        <x:f>B20-C20</x:f>
        <x:v>-20800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1000</x:v>
      </x:c>
      <x:c r="C21" s="7" t="n">
        <x:v>5000</x:v>
      </x:c>
      <x:c r="D21" s="7" t="n">
        <x:f>B21-C21</x:f>
        <x:v>-4000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3600</x:v>
      </x:c>
      <x:c r="C22" s="7" t="n">
        <x:v>161600</x:v>
      </x:c>
      <x:c r="D22" s="7" t="n">
        <x:f>B22-C22</x:f>
        <x:v>-158000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10800</x:v>
      </x:c>
      <x:c r="C23" s="7" t="n">
        <x:v>0</x:v>
      </x:c>
      <x:c r="D23" s="7" t="n">
        <x:f>B23-C23</x:f>
        <x:v>10800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15200</x:v>
      </x:c>
      <x:c r="C24" s="7" t="n">
        <x:v>0</x:v>
      </x:c>
      <x:c r="D24" s="7" t="n">
        <x:f>B24-C24</x:f>
        <x:v>15200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19100</x:v>
      </x:c>
      <x:c r="C25" s="7" t="n">
        <x:v>25400</x:v>
      </x:c>
      <x:c r="D25" s="7" t="n">
        <x:f>B25-C25</x:f>
        <x:v>-6300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7400</x:v>
      </x:c>
      <x:c r="C26" s="7" t="n">
        <x:v>0</x:v>
      </x:c>
      <x:c r="D26" s="7" t="n">
        <x:f>B26-C26</x:f>
        <x:v>7400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9700</x:v>
      </x:c>
      <x:c r="C27" s="7" t="n">
        <x:v>24600</x:v>
      </x:c>
      <x:c r="D27" s="7" t="n">
        <x:f>B27-C27</x:f>
        <x:v>-14900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16000</x:v>
      </x:c>
      <x:c r="C28" s="7" t="n">
        <x:v>10000</x:v>
      </x:c>
      <x:c r="D28" s="7" t="n">
        <x:f>B28-C28</x:f>
        <x:v>6000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3300</x:v>
      </x:c>
      <x:c r="C29" s="7" t="n">
        <x:v>0</x:v>
      </x:c>
      <x:c r="D29" s="7" t="n">
        <x:f>B29-C29</x:f>
        <x:v>3300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16700</x:v>
      </x:c>
      <x:c r="C30" s="7" t="n">
        <x:v>16000</x:v>
      </x:c>
      <x:c r="D30" s="7" t="n">
        <x:f>B30-C30</x:f>
        <x:v>700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6700</x:v>
      </x:c>
      <x:c r="C31" s="7" t="n">
        <x:v>3500</x:v>
      </x:c>
      <x:c r="D31" s="7" t="n">
        <x:f>B31-C31</x:f>
        <x:v>3200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17400</x:v>
      </x:c>
      <x:c r="C32" s="7" t="n">
        <x:v>25400</x:v>
      </x:c>
      <x:c r="D32" s="7" t="n">
        <x:f>B32-C32</x:f>
        <x:v>-8000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173700</x:v>
      </x:c>
      <x:c r="C33" s="11" t="n">
        <x:f>SUM(C6:C32)</x:f>
        <x:v>605900</x:v>
      </x:c>
      <x:c r="D33" s="11" t="n">
        <x:f>B33-C33</x:f>
        <x:v>-432200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ae056dae5d14211"/>
  </x:tableParts>
</x:worksheet>
</file>

<file path=xl/worksheets/sheet4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NK225_D168_02　日中の損益</x:v>
      </x:c>
      <x:c r="B2" s="2"/>
      <x:c r="C2" s="2"/>
      <x:c r="D2" s="2"/>
      <x:c r="E2" s="2"/>
      <x:c r="F2" s="2"/>
    </x:row>
    <x:row r="3" ht="38" customHeight="1">
      <x:c r="A3" s="5" t="str">
        <x:v>20円から固定20円追尾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5500</x:v>
      </x:c>
      <x:c r="C6" s="7" t="n">
        <x:v>0</x:v>
      </x:c>
      <x:c r="D6" s="7" t="n">
        <x:f>B6-C6</x:f>
        <x:v>5500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0</x:v>
      </x:c>
      <x:c r="C7" s="7" t="n">
        <x:v>6000</x:v>
      </x:c>
      <x:c r="D7" s="7" t="n">
        <x:f>B7-C7</x:f>
        <x:v>-6000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23000</x:v>
      </x:c>
      <x:c r="C9" s="7" t="n">
        <x:v>16500</x:v>
      </x:c>
      <x:c r="D9" s="7" t="n">
        <x:f>B9-C9</x:f>
        <x:v>6500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20100</x:v>
      </x:c>
      <x:c r="C10" s="7" t="n">
        <x:v>8000</x:v>
      </x:c>
      <x:c r="D10" s="7" t="n">
        <x:f>B10-C10</x:f>
        <x:v>12100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7200</x:v>
      </x:c>
      <x:c r="C11" s="7" t="n">
        <x:v>31500</x:v>
      </x:c>
      <x:c r="D11" s="7" t="n">
        <x:f>B11-C11</x:f>
        <x:v>-24300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17200</x:v>
      </x:c>
      <x:c r="C12" s="7" t="n">
        <x:v>164300</x:v>
      </x:c>
      <x:c r="D12" s="7" t="n">
        <x:f>B12-C12</x:f>
        <x:v>-147100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1600</x:v>
      </x:c>
      <x:c r="C13" s="7" t="n">
        <x:v>2500</x:v>
      </x:c>
      <x:c r="D13" s="7" t="n">
        <x:f>B13-C13</x:f>
        <x:v>-900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4500</x:v>
      </x:c>
      <x:c r="C14" s="7" t="n">
        <x:v>28000</x:v>
      </x:c>
      <x:c r="D14" s="7" t="n">
        <x:f>B14-C14</x:f>
        <x:v>-23500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9400</x:v>
      </x:c>
      <x:c r="C15" s="7" t="n">
        <x:v>6000</x:v>
      </x:c>
      <x:c r="D15" s="7" t="n">
        <x:f>B15-C15</x:f>
        <x:v>3400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25500</x:v>
      </x:c>
      <x:c r="C16" s="7" t="n">
        <x:v>3000</x:v>
      </x:c>
      <x:c r="D16" s="7" t="n">
        <x:f>B16-C16</x:f>
        <x:v>22500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18600</x:v>
      </x:c>
      <x:c r="C17" s="7" t="n">
        <x:v>17500</x:v>
      </x:c>
      <x:c r="D17" s="7" t="n">
        <x:f>B17-C17</x:f>
        <x:v>1100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3400</x:v>
      </x:c>
      <x:c r="C18" s="7" t="n">
        <x:v>37700</x:v>
      </x:c>
      <x:c r="D18" s="7" t="n">
        <x:f>B18-C18</x:f>
        <x:v>-34300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6300</x:v>
      </x:c>
      <x:c r="C19" s="7" t="n">
        <x:v>19000</x:v>
      </x:c>
      <x:c r="D19" s="7" t="n">
        <x:f>B19-C19</x:f>
        <x:v>-12700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54200</x:v>
      </x:c>
      <x:c r="C20" s="7" t="n">
        <x:v>35900</x:v>
      </x:c>
      <x:c r="D20" s="7" t="n">
        <x:f>B20-C20</x:f>
        <x:v>18300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1000</x:v>
      </x:c>
      <x:c r="C21" s="7" t="n">
        <x:v>5000</x:v>
      </x:c>
      <x:c r="D21" s="7" t="n">
        <x:f>B21-C21</x:f>
        <x:v>-4000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7300</x:v>
      </x:c>
      <x:c r="C22" s="7" t="n">
        <x:v>164000</x:v>
      </x:c>
      <x:c r="D22" s="7" t="n">
        <x:f>B22-C22</x:f>
        <x:v>-156700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13200</x:v>
      </x:c>
      <x:c r="C23" s="7" t="n">
        <x:v>6500</x:v>
      </x:c>
      <x:c r="D23" s="7" t="n">
        <x:f>B23-C23</x:f>
        <x:v>6700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33500</x:v>
      </x:c>
      <x:c r="C24" s="7" t="n">
        <x:v>0</x:v>
      </x:c>
      <x:c r="D24" s="7" t="n">
        <x:f>B24-C24</x:f>
        <x:v>33500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39200</x:v>
      </x:c>
      <x:c r="C25" s="7" t="n">
        <x:v>25400</x:v>
      </x:c>
      <x:c r="D25" s="7" t="n">
        <x:f>B25-C25</x:f>
        <x:v>13800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25700</x:v>
      </x:c>
      <x:c r="C26" s="7" t="n">
        <x:v>0</x:v>
      </x:c>
      <x:c r="D26" s="7" t="n">
        <x:f>B26-C26</x:f>
        <x:v>25700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18100</x:v>
      </x:c>
      <x:c r="C27" s="7" t="n">
        <x:v>24600</x:v>
      </x:c>
      <x:c r="D27" s="7" t="n">
        <x:f>B27-C27</x:f>
        <x:v>-6500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16000</x:v>
      </x:c>
      <x:c r="C28" s="7" t="n">
        <x:v>33800</x:v>
      </x:c>
      <x:c r="D28" s="7" t="n">
        <x:f>B28-C28</x:f>
        <x:v>-17800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9300</x:v>
      </x:c>
      <x:c r="C29" s="7" t="n">
        <x:v>0</x:v>
      </x:c>
      <x:c r="D29" s="7" t="n">
        <x:f>B29-C29</x:f>
        <x:v>9300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19200</x:v>
      </x:c>
      <x:c r="C30" s="7" t="n">
        <x:v>29500</x:v>
      </x:c>
      <x:c r="D30" s="7" t="n">
        <x:f>B30-C30</x:f>
        <x:v>-10300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2000</x:v>
      </x:c>
      <x:c r="C31" s="7" t="n">
        <x:v>26900</x:v>
      </x:c>
      <x:c r="D31" s="7" t="n">
        <x:f>B31-C31</x:f>
        <x:v>-24900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41700</x:v>
      </x:c>
      <x:c r="C32" s="7" t="n">
        <x:v>25400</x:v>
      </x:c>
      <x:c r="D32" s="7" t="n">
        <x:f>B32-C32</x:f>
        <x:v>16300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422700</x:v>
      </x:c>
      <x:c r="C33" s="11" t="n">
        <x:f>SUM(C6:C32)</x:f>
        <x:v>717000</x:v>
      </x:c>
      <x:c r="D33" s="11" t="n">
        <x:f>B33-C33</x:f>
        <x:v>-294300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72a14a56ecf4063"/>
  </x:tableParts>
</x:worksheet>
</file>

<file path=xl/worksheets/sheet5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NK225_D168_03　日中の損益</x:v>
      </x:c>
      <x:c r="B2" s="2"/>
      <x:c r="C2" s="2"/>
      <x:c r="D2" s="2"/>
      <x:c r="E2" s="2"/>
      <x:c r="F2" s="2"/>
    </x:row>
    <x:row r="3" ht="38" customHeight="1">
      <x:c r="A3" s="5" t="str">
        <x:v>40円から固定30円追尾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11500</x:v>
      </x:c>
      <x:c r="C6" s="7" t="n">
        <x:v>0</x:v>
      </x:c>
      <x:c r="D6" s="7" t="n">
        <x:f>B6-C6</x:f>
        <x:v>11500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0</x:v>
      </x:c>
      <x:c r="C7" s="7" t="n">
        <x:v>14000</x:v>
      </x:c>
      <x:c r="D7" s="7" t="n">
        <x:f>B7-C7</x:f>
        <x:v>-14000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2000</x:v>
      </x:c>
      <x:c r="C8" s="7" t="n">
        <x:v>0</x:v>
      </x:c>
      <x:c r="D8" s="7" t="n">
        <x:f>B8-C8</x:f>
        <x:v>2000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32500</x:v>
      </x:c>
      <x:c r="C9" s="7" t="n">
        <x:v>16500</x:v>
      </x:c>
      <x:c r="D9" s="7" t="n">
        <x:f>B9-C9</x:f>
        <x:v>16000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34600</x:v>
      </x:c>
      <x:c r="C10" s="7" t="n">
        <x:v>8000</x:v>
      </x:c>
      <x:c r="D10" s="7" t="n">
        <x:f>B10-C10</x:f>
        <x:v>26600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41900</x:v>
      </x:c>
      <x:c r="C11" s="7" t="n">
        <x:v>46500</x:v>
      </x:c>
      <x:c r="D11" s="7" t="n">
        <x:f>B11-C11</x:f>
        <x:v>-4600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27200</x:v>
      </x:c>
      <x:c r="C12" s="7" t="n">
        <x:v>168800</x:v>
      </x:c>
      <x:c r="D12" s="7" t="n">
        <x:f>B12-C12</x:f>
        <x:v>-141600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7600</x:v>
      </x:c>
      <x:c r="C13" s="7" t="n">
        <x:v>12500</x:v>
      </x:c>
      <x:c r="D13" s="7" t="n">
        <x:f>B13-C13</x:f>
        <x:v>-4900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26500</x:v>
      </x:c>
      <x:c r="C14" s="7" t="n">
        <x:v>140800</x:v>
      </x:c>
      <x:c r="D14" s="7" t="n">
        <x:f>B14-C14</x:f>
        <x:v>-114300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21400</x:v>
      </x:c>
      <x:c r="C15" s="7" t="n">
        <x:v>6000</x:v>
      </x:c>
      <x:c r="D15" s="7" t="n">
        <x:f>B15-C15</x:f>
        <x:v>15400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28700</x:v>
      </x:c>
      <x:c r="C16" s="7" t="n">
        <x:v>18400</x:v>
      </x:c>
      <x:c r="D16" s="7" t="n">
        <x:f>B16-C16</x:f>
        <x:v>10300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36800</x:v>
      </x:c>
      <x:c r="C17" s="7" t="n">
        <x:v>25500</x:v>
      </x:c>
      <x:c r="D17" s="7" t="n">
        <x:f>B17-C17</x:f>
        <x:v>11300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27900</x:v>
      </x:c>
      <x:c r="C18" s="7" t="n">
        <x:v>49800</x:v>
      </x:c>
      <x:c r="D18" s="7" t="n">
        <x:f>B18-C18</x:f>
        <x:v>-21900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16400</x:v>
      </x:c>
      <x:c r="C19" s="7" t="n">
        <x:v>19000</x:v>
      </x:c>
      <x:c r="D19" s="7" t="n">
        <x:f>B19-C19</x:f>
        <x:v>-2600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64400</x:v>
      </x:c>
      <x:c r="C20" s="7" t="n">
        <x:v>35900</x:v>
      </x:c>
      <x:c r="D20" s="7" t="n">
        <x:f>B20-C20</x:f>
        <x:v>28500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3000</x:v>
      </x:c>
      <x:c r="C21" s="7" t="n">
        <x:v>5000</x:v>
      </x:c>
      <x:c r="D21" s="7" t="n">
        <x:f>B21-C21</x:f>
        <x:v>-2000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127800</x:v>
      </x:c>
      <x:c r="C22" s="7" t="n">
        <x:v>167000</x:v>
      </x:c>
      <x:c r="D22" s="7" t="n">
        <x:f>B22-C22</x:f>
        <x:v>-39200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19600</x:v>
      </x:c>
      <x:c r="C23" s="7" t="n">
        <x:v>6500</x:v>
      </x:c>
      <x:c r="D23" s="7" t="n">
        <x:f>B23-C23</x:f>
        <x:v>13100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40600</x:v>
      </x:c>
      <x:c r="C24" s="7" t="n">
        <x:v>33000</x:v>
      </x:c>
      <x:c r="D24" s="7" t="n">
        <x:f>B24-C24</x:f>
        <x:v>7600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71400</x:v>
      </x:c>
      <x:c r="C25" s="7" t="n">
        <x:v>39800</x:v>
      </x:c>
      <x:c r="D25" s="7" t="n">
        <x:f>B25-C25</x:f>
        <x:v>31600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93300</x:v>
      </x:c>
      <x:c r="C26" s="7" t="n">
        <x:v>0</x:v>
      </x:c>
      <x:c r="D26" s="7" t="n">
        <x:f>B26-C26</x:f>
        <x:v>93300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27300</x:v>
      </x:c>
      <x:c r="C27" s="7" t="n">
        <x:v>46600</x:v>
      </x:c>
      <x:c r="D27" s="7" t="n">
        <x:f>B27-C27</x:f>
        <x:v>-19300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21900</x:v>
      </x:c>
      <x:c r="C28" s="7" t="n">
        <x:v>125300</x:v>
      </x:c>
      <x:c r="D28" s="7" t="n">
        <x:f>B28-C28</x:f>
        <x:v>-103400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13900</x:v>
      </x:c>
      <x:c r="C29" s="7" t="n">
        <x:v>0</x:v>
      </x:c>
      <x:c r="D29" s="7" t="n">
        <x:f>B29-C29</x:f>
        <x:v>13900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121800</x:v>
      </x:c>
      <x:c r="C30" s="7" t="n">
        <x:v>31000</x:v>
      </x:c>
      <x:c r="D30" s="7" t="n">
        <x:f>B30-C30</x:f>
        <x:v>90800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33400</x:v>
      </x:c>
      <x:c r="C31" s="7" t="n">
        <x:v>15500</x:v>
      </x:c>
      <x:c r="D31" s="7" t="n">
        <x:f>B31-C31</x:f>
        <x:v>17900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47300</x:v>
      </x:c>
      <x:c r="C32" s="7" t="n">
        <x:v>145000</x:v>
      </x:c>
      <x:c r="D32" s="7" t="n">
        <x:f>B32-C32</x:f>
        <x:v>-97700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1000700</x:v>
      </x:c>
      <x:c r="C33" s="11" t="n">
        <x:f>SUM(C6:C32)</x:f>
        <x:v>1176400</x:v>
      </x:c>
      <x:c r="D33" s="11" t="n">
        <x:f>B33-C33</x:f>
        <x:v>-175700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e125f3fb1884a6a"/>
  </x:tableParts>
</x:worksheet>
</file>

<file path=xl/worksheets/sheet6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NK225_D168_04　日中の損益</x:v>
      </x:c>
      <x:c r="B2" s="2"/>
      <x:c r="C2" s="2"/>
      <x:c r="D2" s="2"/>
      <x:c r="E2" s="2"/>
      <x:c r="F2" s="2"/>
    </x:row>
    <x:row r="3" ht="38" customHeight="1">
      <x:c r="A3" s="5" t="str">
        <x:v>方向別総枚数に応じた1万円基準の追尾幅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5000</x:v>
      </x:c>
      <x:c r="C6" s="7" t="n">
        <x:v>0</x:v>
      </x:c>
      <x:c r="D6" s="7" t="n">
        <x:f>B6-C6</x:f>
        <x:v>5000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0</x:v>
      </x:c>
      <x:c r="C7" s="7" t="n">
        <x:v>6000</x:v>
      </x:c>
      <x:c r="D7" s="7" t="n">
        <x:f>B7-C7</x:f>
        <x:v>-6000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20200</x:v>
      </x:c>
      <x:c r="C9" s="7" t="n">
        <x:v>16500</x:v>
      </x:c>
      <x:c r="D9" s="7" t="n">
        <x:f>B9-C9</x:f>
        <x:v>3700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41700</x:v>
      </x:c>
      <x:c r="C10" s="7" t="n">
        <x:v>8000</x:v>
      </x:c>
      <x:c r="D10" s="7" t="n">
        <x:f>B10-C10</x:f>
        <x:v>33700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5200</x:v>
      </x:c>
      <x:c r="C11" s="7" t="n">
        <x:v>31500</x:v>
      </x:c>
      <x:c r="D11" s="7" t="n">
        <x:f>B11-C11</x:f>
        <x:v>-26300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15400</x:v>
      </x:c>
      <x:c r="C12" s="7" t="n">
        <x:v>164300</x:v>
      </x:c>
      <x:c r="D12" s="7" t="n">
        <x:f>B12-C12</x:f>
        <x:v>-148900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0</x:v>
      </x:c>
      <x:c r="C13" s="7" t="n">
        <x:v>2500</x:v>
      </x:c>
      <x:c r="D13" s="7" t="n">
        <x:f>B13-C13</x:f>
        <x:v>-2500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12600</x:v>
      </x:c>
      <x:c r="C14" s="7" t="n">
        <x:v>28000</x:v>
      </x:c>
      <x:c r="D14" s="7" t="n">
        <x:f>B14-C14</x:f>
        <x:v>-15400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3800</x:v>
      </x:c>
      <x:c r="C15" s="7" t="n">
        <x:v>6000</x:v>
      </x:c>
      <x:c r="D15" s="7" t="n">
        <x:f>B15-C15</x:f>
        <x:v>-2200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12400</x:v>
      </x:c>
      <x:c r="C16" s="7" t="n">
        <x:v>3000</x:v>
      </x:c>
      <x:c r="D16" s="7" t="n">
        <x:f>B16-C16</x:f>
        <x:v>9400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27300</x:v>
      </x:c>
      <x:c r="C17" s="7" t="n">
        <x:v>17500</x:v>
      </x:c>
      <x:c r="D17" s="7" t="n">
        <x:f>B17-C17</x:f>
        <x:v>9800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2000</x:v>
      </x:c>
      <x:c r="C18" s="7" t="n">
        <x:v>37700</x:v>
      </x:c>
      <x:c r="D18" s="7" t="n">
        <x:f>B18-C18</x:f>
        <x:v>-35700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4200</x:v>
      </x:c>
      <x:c r="C19" s="7" t="n">
        <x:v>19000</x:v>
      </x:c>
      <x:c r="D19" s="7" t="n">
        <x:f>B19-C19</x:f>
        <x:v>-14800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55200</x:v>
      </x:c>
      <x:c r="C20" s="7" t="n">
        <x:v>35900</x:v>
      </x:c>
      <x:c r="D20" s="7" t="n">
        <x:f>B20-C20</x:f>
        <x:v>19300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1000</x:v>
      </x:c>
      <x:c r="C21" s="7" t="n">
        <x:v>5000</x:v>
      </x:c>
      <x:c r="D21" s="7" t="n">
        <x:f>B21-C21</x:f>
        <x:v>-4000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10100</x:v>
      </x:c>
      <x:c r="C22" s="7" t="n">
        <x:v>164000</x:v>
      </x:c>
      <x:c r="D22" s="7" t="n">
        <x:f>B22-C22</x:f>
        <x:v>-153900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5900</x:v>
      </x:c>
      <x:c r="C23" s="7" t="n">
        <x:v>6500</x:v>
      </x:c>
      <x:c r="D23" s="7" t="n">
        <x:f>B23-C23</x:f>
        <x:v>-600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30000</x:v>
      </x:c>
      <x:c r="C24" s="7" t="n">
        <x:v>0</x:v>
      </x:c>
      <x:c r="D24" s="7" t="n">
        <x:f>B24-C24</x:f>
        <x:v>30000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42600</x:v>
      </x:c>
      <x:c r="C25" s="7" t="n">
        <x:v>25400</x:v>
      </x:c>
      <x:c r="D25" s="7" t="n">
        <x:f>B25-C25</x:f>
        <x:v>17200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16100</x:v>
      </x:c>
      <x:c r="C26" s="7" t="n">
        <x:v>0</x:v>
      </x:c>
      <x:c r="D26" s="7" t="n">
        <x:f>B26-C26</x:f>
        <x:v>16100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13700</x:v>
      </x:c>
      <x:c r="C27" s="7" t="n">
        <x:v>24600</x:v>
      </x:c>
      <x:c r="D27" s="7" t="n">
        <x:f>B27-C27</x:f>
        <x:v>-10900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19100</x:v>
      </x:c>
      <x:c r="C28" s="7" t="n">
        <x:v>33800</x:v>
      </x:c>
      <x:c r="D28" s="7" t="n">
        <x:f>B28-C28</x:f>
        <x:v>-14700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13300</x:v>
      </x:c>
      <x:c r="C29" s="7" t="n">
        <x:v>0</x:v>
      </x:c>
      <x:c r="D29" s="7" t="n">
        <x:f>B29-C29</x:f>
        <x:v>13300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31400</x:v>
      </x:c>
      <x:c r="C30" s="7" t="n">
        <x:v>29500</x:v>
      </x:c>
      <x:c r="D30" s="7" t="n">
        <x:f>B30-C30</x:f>
        <x:v>1900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0</x:v>
      </x:c>
      <x:c r="C31" s="7" t="n">
        <x:v>26900</x:v>
      </x:c>
      <x:c r="D31" s="7" t="n">
        <x:f>B31-C31</x:f>
        <x:v>-26900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62900</x:v>
      </x:c>
      <x:c r="C32" s="7" t="n">
        <x:v>25400</x:v>
      </x:c>
      <x:c r="D32" s="7" t="n">
        <x:f>B32-C32</x:f>
        <x:v>37500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451100</x:v>
      </x:c>
      <x:c r="C33" s="11" t="n">
        <x:f>SUM(C6:C32)</x:f>
        <x:v>717000</x:v>
      </x:c>
      <x:c r="D33" s="11" t="n">
        <x:f>B33-C33</x:f>
        <x:v>-265900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7e7470b32d4739"/>
  </x:tableParts>
</x:worksheet>
</file>

<file path=xl/worksheets/sheet7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NK225_D168_05　日中の損益</x:v>
      </x:c>
      <x:c r="B2" s="2"/>
      <x:c r="C2" s="2"/>
      <x:c r="D2" s="2"/>
      <x:c r="E2" s="2"/>
      <x:c r="F2" s="2"/>
    </x:row>
    <x:row r="3" ht="38" customHeight="1">
      <x:c r="A3" s="5" t="str">
        <x:v>方向別総枚数に応じた2万円基準の追尾幅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5000</x:v>
      </x:c>
      <x:c r="C6" s="7" t="n">
        <x:v>0</x:v>
      </x:c>
      <x:c r="D6" s="7" t="n">
        <x:f>B6-C6</x:f>
        <x:v>5000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0</x:v>
      </x:c>
      <x:c r="C7" s="7" t="n">
        <x:v>6000</x:v>
      </x:c>
      <x:c r="D7" s="7" t="n">
        <x:f>B7-C7</x:f>
        <x:v>-6000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10400</x:v>
      </x:c>
      <x:c r="C9" s="7" t="n">
        <x:v>16500</x:v>
      </x:c>
      <x:c r="D9" s="7" t="n">
        <x:f>B9-C9</x:f>
        <x:v>-6100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25600</x:v>
      </x:c>
      <x:c r="C10" s="7" t="n">
        <x:v>8000</x:v>
      </x:c>
      <x:c r="D10" s="7" t="n">
        <x:f>B10-C10</x:f>
        <x:v>17600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500</x:v>
      </x:c>
      <x:c r="C11" s="7" t="n">
        <x:v>31500</x:v>
      </x:c>
      <x:c r="D11" s="7" t="n">
        <x:f>B11-C11</x:f>
        <x:v>-31000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15400</x:v>
      </x:c>
      <x:c r="C12" s="7" t="n">
        <x:v>164300</x:v>
      </x:c>
      <x:c r="D12" s="7" t="n">
        <x:f>B12-C12</x:f>
        <x:v>-148900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0</x:v>
      </x:c>
      <x:c r="C13" s="7" t="n">
        <x:v>2500</x:v>
      </x:c>
      <x:c r="D13" s="7" t="n">
        <x:f>B13-C13</x:f>
        <x:v>-2500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9000</x:v>
      </x:c>
      <x:c r="C14" s="7" t="n">
        <x:v>28000</x:v>
      </x:c>
      <x:c r="D14" s="7" t="n">
        <x:f>B14-C14</x:f>
        <x:v>-19000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3800</x:v>
      </x:c>
      <x:c r="C15" s="7" t="n">
        <x:v>6000</x:v>
      </x:c>
      <x:c r="D15" s="7" t="n">
        <x:f>B15-C15</x:f>
        <x:v>-2200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12400</x:v>
      </x:c>
      <x:c r="C16" s="7" t="n">
        <x:v>3000</x:v>
      </x:c>
      <x:c r="D16" s="7" t="n">
        <x:f>B16-C16</x:f>
        <x:v>9400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34400</x:v>
      </x:c>
      <x:c r="C17" s="7" t="n">
        <x:v>17500</x:v>
      </x:c>
      <x:c r="D17" s="7" t="n">
        <x:f>B17-C17</x:f>
        <x:v>16900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2000</x:v>
      </x:c>
      <x:c r="C18" s="7" t="n">
        <x:v>37700</x:v>
      </x:c>
      <x:c r="D18" s="7" t="n">
        <x:f>B18-C18</x:f>
        <x:v>-35700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4200</x:v>
      </x:c>
      <x:c r="C19" s="7" t="n">
        <x:v>19000</x:v>
      </x:c>
      <x:c r="D19" s="7" t="n">
        <x:f>B19-C19</x:f>
        <x:v>-14800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55200</x:v>
      </x:c>
      <x:c r="C20" s="7" t="n">
        <x:v>35900</x:v>
      </x:c>
      <x:c r="D20" s="7" t="n">
        <x:f>B20-C20</x:f>
        <x:v>19300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1000</x:v>
      </x:c>
      <x:c r="C21" s="7" t="n">
        <x:v>5000</x:v>
      </x:c>
      <x:c r="D21" s="7" t="n">
        <x:f>B21-C21</x:f>
        <x:v>-4000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2700</x:v>
      </x:c>
      <x:c r="C22" s="7" t="n">
        <x:v>164000</x:v>
      </x:c>
      <x:c r="D22" s="7" t="n">
        <x:f>B22-C22</x:f>
        <x:v>-161300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5900</x:v>
      </x:c>
      <x:c r="C23" s="7" t="n">
        <x:v>6500</x:v>
      </x:c>
      <x:c r="D23" s="7" t="n">
        <x:f>B23-C23</x:f>
        <x:v>-600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19400</x:v>
      </x:c>
      <x:c r="C24" s="7" t="n">
        <x:v>0</x:v>
      </x:c>
      <x:c r="D24" s="7" t="n">
        <x:f>B24-C24</x:f>
        <x:v>19400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39900</x:v>
      </x:c>
      <x:c r="C25" s="7" t="n">
        <x:v>25400</x:v>
      </x:c>
      <x:c r="D25" s="7" t="n">
        <x:f>B25-C25</x:f>
        <x:v>14500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25700</x:v>
      </x:c>
      <x:c r="C26" s="7" t="n">
        <x:v>0</x:v>
      </x:c>
      <x:c r="D26" s="7" t="n">
        <x:f>B26-C26</x:f>
        <x:v>25700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10000</x:v>
      </x:c>
      <x:c r="C27" s="7" t="n">
        <x:v>24600</x:v>
      </x:c>
      <x:c r="D27" s="7" t="n">
        <x:f>B27-C27</x:f>
        <x:v>-14600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19100</x:v>
      </x:c>
      <x:c r="C28" s="7" t="n">
        <x:v>33800</x:v>
      </x:c>
      <x:c r="D28" s="7" t="n">
        <x:f>B28-C28</x:f>
        <x:v>-14700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13300</x:v>
      </x:c>
      <x:c r="C29" s="7" t="n">
        <x:v>0</x:v>
      </x:c>
      <x:c r="D29" s="7" t="n">
        <x:f>B29-C29</x:f>
        <x:v>13300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37100</x:v>
      </x:c>
      <x:c r="C30" s="7" t="n">
        <x:v>29500</x:v>
      </x:c>
      <x:c r="D30" s="7" t="n">
        <x:f>B30-C30</x:f>
        <x:v>7600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0</x:v>
      </x:c>
      <x:c r="C31" s="7" t="n">
        <x:v>26900</x:v>
      </x:c>
      <x:c r="D31" s="7" t="n">
        <x:f>B31-C31</x:f>
        <x:v>-26900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50000</x:v>
      </x:c>
      <x:c r="C32" s="7" t="n">
        <x:v>25400</x:v>
      </x:c>
      <x:c r="D32" s="7" t="n">
        <x:f>B32-C32</x:f>
        <x:v>24600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402000</x:v>
      </x:c>
      <x:c r="C33" s="11" t="n">
        <x:f>SUM(C6:C32)</x:f>
        <x:v>717000</x:v>
      </x:c>
      <x:c r="D33" s="11" t="n">
        <x:f>B33-C33</x:f>
        <x:v>-315000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7aed89f058f49ea"/>
  </x:tableParts>
</x:worksheet>
</file>

<file path=xl/worksheets/sheet8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NK225_D168_06　日中の損益</x:v>
      </x:c>
      <x:c r="B2" s="2"/>
      <x:c r="C2" s="2"/>
      <x:c r="D2" s="2"/>
      <x:c r="E2" s="2"/>
      <x:c r="F2" s="2"/>
    </x:row>
    <x:row r="3" ht="38" customHeight="1">
      <x:c r="A3" s="5" t="str">
        <x:v>固定20円追尾と独立120円損切り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1000</x:v>
      </x:c>
      <x:c r="C6" s="7" t="n">
        <x:v>12000</x:v>
      </x:c>
      <x:c r="D6" s="7" t="n">
        <x:f>B6-C6</x:f>
        <x:v>-11000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0</x:v>
      </x:c>
      <x:c r="C7" s="7" t="n">
        <x:v>6000</x:v>
      </x:c>
      <x:c r="D7" s="7" t="n">
        <x:f>B7-C7</x:f>
        <x:v>-6000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33800</x:v>
      </x:c>
      <x:c r="C9" s="7" t="n">
        <x:v>0</x:v>
      </x:c>
      <x:c r="D9" s="7" t="n">
        <x:f>B9-C9</x:f>
        <x:v>33800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20100</x:v>
      </x:c>
      <x:c r="C10" s="7" t="n">
        <x:v>0</x:v>
      </x:c>
      <x:c r="D10" s="7" t="n">
        <x:f>B10-C10</x:f>
        <x:v>20100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7200</x:v>
      </x:c>
      <x:c r="C11" s="7" t="n">
        <x:v>49300</x:v>
      </x:c>
      <x:c r="D11" s="7" t="n">
        <x:f>B11-C11</x:f>
        <x:v>-42100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17700</x:v>
      </x:c>
      <x:c r="C12" s="7" t="n">
        <x:v>109200</x:v>
      </x:c>
      <x:c r="D12" s="7" t="n">
        <x:f>B12-C12</x:f>
        <x:v>-91500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2100</x:v>
      </x:c>
      <x:c r="C13" s="7" t="n">
        <x:v>0</x:v>
      </x:c>
      <x:c r="D13" s="7" t="n">
        <x:f>B13-C13</x:f>
        <x:v>2100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4500</x:v>
      </x:c>
      <x:c r="C14" s="7" t="n">
        <x:v>24000</x:v>
      </x:c>
      <x:c r="D14" s="7" t="n">
        <x:f>B14-C14</x:f>
        <x:v>-19500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9400</x:v>
      </x:c>
      <x:c r="C15" s="7" t="n">
        <x:v>14400</x:v>
      </x:c>
      <x:c r="D15" s="7" t="n">
        <x:f>B15-C15</x:f>
        <x:v>-5000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28500</x:v>
      </x:c>
      <x:c r="C16" s="7" t="n">
        <x:v>0</x:v>
      </x:c>
      <x:c r="D16" s="7" t="n">
        <x:f>B16-C16</x:f>
        <x:v>28500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19900</x:v>
      </x:c>
      <x:c r="C17" s="7" t="n">
        <x:v>12000</x:v>
      </x:c>
      <x:c r="D17" s="7" t="n">
        <x:f>B17-C17</x:f>
        <x:v>7900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3400</x:v>
      </x:c>
      <x:c r="C18" s="7" t="n">
        <x:v>34800</x:v>
      </x:c>
      <x:c r="D18" s="7" t="n">
        <x:f>B18-C18</x:f>
        <x:v>-31400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6300</x:v>
      </x:c>
      <x:c r="C19" s="7" t="n">
        <x:v>55200</x:v>
      </x:c>
      <x:c r="D19" s="7" t="n">
        <x:f>B19-C19</x:f>
        <x:v>-48900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12000</x:v>
      </x:c>
      <x:c r="C20" s="7" t="n">
        <x:v>114000</x:v>
      </x:c>
      <x:c r="D20" s="7" t="n">
        <x:f>B20-C20</x:f>
        <x:v>-102000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1000</x:v>
      </x:c>
      <x:c r="C21" s="7" t="n">
        <x:v>5000</x:v>
      </x:c>
      <x:c r="D21" s="7" t="n">
        <x:f>B21-C21</x:f>
        <x:v>-4000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7300</x:v>
      </x:c>
      <x:c r="C22" s="7" t="n">
        <x:v>159600</x:v>
      </x:c>
      <x:c r="D22" s="7" t="n">
        <x:f>B22-C22</x:f>
        <x:v>-152300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13200</x:v>
      </x:c>
      <x:c r="C23" s="7" t="n">
        <x:v>15600</x:v>
      </x:c>
      <x:c r="D23" s="7" t="n">
        <x:f>B23-C23</x:f>
        <x:v>-2400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33500</x:v>
      </x:c>
      <x:c r="C24" s="7" t="n">
        <x:v>0</x:v>
      </x:c>
      <x:c r="D24" s="7" t="n">
        <x:f>B24-C24</x:f>
        <x:v>33500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39200</x:v>
      </x:c>
      <x:c r="C25" s="7" t="n">
        <x:v>45000</x:v>
      </x:c>
      <x:c r="D25" s="7" t="n">
        <x:f>B25-C25</x:f>
        <x:v>-5800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25700</x:v>
      </x:c>
      <x:c r="C26" s="7" t="n">
        <x:v>0</x:v>
      </x:c>
      <x:c r="D26" s="7" t="n">
        <x:f>B26-C26</x:f>
        <x:v>25700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18100</x:v>
      </x:c>
      <x:c r="C27" s="7" t="n">
        <x:v>31400</x:v>
      </x:c>
      <x:c r="D27" s="7" t="n">
        <x:f>B27-C27</x:f>
        <x:v>-13300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20000</x:v>
      </x:c>
      <x:c r="C28" s="7" t="n">
        <x:v>22800</x:v>
      </x:c>
      <x:c r="D28" s="7" t="n">
        <x:f>B28-C28</x:f>
        <x:v>-2800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9300</x:v>
      </x:c>
      <x:c r="C29" s="7" t="n">
        <x:v>0</x:v>
      </x:c>
      <x:c r="D29" s="7" t="n">
        <x:f>B29-C29</x:f>
        <x:v>9300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19200</x:v>
      </x:c>
      <x:c r="C30" s="7" t="n">
        <x:v>12000</x:v>
      </x:c>
      <x:c r="D30" s="7" t="n">
        <x:f>B30-C30</x:f>
        <x:v>7200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2000</x:v>
      </x:c>
      <x:c r="C31" s="7" t="n">
        <x:v>84600</x:v>
      </x:c>
      <x:c r="D31" s="7" t="n">
        <x:f>B31-C31</x:f>
        <x:v>-82600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41700</x:v>
      </x:c>
      <x:c r="C32" s="7" t="n">
        <x:v>39600</x:v>
      </x:c>
      <x:c r="D32" s="7" t="n">
        <x:f>B32-C32</x:f>
        <x:v>2100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396100</x:v>
      </x:c>
      <x:c r="C33" s="11" t="n">
        <x:f>SUM(C6:C32)</x:f>
        <x:v>846500</x:v>
      </x:c>
      <x:c r="D33" s="11" t="n">
        <x:f>B33-C33</x:f>
        <x:v>-450400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ca8db69ecfa4719"/>
  </x:tableParts>
</x:worksheet>
</file>

<file path=xl/worksheets/sheet9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NK225_D168_07　日中の損益</x:v>
      </x:c>
      <x:c r="B2" s="2"/>
      <x:c r="C2" s="2"/>
      <x:c r="D2" s="2"/>
      <x:c r="E2" s="2"/>
      <x:c r="F2" s="2"/>
    </x:row>
    <x:row r="3" ht="38" customHeight="1">
      <x:c r="A3" s="5" t="str">
        <x:v>数量別回収と独立120円損切り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1000</x:v>
      </x:c>
      <x:c r="C6" s="7" t="n">
        <x:v>12000</x:v>
      </x:c>
      <x:c r="D6" s="7" t="n">
        <x:f>B6-C6</x:f>
        <x:v>-11000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0</x:v>
      </x:c>
      <x:c r="C7" s="7" t="n">
        <x:v>6000</x:v>
      </x:c>
      <x:c r="D7" s="7" t="n">
        <x:f>B7-C7</x:f>
        <x:v>-6000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22000</x:v>
      </x:c>
      <x:c r="C9" s="7" t="n">
        <x:v>0</x:v>
      </x:c>
      <x:c r="D9" s="7" t="n">
        <x:f>B9-C9</x:f>
        <x:v>22000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41700</x:v>
      </x:c>
      <x:c r="C10" s="7" t="n">
        <x:v>0</x:v>
      </x:c>
      <x:c r="D10" s="7" t="n">
        <x:f>B10-C10</x:f>
        <x:v>41700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5200</x:v>
      </x:c>
      <x:c r="C11" s="7" t="n">
        <x:v>49300</x:v>
      </x:c>
      <x:c r="D11" s="7" t="n">
        <x:f>B11-C11</x:f>
        <x:v>-44100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14900</x:v>
      </x:c>
      <x:c r="C12" s="7" t="n">
        <x:v>109200</x:v>
      </x:c>
      <x:c r="D12" s="7" t="n">
        <x:f>B12-C12</x:f>
        <x:v>-94300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0</x:v>
      </x:c>
      <x:c r="C13" s="7" t="n">
        <x:v>0</x:v>
      </x:c>
      <x:c r="D13" s="7" t="n">
        <x:f>B13-C13</x:f>
        <x:v>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12600</x:v>
      </x:c>
      <x:c r="C14" s="7" t="n">
        <x:v>24000</x:v>
      </x:c>
      <x:c r="D14" s="7" t="n">
        <x:f>B14-C14</x:f>
        <x:v>-11400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3800</x:v>
      </x:c>
      <x:c r="C15" s="7" t="n">
        <x:v>14400</x:v>
      </x:c>
      <x:c r="D15" s="7" t="n">
        <x:f>B15-C15</x:f>
        <x:v>-10600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12400</x:v>
      </x:c>
      <x:c r="C16" s="7" t="n">
        <x:v>0</x:v>
      </x:c>
      <x:c r="D16" s="7" t="n">
        <x:f>B16-C16</x:f>
        <x:v>12400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25400</x:v>
      </x:c>
      <x:c r="C17" s="7" t="n">
        <x:v>12000</x:v>
      </x:c>
      <x:c r="D17" s="7" t="n">
        <x:f>B17-C17</x:f>
        <x:v>13400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2000</x:v>
      </x:c>
      <x:c r="C18" s="7" t="n">
        <x:v>34800</x:v>
      </x:c>
      <x:c r="D18" s="7" t="n">
        <x:f>B18-C18</x:f>
        <x:v>-32800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4200</x:v>
      </x:c>
      <x:c r="C19" s="7" t="n">
        <x:v>55200</x:v>
      </x:c>
      <x:c r="D19" s="7" t="n">
        <x:f>B19-C19</x:f>
        <x:v>-51000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13000</x:v>
      </x:c>
      <x:c r="C20" s="7" t="n">
        <x:v>114000</x:v>
      </x:c>
      <x:c r="D20" s="7" t="n">
        <x:f>B20-C20</x:f>
        <x:v>-101000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1000</x:v>
      </x:c>
      <x:c r="C21" s="7" t="n">
        <x:v>5000</x:v>
      </x:c>
      <x:c r="D21" s="7" t="n">
        <x:f>B21-C21</x:f>
        <x:v>-4000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10100</x:v>
      </x:c>
      <x:c r="C22" s="7" t="n">
        <x:v>159600</x:v>
      </x:c>
      <x:c r="D22" s="7" t="n">
        <x:f>B22-C22</x:f>
        <x:v>-149500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5900</x:v>
      </x:c>
      <x:c r="C23" s="7" t="n">
        <x:v>15600</x:v>
      </x:c>
      <x:c r="D23" s="7" t="n">
        <x:f>B23-C23</x:f>
        <x:v>-9700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30000</x:v>
      </x:c>
      <x:c r="C24" s="7" t="n">
        <x:v>0</x:v>
      </x:c>
      <x:c r="D24" s="7" t="n">
        <x:f>B24-C24</x:f>
        <x:v>30000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43800</x:v>
      </x:c>
      <x:c r="C25" s="7" t="n">
        <x:v>45000</x:v>
      </x:c>
      <x:c r="D25" s="7" t="n">
        <x:f>B25-C25</x:f>
        <x:v>-1200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16100</x:v>
      </x:c>
      <x:c r="C26" s="7" t="n">
        <x:v>0</x:v>
      </x:c>
      <x:c r="D26" s="7" t="n">
        <x:f>B26-C26</x:f>
        <x:v>16100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17700</x:v>
      </x:c>
      <x:c r="C27" s="7" t="n">
        <x:v>31400</x:v>
      </x:c>
      <x:c r="D27" s="7" t="n">
        <x:f>B27-C27</x:f>
        <x:v>-13700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19000</x:v>
      </x:c>
      <x:c r="C28" s="7" t="n">
        <x:v>22800</x:v>
      </x:c>
      <x:c r="D28" s="7" t="n">
        <x:f>B28-C28</x:f>
        <x:v>-3800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13300</x:v>
      </x:c>
      <x:c r="C29" s="7" t="n">
        <x:v>0</x:v>
      </x:c>
      <x:c r="D29" s="7" t="n">
        <x:f>B29-C29</x:f>
        <x:v>13300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30400</x:v>
      </x:c>
      <x:c r="C30" s="7" t="n">
        <x:v>12000</x:v>
      </x:c>
      <x:c r="D30" s="7" t="n">
        <x:f>B30-C30</x:f>
        <x:v>18400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0</x:v>
      </x:c>
      <x:c r="C31" s="7" t="n">
        <x:v>84600</x:v>
      </x:c>
      <x:c r="D31" s="7" t="n">
        <x:f>B31-C31</x:f>
        <x:v>-84600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63000</x:v>
      </x:c>
      <x:c r="C32" s="7" t="n">
        <x:v>39600</x:v>
      </x:c>
      <x:c r="D32" s="7" t="n">
        <x:f>B32-C32</x:f>
        <x:v>23400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408500</x:v>
      </x:c>
      <x:c r="C33" s="11" t="n">
        <x:f>SUM(C6:C32)</x:f>
        <x:v>846500</x:v>
      </x:c>
      <x:c r="D33" s="11" t="n">
        <x:f>B33-C33</x:f>
        <x:v>-438000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5fdb20baa654864"/>
  </x:tableParts>
</x:worksheet>
</file>

<file path=xl/worksheets/sheet10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NK225_D168_08　日中の損益</x:v>
      </x:c>
      <x:c r="B2" s="2"/>
      <x:c r="C2" s="2"/>
      <x:c r="D2" s="2"/>
      <x:c r="E2" s="2"/>
      <x:c r="F2" s="2"/>
    </x:row>
    <x:row r="3" ht="38" customHeight="1">
      <x:c r="A3" s="5" t="str">
        <x:v>数量別回収と独立240円損切り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5000</x:v>
      </x:c>
      <x:c r="C6" s="7" t="n">
        <x:v>0</x:v>
      </x:c>
      <x:c r="D6" s="7" t="n">
        <x:f>B6-C6</x:f>
        <x:v>5000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0</x:v>
      </x:c>
      <x:c r="C7" s="7" t="n">
        <x:v>6000</x:v>
      </x:c>
      <x:c r="D7" s="7" t="n">
        <x:f>B7-C7</x:f>
        <x:v>-6000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22000</x:v>
      </x:c>
      <x:c r="C9" s="7" t="n">
        <x:v>0</x:v>
      </x:c>
      <x:c r="D9" s="7" t="n">
        <x:f>B9-C9</x:f>
        <x:v>22000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41700</x:v>
      </x:c>
      <x:c r="C10" s="7" t="n">
        <x:v>0</x:v>
      </x:c>
      <x:c r="D10" s="7" t="n">
        <x:f>B10-C10</x:f>
        <x:v>41700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5200</x:v>
      </x:c>
      <x:c r="C11" s="7" t="n">
        <x:v>102200</x:v>
      </x:c>
      <x:c r="D11" s="7" t="n">
        <x:f>B11-C11</x:f>
        <x:v>-97000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14900</x:v>
      </x:c>
      <x:c r="C12" s="7" t="n">
        <x:v>218400</x:v>
      </x:c>
      <x:c r="D12" s="7" t="n">
        <x:f>B12-C12</x:f>
        <x:v>-203500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0</x:v>
      </x:c>
      <x:c r="C13" s="7" t="n">
        <x:v>0</x:v>
      </x:c>
      <x:c r="D13" s="7" t="n">
        <x:f>B13-C13</x:f>
        <x:v>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12600</x:v>
      </x:c>
      <x:c r="C14" s="7" t="n">
        <x:v>48000</x:v>
      </x:c>
      <x:c r="D14" s="7" t="n">
        <x:f>B14-C14</x:f>
        <x:v>-35400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3800</x:v>
      </x:c>
      <x:c r="C15" s="7" t="n">
        <x:v>0</x:v>
      </x:c>
      <x:c r="D15" s="7" t="n">
        <x:f>B15-C15</x:f>
        <x:v>3800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12400</x:v>
      </x:c>
      <x:c r="C16" s="7" t="n">
        <x:v>0</x:v>
      </x:c>
      <x:c r="D16" s="7" t="n">
        <x:f>B16-C16</x:f>
        <x:v>12400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25400</x:v>
      </x:c>
      <x:c r="C17" s="7" t="n">
        <x:v>24000</x:v>
      </x:c>
      <x:c r="D17" s="7" t="n">
        <x:f>B17-C17</x:f>
        <x:v>1400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2000</x:v>
      </x:c>
      <x:c r="C18" s="7" t="n">
        <x:v>69600</x:v>
      </x:c>
      <x:c r="D18" s="7" t="n">
        <x:f>B18-C18</x:f>
        <x:v>-67600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4200</x:v>
      </x:c>
      <x:c r="C19" s="7" t="n">
        <x:v>60000</x:v>
      </x:c>
      <x:c r="D19" s="7" t="n">
        <x:f>B19-C19</x:f>
        <x:v>-55800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58600</x:v>
      </x:c>
      <x:c r="C20" s="7" t="n">
        <x:v>36000</x:v>
      </x:c>
      <x:c r="D20" s="7" t="n">
        <x:f>B20-C20</x:f>
        <x:v>22600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1000</x:v>
      </x:c>
      <x:c r="C21" s="7" t="n">
        <x:v>5000</x:v>
      </x:c>
      <x:c r="D21" s="7" t="n">
        <x:f>B21-C21</x:f>
        <x:v>-4000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20300</x:v>
      </x:c>
      <x:c r="C22" s="7" t="n">
        <x:v>136000</x:v>
      </x:c>
      <x:c r="D22" s="7" t="n">
        <x:f>B22-C22</x:f>
        <x:v>-115700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5900</x:v>
      </x:c>
      <x:c r="C23" s="7" t="n">
        <x:v>31200</x:v>
      </x:c>
      <x:c r="D23" s="7" t="n">
        <x:f>B23-C23</x:f>
        <x:v>-25300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30000</x:v>
      </x:c>
      <x:c r="C24" s="7" t="n">
        <x:v>0</x:v>
      </x:c>
      <x:c r="D24" s="7" t="n">
        <x:f>B24-C24</x:f>
        <x:v>30000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47000</x:v>
      </x:c>
      <x:c r="C25" s="7" t="n">
        <x:v>13800</x:v>
      </x:c>
      <x:c r="D25" s="7" t="n">
        <x:f>B25-C25</x:f>
        <x:v>33200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16100</x:v>
      </x:c>
      <x:c r="C26" s="7" t="n">
        <x:v>0</x:v>
      </x:c>
      <x:c r="D26" s="7" t="n">
        <x:f>B26-C26</x:f>
        <x:v>16100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17700</x:v>
      </x:c>
      <x:c r="C27" s="7" t="n">
        <x:v>15300</x:v>
      </x:c>
      <x:c r="D27" s="7" t="n">
        <x:f>B27-C27</x:f>
        <x:v>2400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19000</x:v>
      </x:c>
      <x:c r="C28" s="7" t="n">
        <x:v>44200</x:v>
      </x:c>
      <x:c r="D28" s="7" t="n">
        <x:f>B28-C28</x:f>
        <x:v>-25200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13300</x:v>
      </x:c>
      <x:c r="C29" s="7" t="n">
        <x:v>0</x:v>
      </x:c>
      <x:c r="D29" s="7" t="n">
        <x:f>B29-C29</x:f>
        <x:v>13300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30400</x:v>
      </x:c>
      <x:c r="C30" s="7" t="n">
        <x:v>0</x:v>
      </x:c>
      <x:c r="D30" s="7" t="n">
        <x:f>B30-C30</x:f>
        <x:v>30400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0</x:v>
      </x:c>
      <x:c r="C31" s="7" t="n">
        <x:v>35400</x:v>
      </x:c>
      <x:c r="D31" s="7" t="n">
        <x:f>B31-C31</x:f>
        <x:v>-35400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63000</x:v>
      </x:c>
      <x:c r="C32" s="7" t="n">
        <x:v>64800</x:v>
      </x:c>
      <x:c r="D32" s="7" t="n">
        <x:f>B32-C32</x:f>
        <x:v>-1800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471500</x:v>
      </x:c>
      <x:c r="C33" s="11" t="n">
        <x:f>SUM(C6:C32)</x:f>
        <x:v>909900</x:v>
      </x:c>
      <x:c r="D33" s="11" t="n">
        <x:f>B33-C33</x:f>
        <x:v>-438400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8edec1aabd419a"/>
  </x:tableParts>
</x:worksheet>
</file>

<file path=xl/worksheets/sheet11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NK225_D168_09　日中の損益</x:v>
      </x:c>
      <x:c r="B2" s="2"/>
      <x:c r="C2" s="2"/>
      <x:c r="D2" s="2"/>
      <x:c r="E2" s="2"/>
      <x:c r="F2" s="2"/>
    </x:row>
    <x:row r="3" ht="38" customHeight="1">
      <x:c r="A3" s="5" t="str">
        <x:v>数量別回収・通常損切りなし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5000</x:v>
      </x:c>
      <x:c r="C6" s="7" t="n">
        <x:v>0</x:v>
      </x:c>
      <x:c r="D6" s="7" t="n">
        <x:f>B6-C6</x:f>
        <x:v>5000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0</x:v>
      </x:c>
      <x:c r="C7" s="7" t="n">
        <x:v>6000</x:v>
      </x:c>
      <x:c r="D7" s="7" t="n">
        <x:f>B7-C7</x:f>
        <x:v>-6000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22000</x:v>
      </x:c>
      <x:c r="C9" s="7" t="n">
        <x:v>0</x:v>
      </x:c>
      <x:c r="D9" s="7" t="n">
        <x:f>B9-C9</x:f>
        <x:v>22000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41700</x:v>
      </x:c>
      <x:c r="C10" s="7" t="n">
        <x:v>0</x:v>
      </x:c>
      <x:c r="D10" s="7" t="n">
        <x:f>B10-C10</x:f>
        <x:v>41700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10800</x:v>
      </x:c>
      <x:c r="C11" s="7" t="n">
        <x:v>110000</x:v>
      </x:c>
      <x:c r="D11" s="7" t="n">
        <x:f>B11-C11</x:f>
        <x:v>-99200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9200</x:v>
      </x:c>
      <x:c r="C12" s="7" t="n">
        <x:v>17200</x:v>
      </x:c>
      <x:c r="D12" s="7" t="n">
        <x:f>B12-C12</x:f>
        <x:v>-8000</x:v>
      </x:c>
      <x:c r="E12" s="12" t="n">
        <x:v>208</x:v>
      </x:c>
      <x:c r="F12" s="14" t="n">
        <x:f>E12/10</x:f>
        <x:v>20.8</x:v>
      </x:c>
    </x:row>
    <x:row r="13" ht="25" customHeight="1">
      <x:c r="A13" s="2" t="str">
        <x:v>2026-09-30_Day</x:v>
      </x:c>
      <x:c r="B13" s="7" t="n">
        <x:v>0</x:v>
      </x:c>
      <x:c r="C13" s="7" t="n">
        <x:v>0</x:v>
      </x:c>
      <x:c r="D13" s="7" t="n">
        <x:f>B13-C13</x:f>
        <x:v>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12600</x:v>
      </x:c>
      <x:c r="C14" s="7" t="n">
        <x:v>86000</x:v>
      </x:c>
      <x:c r="D14" s="7" t="n">
        <x:f>B14-C14</x:f>
        <x:v>-73400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3800</x:v>
      </x:c>
      <x:c r="C15" s="7" t="n">
        <x:v>0</x:v>
      </x:c>
      <x:c r="D15" s="7" t="n">
        <x:f>B15-C15</x:f>
        <x:v>3800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12400</x:v>
      </x:c>
      <x:c r="C16" s="7" t="n">
        <x:v>0</x:v>
      </x:c>
      <x:c r="D16" s="7" t="n">
        <x:f>B16-C16</x:f>
        <x:v>12400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25400</x:v>
      </x:c>
      <x:c r="C17" s="7" t="n">
        <x:v>34000</x:v>
      </x:c>
      <x:c r="D17" s="7" t="n">
        <x:f>B17-C17</x:f>
        <x:v>-8600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2500</x:v>
      </x:c>
      <x:c r="C18" s="7" t="n">
        <x:v>127600</x:v>
      </x:c>
      <x:c r="D18" s="7" t="n">
        <x:f>B18-C18</x:f>
        <x:v>-125100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4200</x:v>
      </x:c>
      <x:c r="C19" s="7" t="n">
        <x:v>0</x:v>
      </x:c>
      <x:c r="D19" s="7" t="n">
        <x:f>B19-C19</x:f>
        <x:v>4200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58600</x:v>
      </x:c>
      <x:c r="C20" s="7" t="n">
        <x:v>36000</x:v>
      </x:c>
      <x:c r="D20" s="7" t="n">
        <x:f>B20-C20</x:f>
        <x:v>22600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1000</x:v>
      </x:c>
      <x:c r="C21" s="7" t="n">
        <x:v>5000</x:v>
      </x:c>
      <x:c r="D21" s="7" t="n">
        <x:f>B21-C21</x:f>
        <x:v>-4000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27900</x:v>
      </x:c>
      <x:c r="C22" s="7" t="n">
        <x:v>129800</x:v>
      </x:c>
      <x:c r="D22" s="7" t="n">
        <x:f>B22-C22</x:f>
        <x:v>-101900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7200</x:v>
      </x:c>
      <x:c r="C23" s="7" t="n">
        <x:v>0</x:v>
      </x:c>
      <x:c r="D23" s="7" t="n">
        <x:f>B23-C23</x:f>
        <x:v>7200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30000</x:v>
      </x:c>
      <x:c r="C24" s="7" t="n">
        <x:v>0</x:v>
      </x:c>
      <x:c r="D24" s="7" t="n">
        <x:f>B24-C24</x:f>
        <x:v>30000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47000</x:v>
      </x:c>
      <x:c r="C25" s="7" t="n">
        <x:v>10200</x:v>
      </x:c>
      <x:c r="D25" s="7" t="n">
        <x:f>B25-C25</x:f>
        <x:v>36800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16100</x:v>
      </x:c>
      <x:c r="C26" s="7" t="n">
        <x:v>0</x:v>
      </x:c>
      <x:c r="D26" s="7" t="n">
        <x:f>B26-C26</x:f>
        <x:v>16100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17700</x:v>
      </x:c>
      <x:c r="C27" s="7" t="n">
        <x:v>15300</x:v>
      </x:c>
      <x:c r="D27" s="7" t="n">
        <x:f>B27-C27</x:f>
        <x:v>2400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19000</x:v>
      </x:c>
      <x:c r="C28" s="7" t="n">
        <x:v>31000</x:v>
      </x:c>
      <x:c r="D28" s="7" t="n">
        <x:f>B28-C28</x:f>
        <x:v>-12000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13300</x:v>
      </x:c>
      <x:c r="C29" s="7" t="n">
        <x:v>0</x:v>
      </x:c>
      <x:c r="D29" s="7" t="n">
        <x:f>B29-C29</x:f>
        <x:v>13300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30400</x:v>
      </x:c>
      <x:c r="C30" s="7" t="n">
        <x:v>0</x:v>
      </x:c>
      <x:c r="D30" s="7" t="n">
        <x:f>B30-C30</x:f>
        <x:v>30400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1000</x:v>
      </x:c>
      <x:c r="C31" s="7" t="n">
        <x:v>11400</x:v>
      </x:c>
      <x:c r="D31" s="7" t="n">
        <x:f>B31-C31</x:f>
        <x:v>-10400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64700</x:v>
      </x:c>
      <x:c r="C32" s="7" t="n">
        <x:v>21000</x:v>
      </x:c>
      <x:c r="D32" s="7" t="n">
        <x:f>B32-C32</x:f>
        <x:v>43700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483500</x:v>
      </x:c>
      <x:c r="C33" s="11" t="n">
        <x:f>SUM(C6:C32)</x:f>
        <x:v>640500</x:v>
      </x:c>
      <x:c r="D33" s="11" t="n">
        <x:f>B33-C33</x:f>
        <x:v>-157000</x:v>
      </x:c>
      <x:c r="E33" s="13" t="n">
        <x:f>SUM(E6:E32)</x:f>
        <x:v>3891</x:v>
      </x:c>
      <x:c r="F33" s="15" t="n">
        <x:f>E33/10</x:f>
        <x:v>389.1</x:v>
      </x:c>
    </x:row>
  </x:sheetData>
  <x:mergeCells>
    <x:mergeCell ref="A2:F2"/>
    <x:mergeCell ref="A3:F3"/>
    <x:mergeCell ref="A4:F4"/>
  </x:mergeCells>
  <x:conditionalFormatting sqref="D6:D32">
    <x:cfRule type="cellIs" dxfId="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cb3c6c1fe64f23"/>
  </x:tableParts>
</x:worksheet>
</file>

<file path=xl/worksheets/sheet12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NK225_D168_10　日中の損益</x:v>
      </x:c>
      <x:c r="B2" s="2"/>
      <x:c r="C2" s="2"/>
      <x:c r="D2" s="2"/>
      <x:c r="E2" s="2"/>
      <x:c r="F2" s="2"/>
    </x:row>
    <x:row r="3" ht="38" customHeight="1">
      <x:c r="A3" s="5" t="str">
        <x:v>半量を20円で利確し残り追尾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4300</x:v>
      </x:c>
      <x:c r="C6" s="7" t="n">
        <x:v>0</x:v>
      </x:c>
      <x:c r="D6" s="7" t="n">
        <x:f>B6-C6</x:f>
        <x:v>4300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1000</x:v>
      </x:c>
      <x:c r="C7" s="7" t="n">
        <x:v>6000</x:v>
      </x:c>
      <x:c r="D7" s="7" t="n">
        <x:f>B7-C7</x:f>
        <x:v>-5000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1000</x:v>
      </x:c>
      <x:c r="C8" s="7" t="n">
        <x:v>0</x:v>
      </x:c>
      <x:c r="D8" s="7" t="n">
        <x:f>B8-C8</x:f>
        <x:v>1000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25700</x:v>
      </x:c>
      <x:c r="C9" s="7" t="n">
        <x:v>16500</x:v>
      </x:c>
      <x:c r="D9" s="7" t="n">
        <x:f>B9-C9</x:f>
        <x:v>9200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21500</x:v>
      </x:c>
      <x:c r="C10" s="7" t="n">
        <x:v>8000</x:v>
      </x:c>
      <x:c r="D10" s="7" t="n">
        <x:f>B10-C10</x:f>
        <x:v>13500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12500</x:v>
      </x:c>
      <x:c r="C11" s="7" t="n">
        <x:v>31500</x:v>
      </x:c>
      <x:c r="D11" s="7" t="n">
        <x:f>B11-C11</x:f>
        <x:v>-19000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23800</x:v>
      </x:c>
      <x:c r="C12" s="7" t="n">
        <x:v>164300</x:v>
      </x:c>
      <x:c r="D12" s="7" t="n">
        <x:f>B12-C12</x:f>
        <x:v>-140500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4900</x:v>
      </x:c>
      <x:c r="C13" s="7" t="n">
        <x:v>2500</x:v>
      </x:c>
      <x:c r="D13" s="7" t="n">
        <x:f>B13-C13</x:f>
        <x:v>2400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16400</x:v>
      </x:c>
      <x:c r="C14" s="7" t="n">
        <x:v>28000</x:v>
      </x:c>
      <x:c r="D14" s="7" t="n">
        <x:f>B14-C14</x:f>
        <x:v>-11600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11800</x:v>
      </x:c>
      <x:c r="C15" s="7" t="n">
        <x:v>6000</x:v>
      </x:c>
      <x:c r="D15" s="7" t="n">
        <x:f>B15-C15</x:f>
        <x:v>5800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26100</x:v>
      </x:c>
      <x:c r="C16" s="7" t="n">
        <x:v>3000</x:v>
      </x:c>
      <x:c r="D16" s="7" t="n">
        <x:f>B16-C16</x:f>
        <x:v>23100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26000</x:v>
      </x:c>
      <x:c r="C17" s="7" t="n">
        <x:v>17500</x:v>
      </x:c>
      <x:c r="D17" s="7" t="n">
        <x:f>B17-C17</x:f>
        <x:v>8500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9000</x:v>
      </x:c>
      <x:c r="C18" s="7" t="n">
        <x:v>37700</x:v>
      </x:c>
      <x:c r="D18" s="7" t="n">
        <x:f>B18-C18</x:f>
        <x:v>-28700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8800</x:v>
      </x:c>
      <x:c r="C19" s="7" t="n">
        <x:v>19000</x:v>
      </x:c>
      <x:c r="D19" s="7" t="n">
        <x:f>B19-C19</x:f>
        <x:v>-10200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39600</x:v>
      </x:c>
      <x:c r="C20" s="7" t="n">
        <x:v>35900</x:v>
      </x:c>
      <x:c r="D20" s="7" t="n">
        <x:f>B20-C20</x:f>
        <x:v>3700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2500</x:v>
      </x:c>
      <x:c r="C21" s="7" t="n">
        <x:v>5000</x:v>
      </x:c>
      <x:c r="D21" s="7" t="n">
        <x:f>B21-C21</x:f>
        <x:v>-2500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21700</x:v>
      </x:c>
      <x:c r="C22" s="7" t="n">
        <x:v>164000</x:v>
      </x:c>
      <x:c r="D22" s="7" t="n">
        <x:f>B22-C22</x:f>
        <x:v>-142300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11400</x:v>
      </x:c>
      <x:c r="C23" s="7" t="n">
        <x:v>6500</x:v>
      </x:c>
      <x:c r="D23" s="7" t="n">
        <x:f>B23-C23</x:f>
        <x:v>4900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29900</x:v>
      </x:c>
      <x:c r="C24" s="7" t="n">
        <x:v>0</x:v>
      </x:c>
      <x:c r="D24" s="7" t="n">
        <x:f>B24-C24</x:f>
        <x:v>29900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41400</x:v>
      </x:c>
      <x:c r="C25" s="7" t="n">
        <x:v>25400</x:v>
      </x:c>
      <x:c r="D25" s="7" t="n">
        <x:f>B25-C25</x:f>
        <x:v>16000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29300</x:v>
      </x:c>
      <x:c r="C26" s="7" t="n">
        <x:v>0</x:v>
      </x:c>
      <x:c r="D26" s="7" t="n">
        <x:f>B26-C26</x:f>
        <x:v>29300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21600</x:v>
      </x:c>
      <x:c r="C27" s="7" t="n">
        <x:v>24600</x:v>
      </x:c>
      <x:c r="D27" s="7" t="n">
        <x:f>B27-C27</x:f>
        <x:v>-3000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19100</x:v>
      </x:c>
      <x:c r="C28" s="7" t="n">
        <x:v>33800</x:v>
      </x:c>
      <x:c r="D28" s="7" t="n">
        <x:f>B28-C28</x:f>
        <x:v>-14700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8900</x:v>
      </x:c>
      <x:c r="C29" s="7" t="n">
        <x:v>0</x:v>
      </x:c>
      <x:c r="D29" s="7" t="n">
        <x:f>B29-C29</x:f>
        <x:v>8900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37700</x:v>
      </x:c>
      <x:c r="C30" s="7" t="n">
        <x:v>29500</x:v>
      </x:c>
      <x:c r="D30" s="7" t="n">
        <x:f>B30-C30</x:f>
        <x:v>8200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13300</x:v>
      </x:c>
      <x:c r="C31" s="7" t="n">
        <x:v>21300</x:v>
      </x:c>
      <x:c r="D31" s="7" t="n">
        <x:f>B31-C31</x:f>
        <x:v>-8000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39300</x:v>
      </x:c>
      <x:c r="C32" s="7" t="n">
        <x:v>25400</x:v>
      </x:c>
      <x:c r="D32" s="7" t="n">
        <x:f>B32-C32</x:f>
        <x:v>13900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508500</x:v>
      </x:c>
      <x:c r="C33" s="11" t="n">
        <x:f>SUM(C6:C32)</x:f>
        <x:v>711400</x:v>
      </x:c>
      <x:c r="D33" s="11" t="n">
        <x:f>B33-C33</x:f>
        <x:v>-202900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1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12e3bde3eaa474a"/>
  </x:tableParts>
</x:worksheet>
</file>

<file path=xl/worksheets/sheet13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NK225_D168_11　日中の損益</x:v>
      </x:c>
      <x:c r="B2" s="2"/>
      <x:c r="C2" s="2"/>
      <x:c r="D2" s="2"/>
      <x:c r="E2" s="2"/>
      <x:c r="F2" s="2"/>
    </x:row>
    <x:row r="3" ht="38" customHeight="1">
      <x:c r="A3" s="5" t="str">
        <x:v>8割を20円で利確し残り数量別追尾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3400</x:v>
      </x:c>
      <x:c r="C6" s="7" t="n">
        <x:v>0</x:v>
      </x:c>
      <x:c r="D6" s="7" t="n">
        <x:f>B6-C6</x:f>
        <x:v>3400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1600</x:v>
      </x:c>
      <x:c r="C7" s="7" t="n">
        <x:v>6000</x:v>
      </x:c>
      <x:c r="D7" s="7" t="n">
        <x:f>B7-C7</x:f>
        <x:v>-4400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1600</x:v>
      </x:c>
      <x:c r="C8" s="7" t="n">
        <x:v>0</x:v>
      </x:c>
      <x:c r="D8" s="7" t="n">
        <x:f>B8-C8</x:f>
        <x:v>1600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24700</x:v>
      </x:c>
      <x:c r="C9" s="7" t="n">
        <x:v>16500</x:v>
      </x:c>
      <x:c r="D9" s="7" t="n">
        <x:f>B9-C9</x:f>
        <x:v>8200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23300</x:v>
      </x:c>
      <x:c r="C10" s="7" t="n">
        <x:v>8000</x:v>
      </x:c>
      <x:c r="D10" s="7" t="n">
        <x:f>B10-C10</x:f>
        <x:v>15300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14300</x:v>
      </x:c>
      <x:c r="C11" s="7" t="n">
        <x:v>31500</x:v>
      </x:c>
      <x:c r="D11" s="7" t="n">
        <x:f>B11-C11</x:f>
        <x:v>-17200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27600</x:v>
      </x:c>
      <x:c r="C12" s="7" t="n">
        <x:v>164300</x:v>
      </x:c>
      <x:c r="D12" s="7" t="n">
        <x:f>B12-C12</x:f>
        <x:v>-136700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6400</x:v>
      </x:c>
      <x:c r="C13" s="7" t="n">
        <x:v>2500</x:v>
      </x:c>
      <x:c r="D13" s="7" t="n">
        <x:f>B13-C13</x:f>
        <x:v>3900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26300</x:v>
      </x:c>
      <x:c r="C14" s="7" t="n">
        <x:v>28000</x:v>
      </x:c>
      <x:c r="D14" s="7" t="n">
        <x:f>B14-C14</x:f>
        <x:v>-1700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11900</x:v>
      </x:c>
      <x:c r="C15" s="7" t="n">
        <x:v>6000</x:v>
      </x:c>
      <x:c r="D15" s="7" t="n">
        <x:f>B15-C15</x:f>
        <x:v>5900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24000</x:v>
      </x:c>
      <x:c r="C16" s="7" t="n">
        <x:v>3000</x:v>
      </x:c>
      <x:c r="D16" s="7" t="n">
        <x:f>B16-C16</x:f>
        <x:v>21000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33700</x:v>
      </x:c>
      <x:c r="C17" s="7" t="n">
        <x:v>17500</x:v>
      </x:c>
      <x:c r="D17" s="7" t="n">
        <x:f>B17-C17</x:f>
        <x:v>16200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11800</x:v>
      </x:c>
      <x:c r="C18" s="7" t="n">
        <x:v>37700</x:v>
      </x:c>
      <x:c r="D18" s="7" t="n">
        <x:f>B18-C18</x:f>
        <x:v>-25900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9800</x:v>
      </x:c>
      <x:c r="C19" s="7" t="n">
        <x:v>19000</x:v>
      </x:c>
      <x:c r="D19" s="7" t="n">
        <x:f>B19-C19</x:f>
        <x:v>-9200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29900</x:v>
      </x:c>
      <x:c r="C20" s="7" t="n">
        <x:v>35900</x:v>
      </x:c>
      <x:c r="D20" s="7" t="n">
        <x:f>B20-C20</x:f>
        <x:v>-6000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3400</x:v>
      </x:c>
      <x:c r="C21" s="7" t="n">
        <x:v>5000</x:v>
      </x:c>
      <x:c r="D21" s="7" t="n">
        <x:f>B21-C21</x:f>
        <x:v>-1600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30900</x:v>
      </x:c>
      <x:c r="C22" s="7" t="n">
        <x:v>164000</x:v>
      </x:c>
      <x:c r="D22" s="7" t="n">
        <x:f>B22-C22</x:f>
        <x:v>-133100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8600</x:v>
      </x:c>
      <x:c r="C23" s="7" t="n">
        <x:v>6500</x:v>
      </x:c>
      <x:c r="D23" s="7" t="n">
        <x:f>B23-C23</x:f>
        <x:v>2100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24800</x:v>
      </x:c>
      <x:c r="C24" s="7" t="n">
        <x:v>0</x:v>
      </x:c>
      <x:c r="D24" s="7" t="n">
        <x:f>B24-C24</x:f>
        <x:v>24800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42600</x:v>
      </x:c>
      <x:c r="C25" s="7" t="n">
        <x:v>25400</x:v>
      </x:c>
      <x:c r="D25" s="7" t="n">
        <x:f>B25-C25</x:f>
        <x:v>17200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32400</x:v>
      </x:c>
      <x:c r="C26" s="7" t="n">
        <x:v>0</x:v>
      </x:c>
      <x:c r="D26" s="7" t="n">
        <x:f>B26-C26</x:f>
        <x:v>32400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22000</x:v>
      </x:c>
      <x:c r="C27" s="7" t="n">
        <x:v>24600</x:v>
      </x:c>
      <x:c r="D27" s="7" t="n">
        <x:f>B27-C27</x:f>
        <x:v>-2600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21400</x:v>
      </x:c>
      <x:c r="C28" s="7" t="n">
        <x:v>33800</x:v>
      </x:c>
      <x:c r="D28" s="7" t="n">
        <x:f>B28-C28</x:f>
        <x:v>-12400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9500</x:v>
      </x:c>
      <x:c r="C29" s="7" t="n">
        <x:v>0</x:v>
      </x:c>
      <x:c r="D29" s="7" t="n">
        <x:f>B29-C29</x:f>
        <x:v>9500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52800</x:v>
      </x:c>
      <x:c r="C30" s="7" t="n">
        <x:v>29500</x:v>
      </x:c>
      <x:c r="D30" s="7" t="n">
        <x:f>B30-C30</x:f>
        <x:v>23300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19700</x:v>
      </x:c>
      <x:c r="C31" s="7" t="n">
        <x:v>17900</x:v>
      </x:c>
      <x:c r="D31" s="7" t="n">
        <x:f>B31-C31</x:f>
        <x:v>1800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39200</x:v>
      </x:c>
      <x:c r="C32" s="7" t="n">
        <x:v>25400</x:v>
      </x:c>
      <x:c r="D32" s="7" t="n">
        <x:f>B32-C32</x:f>
        <x:v>13800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557600</x:v>
      </x:c>
      <x:c r="C33" s="11" t="n">
        <x:f>SUM(C6:C32)</x:f>
        <x:v>708000</x:v>
      </x:c>
      <x:c r="D33" s="11" t="n">
        <x:f>B33-C33</x:f>
        <x:v>-150400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1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c2197662fd4aed"/>
  </x:tableParts>
</x:worksheet>
</file>

<file path=xl/worksheets/sheet14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NK225_D168_12　日中の損益</x:v>
      </x:c>
      <x:c r="B2" s="2"/>
      <x:c r="C2" s="2"/>
      <x:c r="D2" s="2"/>
      <x:c r="E2" s="2"/>
      <x:c r="F2" s="2"/>
    </x:row>
    <x:row r="3" ht="38" customHeight="1">
      <x:c r="A3" s="5" t="str">
        <x:v>8割回収・残り追尾・120円損切り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1800</x:v>
      </x:c>
      <x:c r="C6" s="7" t="n">
        <x:v>12000</x:v>
      </x:c>
      <x:c r="D6" s="7" t="n">
        <x:f>B6-C6</x:f>
        <x:v>-10200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1600</x:v>
      </x:c>
      <x:c r="C7" s="7" t="n">
        <x:v>6000</x:v>
      </x:c>
      <x:c r="D7" s="7" t="n">
        <x:f>B7-C7</x:f>
        <x:v>-4400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1600</x:v>
      </x:c>
      <x:c r="C8" s="7" t="n">
        <x:v>0</x:v>
      </x:c>
      <x:c r="D8" s="7" t="n">
        <x:f>B8-C8</x:f>
        <x:v>1600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29600</x:v>
      </x:c>
      <x:c r="C9" s="7" t="n">
        <x:v>0</x:v>
      </x:c>
      <x:c r="D9" s="7" t="n">
        <x:f>B9-C9</x:f>
        <x:v>29600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24900</x:v>
      </x:c>
      <x:c r="C10" s="7" t="n">
        <x:v>0</x:v>
      </x:c>
      <x:c r="D10" s="7" t="n">
        <x:f>B10-C10</x:f>
        <x:v>24900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14300</x:v>
      </x:c>
      <x:c r="C11" s="7" t="n">
        <x:v>49300</x:v>
      </x:c>
      <x:c r="D11" s="7" t="n">
        <x:f>B11-C11</x:f>
        <x:v>-35000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27500</x:v>
      </x:c>
      <x:c r="C12" s="7" t="n">
        <x:v>109200</x:v>
      </x:c>
      <x:c r="D12" s="7" t="n">
        <x:f>B12-C12</x:f>
        <x:v>-81700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7200</x:v>
      </x:c>
      <x:c r="C13" s="7" t="n">
        <x:v>0</x:v>
      </x:c>
      <x:c r="D13" s="7" t="n">
        <x:f>B13-C13</x:f>
        <x:v>7200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26300</x:v>
      </x:c>
      <x:c r="C14" s="7" t="n">
        <x:v>24000</x:v>
      </x:c>
      <x:c r="D14" s="7" t="n">
        <x:f>B14-C14</x:f>
        <x:v>2300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11900</x:v>
      </x:c>
      <x:c r="C15" s="7" t="n">
        <x:v>14400</x:v>
      </x:c>
      <x:c r="D15" s="7" t="n">
        <x:f>B15-C15</x:f>
        <x:v>-2500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25600</x:v>
      </x:c>
      <x:c r="C16" s="7" t="n">
        <x:v>0</x:v>
      </x:c>
      <x:c r="D16" s="7" t="n">
        <x:f>B16-C16</x:f>
        <x:v>25600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37500</x:v>
      </x:c>
      <x:c r="C17" s="7" t="n">
        <x:v>12000</x:v>
      </x:c>
      <x:c r="D17" s="7" t="n">
        <x:f>B17-C17</x:f>
        <x:v>25500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11800</x:v>
      </x:c>
      <x:c r="C18" s="7" t="n">
        <x:v>34800</x:v>
      </x:c>
      <x:c r="D18" s="7" t="n">
        <x:f>B18-C18</x:f>
        <x:v>-23000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8200</x:v>
      </x:c>
      <x:c r="C19" s="7" t="n">
        <x:v>55200</x:v>
      </x:c>
      <x:c r="D19" s="7" t="n">
        <x:f>B19-C19</x:f>
        <x:v>-47000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13400</x:v>
      </x:c>
      <x:c r="C20" s="7" t="n">
        <x:v>114000</x:v>
      </x:c>
      <x:c r="D20" s="7" t="n">
        <x:f>B20-C20</x:f>
        <x:v>-100600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3400</x:v>
      </x:c>
      <x:c r="C21" s="7" t="n">
        <x:v>5000</x:v>
      </x:c>
      <x:c r="D21" s="7" t="n">
        <x:f>B21-C21</x:f>
        <x:v>-1600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30900</x:v>
      </x:c>
      <x:c r="C22" s="7" t="n">
        <x:v>159600</x:v>
      </x:c>
      <x:c r="D22" s="7" t="n">
        <x:f>B22-C22</x:f>
        <x:v>-128700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8600</x:v>
      </x:c>
      <x:c r="C23" s="7" t="n">
        <x:v>15600</x:v>
      </x:c>
      <x:c r="D23" s="7" t="n">
        <x:f>B23-C23</x:f>
        <x:v>-7000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24800</x:v>
      </x:c>
      <x:c r="C24" s="7" t="n">
        <x:v>0</x:v>
      </x:c>
      <x:c r="D24" s="7" t="n">
        <x:f>B24-C24</x:f>
        <x:v>24800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42600</x:v>
      </x:c>
      <x:c r="C25" s="7" t="n">
        <x:v>45000</x:v>
      </x:c>
      <x:c r="D25" s="7" t="n">
        <x:f>B25-C25</x:f>
        <x:v>-2400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32400</x:v>
      </x:c>
      <x:c r="C26" s="7" t="n">
        <x:v>0</x:v>
      </x:c>
      <x:c r="D26" s="7" t="n">
        <x:f>B26-C26</x:f>
        <x:v>32400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22800</x:v>
      </x:c>
      <x:c r="C27" s="7" t="n">
        <x:v>31400</x:v>
      </x:c>
      <x:c r="D27" s="7" t="n">
        <x:f>B27-C27</x:f>
        <x:v>-8600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23800</x:v>
      </x:c>
      <x:c r="C28" s="7" t="n">
        <x:v>22800</x:v>
      </x:c>
      <x:c r="D28" s="7" t="n">
        <x:f>B28-C28</x:f>
        <x:v>1000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9500</x:v>
      </x:c>
      <x:c r="C29" s="7" t="n">
        <x:v>0</x:v>
      </x:c>
      <x:c r="D29" s="7" t="n">
        <x:f>B29-C29</x:f>
        <x:v>9500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55900</x:v>
      </x:c>
      <x:c r="C30" s="7" t="n">
        <x:v>12000</x:v>
      </x:c>
      <x:c r="D30" s="7" t="n">
        <x:f>B30-C30</x:f>
        <x:v>43900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12700</x:v>
      </x:c>
      <x:c r="C31" s="7" t="n">
        <x:v>75600</x:v>
      </x:c>
      <x:c r="D31" s="7" t="n">
        <x:f>B31-C31</x:f>
        <x:v>-62900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39100</x:v>
      </x:c>
      <x:c r="C32" s="7" t="n">
        <x:v>39600</x:v>
      </x:c>
      <x:c r="D32" s="7" t="n">
        <x:f>B32-C32</x:f>
        <x:v>-500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549700</x:v>
      </x:c>
      <x:c r="C33" s="11" t="n">
        <x:f>SUM(C6:C32)</x:f>
        <x:v>837500</x:v>
      </x:c>
      <x:c r="D33" s="11" t="n">
        <x:f>B33-C33</x:f>
        <x:v>-287800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1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62a487971a74ab5"/>
  </x:tableParts>
</x:worksheet>
</file>

<file path=xl/worksheets/sheet15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NK225_D168_13　日中の損益</x:v>
      </x:c>
      <x:c r="B2" s="2"/>
      <x:c r="C2" s="2"/>
      <x:c r="D2" s="2"/>
      <x:c r="E2" s="2"/>
      <x:c r="F2" s="2"/>
    </x:row>
    <x:row r="3" ht="38" customHeight="1">
      <x:c r="A3" s="5" t="str">
        <x:v>数量別回収後に同方向押戻り再参加1回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5000</x:v>
      </x:c>
      <x:c r="C6" s="7" t="n">
        <x:v>0</x:v>
      </x:c>
      <x:c r="D6" s="7" t="n">
        <x:f>B6-C6</x:f>
        <x:v>5000</x:v>
      </x:c>
      <x:c r="E6" s="12" t="n">
        <x:v>30</x:v>
      </x:c>
      <x:c r="F6" s="14" t="n">
        <x:f>E6/10</x:f>
        <x:v>3</x:v>
      </x:c>
    </x:row>
    <x:row r="7" ht="25" customHeight="1">
      <x:c r="A7" s="2" t="str">
        <x:v>2026-09-22_Day</x:v>
      </x:c>
      <x:c r="B7" s="7" t="n">
        <x:v>0</x:v>
      </x:c>
      <x:c r="C7" s="7" t="n">
        <x:v>13000</x:v>
      </x:c>
      <x:c r="D7" s="7" t="n">
        <x:f>B7-C7</x:f>
        <x:v>-13000</x:v>
      </x:c>
      <x:c r="E7" s="12" t="n">
        <x:v>30</x:v>
      </x:c>
      <x:c r="F7" s="14" t="n">
        <x:f>E7/10</x:f>
        <x:v>3</x:v>
      </x:c>
    </x:row>
    <x:row r="8" ht="25" customHeight="1">
      <x:c r="A8" s="2" t="str">
        <x:v>2026-09-23_Day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20</x:v>
      </x:c>
      <x:c r="F8" s="14" t="n">
        <x:f>E8/10</x:f>
        <x:v>2</x:v>
      </x:c>
    </x:row>
    <x:row r="9" ht="25" customHeight="1">
      <x:c r="A9" s="2" t="str">
        <x:v>2026-09-24_Day</x:v>
      </x:c>
      <x:c r="B9" s="7" t="n">
        <x:v>35400</x:v>
      </x:c>
      <x:c r="C9" s="7" t="n">
        <x:v>29500</x:v>
      </x:c>
      <x:c r="D9" s="7" t="n">
        <x:f>B9-C9</x:f>
        <x:v>5900</x:v>
      </x:c>
      <x:c r="E9" s="12" t="n">
        <x:v>252</x:v>
      </x:c>
      <x:c r="F9" s="14" t="n">
        <x:f>E9/10</x:f>
        <x:v>25.2</x:v>
      </x:c>
    </x:row>
    <x:row r="10" ht="25" customHeight="1">
      <x:c r="A10" s="2" t="str">
        <x:v>2026-09-25_Day</x:v>
      </x:c>
      <x:c r="B10" s="7" t="n">
        <x:v>53500</x:v>
      </x:c>
      <x:c r="C10" s="7" t="n">
        <x:v>8000</x:v>
      </x:c>
      <x:c r="D10" s="7" t="n">
        <x:f>B10-C10</x:f>
        <x:v>45500</x:v>
      </x:c>
      <x:c r="E10" s="12" t="n">
        <x:v>226</x:v>
      </x:c>
      <x:c r="F10" s="14" t="n">
        <x:f>E10/10</x:f>
        <x:v>22.6</x:v>
      </x:c>
    </x:row>
    <x:row r="11" ht="25" customHeight="1">
      <x:c r="A11" s="2" t="str">
        <x:v>2026-09-28_Day</x:v>
      </x:c>
      <x:c r="B11" s="7" t="n">
        <x:v>6200</x:v>
      </x:c>
      <x:c r="C11" s="7" t="n">
        <x:v>53500</x:v>
      </x:c>
      <x:c r="D11" s="7" t="n">
        <x:f>B11-C11</x:f>
        <x:v>-47300</x:v>
      </x:c>
      <x:c r="E11" s="12" t="n">
        <x:v>222</x:v>
      </x:c>
      <x:c r="F11" s="14" t="n">
        <x:f>E11/10</x:f>
        <x:v>22.2</x:v>
      </x:c>
    </x:row>
    <x:row r="12" ht="25" customHeight="1">
      <x:c r="A12" s="2" t="str">
        <x:v>2026-09-29_Day</x:v>
      </x:c>
      <x:c r="B12" s="7" t="n">
        <x:v>28500</x:v>
      </x:c>
      <x:c r="C12" s="7" t="n">
        <x:v>169300</x:v>
      </x:c>
      <x:c r="D12" s="7" t="n">
        <x:f>B12-C12</x:f>
        <x:v>-140800</x:v>
      </x:c>
      <x:c r="E12" s="12" t="n">
        <x:v>338</x:v>
      </x:c>
      <x:c r="F12" s="14" t="n">
        <x:f>E12/10</x:f>
        <x:v>33.8</x:v>
      </x:c>
    </x:row>
    <x:row r="13" ht="25" customHeight="1">
      <x:c r="A13" s="2" t="str">
        <x:v>2026-09-30_Day</x:v>
      </x:c>
      <x:c r="B13" s="7" t="n">
        <x:v>9500</x:v>
      </x:c>
      <x:c r="C13" s="7" t="n">
        <x:v>13500</x:v>
      </x:c>
      <x:c r="D13" s="7" t="n">
        <x:f>B13-C13</x:f>
        <x:v>-4000</x:v>
      </x:c>
      <x:c r="E13" s="12" t="n">
        <x:v>81</x:v>
      </x:c>
      <x:c r="F13" s="14" t="n">
        <x:f>E13/10</x:f>
        <x:v>8.1</x:v>
      </x:c>
    </x:row>
    <x:row r="14" ht="25" customHeight="1">
      <x:c r="A14" s="2" t="str">
        <x:v>2026-10-01_Day</x:v>
      </x:c>
      <x:c r="B14" s="7" t="n">
        <x:v>12600</x:v>
      </x:c>
      <x:c r="C14" s="7" t="n">
        <x:v>163800</x:v>
      </x:c>
      <x:c r="D14" s="7" t="n">
        <x:f>B14-C14</x:f>
        <x:v>-151200</x:v>
      </x:c>
      <x:c r="E14" s="12" t="n">
        <x:v>273</x:v>
      </x:c>
      <x:c r="F14" s="14" t="n">
        <x:f>E14/10</x:f>
        <x:v>27.3</x:v>
      </x:c>
    </x:row>
    <x:row r="15" ht="25" customHeight="1">
      <x:c r="A15" s="2" t="str">
        <x:v>2026-10-02_Day</x:v>
      </x:c>
      <x:c r="B15" s="7" t="n">
        <x:v>22200</x:v>
      </x:c>
      <x:c r="C15" s="7" t="n">
        <x:v>6000</x:v>
      </x:c>
      <x:c r="D15" s="7" t="n">
        <x:f>B15-C15</x:f>
        <x:v>16200</x:v>
      </x:c>
      <x:c r="E15" s="12" t="n">
        <x:v>140</x:v>
      </x:c>
      <x:c r="F15" s="14" t="n">
        <x:f>E15/10</x:f>
        <x:v>14</x:v>
      </x:c>
    </x:row>
    <x:row r="16" ht="25" customHeight="1">
      <x:c r="A16" s="2" t="str">
        <x:v>2026-10-05_Day</x:v>
      </x:c>
      <x:c r="B16" s="7" t="n">
        <x:v>29900</x:v>
      </x:c>
      <x:c r="C16" s="7" t="n">
        <x:v>20600</x:v>
      </x:c>
      <x:c r="D16" s="7" t="n">
        <x:f>B16-C16</x:f>
        <x:v>9300</x:v>
      </x:c>
      <x:c r="E16" s="12" t="n">
        <x:v>251</x:v>
      </x:c>
      <x:c r="F16" s="14" t="n">
        <x:f>E16/10</x:f>
        <x:v>25.1</x:v>
      </x:c>
    </x:row>
    <x:row r="17" ht="25" customHeight="1">
      <x:c r="A17" s="2" t="str">
        <x:v>2026-10-06_Day</x:v>
      </x:c>
      <x:c r="B17" s="7" t="n">
        <x:v>47100</x:v>
      </x:c>
      <x:c r="C17" s="7" t="n">
        <x:v>17500</x:v>
      </x:c>
      <x:c r="D17" s="7" t="n">
        <x:f>B17-C17</x:f>
        <x:v>29600</x:v>
      </x:c>
      <x:c r="E17" s="12" t="n">
        <x:v>319</x:v>
      </x:c>
      <x:c r="F17" s="14" t="n">
        <x:f>E17/10</x:f>
        <x:v>31.9</x:v>
      </x:c>
    </x:row>
    <x:row r="18" ht="25" customHeight="1">
      <x:c r="A18" s="2" t="str">
        <x:v>2026-10-07_Day</x:v>
      </x:c>
      <x:c r="B18" s="7" t="n">
        <x:v>2000</x:v>
      </x:c>
      <x:c r="C18" s="7" t="n">
        <x:v>46700</x:v>
      </x:c>
      <x:c r="D18" s="7" t="n">
        <x:f>B18-C18</x:f>
        <x:v>-44700</x:v>
      </x:c>
      <x:c r="E18" s="12" t="n">
        <x:v>147</x:v>
      </x:c>
      <x:c r="F18" s="14" t="n">
        <x:f>E18/10</x:f>
        <x:v>14.7</x:v>
      </x:c>
    </x:row>
    <x:row r="19" ht="25" customHeight="1">
      <x:c r="A19" s="2" t="str">
        <x:v>2026-10-08_Day</x:v>
      </x:c>
      <x:c r="B19" s="7" t="n">
        <x:v>8400</x:v>
      </x:c>
      <x:c r="C19" s="7" t="n">
        <x:v>19000</x:v>
      </x:c>
      <x:c r="D19" s="7" t="n">
        <x:f>B19-C19</x:f>
        <x:v>-10600</x:v>
      </x:c>
      <x:c r="E19" s="12" t="n">
        <x:v>128</x:v>
      </x:c>
      <x:c r="F19" s="14" t="n">
        <x:f>E19/10</x:f>
        <x:v>12.8</x:v>
      </x:c>
    </x:row>
    <x:row r="20" ht="25" customHeight="1">
      <x:c r="A20" s="2" t="str">
        <x:v>2026-10-09_Day</x:v>
      </x:c>
      <x:c r="B20" s="7" t="n">
        <x:v>56500</x:v>
      </x:c>
      <x:c r="C20" s="7" t="n">
        <x:v>35900</x:v>
      </x:c>
      <x:c r="D20" s="7" t="n">
        <x:f>B20-C20</x:f>
        <x:v>20600</x:v>
      </x:c>
      <x:c r="E20" s="12" t="n">
        <x:v>211</x:v>
      </x:c>
      <x:c r="F20" s="14" t="n">
        <x:f>E20/10</x:f>
        <x:v>21.1</x:v>
      </x:c>
    </x:row>
    <x:row r="21" ht="25" customHeight="1">
      <x:c r="A21" s="2" t="str">
        <x:v>2026-10-12_Day</x:v>
      </x:c>
      <x:c r="B21" s="7" t="n">
        <x:v>1000</x:v>
      </x:c>
      <x:c r="C21" s="7" t="n">
        <x:v>5000</x:v>
      </x:c>
      <x:c r="D21" s="7" t="n">
        <x:f>B21-C21</x:f>
        <x:v>-4000</x:v>
      </x:c>
      <x:c r="E21" s="12" t="n">
        <x:v>40</x:v>
      </x:c>
      <x:c r="F21" s="14" t="n">
        <x:f>E21/10</x:f>
        <x:v>4</x:v>
      </x:c>
    </x:row>
    <x:row r="22" ht="25" customHeight="1">
      <x:c r="A22" s="2" t="str">
        <x:v>2026-10-13_Day</x:v>
      </x:c>
      <x:c r="B22" s="7" t="n">
        <x:v>43900</x:v>
      </x:c>
      <x:c r="C22" s="7" t="n">
        <x:v>164000</x:v>
      </x:c>
      <x:c r="D22" s="7" t="n">
        <x:f>B22-C22</x:f>
        <x:v>-120100</x:v>
      </x:c>
      <x:c r="E22" s="12" t="n">
        <x:v>497</x:v>
      </x:c>
      <x:c r="F22" s="14" t="n">
        <x:f>E22/10</x:f>
        <x:v>49.7</x:v>
      </x:c>
    </x:row>
    <x:row r="23" ht="25" customHeight="1">
      <x:c r="A23" s="2" t="str">
        <x:v>2026-10-14_Day</x:v>
      </x:c>
      <x:c r="B23" s="7" t="n">
        <x:v>5900</x:v>
      </x:c>
      <x:c r="C23" s="7" t="n">
        <x:v>6500</x:v>
      </x:c>
      <x:c r="D23" s="7" t="n">
        <x:f>B23-C23</x:f>
        <x:v>-600</x:v>
      </x:c>
      <x:c r="E23" s="12" t="n">
        <x:v>93</x:v>
      </x:c>
      <x:c r="F23" s="14" t="n">
        <x:f>E23/10</x:f>
        <x:v>9.3</x:v>
      </x:c>
    </x:row>
    <x:row r="24" ht="25" customHeight="1">
      <x:c r="A24" s="2" t="str">
        <x:v>2026-10-15_Day</x:v>
      </x:c>
      <x:c r="B24" s="7" t="n">
        <x:v>44600</x:v>
      </x:c>
      <x:c r="C24" s="7" t="n">
        <x:v>33000</x:v>
      </x:c>
      <x:c r="D24" s="7" t="n">
        <x:f>B24-C24</x:f>
        <x:v>11600</x:v>
      </x:c>
      <x:c r="E24" s="12" t="n">
        <x:v>285</x:v>
      </x:c>
      <x:c r="F24" s="14" t="n">
        <x:f>E24/10</x:f>
        <x:v>28.5</x:v>
      </x:c>
    </x:row>
    <x:row r="25" ht="25" customHeight="1">
      <x:c r="A25" s="2" t="str">
        <x:v>2026-10-16_Day</x:v>
      </x:c>
      <x:c r="B25" s="7" t="n">
        <x:v>59600</x:v>
      </x:c>
      <x:c r="C25" s="7" t="n">
        <x:v>31800</x:v>
      </x:c>
      <x:c r="D25" s="7" t="n">
        <x:f>B25-C25</x:f>
        <x:v>27800</x:v>
      </x:c>
      <x:c r="E25" s="12" t="n">
        <x:v>383</x:v>
      </x:c>
      <x:c r="F25" s="14" t="n">
        <x:f>E25/10</x:f>
        <x:v>38.3</x:v>
      </x:c>
    </x:row>
    <x:row r="26" ht="25" customHeight="1">
      <x:c r="A26" s="2" t="str">
        <x:v>2026-10-19_Day</x:v>
      </x:c>
      <x:c r="B26" s="7" t="n">
        <x:v>55700</x:v>
      </x:c>
      <x:c r="C26" s="7" t="n">
        <x:v>0</x:v>
      </x:c>
      <x:c r="D26" s="7" t="n">
        <x:f>B26-C26</x:f>
        <x:v>55700</x:v>
      </x:c>
      <x:c r="E26" s="12" t="n">
        <x:v>252</x:v>
      </x:c>
      <x:c r="F26" s="14" t="n">
        <x:f>E26/10</x:f>
        <x:v>25.2</x:v>
      </x:c>
    </x:row>
    <x:row r="27" ht="25" customHeight="1">
      <x:c r="A27" s="2" t="str">
        <x:v>2026-10-20_Day</x:v>
      </x:c>
      <x:c r="B27" s="7" t="n">
        <x:v>19700</x:v>
      </x:c>
      <x:c r="C27" s="7" t="n">
        <x:v>53200</x:v>
      </x:c>
      <x:c r="D27" s="7" t="n">
        <x:f>B27-C27</x:f>
        <x:v>-33500</x:v>
      </x:c>
      <x:c r="E27" s="12" t="n">
        <x:v>284</x:v>
      </x:c>
      <x:c r="F27" s="14" t="n">
        <x:f>E27/10</x:f>
        <x:v>28.4</x:v>
      </x:c>
    </x:row>
    <x:row r="28" ht="25" customHeight="1">
      <x:c r="A28" s="2" t="str">
        <x:v>2026-10-21_Day</x:v>
      </x:c>
      <x:c r="B28" s="7" t="n">
        <x:v>21900</x:v>
      </x:c>
      <x:c r="C28" s="7" t="n">
        <x:v>136800</x:v>
      </x:c>
      <x:c r="D28" s="7" t="n">
        <x:f>B28-C28</x:f>
        <x:v>-114900</x:v>
      </x:c>
      <x:c r="E28" s="12" t="n">
        <x:v>320</x:v>
      </x:c>
      <x:c r="F28" s="14" t="n">
        <x:f>E28/10</x:f>
        <x:v>32</x:v>
      </x:c>
    </x:row>
    <x:row r="29" ht="25" customHeight="1">
      <x:c r="A29" s="2" t="str">
        <x:v>2026-10-22_Day</x:v>
      </x:c>
      <x:c r="B29" s="7" t="n">
        <x:v>22600</x:v>
      </x:c>
      <x:c r="C29" s="7" t="n">
        <x:v>0</x:v>
      </x:c>
      <x:c r="D29" s="7" t="n">
        <x:f>B29-C29</x:f>
        <x:v>22600</x:v>
      </x:c>
      <x:c r="E29" s="12" t="n">
        <x:v>86</x:v>
      </x:c>
      <x:c r="F29" s="14" t="n">
        <x:f>E29/10</x:f>
        <x:v>8.6</x:v>
      </x:c>
    </x:row>
    <x:row r="30" ht="25" customHeight="1">
      <x:c r="A30" s="2" t="str">
        <x:v>2026-10-23_Day</x:v>
      </x:c>
      <x:c r="B30" s="7" t="n">
        <x:v>105200</x:v>
      </x:c>
      <x:c r="C30" s="7" t="n">
        <x:v>63100</x:v>
      </x:c>
      <x:c r="D30" s="7" t="n">
        <x:f>B30-C30</x:f>
        <x:v>42100</x:v>
      </x:c>
      <x:c r="E30" s="12" t="n">
        <x:v>575</x:v>
      </x:c>
      <x:c r="F30" s="14" t="n">
        <x:f>E30/10</x:f>
        <x:v>57.5</x:v>
      </x:c>
    </x:row>
    <x:row r="31" ht="25" customHeight="1">
      <x:c r="A31" s="2" t="str">
        <x:v>2026-10-26_Day</x:v>
      </x:c>
      <x:c r="B31" s="7" t="n">
        <x:v>14900</x:v>
      </x:c>
      <x:c r="C31" s="7" t="n">
        <x:v>40900</x:v>
      </x:c>
      <x:c r="D31" s="7" t="n">
        <x:f>B31-C31</x:f>
        <x:v>-26000</x:v>
      </x:c>
      <x:c r="E31" s="12" t="n">
        <x:v>281</x:v>
      </x:c>
      <x:c r="F31" s="14" t="n">
        <x:f>E31/10</x:f>
        <x:v>28.1</x:v>
      </x:c>
    </x:row>
    <x:row r="32" ht="25" customHeight="1">
      <x:c r="A32" s="2" t="str">
        <x:v>2026-10-27_Day</x:v>
      </x:c>
      <x:c r="B32" s="7" t="n">
        <x:v>67900</x:v>
      </x:c>
      <x:c r="C32" s="7" t="n">
        <x:v>165700</x:v>
      </x:c>
      <x:c r="D32" s="7" t="n">
        <x:f>B32-C32</x:f>
        <x:v>-97800</x:v>
      </x:c>
      <x:c r="E32" s="12" t="n">
        <x:v>437</x:v>
      </x:c>
      <x:c r="F32" s="14" t="n">
        <x:f>E32/10</x:f>
        <x:v>43.7</x:v>
      </x:c>
    </x:row>
    <x:row r="33" ht="25" customHeight="1">
      <x:c r="A33" s="10" t="str">
        <x:v>合計</x:v>
      </x:c>
      <x:c r="B33" s="11" t="n">
        <x:f>SUM(B6:B32)</x:f>
        <x:v>779700</x:v>
      </x:c>
      <x:c r="C33" s="11" t="n">
        <x:f>SUM(C6:C32)</x:f>
        <x:v>1296300</x:v>
      </x:c>
      <x:c r="D33" s="11" t="n">
        <x:f>B33-C33</x:f>
        <x:v>-516600</x:v>
      </x:c>
      <x:c r="E33" s="13" t="n">
        <x:f>SUM(E6:E32)</x:f>
        <x:v>6201</x:v>
      </x:c>
      <x:c r="F33" s="15" t="n">
        <x:f>E33/10</x:f>
        <x:v>620.1</x:v>
      </x:c>
    </x:row>
  </x:sheetData>
  <x:mergeCells>
    <x:mergeCell ref="A2:F2"/>
    <x:mergeCell ref="A3:F3"/>
    <x:mergeCell ref="A4:F4"/>
  </x:mergeCells>
  <x:conditionalFormatting sqref="D6:D32">
    <x:cfRule type="cellIs" dxfId="1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016f757f2f47a3"/>
  </x:tableParts>
</x:worksheet>
</file>

<file path=xl/worksheets/sheet16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NK225_D168_14　日中の損益</x:v>
      </x:c>
      <x:c r="B2" s="2"/>
      <x:c r="C2" s="2"/>
      <x:c r="D2" s="2"/>
      <x:c r="E2" s="2"/>
      <x:c r="F2" s="2"/>
    </x:row>
    <x:row r="3" ht="38" customHeight="1">
      <x:c r="A3" s="5" t="str">
        <x:v>120円損切りと押戻り再参加1回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1000</x:v>
      </x:c>
      <x:c r="C6" s="7" t="n">
        <x:v>12000</x:v>
      </x:c>
      <x:c r="D6" s="7" t="n">
        <x:f>B6-C6</x:f>
        <x:v>-11000</x:v>
      </x:c>
      <x:c r="E6" s="12" t="n">
        <x:v>30</x:v>
      </x:c>
      <x:c r="F6" s="14" t="n">
        <x:f>E6/10</x:f>
        <x:v>3</x:v>
      </x:c>
    </x:row>
    <x:row r="7" ht="25" customHeight="1">
      <x:c r="A7" s="2" t="str">
        <x:v>2026-09-22_Day</x:v>
      </x:c>
      <x:c r="B7" s="7" t="n">
        <x:v>0</x:v>
      </x:c>
      <x:c r="C7" s="7" t="n">
        <x:v>18000</x:v>
      </x:c>
      <x:c r="D7" s="7" t="n">
        <x:f>B7-C7</x:f>
        <x:v>-18000</x:v>
      </x:c>
      <x:c r="E7" s="12" t="n">
        <x:v>30</x:v>
      </x:c>
      <x:c r="F7" s="14" t="n">
        <x:f>E7/10</x:f>
        <x:v>3</x:v>
      </x:c>
    </x:row>
    <x:row r="8" ht="25" customHeight="1">
      <x:c r="A8" s="2" t="str">
        <x:v>2026-09-23_Day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20</x:v>
      </x:c>
      <x:c r="F8" s="14" t="n">
        <x:f>E8/10</x:f>
        <x:v>2</x:v>
      </x:c>
    </x:row>
    <x:row r="9" ht="25" customHeight="1">
      <x:c r="A9" s="2" t="str">
        <x:v>2026-09-24_Day</x:v>
      </x:c>
      <x:c r="B9" s="7" t="n">
        <x:v>27400</x:v>
      </x:c>
      <x:c r="C9" s="7" t="n">
        <x:v>70800</x:v>
      </x:c>
      <x:c r="D9" s="7" t="n">
        <x:f>B9-C9</x:f>
        <x:v>-43400</x:v>
      </x:c>
      <x:c r="E9" s="12" t="n">
        <x:v>252</x:v>
      </x:c>
      <x:c r="F9" s="14" t="n">
        <x:f>E9/10</x:f>
        <x:v>25.2</x:v>
      </x:c>
    </x:row>
    <x:row r="10" ht="25" customHeight="1">
      <x:c r="A10" s="2" t="str">
        <x:v>2026-09-25_Day</x:v>
      </x:c>
      <x:c r="B10" s="7" t="n">
        <x:v>53500</x:v>
      </x:c>
      <x:c r="C10" s="7" t="n">
        <x:v>0</x:v>
      </x:c>
      <x:c r="D10" s="7" t="n">
        <x:f>B10-C10</x:f>
        <x:v>53500</x:v>
      </x:c>
      <x:c r="E10" s="12" t="n">
        <x:v>226</x:v>
      </x:c>
      <x:c r="F10" s="14" t="n">
        <x:f>E10/10</x:f>
        <x:v>22.6</x:v>
      </x:c>
    </x:row>
    <x:row r="11" ht="25" customHeight="1">
      <x:c r="A11" s="2" t="str">
        <x:v>2026-09-28_Day</x:v>
      </x:c>
      <x:c r="B11" s="7" t="n">
        <x:v>6200</x:v>
      </x:c>
      <x:c r="C11" s="7" t="n">
        <x:v>73300</x:v>
      </x:c>
      <x:c r="D11" s="7" t="n">
        <x:f>B11-C11</x:f>
        <x:v>-67100</x:v>
      </x:c>
      <x:c r="E11" s="12" t="n">
        <x:v>222</x:v>
      </x:c>
      <x:c r="F11" s="14" t="n">
        <x:f>E11/10</x:f>
        <x:v>22.2</x:v>
      </x:c>
    </x:row>
    <x:row r="12" ht="25" customHeight="1">
      <x:c r="A12" s="2" t="str">
        <x:v>2026-09-29_Day</x:v>
      </x:c>
      <x:c r="B12" s="7" t="n">
        <x:v>24100</x:v>
      </x:c>
      <x:c r="C12" s="7" t="n">
        <x:v>152400</x:v>
      </x:c>
      <x:c r="D12" s="7" t="n">
        <x:f>B12-C12</x:f>
        <x:v>-128300</x:v>
      </x:c>
      <x:c r="E12" s="12" t="n">
        <x:v>338</x:v>
      </x:c>
      <x:c r="F12" s="14" t="n">
        <x:f>E12/10</x:f>
        <x:v>33.8</x:v>
      </x:c>
    </x:row>
    <x:row r="13" ht="25" customHeight="1">
      <x:c r="A13" s="2" t="str">
        <x:v>2026-09-30_Day</x:v>
      </x:c>
      <x:c r="B13" s="7" t="n">
        <x:v>8000</x:v>
      </x:c>
      <x:c r="C13" s="7" t="n">
        <x:v>12000</x:v>
      </x:c>
      <x:c r="D13" s="7" t="n">
        <x:f>B13-C13</x:f>
        <x:v>-4000</x:v>
      </x:c>
      <x:c r="E13" s="12" t="n">
        <x:v>81</x:v>
      </x:c>
      <x:c r="F13" s="14" t="n">
        <x:f>E13/10</x:f>
        <x:v>8.1</x:v>
      </x:c>
    </x:row>
    <x:row r="14" ht="25" customHeight="1">
      <x:c r="A14" s="2" t="str">
        <x:v>2026-10-01_Day</x:v>
      </x:c>
      <x:c r="B14" s="7" t="n">
        <x:v>12600</x:v>
      </x:c>
      <x:c r="C14" s="7" t="n">
        <x:v>136800</x:v>
      </x:c>
      <x:c r="D14" s="7" t="n">
        <x:f>B14-C14</x:f>
        <x:v>-124200</x:v>
      </x:c>
      <x:c r="E14" s="12" t="n">
        <x:v>273</x:v>
      </x:c>
      <x:c r="F14" s="14" t="n">
        <x:f>E14/10</x:f>
        <x:v>27.3</x:v>
      </x:c>
    </x:row>
    <x:row r="15" ht="25" customHeight="1">
      <x:c r="A15" s="2" t="str">
        <x:v>2026-10-02_Day</x:v>
      </x:c>
      <x:c r="B15" s="7" t="n">
        <x:v>25400</x:v>
      </x:c>
      <x:c r="C15" s="7" t="n">
        <x:v>14400</x:v>
      </x:c>
      <x:c r="D15" s="7" t="n">
        <x:f>B15-C15</x:f>
        <x:v>11000</x:v>
      </x:c>
      <x:c r="E15" s="12" t="n">
        <x:v>140</x:v>
      </x:c>
      <x:c r="F15" s="14" t="n">
        <x:f>E15/10</x:f>
        <x:v>14</x:v>
      </x:c>
    </x:row>
    <x:row r="16" ht="25" customHeight="1">
      <x:c r="A16" s="2" t="str">
        <x:v>2026-10-05_Day</x:v>
      </x:c>
      <x:c r="B16" s="7" t="n">
        <x:v>33400</x:v>
      </x:c>
      <x:c r="C16" s="7" t="n">
        <x:v>26400</x:v>
      </x:c>
      <x:c r="D16" s="7" t="n">
        <x:f>B16-C16</x:f>
        <x:v>7000</x:v>
      </x:c>
      <x:c r="E16" s="12" t="n">
        <x:v>251</x:v>
      </x:c>
      <x:c r="F16" s="14" t="n">
        <x:f>E16/10</x:f>
        <x:v>25.1</x:v>
      </x:c>
    </x:row>
    <x:row r="17" ht="25" customHeight="1">
      <x:c r="A17" s="2" t="str">
        <x:v>2026-10-06_Day</x:v>
      </x:c>
      <x:c r="B17" s="7" t="n">
        <x:v>45200</x:v>
      </x:c>
      <x:c r="C17" s="7" t="n">
        <x:v>12000</x:v>
      </x:c>
      <x:c r="D17" s="7" t="n">
        <x:f>B17-C17</x:f>
        <x:v>33200</x:v>
      </x:c>
      <x:c r="E17" s="12" t="n">
        <x:v>319</x:v>
      </x:c>
      <x:c r="F17" s="14" t="n">
        <x:f>E17/10</x:f>
        <x:v>31.9</x:v>
      </x:c>
    </x:row>
    <x:row r="18" ht="25" customHeight="1">
      <x:c r="A18" s="2" t="str">
        <x:v>2026-10-07_Day</x:v>
      </x:c>
      <x:c r="B18" s="7" t="n">
        <x:v>12500</x:v>
      </x:c>
      <x:c r="C18" s="7" t="n">
        <x:v>34800</x:v>
      </x:c>
      <x:c r="D18" s="7" t="n">
        <x:f>B18-C18</x:f>
        <x:v>-22300</x:v>
      </x:c>
      <x:c r="E18" s="12" t="n">
        <x:v>147</x:v>
      </x:c>
      <x:c r="F18" s="14" t="n">
        <x:f>E18/10</x:f>
        <x:v>14.7</x:v>
      </x:c>
    </x:row>
    <x:row r="19" ht="25" customHeight="1">
      <x:c r="A19" s="2" t="str">
        <x:v>2026-10-08_Day</x:v>
      </x:c>
      <x:c r="B19" s="7" t="n">
        <x:v>5200</x:v>
      </x:c>
      <x:c r="C19" s="7" t="n">
        <x:v>55200</x:v>
      </x:c>
      <x:c r="D19" s="7" t="n">
        <x:f>B19-C19</x:f>
        <x:v>-50000</x:v>
      </x:c>
      <x:c r="E19" s="12" t="n">
        <x:v>107</x:v>
      </x:c>
      <x:c r="F19" s="14" t="n">
        <x:f>E19/10</x:f>
        <x:v>10.7</x:v>
      </x:c>
    </x:row>
    <x:row r="20" ht="25" customHeight="1">
      <x:c r="A20" s="2" t="str">
        <x:v>2026-10-09_Day</x:v>
      </x:c>
      <x:c r="B20" s="7" t="n">
        <x:v>14300</x:v>
      </x:c>
      <x:c r="C20" s="7" t="n">
        <x:v>114000</x:v>
      </x:c>
      <x:c r="D20" s="7" t="n">
        <x:f>B20-C20</x:f>
        <x:v>-99700</x:v>
      </x:c>
      <x:c r="E20" s="12" t="n">
        <x:v>211</x:v>
      </x:c>
      <x:c r="F20" s="14" t="n">
        <x:f>E20/10</x:f>
        <x:v>21.1</x:v>
      </x:c>
    </x:row>
    <x:row r="21" ht="25" customHeight="1">
      <x:c r="A21" s="2" t="str">
        <x:v>2026-10-12_Day</x:v>
      </x:c>
      <x:c r="B21" s="7" t="n">
        <x:v>1000</x:v>
      </x:c>
      <x:c r="C21" s="7" t="n">
        <x:v>5000</x:v>
      </x:c>
      <x:c r="D21" s="7" t="n">
        <x:f>B21-C21</x:f>
        <x:v>-4000</x:v>
      </x:c>
      <x:c r="E21" s="12" t="n">
        <x:v>40</x:v>
      </x:c>
      <x:c r="F21" s="14" t="n">
        <x:f>E21/10</x:f>
        <x:v>4</x:v>
      </x:c>
    </x:row>
    <x:row r="22" ht="25" customHeight="1">
      <x:c r="A22" s="2" t="str">
        <x:v>2026-10-13_Day</x:v>
      </x:c>
      <x:c r="B22" s="7" t="n">
        <x:v>39700</x:v>
      </x:c>
      <x:c r="C22" s="7" t="n">
        <x:v>222000</x:v>
      </x:c>
      <x:c r="D22" s="7" t="n">
        <x:f>B22-C22</x:f>
        <x:v>-182300</x:v>
      </x:c>
      <x:c r="E22" s="12" t="n">
        <x:v>497</x:v>
      </x:c>
      <x:c r="F22" s="14" t="n">
        <x:f>E22/10</x:f>
        <x:v>49.7</x:v>
      </x:c>
    </x:row>
    <x:row r="23" ht="25" customHeight="1">
      <x:c r="A23" s="2" t="str">
        <x:v>2026-10-14_Day</x:v>
      </x:c>
      <x:c r="B23" s="7" t="n">
        <x:v>5900</x:v>
      </x:c>
      <x:c r="C23" s="7" t="n">
        <x:v>15600</x:v>
      </x:c>
      <x:c r="D23" s="7" t="n">
        <x:f>B23-C23</x:f>
        <x:v>-9700</x:v>
      </x:c>
      <x:c r="E23" s="12" t="n">
        <x:v>93</x:v>
      </x:c>
      <x:c r="F23" s="14" t="n">
        <x:f>E23/10</x:f>
        <x:v>9.3</x:v>
      </x:c>
    </x:row>
    <x:row r="24" ht="25" customHeight="1">
      <x:c r="A24" s="2" t="str">
        <x:v>2026-10-15_Day</x:v>
      </x:c>
      <x:c r="B24" s="7" t="n">
        <x:v>44600</x:v>
      </x:c>
      <x:c r="C24" s="7" t="n">
        <x:v>12000</x:v>
      </x:c>
      <x:c r="D24" s="7" t="n">
        <x:f>B24-C24</x:f>
        <x:v>32600</x:v>
      </x:c>
      <x:c r="E24" s="12" t="n">
        <x:v>285</x:v>
      </x:c>
      <x:c r="F24" s="14" t="n">
        <x:f>E24/10</x:f>
        <x:v>28.5</x:v>
      </x:c>
    </x:row>
    <x:row r="25" ht="25" customHeight="1">
      <x:c r="A25" s="2" t="str">
        <x:v>2026-10-16_Day</x:v>
      </x:c>
      <x:c r="B25" s="7" t="n">
        <x:v>49800</x:v>
      </x:c>
      <x:c r="C25" s="7" t="n">
        <x:v>114600</x:v>
      </x:c>
      <x:c r="D25" s="7" t="n">
        <x:f>B25-C25</x:f>
        <x:v>-64800</x:v>
      </x:c>
      <x:c r="E25" s="12" t="n">
        <x:v>383</x:v>
      </x:c>
      <x:c r="F25" s="14" t="n">
        <x:f>E25/10</x:f>
        <x:v>38.3</x:v>
      </x:c>
    </x:row>
    <x:row r="26" ht="25" customHeight="1">
      <x:c r="A26" s="2" t="str">
        <x:v>2026-10-19_Day</x:v>
      </x:c>
      <x:c r="B26" s="7" t="n">
        <x:v>31700</x:v>
      </x:c>
      <x:c r="C26" s="7" t="n">
        <x:v>62400</x:v>
      </x:c>
      <x:c r="D26" s="7" t="n">
        <x:f>B26-C26</x:f>
        <x:v>-30700</x:v>
      </x:c>
      <x:c r="E26" s="12" t="n">
        <x:v>252</x:v>
      </x:c>
      <x:c r="F26" s="14" t="n">
        <x:f>E26/10</x:f>
        <x:v>25.2</x:v>
      </x:c>
    </x:row>
    <x:row r="27" ht="25" customHeight="1">
      <x:c r="A27" s="2" t="str">
        <x:v>2026-10-20_Day</x:v>
      </x:c>
      <x:c r="B27" s="7" t="n">
        <x:v>23700</x:v>
      </x:c>
      <x:c r="C27" s="7" t="n">
        <x:v>60200</x:v>
      </x:c>
      <x:c r="D27" s="7" t="n">
        <x:f>B27-C27</x:f>
        <x:v>-36500</x:v>
      </x:c>
      <x:c r="E27" s="12" t="n">
        <x:v>274</x:v>
      </x:c>
      <x:c r="F27" s="14" t="n">
        <x:f>E27/10</x:f>
        <x:v>27.4</x:v>
      </x:c>
    </x:row>
    <x:row r="28" ht="25" customHeight="1">
      <x:c r="A28" s="2" t="str">
        <x:v>2026-10-21_Day</x:v>
      </x:c>
      <x:c r="B28" s="7" t="n">
        <x:v>21800</x:v>
      </x:c>
      <x:c r="C28" s="7" t="n">
        <x:v>128400</x:v>
      </x:c>
      <x:c r="D28" s="7" t="n">
        <x:f>B28-C28</x:f>
        <x:v>-106600</x:v>
      </x:c>
      <x:c r="E28" s="12" t="n">
        <x:v>320</x:v>
      </x:c>
      <x:c r="F28" s="14" t="n">
        <x:f>E28/10</x:f>
        <x:v>32</x:v>
      </x:c>
    </x:row>
    <x:row r="29" ht="25" customHeight="1">
      <x:c r="A29" s="2" t="str">
        <x:v>2026-10-22_Day</x:v>
      </x:c>
      <x:c r="B29" s="7" t="n">
        <x:v>22600</x:v>
      </x:c>
      <x:c r="C29" s="7" t="n">
        <x:v>0</x:v>
      </x:c>
      <x:c r="D29" s="7" t="n">
        <x:f>B29-C29</x:f>
        <x:v>22600</x:v>
      </x:c>
      <x:c r="E29" s="12" t="n">
        <x:v>86</x:v>
      </x:c>
      <x:c r="F29" s="14" t="n">
        <x:f>E29/10</x:f>
        <x:v>8.6</x:v>
      </x:c>
    </x:row>
    <x:row r="30" ht="25" customHeight="1">
      <x:c r="A30" s="2" t="str">
        <x:v>2026-10-23_Day</x:v>
      </x:c>
      <x:c r="B30" s="7" t="n">
        <x:v>104200</x:v>
      </x:c>
      <x:c r="C30" s="7" t="n">
        <x:v>45600</x:v>
      </x:c>
      <x:c r="D30" s="7" t="n">
        <x:f>B30-C30</x:f>
        <x:v>58600</x:v>
      </x:c>
      <x:c r="E30" s="12" t="n">
        <x:v>575</x:v>
      </x:c>
      <x:c r="F30" s="14" t="n">
        <x:f>E30/10</x:f>
        <x:v>57.5</x:v>
      </x:c>
    </x:row>
    <x:row r="31" ht="25" customHeight="1">
      <x:c r="A31" s="2" t="str">
        <x:v>2026-10-26_Day</x:v>
      </x:c>
      <x:c r="B31" s="7" t="n">
        <x:v>9800</x:v>
      </x:c>
      <x:c r="C31" s="7" t="n">
        <x:v>96600</x:v>
      </x:c>
      <x:c r="D31" s="7" t="n">
        <x:f>B31-C31</x:f>
        <x:v>-86800</x:v>
      </x:c>
      <x:c r="E31" s="12" t="n">
        <x:v>230</x:v>
      </x:c>
      <x:c r="F31" s="14" t="n">
        <x:f>E31/10</x:f>
        <x:v>23</x:v>
      </x:c>
    </x:row>
    <x:row r="32" ht="25" customHeight="1">
      <x:c r="A32" s="2" t="str">
        <x:v>2026-10-27_Day</x:v>
      </x:c>
      <x:c r="B32" s="7" t="n">
        <x:v>66800</x:v>
      </x:c>
      <x:c r="C32" s="7" t="n">
        <x:v>196800</x:v>
      </x:c>
      <x:c r="D32" s="7" t="n">
        <x:f>B32-C32</x:f>
        <x:v>-130000</x:v>
      </x:c>
      <x:c r="E32" s="12" t="n">
        <x:v>437</x:v>
      </x:c>
      <x:c r="F32" s="14" t="n">
        <x:f>E32/10</x:f>
        <x:v>43.7</x:v>
      </x:c>
    </x:row>
    <x:row r="33" ht="25" customHeight="1">
      <x:c r="A33" s="10" t="str">
        <x:v>合計</x:v>
      </x:c>
      <x:c r="B33" s="11" t="n">
        <x:f>SUM(B6:B32)</x:f>
        <x:v>690400</x:v>
      </x:c>
      <x:c r="C33" s="11" t="n">
        <x:f>SUM(C6:C32)</x:f>
        <x:v>1691300</x:v>
      </x:c>
      <x:c r="D33" s="11" t="n">
        <x:f>B33-C33</x:f>
        <x:v>-1000900</x:v>
      </x:c>
      <x:c r="E33" s="13" t="n">
        <x:f>SUM(E6:E32)</x:f>
        <x:v>6119</x:v>
      </x:c>
      <x:c r="F33" s="15" t="n">
        <x:f>E33/10</x:f>
        <x:v>611.9</x:v>
      </x:c>
    </x:row>
  </x:sheetData>
  <x:mergeCells>
    <x:mergeCell ref="A2:F2"/>
    <x:mergeCell ref="A3:F3"/>
    <x:mergeCell ref="A4:F4"/>
  </x:mergeCells>
  <x:conditionalFormatting sqref="D6:D32">
    <x:cfRule type="cellIs" dxfId="1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f18974b7ec4a45"/>
  </x:tableParts>
</x:worksheet>
</file>

<file path=xl/worksheets/sheet17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NK225_D168_15　日中の損益</x:v>
      </x:c>
      <x:c r="B2" s="2"/>
      <x:c r="C2" s="2"/>
      <x:c r="D2" s="2"/>
      <x:c r="E2" s="2"/>
      <x:c r="F2" s="2"/>
    </x:row>
    <x:row r="3" ht="38" customHeight="1">
      <x:c r="A3" s="5" t="str">
        <x:v>回収直後に方向と数量を再判断1回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1600</x:v>
      </x:c>
      <x:c r="C6" s="7" t="n">
        <x:v>12000</x:v>
      </x:c>
      <x:c r="D6" s="7" t="n">
        <x:f>B6-C6</x:f>
        <x:v>-10400</x:v>
      </x:c>
      <x:c r="E6" s="12" t="n">
        <x:v>26</x:v>
      </x:c>
      <x:c r="F6" s="14" t="n">
        <x:f>E6/10</x:f>
        <x:v>2.6</x:v>
      </x:c>
    </x:row>
    <x:row r="7" ht="25" customHeight="1">
      <x:c r="A7" s="2" t="str">
        <x:v>2026-09-22_Day</x:v>
      </x:c>
      <x:c r="B7" s="7" t="n">
        <x:v>0</x:v>
      </x:c>
      <x:c r="C7" s="7" t="n">
        <x:v>6000</x:v>
      </x:c>
      <x:c r="D7" s="7" t="n">
        <x:f>B7-C7</x:f>
        <x:v>-6000</x:v>
      </x:c>
      <x:c r="E7" s="12" t="n">
        <x:v>26</x:v>
      </x:c>
      <x:c r="F7" s="14" t="n">
        <x:f>E7/10</x:f>
        <x:v>2.6</x:v>
      </x:c>
    </x:row>
    <x:row r="8" ht="25" customHeight="1">
      <x:c r="A8" s="2" t="str">
        <x:v>2026-09-23_Day</x:v>
      </x:c>
      <x:c r="B8" s="7" t="n">
        <x:v>0</x:v>
      </x:c>
      <x:c r="C8" s="7" t="n">
        <x:v>7200</x:v>
      </x:c>
      <x:c r="D8" s="7" t="n">
        <x:f>B8-C8</x:f>
        <x:v>-7200</x:v>
      </x:c>
      <x:c r="E8" s="12" t="n">
        <x:v>16</x:v>
      </x:c>
      <x:c r="F8" s="14" t="n">
        <x:f>E8/10</x:f>
        <x:v>1.6</x:v>
      </x:c>
    </x:row>
    <x:row r="9" ht="25" customHeight="1">
      <x:c r="A9" s="2" t="str">
        <x:v>2026-09-24_Day</x:v>
      </x:c>
      <x:c r="B9" s="7" t="n">
        <x:v>44000</x:v>
      </x:c>
      <x:c r="C9" s="7" t="n">
        <x:v>8400</x:v>
      </x:c>
      <x:c r="D9" s="7" t="n">
        <x:f>B9-C9</x:f>
        <x:v>35600</x:v>
      </x:c>
      <x:c r="E9" s="12" t="n">
        <x:v>293</x:v>
      </x:c>
      <x:c r="F9" s="14" t="n">
        <x:f>E9/10</x:f>
        <x:v>29.3</x:v>
      </x:c>
    </x:row>
    <x:row r="10" ht="25" customHeight="1">
      <x:c r="A10" s="2" t="str">
        <x:v>2026-09-25_Day</x:v>
      </x:c>
      <x:c r="B10" s="7" t="n">
        <x:v>83300</x:v>
      </x:c>
      <x:c r="C10" s="7" t="n">
        <x:v>21600</x:v>
      </x:c>
      <x:c r="D10" s="7" t="n">
        <x:f>B10-C10</x:f>
        <x:v>61700</x:v>
      </x:c>
      <x:c r="E10" s="12" t="n">
        <x:v>209</x:v>
      </x:c>
      <x:c r="F10" s="14" t="n">
        <x:f>E10/10</x:f>
        <x:v>20.9</x:v>
      </x:c>
    </x:row>
    <x:row r="11" ht="25" customHeight="1">
      <x:c r="A11" s="2" t="str">
        <x:v>2026-09-28_Day</x:v>
      </x:c>
      <x:c r="B11" s="7" t="n">
        <x:v>7000</x:v>
      </x:c>
      <x:c r="C11" s="7" t="n">
        <x:v>112900</x:v>
      </x:c>
      <x:c r="D11" s="7" t="n">
        <x:f>B11-C11</x:f>
        <x:v>-105900</x:v>
      </x:c>
      <x:c r="E11" s="12" t="n">
        <x:v>213</x:v>
      </x:c>
      <x:c r="F11" s="14" t="n">
        <x:f>E11/10</x:f>
        <x:v>21.3</x:v>
      </x:c>
    </x:row>
    <x:row r="12" ht="25" customHeight="1">
      <x:c r="A12" s="2" t="str">
        <x:v>2026-09-29_Day</x:v>
      </x:c>
      <x:c r="B12" s="7" t="n">
        <x:v>18600</x:v>
      </x:c>
      <x:c r="C12" s="7" t="n">
        <x:v>140300</x:v>
      </x:c>
      <x:c r="D12" s="7" t="n">
        <x:f>B12-C12</x:f>
        <x:v>-121700</x:v>
      </x:c>
      <x:c r="E12" s="12" t="n">
        <x:v>365</x:v>
      </x:c>
      <x:c r="F12" s="14" t="n">
        <x:f>E12/10</x:f>
        <x:v>36.5</x:v>
      </x:c>
    </x:row>
    <x:row r="13" ht="25" customHeight="1">
      <x:c r="A13" s="2" t="str">
        <x:v>2026-09-30_Day</x:v>
      </x:c>
      <x:c r="B13" s="7" t="n">
        <x:v>300</x:v>
      </x:c>
      <x:c r="C13" s="7" t="n">
        <x:v>0</x:v>
      </x:c>
      <x:c r="D13" s="7" t="n">
        <x:f>B13-C13</x:f>
        <x:v>300</x:v>
      </x:c>
      <x:c r="E13" s="12" t="n">
        <x:v>72</x:v>
      </x:c>
      <x:c r="F13" s="14" t="n">
        <x:f>E13/10</x:f>
        <x:v>7.2</x:v>
      </x:c>
    </x:row>
    <x:row r="14" ht="25" customHeight="1">
      <x:c r="A14" s="2" t="str">
        <x:v>2026-10-01_Day</x:v>
      </x:c>
      <x:c r="B14" s="7" t="n">
        <x:v>16900</x:v>
      </x:c>
      <x:c r="C14" s="7" t="n">
        <x:v>133200</x:v>
      </x:c>
      <x:c r="D14" s="7" t="n">
        <x:f>B14-C14</x:f>
        <x:v>-116300</x:v>
      </x:c>
      <x:c r="E14" s="12" t="n">
        <x:v>303</x:v>
      </x:c>
      <x:c r="F14" s="14" t="n">
        <x:f>E14/10</x:f>
        <x:v>30.3</x:v>
      </x:c>
    </x:row>
    <x:row r="15" ht="25" customHeight="1">
      <x:c r="A15" s="2" t="str">
        <x:v>2026-10-02_Day</x:v>
      </x:c>
      <x:c r="B15" s="7" t="n">
        <x:v>4300</x:v>
      </x:c>
      <x:c r="C15" s="7" t="n">
        <x:v>14400</x:v>
      </x:c>
      <x:c r="D15" s="7" t="n">
        <x:f>B15-C15</x:f>
        <x:v>-10100</x:v>
      </x:c>
      <x:c r="E15" s="12" t="n">
        <x:v>127</x:v>
      </x:c>
      <x:c r="F15" s="14" t="n">
        <x:f>E15/10</x:f>
        <x:v>12.7</x:v>
      </x:c>
    </x:row>
    <x:row r="16" ht="25" customHeight="1">
      <x:c r="A16" s="2" t="str">
        <x:v>2026-10-05_Day</x:v>
      </x:c>
      <x:c r="B16" s="7" t="n">
        <x:v>16000</x:v>
      </x:c>
      <x:c r="C16" s="7" t="n">
        <x:v>40800</x:v>
      </x:c>
      <x:c r="D16" s="7" t="n">
        <x:f>B16-C16</x:f>
        <x:v>-24800</x:v>
      </x:c>
      <x:c r="E16" s="12" t="n">
        <x:v>267</x:v>
      </x:c>
      <x:c r="F16" s="14" t="n">
        <x:f>E16/10</x:f>
        <x:v>26.7</x:v>
      </x:c>
    </x:row>
    <x:row r="17" ht="25" customHeight="1">
      <x:c r="A17" s="2" t="str">
        <x:v>2026-10-06_Day</x:v>
      </x:c>
      <x:c r="B17" s="7" t="n">
        <x:v>31400</x:v>
      </x:c>
      <x:c r="C17" s="7" t="n">
        <x:v>40200</x:v>
      </x:c>
      <x:c r="D17" s="7" t="n">
        <x:f>B17-C17</x:f>
        <x:v>-8800</x:v>
      </x:c>
      <x:c r="E17" s="12" t="n">
        <x:v>294</x:v>
      </x:c>
      <x:c r="F17" s="14" t="n">
        <x:f>E17/10</x:f>
        <x:v>29.4</x:v>
      </x:c>
    </x:row>
    <x:row r="18" ht="25" customHeight="1">
      <x:c r="A18" s="2" t="str">
        <x:v>2026-10-07_Day</x:v>
      </x:c>
      <x:c r="B18" s="7" t="n">
        <x:v>4300</x:v>
      </x:c>
      <x:c r="C18" s="7" t="n">
        <x:v>34800</x:v>
      </x:c>
      <x:c r="D18" s="7" t="n">
        <x:f>B18-C18</x:f>
        <x:v>-30500</x:v>
      </x:c>
      <x:c r="E18" s="12" t="n">
        <x:v>160</x:v>
      </x:c>
      <x:c r="F18" s="14" t="n">
        <x:f>E18/10</x:f>
        <x:v>16</x:v>
      </x:c>
    </x:row>
    <x:row r="19" ht="25" customHeight="1">
      <x:c r="A19" s="2" t="str">
        <x:v>2026-10-08_Day</x:v>
      </x:c>
      <x:c r="B19" s="7" t="n">
        <x:v>5200</x:v>
      </x:c>
      <x:c r="C19" s="7" t="n">
        <x:v>86400</x:v>
      </x:c>
      <x:c r="D19" s="7" t="n">
        <x:f>B19-C19</x:f>
        <x:v>-81200</x:v>
      </x:c>
      <x:c r="E19" s="12" t="n">
        <x:v>133</x:v>
      </x:c>
      <x:c r="F19" s="14" t="n">
        <x:f>E19/10</x:f>
        <x:v>13.3</x:v>
      </x:c>
    </x:row>
    <x:row r="20" ht="25" customHeight="1">
      <x:c r="A20" s="2" t="str">
        <x:v>2026-10-09_Day</x:v>
      </x:c>
      <x:c r="B20" s="7" t="n">
        <x:v>15000</x:v>
      </x:c>
      <x:c r="C20" s="7" t="n">
        <x:v>121200</x:v>
      </x:c>
      <x:c r="D20" s="7" t="n">
        <x:f>B20-C20</x:f>
        <x:v>-106200</x:v>
      </x:c>
      <x:c r="E20" s="12" t="n">
        <x:v>205</x:v>
      </x:c>
      <x:c r="F20" s="14" t="n">
        <x:f>E20/10</x:f>
        <x:v>20.5</x:v>
      </x:c>
    </x:row>
    <x:row r="21" ht="25" customHeight="1">
      <x:c r="A21" s="2" t="str">
        <x:v>2026-10-12_Day</x:v>
      </x:c>
      <x:c r="B21" s="7" t="n">
        <x:v>1000</x:v>
      </x:c>
      <x:c r="C21" s="7" t="n">
        <x:v>5000</x:v>
      </x:c>
      <x:c r="D21" s="7" t="n">
        <x:f>B21-C21</x:f>
        <x:v>-4000</x:v>
      </x:c>
      <x:c r="E21" s="12" t="n">
        <x:v>42</x:v>
      </x:c>
      <x:c r="F21" s="14" t="n">
        <x:f>E21/10</x:f>
        <x:v>4.2</x:v>
      </x:c>
    </x:row>
    <x:row r="22" ht="25" customHeight="1">
      <x:c r="A22" s="2" t="str">
        <x:v>2026-10-13_Day</x:v>
      </x:c>
      <x:c r="B22" s="7" t="n">
        <x:v>21300</x:v>
      </x:c>
      <x:c r="C22" s="7" t="n">
        <x:v>194400</x:v>
      </x:c>
      <x:c r="D22" s="7" t="n">
        <x:f>B22-C22</x:f>
        <x:v>-173100</x:v>
      </x:c>
      <x:c r="E22" s="12" t="n">
        <x:v>441</x:v>
      </x:c>
      <x:c r="F22" s="14" t="n">
        <x:f>E22/10</x:f>
        <x:v>44.1</x:v>
      </x:c>
    </x:row>
    <x:row r="23" ht="25" customHeight="1">
      <x:c r="A23" s="2" t="str">
        <x:v>2026-10-14_Day</x:v>
      </x:c>
      <x:c r="B23" s="7" t="n">
        <x:v>7100</x:v>
      </x:c>
      <x:c r="C23" s="7" t="n">
        <x:v>25200</x:v>
      </x:c>
      <x:c r="D23" s="7" t="n">
        <x:f>B23-C23</x:f>
        <x:v>-18100</x:v>
      </x:c>
      <x:c r="E23" s="12" t="n">
        <x:v>111</x:v>
      </x:c>
      <x:c r="F23" s="14" t="n">
        <x:f>E23/10</x:f>
        <x:v>11.1</x:v>
      </x:c>
    </x:row>
    <x:row r="24" ht="25" customHeight="1">
      <x:c r="A24" s="2" t="str">
        <x:v>2026-10-15_Day</x:v>
      </x:c>
      <x:c r="B24" s="7" t="n">
        <x:v>39700</x:v>
      </x:c>
      <x:c r="C24" s="7" t="n">
        <x:v>10800</x:v>
      </x:c>
      <x:c r="D24" s="7" t="n">
        <x:f>B24-C24</x:f>
        <x:v>28900</x:v>
      </x:c>
      <x:c r="E24" s="12" t="n">
        <x:v>261</x:v>
      </x:c>
      <x:c r="F24" s="14" t="n">
        <x:f>E24/10</x:f>
        <x:v>26.1</x:v>
      </x:c>
    </x:row>
    <x:row r="25" ht="25" customHeight="1">
      <x:c r="A25" s="2" t="str">
        <x:v>2026-10-16_Day</x:v>
      </x:c>
      <x:c r="B25" s="7" t="n">
        <x:v>60800</x:v>
      </x:c>
      <x:c r="C25" s="7" t="n">
        <x:v>109800</x:v>
      </x:c>
      <x:c r="D25" s="7" t="n">
        <x:f>B25-C25</x:f>
        <x:v>-49000</x:v>
      </x:c>
      <x:c r="E25" s="12" t="n">
        <x:v>411</x:v>
      </x:c>
      <x:c r="F25" s="14" t="n">
        <x:f>E25/10</x:f>
        <x:v>41.1</x:v>
      </x:c>
    </x:row>
    <x:row r="26" ht="25" customHeight="1">
      <x:c r="A26" s="2" t="str">
        <x:v>2026-10-19_Day</x:v>
      </x:c>
      <x:c r="B26" s="7" t="n">
        <x:v>50000</x:v>
      </x:c>
      <x:c r="C26" s="7" t="n">
        <x:v>0</x:v>
      </x:c>
      <x:c r="D26" s="7" t="n">
        <x:f>B26-C26</x:f>
        <x:v>50000</x:v>
      </x:c>
      <x:c r="E26" s="12" t="n">
        <x:v>330</x:v>
      </x:c>
      <x:c r="F26" s="14" t="n">
        <x:f>E26/10</x:f>
        <x:v>33</x:v>
      </x:c>
    </x:row>
    <x:row r="27" ht="25" customHeight="1">
      <x:c r="A27" s="2" t="str">
        <x:v>2026-10-20_Day</x:v>
      </x:c>
      <x:c r="B27" s="7" t="n">
        <x:v>22500</x:v>
      </x:c>
      <x:c r="C27" s="7" t="n">
        <x:v>38600</x:v>
      </x:c>
      <x:c r="D27" s="7" t="n">
        <x:f>B27-C27</x:f>
        <x:v>-16100</x:v>
      </x:c>
      <x:c r="E27" s="12" t="n">
        <x:v>256</x:v>
      </x:c>
      <x:c r="F27" s="14" t="n">
        <x:f>E27/10</x:f>
        <x:v>25.6</x:v>
      </x:c>
    </x:row>
    <x:row r="28" ht="25" customHeight="1">
      <x:c r="A28" s="2" t="str">
        <x:v>2026-10-21_Day</x:v>
      </x:c>
      <x:c r="B28" s="7" t="n">
        <x:v>19600</x:v>
      </x:c>
      <x:c r="C28" s="7" t="n">
        <x:v>86400</x:v>
      </x:c>
      <x:c r="D28" s="7" t="n">
        <x:f>B28-C28</x:f>
        <x:v>-66800</x:v>
      </x:c>
      <x:c r="E28" s="12" t="n">
        <x:v>310</x:v>
      </x:c>
      <x:c r="F28" s="14" t="n">
        <x:f>E28/10</x:f>
        <x:v>31</x:v>
      </x:c>
    </x:row>
    <x:row r="29" ht="25" customHeight="1">
      <x:c r="A29" s="2" t="str">
        <x:v>2026-10-22_Day</x:v>
      </x:c>
      <x:c r="B29" s="7" t="n">
        <x:v>13300</x:v>
      </x:c>
      <x:c r="C29" s="7" t="n">
        <x:v>0</x:v>
      </x:c>
      <x:c r="D29" s="7" t="n">
        <x:f>B29-C29</x:f>
        <x:v>13300</x:v>
      </x:c>
      <x:c r="E29" s="12" t="n">
        <x:v>71</x:v>
      </x:c>
      <x:c r="F29" s="14" t="n">
        <x:f>E29/10</x:f>
        <x:v>7.1</x:v>
      </x:c>
    </x:row>
    <x:row r="30" ht="25" customHeight="1">
      <x:c r="A30" s="2" t="str">
        <x:v>2026-10-23_Day</x:v>
      </x:c>
      <x:c r="B30" s="7" t="n">
        <x:v>56900</x:v>
      </x:c>
      <x:c r="C30" s="7" t="n">
        <x:v>16400</x:v>
      </x:c>
      <x:c r="D30" s="7" t="n">
        <x:f>B30-C30</x:f>
        <x:v>40500</x:v>
      </x:c>
      <x:c r="E30" s="12" t="n">
        <x:v>635</x:v>
      </x:c>
      <x:c r="F30" s="14" t="n">
        <x:f>E30/10</x:f>
        <x:v>63.5</x:v>
      </x:c>
    </x:row>
    <x:row r="31" ht="25" customHeight="1">
      <x:c r="A31" s="2" t="str">
        <x:v>2026-10-26_Day</x:v>
      </x:c>
      <x:c r="B31" s="7" t="n">
        <x:v>1600</x:v>
      </x:c>
      <x:c r="C31" s="7" t="n">
        <x:v>144400</x:v>
      </x:c>
      <x:c r="D31" s="7" t="n">
        <x:f>B31-C31</x:f>
        <x:v>-142800</x:v>
      </x:c>
      <x:c r="E31" s="12" t="n">
        <x:v>206</x:v>
      </x:c>
      <x:c r="F31" s="14" t="n">
        <x:f>E31/10</x:f>
        <x:v>20.6</x:v>
      </x:c>
    </x:row>
    <x:row r="32" ht="25" customHeight="1">
      <x:c r="A32" s="2" t="str">
        <x:v>2026-10-27_Day</x:v>
      </x:c>
      <x:c r="B32" s="7" t="n">
        <x:v>84200</x:v>
      </x:c>
      <x:c r="C32" s="7" t="n">
        <x:v>109200</x:v>
      </x:c>
      <x:c r="D32" s="7" t="n">
        <x:f>B32-C32</x:f>
        <x:v>-25000</x:v>
      </x:c>
      <x:c r="E32" s="12" t="n">
        <x:v>396</x:v>
      </x:c>
      <x:c r="F32" s="14" t="n">
        <x:f>E32/10</x:f>
        <x:v>39.6</x:v>
      </x:c>
    </x:row>
    <x:row r="33" ht="25" customHeight="1">
      <x:c r="A33" s="10" t="str">
        <x:v>合計</x:v>
      </x:c>
      <x:c r="B33" s="11" t="n">
        <x:f>SUM(B6:B32)</x:f>
        <x:v>625900</x:v>
      </x:c>
      <x:c r="C33" s="11" t="n">
        <x:f>SUM(C6:C32)</x:f>
        <x:v>1519600</x:v>
      </x:c>
      <x:c r="D33" s="11" t="n">
        <x:f>B33-C33</x:f>
        <x:v>-893700</x:v>
      </x:c>
      <x:c r="E33" s="13" t="n">
        <x:f>SUM(E6:E32)</x:f>
        <x:v>6179</x:v>
      </x:c>
      <x:c r="F33" s="15" t="n">
        <x:f>E33/10</x:f>
        <x:v>617.9</x:v>
      </x:c>
    </x:row>
  </x:sheetData>
  <x:mergeCells>
    <x:mergeCell ref="A2:F2"/>
    <x:mergeCell ref="A3:F3"/>
    <x:mergeCell ref="A4:F4"/>
  </x:mergeCells>
  <x:conditionalFormatting sqref="D6:D32">
    <x:cfRule type="cellIs" dxfId="1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96a95329afb465d"/>
  </x:tableParts>
</x:worksheet>
</file>

<file path=xl/worksheets/sheet18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NK225_D168_16　日中の損益</x:v>
      </x:c>
      <x:c r="B2" s="2"/>
      <x:c r="C2" s="2"/>
      <x:c r="D2" s="2"/>
      <x:c r="E2" s="2"/>
      <x:c r="F2" s="2"/>
    </x:row>
    <x:row r="3" ht="38" customHeight="1">
      <x:c r="A3" s="5" t="str">
        <x:v>回収直後に方向と数量を再判断3回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2400</x:v>
      </x:c>
      <x:c r="C6" s="7" t="n">
        <x:v>12000</x:v>
      </x:c>
      <x:c r="D6" s="7" t="n">
        <x:f>B6-C6</x:f>
        <x:v>-9600</x:v>
      </x:c>
      <x:c r="E6" s="12" t="n">
        <x:v>34</x:v>
      </x:c>
      <x:c r="F6" s="14" t="n">
        <x:f>E6/10</x:f>
        <x:v>3.4</x:v>
      </x:c>
    </x:row>
    <x:row r="7" ht="25" customHeight="1">
      <x:c r="A7" s="2" t="str">
        <x:v>2026-09-22_Day</x:v>
      </x:c>
      <x:c r="B7" s="7" t="n">
        <x:v>0</x:v>
      </x:c>
      <x:c r="C7" s="7" t="n">
        <x:v>6400</x:v>
      </x:c>
      <x:c r="D7" s="7" t="n">
        <x:f>B7-C7</x:f>
        <x:v>-6400</x:v>
      </x:c>
      <x:c r="E7" s="12" t="n">
        <x:v>32</x:v>
      </x:c>
      <x:c r="F7" s="14" t="n">
        <x:f>E7/10</x:f>
        <x:v>3.2</x:v>
      </x:c>
    </x:row>
    <x:row r="8" ht="25" customHeight="1">
      <x:c r="A8" s="2" t="str">
        <x:v>2026-09-23_Day</x:v>
      </x:c>
      <x:c r="B8" s="7" t="n">
        <x:v>0</x:v>
      </x:c>
      <x:c r="C8" s="7" t="n">
        <x:v>7200</x:v>
      </x:c>
      <x:c r="D8" s="7" t="n">
        <x:f>B8-C8</x:f>
        <x:v>-7200</x:v>
      </x:c>
      <x:c r="E8" s="12" t="n">
        <x:v>16</x:v>
      </x:c>
      <x:c r="F8" s="14" t="n">
        <x:f>E8/10</x:f>
        <x:v>1.6</x:v>
      </x:c>
    </x:row>
    <x:row r="9" ht="25" customHeight="1">
      <x:c r="A9" s="2" t="str">
        <x:v>2026-09-24_Day</x:v>
      </x:c>
      <x:c r="B9" s="7" t="n">
        <x:v>59800</x:v>
      </x:c>
      <x:c r="C9" s="7" t="n">
        <x:v>33600</x:v>
      </x:c>
      <x:c r="D9" s="7" t="n">
        <x:f>B9-C9</x:f>
        <x:v>26200</x:v>
      </x:c>
      <x:c r="E9" s="12" t="n">
        <x:v>363</x:v>
      </x:c>
      <x:c r="F9" s="14" t="n">
        <x:f>E9/10</x:f>
        <x:v>36.3</x:v>
      </x:c>
    </x:row>
    <x:row r="10" ht="25" customHeight="1">
      <x:c r="A10" s="2" t="str">
        <x:v>2026-09-25_Day</x:v>
      </x:c>
      <x:c r="B10" s="7" t="n">
        <x:v>83300</x:v>
      </x:c>
      <x:c r="C10" s="7" t="n">
        <x:v>77800</x:v>
      </x:c>
      <x:c r="D10" s="7" t="n">
        <x:f>B10-C10</x:f>
        <x:v>5500</x:v>
      </x:c>
      <x:c r="E10" s="12" t="n">
        <x:v>253</x:v>
      </x:c>
      <x:c r="F10" s="14" t="n">
        <x:f>E10/10</x:f>
        <x:v>25.3</x:v>
      </x:c>
    </x:row>
    <x:row r="11" ht="25" customHeight="1">
      <x:c r="A11" s="2" t="str">
        <x:v>2026-09-28_Day</x:v>
      </x:c>
      <x:c r="B11" s="7" t="n">
        <x:v>8000</x:v>
      </x:c>
      <x:c r="C11" s="7" t="n">
        <x:v>127300</x:v>
      </x:c>
      <x:c r="D11" s="7" t="n">
        <x:f>B11-C11</x:f>
        <x:v>-119300</x:v>
      </x:c>
      <x:c r="E11" s="12" t="n">
        <x:v>241</x:v>
      </x:c>
      <x:c r="F11" s="14" t="n">
        <x:f>E11/10</x:f>
        <x:v>24.1</x:v>
      </x:c>
    </x:row>
    <x:row r="12" ht="25" customHeight="1">
      <x:c r="A12" s="2" t="str">
        <x:v>2026-09-29_Day</x:v>
      </x:c>
      <x:c r="B12" s="7" t="n">
        <x:v>20800</x:v>
      </x:c>
      <x:c r="C12" s="7" t="n">
        <x:v>151100</x:v>
      </x:c>
      <x:c r="D12" s="7" t="n">
        <x:f>B12-C12</x:f>
        <x:v>-130300</x:v>
      </x:c>
      <x:c r="E12" s="12" t="n">
        <x:v>414</x:v>
      </x:c>
      <x:c r="F12" s="14" t="n">
        <x:f>E12/10</x:f>
        <x:v>41.4</x:v>
      </x:c>
    </x:row>
    <x:row r="13" ht="25" customHeight="1">
      <x:c r="A13" s="2" t="str">
        <x:v>2026-09-30_Day</x:v>
      </x:c>
      <x:c r="B13" s="7" t="n">
        <x:v>1100</x:v>
      </x:c>
      <x:c r="C13" s="7" t="n">
        <x:v>9600</x:v>
      </x:c>
      <x:c r="D13" s="7" t="n">
        <x:f>B13-C13</x:f>
        <x:v>-8500</x:v>
      </x:c>
      <x:c r="E13" s="12" t="n">
        <x:v>92</x:v>
      </x:c>
      <x:c r="F13" s="14" t="n">
        <x:f>E13/10</x:f>
        <x:v>9.2</x:v>
      </x:c>
    </x:row>
    <x:row r="14" ht="25" customHeight="1">
      <x:c r="A14" s="2" t="str">
        <x:v>2026-10-01_Day</x:v>
      </x:c>
      <x:c r="B14" s="7" t="n">
        <x:v>25700</x:v>
      </x:c>
      <x:c r="C14" s="7" t="n">
        <x:v>133200</x:v>
      </x:c>
      <x:c r="D14" s="7" t="n">
        <x:f>B14-C14</x:f>
        <x:v>-107500</x:v>
      </x:c>
      <x:c r="E14" s="12" t="n">
        <x:v>352</x:v>
      </x:c>
      <x:c r="F14" s="14" t="n">
        <x:f>E14/10</x:f>
        <x:v>35.2</x:v>
      </x:c>
    </x:row>
    <x:row r="15" ht="25" customHeight="1">
      <x:c r="A15" s="2" t="str">
        <x:v>2026-10-02_Day</x:v>
      </x:c>
      <x:c r="B15" s="7" t="n">
        <x:v>7300</x:v>
      </x:c>
      <x:c r="C15" s="7" t="n">
        <x:v>36600</x:v>
      </x:c>
      <x:c r="D15" s="7" t="n">
        <x:f>B15-C15</x:f>
        <x:v>-29300</x:v>
      </x:c>
      <x:c r="E15" s="12" t="n">
        <x:v>168</x:v>
      </x:c>
      <x:c r="F15" s="14" t="n">
        <x:f>E15/10</x:f>
        <x:v>16.8</x:v>
      </x:c>
    </x:row>
    <x:row r="16" ht="25" customHeight="1">
      <x:c r="A16" s="2" t="str">
        <x:v>2026-10-05_Day</x:v>
      </x:c>
      <x:c r="B16" s="7" t="n">
        <x:v>26000</x:v>
      </x:c>
      <x:c r="C16" s="7" t="n">
        <x:v>57600</x:v>
      </x:c>
      <x:c r="D16" s="7" t="n">
        <x:f>B16-C16</x:f>
        <x:v>-31600</x:v>
      </x:c>
      <x:c r="E16" s="12" t="n">
        <x:v>349</x:v>
      </x:c>
      <x:c r="F16" s="14" t="n">
        <x:f>E16/10</x:f>
        <x:v>34.9</x:v>
      </x:c>
    </x:row>
    <x:row r="17" ht="25" customHeight="1">
      <x:c r="A17" s="2" t="str">
        <x:v>2026-10-06_Day</x:v>
      </x:c>
      <x:c r="B17" s="7" t="n">
        <x:v>51900</x:v>
      </x:c>
      <x:c r="C17" s="7" t="n">
        <x:v>40200</x:v>
      </x:c>
      <x:c r="D17" s="7" t="n">
        <x:f>B17-C17</x:f>
        <x:v>11700</x:v>
      </x:c>
      <x:c r="E17" s="12" t="n">
        <x:v>386</x:v>
      </x:c>
      <x:c r="F17" s="14" t="n">
        <x:f>E17/10</x:f>
        <x:v>38.6</x:v>
      </x:c>
    </x:row>
    <x:row r="18" ht="25" customHeight="1">
      <x:c r="A18" s="2" t="str">
        <x:v>2026-10-07_Day</x:v>
      </x:c>
      <x:c r="B18" s="7" t="n">
        <x:v>12300</x:v>
      </x:c>
      <x:c r="C18" s="7" t="n">
        <x:v>54000</x:v>
      </x:c>
      <x:c r="D18" s="7" t="n">
        <x:f>B18-C18</x:f>
        <x:v>-41700</x:v>
      </x:c>
      <x:c r="E18" s="12" t="n">
        <x:v>191</x:v>
      </x:c>
      <x:c r="F18" s="14" t="n">
        <x:f>E18/10</x:f>
        <x:v>19.1</x:v>
      </x:c>
    </x:row>
    <x:row r="19" ht="25" customHeight="1">
      <x:c r="A19" s="2" t="str">
        <x:v>2026-10-08_Day</x:v>
      </x:c>
      <x:c r="B19" s="7" t="n">
        <x:v>5200</x:v>
      </x:c>
      <x:c r="C19" s="7" t="n">
        <x:v>93600</x:v>
      </x:c>
      <x:c r="D19" s="7" t="n">
        <x:f>B19-C19</x:f>
        <x:v>-88400</x:v>
      </x:c>
      <x:c r="E19" s="12" t="n">
        <x:v>139</x:v>
      </x:c>
      <x:c r="F19" s="14" t="n">
        <x:f>E19/10</x:f>
        <x:v>13.9</x:v>
      </x:c>
    </x:row>
    <x:row r="20" ht="25" customHeight="1">
      <x:c r="A20" s="2" t="str">
        <x:v>2026-10-09_Day</x:v>
      </x:c>
      <x:c r="B20" s="7" t="n">
        <x:v>16400</x:v>
      </x:c>
      <x:c r="C20" s="7" t="n">
        <x:v>136800</x:v>
      </x:c>
      <x:c r="D20" s="7" t="n">
        <x:f>B20-C20</x:f>
        <x:v>-120400</x:v>
      </x:c>
      <x:c r="E20" s="12" t="n">
        <x:v>233</x:v>
      </x:c>
      <x:c r="F20" s="14" t="n">
        <x:f>E20/10</x:f>
        <x:v>23.3</x:v>
      </x:c>
    </x:row>
    <x:row r="21" ht="25" customHeight="1">
      <x:c r="A21" s="2" t="str">
        <x:v>2026-10-12_Day</x:v>
      </x:c>
      <x:c r="B21" s="7" t="n">
        <x:v>1800</x:v>
      </x:c>
      <x:c r="C21" s="7" t="n">
        <x:v>5000</x:v>
      </x:c>
      <x:c r="D21" s="7" t="n">
        <x:f>B21-C21</x:f>
        <x:v>-3200</x:v>
      </x:c>
      <x:c r="E21" s="12" t="n">
        <x:v>54</x:v>
      </x:c>
      <x:c r="F21" s="14" t="n">
        <x:f>E21/10</x:f>
        <x:v>5.4</x:v>
      </x:c>
    </x:row>
    <x:row r="22" ht="25" customHeight="1">
      <x:c r="A22" s="2" t="str">
        <x:v>2026-10-13_Day</x:v>
      </x:c>
      <x:c r="B22" s="7" t="n">
        <x:v>48200</x:v>
      </x:c>
      <x:c r="C22" s="7" t="n">
        <x:v>194400</x:v>
      </x:c>
      <x:c r="D22" s="7" t="n">
        <x:f>B22-C22</x:f>
        <x:v>-146200</x:v>
      </x:c>
      <x:c r="E22" s="12" t="n">
        <x:v>559</x:v>
      </x:c>
      <x:c r="F22" s="14" t="n">
        <x:f>E22/10</x:f>
        <x:v>55.9</x:v>
      </x:c>
    </x:row>
    <x:row r="23" ht="25" customHeight="1">
      <x:c r="A23" s="2" t="str">
        <x:v>2026-10-14_Day</x:v>
      </x:c>
      <x:c r="B23" s="7" t="n">
        <x:v>9100</x:v>
      </x:c>
      <x:c r="C23" s="7" t="n">
        <x:v>29600</x:v>
      </x:c>
      <x:c r="D23" s="7" t="n">
        <x:f>B23-C23</x:f>
        <x:v>-20500</x:v>
      </x:c>
      <x:c r="E23" s="12" t="n">
        <x:v>121</x:v>
      </x:c>
      <x:c r="F23" s="14" t="n">
        <x:f>E23/10</x:f>
        <x:v>12.1</x:v>
      </x:c>
    </x:row>
    <x:row r="24" ht="25" customHeight="1">
      <x:c r="A24" s="2" t="str">
        <x:v>2026-10-15_Day</x:v>
      </x:c>
      <x:c r="B24" s="7" t="n">
        <x:v>39700</x:v>
      </x:c>
      <x:c r="C24" s="7" t="n">
        <x:v>42000</x:v>
      </x:c>
      <x:c r="D24" s="7" t="n">
        <x:f>B24-C24</x:f>
        <x:v>-2300</x:v>
      </x:c>
      <x:c r="E24" s="12" t="n">
        <x:v>343</x:v>
      </x:c>
      <x:c r="F24" s="14" t="n">
        <x:f>E24/10</x:f>
        <x:v>34.3</x:v>
      </x:c>
    </x:row>
    <x:row r="25" ht="25" customHeight="1">
      <x:c r="A25" s="2" t="str">
        <x:v>2026-10-16_Day</x:v>
      </x:c>
      <x:c r="B25" s="7" t="n">
        <x:v>63800</x:v>
      </x:c>
      <x:c r="C25" s="7" t="n">
        <x:v>132600</x:v>
      </x:c>
      <x:c r="D25" s="7" t="n">
        <x:f>B25-C25</x:f>
        <x:v>-68800</x:v>
      </x:c>
      <x:c r="E25" s="12" t="n">
        <x:v>517</x:v>
      </x:c>
      <x:c r="F25" s="14" t="n">
        <x:f>E25/10</x:f>
        <x:v>51.7</x:v>
      </x:c>
    </x:row>
    <x:row r="26" ht="25" customHeight="1">
      <x:c r="A26" s="2" t="str">
        <x:v>2026-10-19_Day</x:v>
      </x:c>
      <x:c r="B26" s="7" t="n">
        <x:v>51400</x:v>
      </x:c>
      <x:c r="C26" s="7" t="n">
        <x:v>31200</x:v>
      </x:c>
      <x:c r="D26" s="7" t="n">
        <x:f>B26-C26</x:f>
        <x:v>20200</x:v>
      </x:c>
      <x:c r="E26" s="12" t="n">
        <x:v>434</x:v>
      </x:c>
      <x:c r="F26" s="14" t="n">
        <x:f>E26/10</x:f>
        <x:v>43.4</x:v>
      </x:c>
    </x:row>
    <x:row r="27" ht="25" customHeight="1">
      <x:c r="A27" s="2" t="str">
        <x:v>2026-10-20_Day</x:v>
      </x:c>
      <x:c r="B27" s="7" t="n">
        <x:v>26100</x:v>
      </x:c>
      <x:c r="C27" s="7" t="n">
        <x:v>85600</x:v>
      </x:c>
      <x:c r="D27" s="7" t="n">
        <x:f>B27-C27</x:f>
        <x:v>-59500</x:v>
      </x:c>
      <x:c r="E27" s="12" t="n">
        <x:v>332</x:v>
      </x:c>
      <x:c r="F27" s="14" t="n">
        <x:f>E27/10</x:f>
        <x:v>33.2</x:v>
      </x:c>
    </x:row>
    <x:row r="28" ht="25" customHeight="1">
      <x:c r="A28" s="2" t="str">
        <x:v>2026-10-21_Day</x:v>
      </x:c>
      <x:c r="B28" s="7" t="n">
        <x:v>29200</x:v>
      </x:c>
      <x:c r="C28" s="7" t="n">
        <x:v>86400</x:v>
      </x:c>
      <x:c r="D28" s="7" t="n">
        <x:f>B28-C28</x:f>
        <x:v>-57200</x:v>
      </x:c>
      <x:c r="E28" s="12" t="n">
        <x:v>381</x:v>
      </x:c>
      <x:c r="F28" s="14" t="n">
        <x:f>E28/10</x:f>
        <x:v>38.1</x:v>
      </x:c>
    </x:row>
    <x:row r="29" ht="25" customHeight="1">
      <x:c r="A29" s="2" t="str">
        <x:v>2026-10-22_Day</x:v>
      </x:c>
      <x:c r="B29" s="7" t="n">
        <x:v>13300</x:v>
      </x:c>
      <x:c r="C29" s="7" t="n">
        <x:v>21600</x:v>
      </x:c>
      <x:c r="D29" s="7" t="n">
        <x:f>B29-C29</x:f>
        <x:v>-8300</x:v>
      </x:c>
      <x:c r="E29" s="12" t="n">
        <x:v>111</x:v>
      </x:c>
      <x:c r="F29" s="14" t="n">
        <x:f>E29/10</x:f>
        <x:v>11.1</x:v>
      </x:c>
    </x:row>
    <x:row r="30" ht="25" customHeight="1">
      <x:c r="A30" s="2" t="str">
        <x:v>2026-10-23_Day</x:v>
      </x:c>
      <x:c r="B30" s="7" t="n">
        <x:v>100100</x:v>
      </x:c>
      <x:c r="C30" s="7" t="n">
        <x:v>101600</x:v>
      </x:c>
      <x:c r="D30" s="7" t="n">
        <x:f>B30-C30</x:f>
        <x:v>-1500</x:v>
      </x:c>
      <x:c r="E30" s="12" t="n">
        <x:v>951</x:v>
      </x:c>
      <x:c r="F30" s="14" t="n">
        <x:f>E30/10</x:f>
        <x:v>95.1</x:v>
      </x:c>
    </x:row>
    <x:row r="31" ht="25" customHeight="1">
      <x:c r="A31" s="2" t="str">
        <x:v>2026-10-26_Day</x:v>
      </x:c>
      <x:c r="B31" s="7" t="n">
        <x:v>3600</x:v>
      </x:c>
      <x:c r="C31" s="7" t="n">
        <x:v>144400</x:v>
      </x:c>
      <x:c r="D31" s="7" t="n">
        <x:f>B31-C31</x:f>
        <x:v>-140800</x:v>
      </x:c>
      <x:c r="E31" s="12" t="n">
        <x:v>209</x:v>
      </x:c>
      <x:c r="F31" s="14" t="n">
        <x:f>E31/10</x:f>
        <x:v>20.9</x:v>
      </x:c>
    </x:row>
    <x:row r="32" ht="25" customHeight="1">
      <x:c r="A32" s="2" t="str">
        <x:v>2026-10-27_Day</x:v>
      </x:c>
      <x:c r="B32" s="7" t="n">
        <x:v>90200</x:v>
      </x:c>
      <x:c r="C32" s="7" t="n">
        <x:v>134400</x:v>
      </x:c>
      <x:c r="D32" s="7" t="n">
        <x:f>B32-C32</x:f>
        <x:v>-44200</x:v>
      </x:c>
      <x:c r="E32" s="12" t="n">
        <x:v>437</x:v>
      </x:c>
      <x:c r="F32" s="14" t="n">
        <x:f>E32/10</x:f>
        <x:v>43.7</x:v>
      </x:c>
    </x:row>
    <x:row r="33" ht="25" customHeight="1">
      <x:c r="A33" s="10" t="str">
        <x:v>合計</x:v>
      </x:c>
      <x:c r="B33" s="11" t="n">
        <x:f>SUM(B6:B32)</x:f>
        <x:v>796700</x:v>
      </x:c>
      <x:c r="C33" s="11" t="n">
        <x:f>SUM(C6:C32)</x:f>
        <x:v>1985800</x:v>
      </x:c>
      <x:c r="D33" s="11" t="n">
        <x:f>B33-C33</x:f>
        <x:v>-1189100</x:v>
      </x:c>
      <x:c r="E33" s="13" t="n">
        <x:f>SUM(E6:E32)</x:f>
        <x:v>7712</x:v>
      </x:c>
      <x:c r="F33" s="15" t="n">
        <x:f>E33/10</x:f>
        <x:v>771.2</x:v>
      </x:c>
    </x:row>
  </x:sheetData>
  <x:mergeCells>
    <x:mergeCell ref="A2:F2"/>
    <x:mergeCell ref="A3:F3"/>
    <x:mergeCell ref="A4:F4"/>
  </x:mergeCells>
  <x:conditionalFormatting sqref="D6:D32">
    <x:cfRule type="cellIs" dxfId="1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e94e2c164cd4e4d"/>
  </x:tableParts>
</x:worksheet>
</file>

<file path=xl/worksheets/sheet19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NK225_D168_17　日中の損益</x:v>
      </x:c>
      <x:c r="B2" s="2"/>
      <x:c r="C2" s="2"/>
      <x:c r="D2" s="2"/>
      <x:c r="E2" s="2"/>
      <x:c r="F2" s="2"/>
    </x:row>
    <x:row r="3" ht="38" customHeight="1">
      <x:c r="A3" s="5" t="str">
        <x:v>利確起動も金額基準で再判断3回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8800</x:v>
      </x:c>
      <x:c r="C6" s="7" t="n">
        <x:v>16800</x:v>
      </x:c>
      <x:c r="D6" s="7" t="n">
        <x:f>B6-C6</x:f>
        <x:v>-8000</x:v>
      </x:c>
      <x:c r="E6" s="12" t="n">
        <x:v>40</x:v>
      </x:c>
      <x:c r="F6" s="14" t="n">
        <x:f>E6/10</x:f>
        <x:v>4</x:v>
      </x:c>
    </x:row>
    <x:row r="7" ht="25" customHeight="1">
      <x:c r="A7" s="2" t="str">
        <x:v>2026-09-22_Day</x:v>
      </x:c>
      <x:c r="B7" s="7" t="n">
        <x:v>0</x:v>
      </x:c>
      <x:c r="C7" s="7" t="n">
        <x:v>18000</x:v>
      </x:c>
      <x:c r="D7" s="7" t="n">
        <x:f>B7-C7</x:f>
        <x:v>-18000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1800</x:v>
      </x:c>
      <x:c r="C8" s="7" t="n">
        <x:v>4400</x:v>
      </x:c>
      <x:c r="D8" s="7" t="n">
        <x:f>B8-C8</x:f>
        <x:v>-2600</x:v>
      </x:c>
      <x:c r="E8" s="12" t="n">
        <x:v>20</x:v>
      </x:c>
      <x:c r="F8" s="14" t="n">
        <x:f>E8/10</x:f>
        <x:v>2</x:v>
      </x:c>
    </x:row>
    <x:row r="9" ht="25" customHeight="1">
      <x:c r="A9" s="2" t="str">
        <x:v>2026-09-24_Day</x:v>
      </x:c>
      <x:c r="B9" s="7" t="n">
        <x:v>93400</x:v>
      </x:c>
      <x:c r="C9" s="7" t="n">
        <x:v>32400</x:v>
      </x:c>
      <x:c r="D9" s="7" t="n">
        <x:f>B9-C9</x:f>
        <x:v>61000</x:v>
      </x:c>
      <x:c r="E9" s="12" t="n">
        <x:v>362</x:v>
      </x:c>
      <x:c r="F9" s="14" t="n">
        <x:f>E9/10</x:f>
        <x:v>36.2</x:v>
      </x:c>
    </x:row>
    <x:row r="10" ht="25" customHeight="1">
      <x:c r="A10" s="2" t="str">
        <x:v>2026-09-25_Day</x:v>
      </x:c>
      <x:c r="B10" s="7" t="n">
        <x:v>36500</x:v>
      </x:c>
      <x:c r="C10" s="7" t="n">
        <x:v>121200</x:v>
      </x:c>
      <x:c r="D10" s="7" t="n">
        <x:f>B10-C10</x:f>
        <x:v>-84700</x:v>
      </x:c>
      <x:c r="E10" s="12" t="n">
        <x:v>227</x:v>
      </x:c>
      <x:c r="F10" s="14" t="n">
        <x:f>E10/10</x:f>
        <x:v>22.7</x:v>
      </x:c>
    </x:row>
    <x:row r="11" ht="25" customHeight="1">
      <x:c r="A11" s="2" t="str">
        <x:v>2026-09-28_Day</x:v>
      </x:c>
      <x:c r="B11" s="7" t="n">
        <x:v>14100</x:v>
      </x:c>
      <x:c r="C11" s="7" t="n">
        <x:v>134700</x:v>
      </x:c>
      <x:c r="D11" s="7" t="n">
        <x:f>B11-C11</x:f>
        <x:v>-120600</x:v>
      </x:c>
      <x:c r="E11" s="12" t="n">
        <x:v>214</x:v>
      </x:c>
      <x:c r="F11" s="14" t="n">
        <x:f>E11/10</x:f>
        <x:v>21.4</x:v>
      </x:c>
    </x:row>
    <x:row r="12" ht="25" customHeight="1">
      <x:c r="A12" s="2" t="str">
        <x:v>2026-09-29_Day</x:v>
      </x:c>
      <x:c r="B12" s="7" t="n">
        <x:v>56200</x:v>
      </x:c>
      <x:c r="C12" s="7" t="n">
        <x:v>171500</x:v>
      </x:c>
      <x:c r="D12" s="7" t="n">
        <x:f>B12-C12</x:f>
        <x:v>-115300</x:v>
      </x:c>
      <x:c r="E12" s="12" t="n">
        <x:v>369</x:v>
      </x:c>
      <x:c r="F12" s="14" t="n">
        <x:f>E12/10</x:f>
        <x:v>36.9</x:v>
      </x:c>
    </x:row>
    <x:row r="13" ht="25" customHeight="1">
      <x:c r="A13" s="2" t="str">
        <x:v>2026-09-30_Day</x:v>
      </x:c>
      <x:c r="B13" s="7" t="n">
        <x:v>10300</x:v>
      </x:c>
      <x:c r="C13" s="7" t="n">
        <x:v>14400</x:v>
      </x:c>
      <x:c r="D13" s="7" t="n">
        <x:f>B13-C13</x:f>
        <x:v>-4100</x:v>
      </x:c>
      <x:c r="E13" s="12" t="n">
        <x:v>76</x:v>
      </x:c>
      <x:c r="F13" s="14" t="n">
        <x:f>E13/10</x:f>
        <x:v>7.6</x:v>
      </x:c>
    </x:row>
    <x:row r="14" ht="25" customHeight="1">
      <x:c r="A14" s="2" t="str">
        <x:v>2026-10-01_Day</x:v>
      </x:c>
      <x:c r="B14" s="7" t="n">
        <x:v>48600</x:v>
      </x:c>
      <x:c r="C14" s="7" t="n">
        <x:v>136800</x:v>
      </x:c>
      <x:c r="D14" s="7" t="n">
        <x:f>B14-C14</x:f>
        <x:v>-88200</x:v>
      </x:c>
      <x:c r="E14" s="12" t="n">
        <x:v>327</x:v>
      </x:c>
      <x:c r="F14" s="14" t="n">
        <x:f>E14/10</x:f>
        <x:v>32.7</x:v>
      </x:c>
    </x:row>
    <x:row r="15" ht="25" customHeight="1">
      <x:c r="A15" s="2" t="str">
        <x:v>2026-10-02_Day</x:v>
      </x:c>
      <x:c r="B15" s="7" t="n">
        <x:v>26900</x:v>
      </x:c>
      <x:c r="C15" s="7" t="n">
        <x:v>36000</x:v>
      </x:c>
      <x:c r="D15" s="7" t="n">
        <x:f>B15-C15</x:f>
        <x:v>-9100</x:v>
      </x:c>
      <x:c r="E15" s="12" t="n">
        <x:v>132</x:v>
      </x:c>
      <x:c r="F15" s="14" t="n">
        <x:f>E15/10</x:f>
        <x:v>13.2</x:v>
      </x:c>
    </x:row>
    <x:row r="16" ht="25" customHeight="1">
      <x:c r="A16" s="2" t="str">
        <x:v>2026-10-05_Day</x:v>
      </x:c>
      <x:c r="B16" s="7" t="n">
        <x:v>40800</x:v>
      </x:c>
      <x:c r="C16" s="7" t="n">
        <x:v>98400</x:v>
      </x:c>
      <x:c r="D16" s="7" t="n">
        <x:f>B16-C16</x:f>
        <x:v>-57600</x:v>
      </x:c>
      <x:c r="E16" s="12" t="n">
        <x:v>306</x:v>
      </x:c>
      <x:c r="F16" s="14" t="n">
        <x:f>E16/10</x:f>
        <x:v>30.6</x:v>
      </x:c>
    </x:row>
    <x:row r="17" ht="25" customHeight="1">
      <x:c r="A17" s="2" t="str">
        <x:v>2026-10-06_Day</x:v>
      </x:c>
      <x:c r="B17" s="7" t="n">
        <x:v>93700</x:v>
      </x:c>
      <x:c r="C17" s="7" t="n">
        <x:v>49200</x:v>
      </x:c>
      <x:c r="D17" s="7" t="n">
        <x:f>B17-C17</x:f>
        <x:v>44500</x:v>
      </x:c>
      <x:c r="E17" s="12" t="n">
        <x:v>378</x:v>
      </x:c>
      <x:c r="F17" s="14" t="n">
        <x:f>E17/10</x:f>
        <x:v>37.8</x:v>
      </x:c>
    </x:row>
    <x:row r="18" ht="25" customHeight="1">
      <x:c r="A18" s="2" t="str">
        <x:v>2026-10-07_Day</x:v>
      </x:c>
      <x:c r="B18" s="7" t="n">
        <x:v>41000</x:v>
      </x:c>
      <x:c r="C18" s="7" t="n">
        <x:v>67200</x:v>
      </x:c>
      <x:c r="D18" s="7" t="n">
        <x:f>B18-C18</x:f>
        <x:v>-26200</x:v>
      </x:c>
      <x:c r="E18" s="12" t="n">
        <x:v>150</x:v>
      </x:c>
      <x:c r="F18" s="14" t="n">
        <x:f>E18/10</x:f>
        <x:v>15</x:v>
      </x:c>
    </x:row>
    <x:row r="19" ht="25" customHeight="1">
      <x:c r="A19" s="2" t="str">
        <x:v>2026-10-08_Day</x:v>
      </x:c>
      <x:c r="B19" s="7" t="n">
        <x:v>10800</x:v>
      </x:c>
      <x:c r="C19" s="7" t="n">
        <x:v>83600</x:v>
      </x:c>
      <x:c r="D19" s="7" t="n">
        <x:f>B19-C19</x:f>
        <x:v>-72800</x:v>
      </x:c>
      <x:c r="E19" s="12" t="n">
        <x:v>143</x:v>
      </x:c>
      <x:c r="F19" s="14" t="n">
        <x:f>E19/10</x:f>
        <x:v>14.3</x:v>
      </x:c>
    </x:row>
    <x:row r="20" ht="25" customHeight="1">
      <x:c r="A20" s="2" t="str">
        <x:v>2026-10-09_Day</x:v>
      </x:c>
      <x:c r="B20" s="7" t="n">
        <x:v>20200</x:v>
      </x:c>
      <x:c r="C20" s="7" t="n">
        <x:v>157200</x:v>
      </x:c>
      <x:c r="D20" s="7" t="n">
        <x:f>B20-C20</x:f>
        <x:v>-137000</x:v>
      </x:c>
      <x:c r="E20" s="12" t="n">
        <x:v>207</x:v>
      </x:c>
      <x:c r="F20" s="14" t="n">
        <x:f>E20/10</x:f>
        <x:v>20.7</x:v>
      </x:c>
    </x:row>
    <x:row r="21" ht="25" customHeight="1">
      <x:c r="A21" s="2" t="str">
        <x:v>2026-10-12_Day</x:v>
      </x:c>
      <x:c r="B21" s="7" t="n">
        <x:v>12400</x:v>
      </x:c>
      <x:c r="C21" s="7" t="n">
        <x:v>12200</x:v>
      </x:c>
      <x:c r="D21" s="7" t="n">
        <x:f>B21-C21</x:f>
        <x:v>200</x:v>
      </x:c>
      <x:c r="E21" s="12" t="n">
        <x:v>54</x:v>
      </x:c>
      <x:c r="F21" s="14" t="n">
        <x:f>E21/10</x:f>
        <x:v>5.4</x:v>
      </x:c>
    </x:row>
    <x:row r="22" ht="25" customHeight="1">
      <x:c r="A22" s="2" t="str">
        <x:v>2026-10-13_Day</x:v>
      </x:c>
      <x:c r="B22" s="7" t="n">
        <x:v>118900</x:v>
      </x:c>
      <x:c r="C22" s="7" t="n">
        <x:v>222000</x:v>
      </x:c>
      <x:c r="D22" s="7" t="n">
        <x:f>B22-C22</x:f>
        <x:v>-103100</x:v>
      </x:c>
      <x:c r="E22" s="12" t="n">
        <x:v>523</x:v>
      </x:c>
      <x:c r="F22" s="14" t="n">
        <x:f>E22/10</x:f>
        <x:v>52.3</x:v>
      </x:c>
    </x:row>
    <x:row r="23" ht="25" customHeight="1">
      <x:c r="A23" s="2" t="str">
        <x:v>2026-10-14_Day</x:v>
      </x:c>
      <x:c r="B23" s="7" t="n">
        <x:v>22600</x:v>
      </x:c>
      <x:c r="C23" s="7" t="n">
        <x:v>30000</x:v>
      </x:c>
      <x:c r="D23" s="7" t="n">
        <x:f>B23-C23</x:f>
        <x:v>-7400</x:v>
      </x:c>
      <x:c r="E23" s="12" t="n">
        <x:v>131</x:v>
      </x:c>
      <x:c r="F23" s="14" t="n">
        <x:f>E23/10</x:f>
        <x:v>13.1</x:v>
      </x:c>
    </x:row>
    <x:row r="24" ht="25" customHeight="1">
      <x:c r="A24" s="2" t="str">
        <x:v>2026-10-15_Day</x:v>
      </x:c>
      <x:c r="B24" s="7" t="n">
        <x:v>76800</x:v>
      </x:c>
      <x:c r="C24" s="7" t="n">
        <x:v>68500</x:v>
      </x:c>
      <x:c r="D24" s="7" t="n">
        <x:f>B24-C24</x:f>
        <x:v>8300</x:v>
      </x:c>
      <x:c r="E24" s="12" t="n">
        <x:v>303</x:v>
      </x:c>
      <x:c r="F24" s="14" t="n">
        <x:f>E24/10</x:f>
        <x:v>30.3</x:v>
      </x:c>
    </x:row>
    <x:row r="25" ht="25" customHeight="1">
      <x:c r="A25" s="2" t="str">
        <x:v>2026-10-16_Day</x:v>
      </x:c>
      <x:c r="B25" s="7" t="n">
        <x:v>89500</x:v>
      </x:c>
      <x:c r="C25" s="7" t="n">
        <x:v>177000</x:v>
      </x:c>
      <x:c r="D25" s="7" t="n">
        <x:f>B25-C25</x:f>
        <x:v>-87500</x:v>
      </x:c>
      <x:c r="E25" s="12" t="n">
        <x:v>414</x:v>
      </x:c>
      <x:c r="F25" s="14" t="n">
        <x:f>E25/10</x:f>
        <x:v>41.4</x:v>
      </x:c>
    </x:row>
    <x:row r="26" ht="25" customHeight="1">
      <x:c r="A26" s="2" t="str">
        <x:v>2026-10-19_Day</x:v>
      </x:c>
      <x:c r="B26" s="7" t="n">
        <x:v>49000</x:v>
      </x:c>
      <x:c r="C26" s="7" t="n">
        <x:v>31200</x:v>
      </x:c>
      <x:c r="D26" s="7" t="n">
        <x:f>B26-C26</x:f>
        <x:v>17800</x:v>
      </x:c>
      <x:c r="E26" s="12" t="n">
        <x:v>495</x:v>
      </x:c>
      <x:c r="F26" s="14" t="n">
        <x:f>E26/10</x:f>
        <x:v>49.5</x:v>
      </x:c>
    </x:row>
    <x:row r="27" ht="25" customHeight="1">
      <x:c r="A27" s="2" t="str">
        <x:v>2026-10-20_Day</x:v>
      </x:c>
      <x:c r="B27" s="7" t="n">
        <x:v>50500</x:v>
      </x:c>
      <x:c r="C27" s="7" t="n">
        <x:v>115200</x:v>
      </x:c>
      <x:c r="D27" s="7" t="n">
        <x:f>B27-C27</x:f>
        <x:v>-64700</x:v>
      </x:c>
      <x:c r="E27" s="12" t="n">
        <x:v>308</x:v>
      </x:c>
      <x:c r="F27" s="14" t="n">
        <x:f>E27/10</x:f>
        <x:v>30.8</x:v>
      </x:c>
    </x:row>
    <x:row r="28" ht="25" customHeight="1">
      <x:c r="A28" s="2" t="str">
        <x:v>2026-10-21_Day</x:v>
      </x:c>
      <x:c r="B28" s="7" t="n">
        <x:v>35500</x:v>
      </x:c>
      <x:c r="C28" s="7" t="n">
        <x:v>73200</x:v>
      </x:c>
      <x:c r="D28" s="7" t="n">
        <x:f>B28-C28</x:f>
        <x:v>-37700</x:v>
      </x:c>
      <x:c r="E28" s="12" t="n">
        <x:v>416</x:v>
      </x:c>
      <x:c r="F28" s="14" t="n">
        <x:f>E28/10</x:f>
        <x:v>41.6</x:v>
      </x:c>
    </x:row>
    <x:row r="29" ht="25" customHeight="1">
      <x:c r="A29" s="2" t="str">
        <x:v>2026-10-22_Day</x:v>
      </x:c>
      <x:c r="B29" s="7" t="n">
        <x:v>25500</x:v>
      </x:c>
      <x:c r="C29" s="7" t="n">
        <x:v>7200</x:v>
      </x:c>
      <x:c r="D29" s="7" t="n">
        <x:f>B29-C29</x:f>
        <x:v>18300</x:v>
      </x:c>
      <x:c r="E29" s="12" t="n">
        <x:v>94</x:v>
      </x:c>
      <x:c r="F29" s="14" t="n">
        <x:f>E29/10</x:f>
        <x:v>9.4</x:v>
      </x:c>
    </x:row>
    <x:row r="30" ht="25" customHeight="1">
      <x:c r="A30" s="2" t="str">
        <x:v>2026-10-23_Day</x:v>
      </x:c>
      <x:c r="B30" s="7" t="n">
        <x:v>185800</x:v>
      </x:c>
      <x:c r="C30" s="7" t="n">
        <x:v>136200</x:v>
      </x:c>
      <x:c r="D30" s="7" t="n">
        <x:f>B30-C30</x:f>
        <x:v>49600</x:v>
      </x:c>
      <x:c r="E30" s="12" t="n">
        <x:v>895</x:v>
      </x:c>
      <x:c r="F30" s="14" t="n">
        <x:f>E30/10</x:f>
        <x:v>89.5</x:v>
      </x:c>
    </x:row>
    <x:row r="31" ht="25" customHeight="1">
      <x:c r="A31" s="2" t="str">
        <x:v>2026-10-26_Day</x:v>
      </x:c>
      <x:c r="B31" s="7" t="n">
        <x:v>42900</x:v>
      </x:c>
      <x:c r="C31" s="7" t="n">
        <x:v>91200</x:v>
      </x:c>
      <x:c r="D31" s="7" t="n">
        <x:f>B31-C31</x:f>
        <x:v>-48300</x:v>
      </x:c>
      <x:c r="E31" s="12" t="n">
        <x:v>264</x:v>
      </x:c>
      <x:c r="F31" s="14" t="n">
        <x:f>E31/10</x:f>
        <x:v>26.4</x:v>
      </x:c>
    </x:row>
    <x:row r="32" ht="25" customHeight="1">
      <x:c r="A32" s="2" t="str">
        <x:v>2026-10-27_Day</x:v>
      </x:c>
      <x:c r="B32" s="7" t="n">
        <x:v>97400</x:v>
      </x:c>
      <x:c r="C32" s="7" t="n">
        <x:v>141400</x:v>
      </x:c>
      <x:c r="D32" s="7" t="n">
        <x:f>B32-C32</x:f>
        <x:v>-44000</x:v>
      </x:c>
      <x:c r="E32" s="12" t="n">
        <x:v>436</x:v>
      </x:c>
      <x:c r="F32" s="14" t="n">
        <x:f>E32/10</x:f>
        <x:v>43.6</x:v>
      </x:c>
    </x:row>
    <x:row r="33" ht="25" customHeight="1">
      <x:c r="A33" s="10" t="str">
        <x:v>合計</x:v>
      </x:c>
      <x:c r="B33" s="11" t="n">
        <x:f>SUM(B6:B32)</x:f>
        <x:v>1309900</x:v>
      </x:c>
      <x:c r="C33" s="11" t="n">
        <x:f>SUM(C6:C32)</x:f>
        <x:v>2247100</x:v>
      </x:c>
      <x:c r="D33" s="11" t="n">
        <x:f>B33-C33</x:f>
        <x:v>-937200</x:v>
      </x:c>
      <x:c r="E33" s="13" t="n">
        <x:f>SUM(E6:E32)</x:f>
        <x:v>7304</x:v>
      </x:c>
      <x:c r="F33" s="15" t="n">
        <x:f>E33/10</x:f>
        <x:v>730.4</x:v>
      </x:c>
    </x:row>
  </x:sheetData>
  <x:mergeCells>
    <x:mergeCell ref="A2:F2"/>
    <x:mergeCell ref="A3:F3"/>
    <x:mergeCell ref="A4:F4"/>
  </x:mergeCells>
  <x:conditionalFormatting sqref="D6:D32">
    <x:cfRule type="cellIs" dxfId="1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82808b115594b8a"/>
  </x:tableParts>
</x:worksheet>
</file>

<file path=xl/worksheets/sheet20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NK225_D168_18　日中の損益</x:v>
      </x:c>
      <x:c r="B2" s="2"/>
      <x:c r="C2" s="2"/>
      <x:c r="D2" s="2"/>
      <x:c r="E2" s="2"/>
      <x:c r="F2" s="2"/>
    </x:row>
    <x:row r="3" ht="38" customHeight="1">
      <x:c r="A3" s="5" t="str">
        <x:v>20円順行後は最低10円利益の判断床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2000</x:v>
      </x:c>
      <x:c r="C6" s="7" t="n">
        <x:v>0</x:v>
      </x:c>
      <x:c r="D6" s="7" t="n">
        <x:f>B6-C6</x:f>
        <x:v>2000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1000</x:v>
      </x:c>
      <x:c r="C7" s="7" t="n">
        <x:v>6000</x:v>
      </x:c>
      <x:c r="D7" s="7" t="n">
        <x:f>B7-C7</x:f>
        <x:v>-5000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1000</x:v>
      </x:c>
      <x:c r="C8" s="7" t="n">
        <x:v>0</x:v>
      </x:c>
      <x:c r="D8" s="7" t="n">
        <x:f>B8-C8</x:f>
        <x:v>1000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14200</x:v>
      </x:c>
      <x:c r="C9" s="7" t="n">
        <x:v>16500</x:v>
      </x:c>
      <x:c r="D9" s="7" t="n">
        <x:f>B9-C9</x:f>
        <x:v>-2300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43700</x:v>
      </x:c>
      <x:c r="C10" s="7" t="n">
        <x:v>8000</x:v>
      </x:c>
      <x:c r="D10" s="7" t="n">
        <x:f>B10-C10</x:f>
        <x:v>35700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9700</x:v>
      </x:c>
      <x:c r="C11" s="7" t="n">
        <x:v>31500</x:v>
      </x:c>
      <x:c r="D11" s="7" t="n">
        <x:f>B11-C11</x:f>
        <x:v>-21800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16500</x:v>
      </x:c>
      <x:c r="C12" s="7" t="n">
        <x:v>164300</x:v>
      </x:c>
      <x:c r="D12" s="7" t="n">
        <x:f>B12-C12</x:f>
        <x:v>-147800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6200</x:v>
      </x:c>
      <x:c r="C13" s="7" t="n">
        <x:v>2500</x:v>
      </x:c>
      <x:c r="D13" s="7" t="n">
        <x:f>B13-C13</x:f>
        <x:v>3700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14900</x:v>
      </x:c>
      <x:c r="C14" s="7" t="n">
        <x:v>28000</x:v>
      </x:c>
      <x:c r="D14" s="7" t="n">
        <x:f>B14-C14</x:f>
        <x:v>-13100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12200</x:v>
      </x:c>
      <x:c r="C15" s="7" t="n">
        <x:v>6000</x:v>
      </x:c>
      <x:c r="D15" s="7" t="n">
        <x:f>B15-C15</x:f>
        <x:v>6200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16400</x:v>
      </x:c>
      <x:c r="C16" s="7" t="n">
        <x:v>3000</x:v>
      </x:c>
      <x:c r="D16" s="7" t="n">
        <x:f>B16-C16</x:f>
        <x:v>13400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17800</x:v>
      </x:c>
      <x:c r="C17" s="7" t="n">
        <x:v>17500</x:v>
      </x:c>
      <x:c r="D17" s="7" t="n">
        <x:f>B17-C17</x:f>
        <x:v>300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9400</x:v>
      </x:c>
      <x:c r="C18" s="7" t="n">
        <x:v>37700</x:v>
      </x:c>
      <x:c r="D18" s="7" t="n">
        <x:f>B18-C18</x:f>
        <x:v>-28300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9300</x:v>
      </x:c>
      <x:c r="C19" s="7" t="n">
        <x:v>19000</x:v>
      </x:c>
      <x:c r="D19" s="7" t="n">
        <x:f>B19-C19</x:f>
        <x:v>-9700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58000</x:v>
      </x:c>
      <x:c r="C20" s="7" t="n">
        <x:v>35900</x:v>
      </x:c>
      <x:c r="D20" s="7" t="n">
        <x:f>B20-C20</x:f>
        <x:v>22100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3000</x:v>
      </x:c>
      <x:c r="C21" s="7" t="n">
        <x:v>5000</x:v>
      </x:c>
      <x:c r="D21" s="7" t="n">
        <x:f>B21-C21</x:f>
        <x:v>-2000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21800</x:v>
      </x:c>
      <x:c r="C22" s="7" t="n">
        <x:v>164000</x:v>
      </x:c>
      <x:c r="D22" s="7" t="n">
        <x:f>B22-C22</x:f>
        <x:v>-142200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9600</x:v>
      </x:c>
      <x:c r="C23" s="7" t="n">
        <x:v>6500</x:v>
      </x:c>
      <x:c r="D23" s="7" t="n">
        <x:f>B23-C23</x:f>
        <x:v>3100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15800</x:v>
      </x:c>
      <x:c r="C24" s="7" t="n">
        <x:v>0</x:v>
      </x:c>
      <x:c r="D24" s="7" t="n">
        <x:f>B24-C24</x:f>
        <x:v>15800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28000</x:v>
      </x:c>
      <x:c r="C25" s="7" t="n">
        <x:v>25400</x:v>
      </x:c>
      <x:c r="D25" s="7" t="n">
        <x:f>B25-C25</x:f>
        <x:v>2600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21300</x:v>
      </x:c>
      <x:c r="C26" s="7" t="n">
        <x:v>0</x:v>
      </x:c>
      <x:c r="D26" s="7" t="n">
        <x:f>B26-C26</x:f>
        <x:v>21300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15100</x:v>
      </x:c>
      <x:c r="C27" s="7" t="n">
        <x:v>24600</x:v>
      </x:c>
      <x:c r="D27" s="7" t="n">
        <x:f>B27-C27</x:f>
        <x:v>-9500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21600</x:v>
      </x:c>
      <x:c r="C28" s="7" t="n">
        <x:v>33800</x:v>
      </x:c>
      <x:c r="D28" s="7" t="n">
        <x:f>B28-C28</x:f>
        <x:v>-12200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13300</x:v>
      </x:c>
      <x:c r="C29" s="7" t="n">
        <x:v>0</x:v>
      </x:c>
      <x:c r="D29" s="7" t="n">
        <x:f>B29-C29</x:f>
        <x:v>13300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44600</x:v>
      </x:c>
      <x:c r="C30" s="7" t="n">
        <x:v>29500</x:v>
      </x:c>
      <x:c r="D30" s="7" t="n">
        <x:f>B30-C30</x:f>
        <x:v>15100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14200</x:v>
      </x:c>
      <x:c r="C31" s="7" t="n">
        <x:v>15500</x:v>
      </x:c>
      <x:c r="D31" s="7" t="n">
        <x:f>B31-C31</x:f>
        <x:v>-1300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29400</x:v>
      </x:c>
      <x:c r="C32" s="7" t="n">
        <x:v>25400</x:v>
      </x:c>
      <x:c r="D32" s="7" t="n">
        <x:f>B32-C32</x:f>
        <x:v>4000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470000</x:v>
      </x:c>
      <x:c r="C33" s="11" t="n">
        <x:f>SUM(C6:C32)</x:f>
        <x:v>705600</x:v>
      </x:c>
      <x:c r="D33" s="11" t="n">
        <x:f>B33-C33</x:f>
        <x:v>-235600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1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4627c36594b4174"/>
  </x:tableParts>
</x:worksheet>
</file>

<file path=xl/worksheets/sheet21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NK225_D168_19　日中の損益</x:v>
      </x:c>
      <x:c r="B2" s="2"/>
      <x:c r="C2" s="2"/>
      <x:c r="D2" s="2"/>
      <x:c r="E2" s="2"/>
      <x:c r="F2" s="2"/>
    </x:row>
    <x:row r="3" ht="38" customHeight="1">
      <x:c r="A3" s="5" t="str">
        <x:v>10円利益床と方向再判断3回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2800</x:v>
      </x:c>
      <x:c r="C6" s="7" t="n">
        <x:v>12000</x:v>
      </x:c>
      <x:c r="D6" s="7" t="n">
        <x:f>B6-C6</x:f>
        <x:v>-9200</x:v>
      </x:c>
      <x:c r="E6" s="12" t="n">
        <x:v>38</x:v>
      </x:c>
      <x:c r="F6" s="14" t="n">
        <x:f>E6/10</x:f>
        <x:v>3.8</x:v>
      </x:c>
    </x:row>
    <x:row r="7" ht="25" customHeight="1">
      <x:c r="A7" s="2" t="str">
        <x:v>2026-09-22_Day</x:v>
      </x:c>
      <x:c r="B7" s="7" t="n">
        <x:v>2400</x:v>
      </x:c>
      <x:c r="C7" s="7" t="n">
        <x:v>6000</x:v>
      </x:c>
      <x:c r="D7" s="7" t="n">
        <x:f>B7-C7</x:f>
        <x:v>-3600</x:v>
      </x:c>
      <x:c r="E7" s="12" t="n">
        <x:v>32</x:v>
      </x:c>
      <x:c r="F7" s="14" t="n">
        <x:f>E7/10</x:f>
        <x:v>3.2</x:v>
      </x:c>
    </x:row>
    <x:row r="8" ht="25" customHeight="1">
      <x:c r="A8" s="2" t="str">
        <x:v>2026-09-23_Day</x:v>
      </x:c>
      <x:c r="B8" s="7" t="n">
        <x:v>2400</x:v>
      </x:c>
      <x:c r="C8" s="7" t="n">
        <x:v>0</x:v>
      </x:c>
      <x:c r="D8" s="7" t="n">
        <x:f>B8-C8</x:f>
        <x:v>2400</x:v>
      </x:c>
      <x:c r="E8" s="12" t="n">
        <x:v>24</x:v>
      </x:c>
      <x:c r="F8" s="14" t="n">
        <x:f>E8/10</x:f>
        <x:v>2.4</x:v>
      </x:c>
    </x:row>
    <x:row r="9" ht="25" customHeight="1">
      <x:c r="A9" s="2" t="str">
        <x:v>2026-09-24_Day</x:v>
      </x:c>
      <x:c r="B9" s="7" t="n">
        <x:v>39200</x:v>
      </x:c>
      <x:c r="C9" s="7" t="n">
        <x:v>51600</x:v>
      </x:c>
      <x:c r="D9" s="7" t="n">
        <x:f>B9-C9</x:f>
        <x:v>-12400</x:v>
      </x:c>
      <x:c r="E9" s="12" t="n">
        <x:v>435</x:v>
      </x:c>
      <x:c r="F9" s="14" t="n">
        <x:f>E9/10</x:f>
        <x:v>43.5</x:v>
      </x:c>
    </x:row>
    <x:row r="10" ht="25" customHeight="1">
      <x:c r="A10" s="2" t="str">
        <x:v>2026-09-25_Day</x:v>
      </x:c>
      <x:c r="B10" s="7" t="n">
        <x:v>66300</x:v>
      </x:c>
      <x:c r="C10" s="7" t="n">
        <x:v>28200</x:v>
      </x:c>
      <x:c r="D10" s="7" t="n">
        <x:f>B10-C10</x:f>
        <x:v>38100</x:v>
      </x:c>
      <x:c r="E10" s="12" t="n">
        <x:v>301</x:v>
      </x:c>
      <x:c r="F10" s="14" t="n">
        <x:f>E10/10</x:f>
        <x:v>30.1</x:v>
      </x:c>
    </x:row>
    <x:row r="11" ht="25" customHeight="1">
      <x:c r="A11" s="2" t="str">
        <x:v>2026-09-28_Day</x:v>
      </x:c>
      <x:c r="B11" s="7" t="n">
        <x:v>12300</x:v>
      </x:c>
      <x:c r="C11" s="7" t="n">
        <x:v>126100</x:v>
      </x:c>
      <x:c r="D11" s="7" t="n">
        <x:f>B11-C11</x:f>
        <x:v>-113800</x:v>
      </x:c>
      <x:c r="E11" s="12" t="n">
        <x:v>225</x:v>
      </x:c>
      <x:c r="F11" s="14" t="n">
        <x:f>E11/10</x:f>
        <x:v>22.5</x:v>
      </x:c>
    </x:row>
    <x:row r="12" ht="25" customHeight="1">
      <x:c r="A12" s="2" t="str">
        <x:v>2026-09-29_Day</x:v>
      </x:c>
      <x:c r="B12" s="7" t="n">
        <x:v>42400</x:v>
      </x:c>
      <x:c r="C12" s="7" t="n">
        <x:v>133200</x:v>
      </x:c>
      <x:c r="D12" s="7" t="n">
        <x:f>B12-C12</x:f>
        <x:v>-90800</x:v>
      </x:c>
      <x:c r="E12" s="12" t="n">
        <x:v>493</x:v>
      </x:c>
      <x:c r="F12" s="14" t="n">
        <x:f>E12/10</x:f>
        <x:v>49.3</x:v>
      </x:c>
    </x:row>
    <x:row r="13" ht="25" customHeight="1">
      <x:c r="A13" s="2" t="str">
        <x:v>2026-09-30_Day</x:v>
      </x:c>
      <x:c r="B13" s="7" t="n">
        <x:v>9600</x:v>
      </x:c>
      <x:c r="C13" s="7" t="n">
        <x:v>14400</x:v>
      </x:c>
      <x:c r="D13" s="7" t="n">
        <x:f>B13-C13</x:f>
        <x:v>-4800</x:v>
      </x:c>
      <x:c r="E13" s="12" t="n">
        <x:v>92</x:v>
      </x:c>
      <x:c r="F13" s="14" t="n">
        <x:f>E13/10</x:f>
        <x:v>9.2</x:v>
      </x:c>
    </x:row>
    <x:row r="14" ht="25" customHeight="1">
      <x:c r="A14" s="2" t="str">
        <x:v>2026-10-01_Day</x:v>
      </x:c>
      <x:c r="B14" s="7" t="n">
        <x:v>27200</x:v>
      </x:c>
      <x:c r="C14" s="7" t="n">
        <x:v>142800</x:v>
      </x:c>
      <x:c r="D14" s="7" t="n">
        <x:f>B14-C14</x:f>
        <x:v>-115600</x:v>
      </x:c>
      <x:c r="E14" s="12" t="n">
        <x:v>331</x:v>
      </x:c>
      <x:c r="F14" s="14" t="n">
        <x:f>E14/10</x:f>
        <x:v>33.1</x:v>
      </x:c>
    </x:row>
    <x:row r="15" ht="25" customHeight="1">
      <x:c r="A15" s="2" t="str">
        <x:v>2026-10-02_Day</x:v>
      </x:c>
      <x:c r="B15" s="7" t="n">
        <x:v>20900</x:v>
      </x:c>
      <x:c r="C15" s="7" t="n">
        <x:v>24600</x:v>
      </x:c>
      <x:c r="D15" s="7" t="n">
        <x:f>B15-C15</x:f>
        <x:v>-3700</x:v>
      </x:c>
      <x:c r="E15" s="12" t="n">
        <x:v>171</x:v>
      </x:c>
      <x:c r="F15" s="14" t="n">
        <x:f>E15/10</x:f>
        <x:v>17.1</x:v>
      </x:c>
    </x:row>
    <x:row r="16" ht="25" customHeight="1">
      <x:c r="A16" s="2" t="str">
        <x:v>2026-10-05_Day</x:v>
      </x:c>
      <x:c r="B16" s="7" t="n">
        <x:v>35900</x:v>
      </x:c>
      <x:c r="C16" s="7" t="n">
        <x:v>64800</x:v>
      </x:c>
      <x:c r="D16" s="7" t="n">
        <x:f>B16-C16</x:f>
        <x:v>-28900</x:v>
      </x:c>
      <x:c r="E16" s="12" t="n">
        <x:v>368</x:v>
      </x:c>
      <x:c r="F16" s="14" t="n">
        <x:f>E16/10</x:f>
        <x:v>36.8</x:v>
      </x:c>
    </x:row>
    <x:row r="17" ht="25" customHeight="1">
      <x:c r="A17" s="2" t="str">
        <x:v>2026-10-06_Day</x:v>
      </x:c>
      <x:c r="B17" s="7" t="n">
        <x:v>49000</x:v>
      </x:c>
      <x:c r="C17" s="7" t="n">
        <x:v>26400</x:v>
      </x:c>
      <x:c r="D17" s="7" t="n">
        <x:f>B17-C17</x:f>
        <x:v>22600</x:v>
      </x:c>
      <x:c r="E17" s="12" t="n">
        <x:v>457</x:v>
      </x:c>
      <x:c r="F17" s="14" t="n">
        <x:f>E17/10</x:f>
        <x:v>45.7</x:v>
      </x:c>
    </x:row>
    <x:row r="18" ht="25" customHeight="1">
      <x:c r="A18" s="2" t="str">
        <x:v>2026-10-07_Day</x:v>
      </x:c>
      <x:c r="B18" s="7" t="n">
        <x:v>19800</x:v>
      </x:c>
      <x:c r="C18" s="7" t="n">
        <x:v>51600</x:v>
      </x:c>
      <x:c r="D18" s="7" t="n">
        <x:f>B18-C18</x:f>
        <x:v>-31800</x:v>
      </x:c>
      <x:c r="E18" s="12" t="n">
        <x:v>191</x:v>
      </x:c>
      <x:c r="F18" s="14" t="n">
        <x:f>E18/10</x:f>
        <x:v>19.1</x:v>
      </x:c>
    </x:row>
    <x:row r="19" ht="25" customHeight="1">
      <x:c r="A19" s="2" t="str">
        <x:v>2026-10-08_Day</x:v>
      </x:c>
      <x:c r="B19" s="7" t="n">
        <x:v>9600</x:v>
      </x:c>
      <x:c r="C19" s="7" t="n">
        <x:v>83600</x:v>
      </x:c>
      <x:c r="D19" s="7" t="n">
        <x:f>B19-C19</x:f>
        <x:v>-74000</x:v>
      </x:c>
      <x:c r="E19" s="12" t="n">
        <x:v>145</x:v>
      </x:c>
      <x:c r="F19" s="14" t="n">
        <x:f>E19/10</x:f>
        <x:v>14.5</x:v>
      </x:c>
    </x:row>
    <x:row r="20" ht="25" customHeight="1">
      <x:c r="A20" s="2" t="str">
        <x:v>2026-10-09_Day</x:v>
      </x:c>
      <x:c r="B20" s="7" t="n">
        <x:v>28700</x:v>
      </x:c>
      <x:c r="C20" s="7" t="n">
        <x:v>124800</x:v>
      </x:c>
      <x:c r="D20" s="7" t="n">
        <x:f>B20-C20</x:f>
        <x:v>-96100</x:v>
      </x:c>
      <x:c r="E20" s="12" t="n">
        <x:v>256</x:v>
      </x:c>
      <x:c r="F20" s="14" t="n">
        <x:f>E20/10</x:f>
        <x:v>25.6</x:v>
      </x:c>
    </x:row>
    <x:row r="21" ht="25" customHeight="1">
      <x:c r="A21" s="2" t="str">
        <x:v>2026-10-12_Day</x:v>
      </x:c>
      <x:c r="B21" s="7" t="n">
        <x:v>6200</x:v>
      </x:c>
      <x:c r="C21" s="7" t="n">
        <x:v>5000</x:v>
      </x:c>
      <x:c r="D21" s="7" t="n">
        <x:f>B21-C21</x:f>
        <x:v>1200</x:v>
      </x:c>
      <x:c r="E21" s="12" t="n">
        <x:v>58</x:v>
      </x:c>
      <x:c r="F21" s="14" t="n">
        <x:f>E21/10</x:f>
        <x:v>5.8</x:v>
      </x:c>
    </x:row>
    <x:row r="22" ht="25" customHeight="1">
      <x:c r="A22" s="2" t="str">
        <x:v>2026-10-13_Day</x:v>
      </x:c>
      <x:c r="B22" s="7" t="n">
        <x:v>44900</x:v>
      </x:c>
      <x:c r="C22" s="7" t="n">
        <x:v>214800</x:v>
      </x:c>
      <x:c r="D22" s="7" t="n">
        <x:f>B22-C22</x:f>
        <x:v>-169900</x:v>
      </x:c>
      <x:c r="E22" s="12" t="n">
        <x:v>537</x:v>
      </x:c>
      <x:c r="F22" s="14" t="n">
        <x:f>E22/10</x:f>
        <x:v>53.7</x:v>
      </x:c>
    </x:row>
    <x:row r="23" ht="25" customHeight="1">
      <x:c r="A23" s="2" t="str">
        <x:v>2026-10-14_Day</x:v>
      </x:c>
      <x:c r="B23" s="7" t="n">
        <x:v>16400</x:v>
      </x:c>
      <x:c r="C23" s="7" t="n">
        <x:v>39600</x:v>
      </x:c>
      <x:c r="D23" s="7" t="n">
        <x:f>B23-C23</x:f>
        <x:v>-23200</x:v>
      </x:c>
      <x:c r="E23" s="12" t="n">
        <x:v>141</x:v>
      </x:c>
      <x:c r="F23" s="14" t="n">
        <x:f>E23/10</x:f>
        <x:v>14.1</x:v>
      </x:c>
    </x:row>
    <x:row r="24" ht="25" customHeight="1">
      <x:c r="A24" s="2" t="str">
        <x:v>2026-10-15_Day</x:v>
      </x:c>
      <x:c r="B24" s="7" t="n">
        <x:v>60500</x:v>
      </x:c>
      <x:c r="C24" s="7" t="n">
        <x:v>34800</x:v>
      </x:c>
      <x:c r="D24" s="7" t="n">
        <x:f>B24-C24</x:f>
        <x:v>25700</x:v>
      </x:c>
      <x:c r="E24" s="12" t="n">
        <x:v>482</x:v>
      </x:c>
      <x:c r="F24" s="14" t="n">
        <x:f>E24/10</x:f>
        <x:v>48.2</x:v>
      </x:c>
    </x:row>
    <x:row r="25" ht="25" customHeight="1">
      <x:c r="A25" s="2" t="str">
        <x:v>2026-10-16_Day</x:v>
      </x:c>
      <x:c r="B25" s="7" t="n">
        <x:v>66100</x:v>
      </x:c>
      <x:c r="C25" s="7" t="n">
        <x:v>149400</x:v>
      </x:c>
      <x:c r="D25" s="7" t="n">
        <x:f>B25-C25</x:f>
        <x:v>-83300</x:v>
      </x:c>
      <x:c r="E25" s="12" t="n">
        <x:v>583</x:v>
      </x:c>
      <x:c r="F25" s="14" t="n">
        <x:f>E25/10</x:f>
        <x:v>58.3</x:v>
      </x:c>
    </x:row>
    <x:row r="26" ht="25" customHeight="1">
      <x:c r="A26" s="2" t="str">
        <x:v>2026-10-19_Day</x:v>
      </x:c>
      <x:c r="B26" s="7" t="n">
        <x:v>52900</x:v>
      </x:c>
      <x:c r="C26" s="7" t="n">
        <x:v>20400</x:v>
      </x:c>
      <x:c r="D26" s="7" t="n">
        <x:f>B26-C26</x:f>
        <x:v>32500</x:v>
      </x:c>
      <x:c r="E26" s="12" t="n">
        <x:v>412</x:v>
      </x:c>
      <x:c r="F26" s="14" t="n">
        <x:f>E26/10</x:f>
        <x:v>41.2</x:v>
      </x:c>
    </x:row>
    <x:row r="27" ht="25" customHeight="1">
      <x:c r="A27" s="2" t="str">
        <x:v>2026-10-20_Day</x:v>
      </x:c>
      <x:c r="B27" s="7" t="n">
        <x:v>34200</x:v>
      </x:c>
      <x:c r="C27" s="7" t="n">
        <x:v>62600</x:v>
      </x:c>
      <x:c r="D27" s="7" t="n">
        <x:f>B27-C27</x:f>
        <x:v>-28400</x:v>
      </x:c>
      <x:c r="E27" s="12" t="n">
        <x:v>349</x:v>
      </x:c>
      <x:c r="F27" s="14" t="n">
        <x:f>E27/10</x:f>
        <x:v>34.9</x:v>
      </x:c>
    </x:row>
    <x:row r="28" ht="25" customHeight="1">
      <x:c r="A28" s="2" t="str">
        <x:v>2026-10-21_Day</x:v>
      </x:c>
      <x:c r="B28" s="7" t="n">
        <x:v>36400</x:v>
      </x:c>
      <x:c r="C28" s="7" t="n">
        <x:v>106800</x:v>
      </x:c>
      <x:c r="D28" s="7" t="n">
        <x:f>B28-C28</x:f>
        <x:v>-70400</x:v>
      </x:c>
      <x:c r="E28" s="12" t="n">
        <x:v>369</x:v>
      </x:c>
      <x:c r="F28" s="14" t="n">
        <x:f>E28/10</x:f>
        <x:v>36.9</x:v>
      </x:c>
    </x:row>
    <x:row r="29" ht="25" customHeight="1">
      <x:c r="A29" s="2" t="str">
        <x:v>2026-10-22_Day</x:v>
      </x:c>
      <x:c r="B29" s="7" t="n">
        <x:v>16100</x:v>
      </x:c>
      <x:c r="C29" s="7" t="n">
        <x:v>31200</x:v>
      </x:c>
      <x:c r="D29" s="7" t="n">
        <x:f>B29-C29</x:f>
        <x:v>-15100</x:v>
      </x:c>
      <x:c r="E29" s="12" t="n">
        <x:v>97</x:v>
      </x:c>
      <x:c r="F29" s="14" t="n">
        <x:f>E29/10</x:f>
        <x:v>9.7</x:v>
      </x:c>
    </x:row>
    <x:row r="30" ht="25" customHeight="1">
      <x:c r="A30" s="2" t="str">
        <x:v>2026-10-23_Day</x:v>
      </x:c>
      <x:c r="B30" s="7" t="n">
        <x:v>145100</x:v>
      </x:c>
      <x:c r="C30" s="7" t="n">
        <x:v>128400</x:v>
      </x:c>
      <x:c r="D30" s="7" t="n">
        <x:f>B30-C30</x:f>
        <x:v>16700</x:v>
      </x:c>
      <x:c r="E30" s="12" t="n">
        <x:v>1033</x:v>
      </x:c>
      <x:c r="F30" s="14" t="n">
        <x:f>E30/10</x:f>
        <x:v>103.3</x:v>
      </x:c>
    </x:row>
    <x:row r="31" ht="25" customHeight="1">
      <x:c r="A31" s="2" t="str">
        <x:v>2026-10-26_Day</x:v>
      </x:c>
      <x:c r="B31" s="7" t="n">
        <x:v>22500</x:v>
      </x:c>
      <x:c r="C31" s="7" t="n">
        <x:v>84000</x:v>
      </x:c>
      <x:c r="D31" s="7" t="n">
        <x:f>B31-C31</x:f>
        <x:v>-61500</x:v>
      </x:c>
      <x:c r="E31" s="12" t="n">
        <x:v>262</x:v>
      </x:c>
      <x:c r="F31" s="14" t="n">
        <x:f>E31/10</x:f>
        <x:v>26.2</x:v>
      </x:c>
    </x:row>
    <x:row r="32" ht="25" customHeight="1">
      <x:c r="A32" s="2" t="str">
        <x:v>2026-10-27_Day</x:v>
      </x:c>
      <x:c r="B32" s="7" t="n">
        <x:v>48900</x:v>
      </x:c>
      <x:c r="C32" s="7" t="n">
        <x:v>174400</x:v>
      </x:c>
      <x:c r="D32" s="7" t="n">
        <x:f>B32-C32</x:f>
        <x:v>-125500</x:v>
      </x:c>
      <x:c r="E32" s="12" t="n">
        <x:v>529</x:v>
      </x:c>
      <x:c r="F32" s="14" t="n">
        <x:f>E32/10</x:f>
        <x:v>52.9</x:v>
      </x:c>
    </x:row>
    <x:row r="33" ht="25" customHeight="1">
      <x:c r="A33" s="10" t="str">
        <x:v>合計</x:v>
      </x:c>
      <x:c r="B33" s="11" t="n">
        <x:f>SUM(B6:B32)</x:f>
        <x:v>918700</x:v>
      </x:c>
      <x:c r="C33" s="11" t="n">
        <x:f>SUM(C6:C32)</x:f>
        <x:v>1941500</x:v>
      </x:c>
      <x:c r="D33" s="11" t="n">
        <x:f>B33-C33</x:f>
        <x:v>-1022800</x:v>
      </x:c>
      <x:c r="E33" s="13" t="n">
        <x:f>SUM(E6:E32)</x:f>
        <x:v>8411</x:v>
      </x:c>
      <x:c r="F33" s="15" t="n">
        <x:f>E33/10</x:f>
        <x:v>841.1</x:v>
      </x:c>
    </x:row>
  </x:sheetData>
  <x:mergeCells>
    <x:mergeCell ref="A2:F2"/>
    <x:mergeCell ref="A3:F3"/>
    <x:mergeCell ref="A4:F4"/>
  </x:mergeCells>
  <x:conditionalFormatting sqref="D6:D32">
    <x:cfRule type="cellIs" dxfId="1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b5370925db54d30"/>
  </x:tableParts>
</x:worksheet>
</file>

<file path=xl/worksheets/sheet22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NK225_D168_20　日中の損益</x:v>
      </x:c>
      <x:c r="B2" s="2"/>
      <x:c r="C2" s="2"/>
      <x:c r="D2" s="2"/>
      <x:c r="E2" s="2"/>
      <x:c r="F2" s="2"/>
    </x:row>
    <x:row r="3" ht="38" customHeight="1">
      <x:c r="A3" s="5" t="str">
        <x:v>赤字の元返済だけ240円まで猶予して回収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5000</x:v>
      </x:c>
      <x:c r="C6" s="7" t="n">
        <x:v>0</x:v>
      </x:c>
      <x:c r="D6" s="7" t="n">
        <x:f>B6-C6</x:f>
        <x:v>5000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0</x:v>
      </x:c>
      <x:c r="C7" s="7" t="n">
        <x:v>6000</x:v>
      </x:c>
      <x:c r="D7" s="7" t="n">
        <x:f>B7-C7</x:f>
        <x:v>-6000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22000</x:v>
      </x:c>
      <x:c r="C9" s="7" t="n">
        <x:v>0</x:v>
      </x:c>
      <x:c r="D9" s="7" t="n">
        <x:f>B9-C9</x:f>
        <x:v>22000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41700</x:v>
      </x:c>
      <x:c r="C10" s="7" t="n">
        <x:v>0</x:v>
      </x:c>
      <x:c r="D10" s="7" t="n">
        <x:f>B10-C10</x:f>
        <x:v>41700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5200</x:v>
      </x:c>
      <x:c r="C11" s="7" t="n">
        <x:v>102200</x:v>
      </x:c>
      <x:c r="D11" s="7" t="n">
        <x:f>B11-C11</x:f>
        <x:v>-97000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15900</x:v>
      </x:c>
      <x:c r="C12" s="7" t="n">
        <x:v>218400</x:v>
      </x:c>
      <x:c r="D12" s="7" t="n">
        <x:f>B12-C12</x:f>
        <x:v>-202500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0</x:v>
      </x:c>
      <x:c r="C13" s="7" t="n">
        <x:v>0</x:v>
      </x:c>
      <x:c r="D13" s="7" t="n">
        <x:f>B13-C13</x:f>
        <x:v>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12600</x:v>
      </x:c>
      <x:c r="C14" s="7" t="n">
        <x:v>48000</x:v>
      </x:c>
      <x:c r="D14" s="7" t="n">
        <x:f>B14-C14</x:f>
        <x:v>-35400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3800</x:v>
      </x:c>
      <x:c r="C15" s="7" t="n">
        <x:v>0</x:v>
      </x:c>
      <x:c r="D15" s="7" t="n">
        <x:f>B15-C15</x:f>
        <x:v>3800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12400</x:v>
      </x:c>
      <x:c r="C16" s="7" t="n">
        <x:v>0</x:v>
      </x:c>
      <x:c r="D16" s="7" t="n">
        <x:f>B16-C16</x:f>
        <x:v>12400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25400</x:v>
      </x:c>
      <x:c r="C17" s="7" t="n">
        <x:v>24000</x:v>
      </x:c>
      <x:c r="D17" s="7" t="n">
        <x:f>B17-C17</x:f>
        <x:v>1400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2000</x:v>
      </x:c>
      <x:c r="C18" s="7" t="n">
        <x:v>69600</x:v>
      </x:c>
      <x:c r="D18" s="7" t="n">
        <x:f>B18-C18</x:f>
        <x:v>-67600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4200</x:v>
      </x:c>
      <x:c r="C19" s="7" t="n">
        <x:v>60000</x:v>
      </x:c>
      <x:c r="D19" s="7" t="n">
        <x:f>B19-C19</x:f>
        <x:v>-55800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58100</x:v>
      </x:c>
      <x:c r="C20" s="7" t="n">
        <x:v>36000</x:v>
      </x:c>
      <x:c r="D20" s="7" t="n">
        <x:f>B20-C20</x:f>
        <x:v>22100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1000</x:v>
      </x:c>
      <x:c r="C21" s="7" t="n">
        <x:v>5000</x:v>
      </x:c>
      <x:c r="D21" s="7" t="n">
        <x:f>B21-C21</x:f>
        <x:v>-4000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20300</x:v>
      </x:c>
      <x:c r="C22" s="7" t="n">
        <x:v>136000</x:v>
      </x:c>
      <x:c r="D22" s="7" t="n">
        <x:f>B22-C22</x:f>
        <x:v>-115700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5900</x:v>
      </x:c>
      <x:c r="C23" s="7" t="n">
        <x:v>31200</x:v>
      </x:c>
      <x:c r="D23" s="7" t="n">
        <x:f>B23-C23</x:f>
        <x:v>-25300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30000</x:v>
      </x:c>
      <x:c r="C24" s="7" t="n">
        <x:v>0</x:v>
      </x:c>
      <x:c r="D24" s="7" t="n">
        <x:f>B24-C24</x:f>
        <x:v>30000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45800</x:v>
      </x:c>
      <x:c r="C25" s="7" t="n">
        <x:v>13800</x:v>
      </x:c>
      <x:c r="D25" s="7" t="n">
        <x:f>B25-C25</x:f>
        <x:v>32000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16100</x:v>
      </x:c>
      <x:c r="C26" s="7" t="n">
        <x:v>0</x:v>
      </x:c>
      <x:c r="D26" s="7" t="n">
        <x:f>B26-C26</x:f>
        <x:v>16100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13700</x:v>
      </x:c>
      <x:c r="C27" s="7" t="n">
        <x:v>15300</x:v>
      </x:c>
      <x:c r="D27" s="7" t="n">
        <x:f>B27-C27</x:f>
        <x:v>-1600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21100</x:v>
      </x:c>
      <x:c r="C28" s="7" t="n">
        <x:v>44200</x:v>
      </x:c>
      <x:c r="D28" s="7" t="n">
        <x:f>B28-C28</x:f>
        <x:v>-23100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13300</x:v>
      </x:c>
      <x:c r="C29" s="7" t="n">
        <x:v>0</x:v>
      </x:c>
      <x:c r="D29" s="7" t="n">
        <x:f>B29-C29</x:f>
        <x:v>13300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31400</x:v>
      </x:c>
      <x:c r="C30" s="7" t="n">
        <x:v>0</x:v>
      </x:c>
      <x:c r="D30" s="7" t="n">
        <x:f>B30-C30</x:f>
        <x:v>31400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0</x:v>
      </x:c>
      <x:c r="C31" s="7" t="n">
        <x:v>23400</x:v>
      </x:c>
      <x:c r="D31" s="7" t="n">
        <x:f>B31-C31</x:f>
        <x:v>-23400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62900</x:v>
      </x:c>
      <x:c r="C32" s="7" t="n">
        <x:v>64800</x:v>
      </x:c>
      <x:c r="D32" s="7" t="n">
        <x:f>B32-C32</x:f>
        <x:v>-1900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469800</x:v>
      </x:c>
      <x:c r="C33" s="11" t="n">
        <x:f>SUM(C6:C32)</x:f>
        <x:v>897900</x:v>
      </x:c>
      <x:c r="D33" s="11" t="n">
        <x:f>B33-C33</x:f>
        <x:v>-428100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2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b78ae0ce674463e"/>
  </x:tableParts>
</x:worksheet>
</file>

<file path=xl/worksheets/sheet23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NK225_D168_21　日中の損益</x:v>
      </x:c>
      <x:c r="B2" s="2"/>
      <x:c r="C2" s="2"/>
      <x:c r="D2" s="2"/>
      <x:c r="E2" s="2"/>
      <x:c r="F2" s="2"/>
    </x:row>
    <x:row r="3" ht="38" customHeight="1">
      <x:c r="A3" s="5" t="str">
        <x:v>赤字の元返済だけ240円まで猶予する対照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7200</x:v>
      </x:c>
      <x:c r="C6" s="7" t="n">
        <x:v>0</x:v>
      </x:c>
      <x:c r="D6" s="7" t="n">
        <x:f>B6-C6</x:f>
        <x:v>7200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0</x:v>
      </x:c>
      <x:c r="C7" s="7" t="n">
        <x:v>30000</x:v>
      </x:c>
      <x:c r="D7" s="7" t="n">
        <x:f>B7-C7</x:f>
        <x:v>-30000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10000</x:v>
      </x:c>
      <x:c r="C8" s="7" t="n">
        <x:v>0</x:v>
      </x:c>
      <x:c r="D8" s="7" t="n">
        <x:f>B8-C8</x:f>
        <x:v>10000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278100</x:v>
      </x:c>
      <x:c r="C9" s="7" t="n">
        <x:v>21600</x:v>
      </x:c>
      <x:c r="D9" s="7" t="n">
        <x:f>B9-C9</x:f>
        <x:v>256500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149400</x:v>
      </x:c>
      <x:c r="C10" s="7" t="n">
        <x:v>16000</x:v>
      </x:c>
      <x:c r="D10" s="7" t="n">
        <x:f>B10-C10</x:f>
        <x:v>133400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90600</x:v>
      </x:c>
      <x:c r="C11" s="7" t="n">
        <x:v>151200</x:v>
      </x:c>
      <x:c r="D11" s="7" t="n">
        <x:f>B11-C11</x:f>
        <x:v>-60600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101200</x:v>
      </x:c>
      <x:c r="C12" s="7" t="n">
        <x:v>300400</x:v>
      </x:c>
      <x:c r="D12" s="7" t="n">
        <x:f>B12-C12</x:f>
        <x:v>-199200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75400</x:v>
      </x:c>
      <x:c r="C13" s="7" t="n">
        <x:v>24000</x:v>
      </x:c>
      <x:c r="D13" s="7" t="n">
        <x:f>B13-C13</x:f>
        <x:v>51400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760700</x:v>
      </x:c>
      <x:c r="C14" s="7" t="n">
        <x:v>79200</x:v>
      </x:c>
      <x:c r="D14" s="7" t="n">
        <x:f>B14-C14</x:f>
        <x:v>681500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14400</x:v>
      </x:c>
      <x:c r="C15" s="7" t="n">
        <x:v>116000</x:v>
      </x:c>
      <x:c r="D15" s="7" t="n">
        <x:f>B15-C15</x:f>
        <x:v>-101600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70500</x:v>
      </x:c>
      <x:c r="C16" s="7" t="n">
        <x:v>176000</x:v>
      </x:c>
      <x:c r="D16" s="7" t="n">
        <x:f>B16-C16</x:f>
        <x:v>-105500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114500</x:v>
      </x:c>
      <x:c r="C17" s="7" t="n">
        <x:v>280800</x:v>
      </x:c>
      <x:c r="D17" s="7" t="n">
        <x:f>B17-C17</x:f>
        <x:v>-166300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229700</x:v>
      </x:c>
      <x:c r="C18" s="7" t="n">
        <x:v>69600</x:v>
      </x:c>
      <x:c r="D18" s="7" t="n">
        <x:f>B18-C18</x:f>
        <x:v>160100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31200</x:v>
      </x:c>
      <x:c r="C19" s="7" t="n">
        <x:v>84000</x:v>
      </x:c>
      <x:c r="D19" s="7" t="n">
        <x:f>B19-C19</x:f>
        <x:v>-52800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208200</x:v>
      </x:c>
      <x:c r="C20" s="7" t="n">
        <x:v>60000</x:v>
      </x:c>
      <x:c r="D20" s="7" t="n">
        <x:f>B20-C20</x:f>
        <x:v>148200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14200</x:v>
      </x:c>
      <x:c r="C21" s="7" t="n">
        <x:v>5000</x:v>
      </x:c>
      <x:c r="D21" s="7" t="n">
        <x:f>B21-C21</x:f>
        <x:v>9200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179800</x:v>
      </x:c>
      <x:c r="C22" s="7" t="n">
        <x:v>342400</x:v>
      </x:c>
      <x:c r="D22" s="7" t="n">
        <x:f>B22-C22</x:f>
        <x:v>-162600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41300</x:v>
      </x:c>
      <x:c r="C23" s="7" t="n">
        <x:v>98000</x:v>
      </x:c>
      <x:c r="D23" s="7" t="n">
        <x:f>B23-C23</x:f>
        <x:v>-56700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349300</x:v>
      </x:c>
      <x:c r="C24" s="7" t="n">
        <x:v>24000</x:v>
      </x:c>
      <x:c r="D24" s="7" t="n">
        <x:f>B24-C24</x:f>
        <x:v>325300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78400</x:v>
      </x:c>
      <x:c r="C25" s="7" t="n">
        <x:v>281800</x:v>
      </x:c>
      <x:c r="D25" s="7" t="n">
        <x:f>B25-C25</x:f>
        <x:v>-203400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497400</x:v>
      </x:c>
      <x:c r="C26" s="7" t="n">
        <x:v>0</x:v>
      </x:c>
      <x:c r="D26" s="7" t="n">
        <x:f>B26-C26</x:f>
        <x:v>497400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146900</x:v>
      </x:c>
      <x:c r="C27" s="7" t="n">
        <x:v>75300</x:v>
      </x:c>
      <x:c r="D27" s="7" t="n">
        <x:f>B27-C27</x:f>
        <x:v>71600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44800</x:v>
      </x:c>
      <x:c r="C28" s="7" t="n">
        <x:v>304900</x:v>
      </x:c>
      <x:c r="D28" s="7" t="n">
        <x:f>B28-C28</x:f>
        <x:v>-260100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260600</x:v>
      </x:c>
      <x:c r="C29" s="7" t="n">
        <x:v>0</x:v>
      </x:c>
      <x:c r="D29" s="7" t="n">
        <x:f>B29-C29</x:f>
        <x:v>260600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252000</x:v>
      </x:c>
      <x:c r="C30" s="7" t="n">
        <x:v>249200</x:v>
      </x:c>
      <x:c r="D30" s="7" t="n">
        <x:f>B30-C30</x:f>
        <x:v>2800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151200</x:v>
      </x:c>
      <x:c r="C31" s="7" t="n">
        <x:v>157400</x:v>
      </x:c>
      <x:c r="D31" s="7" t="n">
        <x:f>B31-C31</x:f>
        <x:v>-6200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93800</x:v>
      </x:c>
      <x:c r="C32" s="7" t="n">
        <x:v>301900</x:v>
      </x:c>
      <x:c r="D32" s="7" t="n">
        <x:f>B32-C32</x:f>
        <x:v>-208100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4250800</x:v>
      </x:c>
      <x:c r="C33" s="11" t="n">
        <x:f>SUM(C6:C32)</x:f>
        <x:v>3248700</x:v>
      </x:c>
      <x:c r="D33" s="11" t="n">
        <x:f>B33-C33</x:f>
        <x:v>1002100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2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6ea21084008452b"/>
  </x:tableParts>
</x:worksheet>
</file>

<file path=xl/worksheets/sheet24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NK225_D168_22　日中の損益</x:v>
      </x:c>
      <x:c r="B2" s="2"/>
      <x:c r="C2" s="2"/>
      <x:c r="D2" s="2"/>
      <x:c r="E2" s="2"/>
      <x:c r="F2" s="2"/>
    </x:row>
    <x:row r="3" ht="38" customHeight="1">
      <x:c r="A3" s="5" t="str">
        <x:v>元損切りを保ち回収後に方向再判断3回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7600</x:v>
      </x:c>
      <x:c r="C6" s="7" t="n">
        <x:v>0</x:v>
      </x:c>
      <x:c r="D6" s="7" t="n">
        <x:f>B6-C6</x:f>
        <x:v>7600</x:v>
      </x:c>
      <x:c r="E6" s="12" t="n">
        <x:v>42</x:v>
      </x:c>
      <x:c r="F6" s="14" t="n">
        <x:f>E6/10</x:f>
        <x:v>4.2</x:v>
      </x:c>
    </x:row>
    <x:row r="7" ht="25" customHeight="1">
      <x:c r="A7" s="2" t="str">
        <x:v>2026-09-22_Day</x:v>
      </x:c>
      <x:c r="B7" s="7" t="n">
        <x:v>0</x:v>
      </x:c>
      <x:c r="C7" s="7" t="n">
        <x:v>6400</x:v>
      </x:c>
      <x:c r="D7" s="7" t="n">
        <x:f>B7-C7</x:f>
        <x:v>-6400</x:v>
      </x:c>
      <x:c r="E7" s="12" t="n">
        <x:v>32</x:v>
      </x:c>
      <x:c r="F7" s="14" t="n">
        <x:f>E7/10</x:f>
        <x:v>3.2</x:v>
      </x:c>
    </x:row>
    <x:row r="8" ht="25" customHeight="1">
      <x:c r="A8" s="2" t="str">
        <x:v>2026-09-23_Day</x:v>
      </x:c>
      <x:c r="B8" s="7" t="n">
        <x:v>0</x:v>
      </x:c>
      <x:c r="C8" s="7" t="n">
        <x:v>7200</x:v>
      </x:c>
      <x:c r="D8" s="7" t="n">
        <x:f>B8-C8</x:f>
        <x:v>-7200</x:v>
      </x:c>
      <x:c r="E8" s="12" t="n">
        <x:v>16</x:v>
      </x:c>
      <x:c r="F8" s="14" t="n">
        <x:f>E8/10</x:f>
        <x:v>1.6</x:v>
      </x:c>
    </x:row>
    <x:row r="9" ht="25" customHeight="1">
      <x:c r="A9" s="2" t="str">
        <x:v>2026-09-24_Day</x:v>
      </x:c>
      <x:c r="B9" s="7" t="n">
        <x:v>50000</x:v>
      </x:c>
      <x:c r="C9" s="7" t="n">
        <x:v>50100</x:v>
      </x:c>
      <x:c r="D9" s="7" t="n">
        <x:f>B9-C9</x:f>
        <x:v>-100</x:v>
      </x:c>
      <x:c r="E9" s="12" t="n">
        <x:v>315</x:v>
      </x:c>
      <x:c r="F9" s="14" t="n">
        <x:f>E9/10</x:f>
        <x:v>31.5</x:v>
      </x:c>
    </x:row>
    <x:row r="10" ht="25" customHeight="1">
      <x:c r="A10" s="2" t="str">
        <x:v>2026-09-25_Day</x:v>
      </x:c>
      <x:c r="B10" s="7" t="n">
        <x:v>83300</x:v>
      </x:c>
      <x:c r="C10" s="7" t="n">
        <x:v>78600</x:v>
      </x:c>
      <x:c r="D10" s="7" t="n">
        <x:f>B10-C10</x:f>
        <x:v>4700</x:v>
      </x:c>
      <x:c r="E10" s="12" t="n">
        <x:v>237</x:v>
      </x:c>
      <x:c r="F10" s="14" t="n">
        <x:f>E10/10</x:f>
        <x:v>23.7</x:v>
      </x:c>
    </x:row>
    <x:row r="11" ht="25" customHeight="1">
      <x:c r="A11" s="2" t="str">
        <x:v>2026-09-28_Day</x:v>
      </x:c>
      <x:c r="B11" s="7" t="n">
        <x:v>8000</x:v>
      </x:c>
      <x:c r="C11" s="7" t="n">
        <x:v>107100</x:v>
      </x:c>
      <x:c r="D11" s="7" t="n">
        <x:f>B11-C11</x:f>
        <x:v>-99100</x:v>
      </x:c>
      <x:c r="E11" s="12" t="n">
        <x:v>236</x:v>
      </x:c>
      <x:c r="F11" s="14" t="n">
        <x:f>E11/10</x:f>
        <x:v>23.6</x:v>
      </x:c>
    </x:row>
    <x:row r="12" ht="25" customHeight="1">
      <x:c r="A12" s="2" t="str">
        <x:v>2026-09-29_Day</x:v>
      </x:c>
      <x:c r="B12" s="7" t="n">
        <x:v>21300</x:v>
      </x:c>
      <x:c r="C12" s="7" t="n">
        <x:v>175100</x:v>
      </x:c>
      <x:c r="D12" s="7" t="n">
        <x:f>B12-C12</x:f>
        <x:v>-153800</x:v>
      </x:c>
      <x:c r="E12" s="12" t="n">
        <x:v>386</x:v>
      </x:c>
      <x:c r="F12" s="14" t="n">
        <x:f>E12/10</x:f>
        <x:v>38.6</x:v>
      </x:c>
    </x:row>
    <x:row r="13" ht="25" customHeight="1">
      <x:c r="A13" s="2" t="str">
        <x:v>2026-09-30_Day</x:v>
      </x:c>
      <x:c r="B13" s="7" t="n">
        <x:v>400</x:v>
      </x:c>
      <x:c r="C13" s="7" t="n">
        <x:v>12100</x:v>
      </x:c>
      <x:c r="D13" s="7" t="n">
        <x:f>B13-C13</x:f>
        <x:v>-11700</x:v>
      </x:c>
      <x:c r="E13" s="12" t="n">
        <x:v>85</x:v>
      </x:c>
      <x:c r="F13" s="14" t="n">
        <x:f>E13/10</x:f>
        <x:v>8.5</x:v>
      </x:c>
    </x:row>
    <x:row r="14" ht="25" customHeight="1">
      <x:c r="A14" s="2" t="str">
        <x:v>2026-10-01_Day</x:v>
      </x:c>
      <x:c r="B14" s="7" t="n">
        <x:v>25700</x:v>
      </x:c>
      <x:c r="C14" s="7" t="n">
        <x:v>137200</x:v>
      </x:c>
      <x:c r="D14" s="7" t="n">
        <x:f>B14-C14</x:f>
        <x:v>-111500</x:v>
      </x:c>
      <x:c r="E14" s="12" t="n">
        <x:v>352</x:v>
      </x:c>
      <x:c r="F14" s="14" t="n">
        <x:f>E14/10</x:f>
        <x:v>35.2</x:v>
      </x:c>
    </x:row>
    <x:row r="15" ht="25" customHeight="1">
      <x:c r="A15" s="2" t="str">
        <x:v>2026-10-02_Day</x:v>
      </x:c>
      <x:c r="B15" s="7" t="n">
        <x:v>7300</x:v>
      </x:c>
      <x:c r="C15" s="7" t="n">
        <x:v>28200</x:v>
      </x:c>
      <x:c r="D15" s="7" t="n">
        <x:f>B15-C15</x:f>
        <x:v>-20900</x:v>
      </x:c>
      <x:c r="E15" s="12" t="n">
        <x:v>168</x:v>
      </x:c>
      <x:c r="F15" s="14" t="n">
        <x:f>E15/10</x:f>
        <x:v>16.8</x:v>
      </x:c>
    </x:row>
    <x:row r="16" ht="25" customHeight="1">
      <x:c r="A16" s="2" t="str">
        <x:v>2026-10-05_Day</x:v>
      </x:c>
      <x:c r="B16" s="7" t="n">
        <x:v>23000</x:v>
      </x:c>
      <x:c r="C16" s="7" t="n">
        <x:v>48600</x:v>
      </x:c>
      <x:c r="D16" s="7" t="n">
        <x:f>B16-C16</x:f>
        <x:v>-25600</x:v>
      </x:c>
      <x:c r="E16" s="12" t="n">
        <x:v>329</x:v>
      </x:c>
      <x:c r="F16" s="14" t="n">
        <x:f>E16/10</x:f>
        <x:v>32.9</x:v>
      </x:c>
    </x:row>
    <x:row r="17" ht="25" customHeight="1">
      <x:c r="A17" s="2" t="str">
        <x:v>2026-10-06_Day</x:v>
      </x:c>
      <x:c r="B17" s="7" t="n">
        <x:v>52000</x:v>
      </x:c>
      <x:c r="C17" s="7" t="n">
        <x:v>45700</x:v>
      </x:c>
      <x:c r="D17" s="7" t="n">
        <x:f>B17-C17</x:f>
        <x:v>6300</x:v>
      </x:c>
      <x:c r="E17" s="12" t="n">
        <x:v>373</x:v>
      </x:c>
      <x:c r="F17" s="14" t="n">
        <x:f>E17/10</x:f>
        <x:v>37.3</x:v>
      </x:c>
    </x:row>
    <x:row r="18" ht="25" customHeight="1">
      <x:c r="A18" s="2" t="str">
        <x:v>2026-10-07_Day</x:v>
      </x:c>
      <x:c r="B18" s="7" t="n">
        <x:v>12300</x:v>
      </x:c>
      <x:c r="C18" s="7" t="n">
        <x:v>56900</x:v>
      </x:c>
      <x:c r="D18" s="7" t="n">
        <x:f>B18-C18</x:f>
        <x:v>-44600</x:v>
      </x:c>
      <x:c r="E18" s="12" t="n">
        <x:v>191</x:v>
      </x:c>
      <x:c r="F18" s="14" t="n">
        <x:f>E18/10</x:f>
        <x:v>19.1</x:v>
      </x:c>
    </x:row>
    <x:row r="19" ht="25" customHeight="1">
      <x:c r="A19" s="2" t="str">
        <x:v>2026-10-08_Day</x:v>
      </x:c>
      <x:c r="B19" s="7" t="n">
        <x:v>23200</x:v>
      </x:c>
      <x:c r="C19" s="7" t="n">
        <x:v>57400</x:v>
      </x:c>
      <x:c r="D19" s="7" t="n">
        <x:f>B19-C19</x:f>
        <x:v>-34200</x:v>
      </x:c>
      <x:c r="E19" s="12" t="n">
        <x:v>183</x:v>
      </x:c>
      <x:c r="F19" s="14" t="n">
        <x:f>E19/10</x:f>
        <x:v>18.3</x:v>
      </x:c>
    </x:row>
    <x:row r="20" ht="25" customHeight="1">
      <x:c r="A20" s="2" t="str">
        <x:v>2026-10-09_Day</x:v>
      </x:c>
      <x:c r="B20" s="7" t="n">
        <x:v>61700</x:v>
      </x:c>
      <x:c r="C20" s="7" t="n">
        <x:v>55100</x:v>
      </x:c>
      <x:c r="D20" s="7" t="n">
        <x:f>B20-C20</x:f>
        <x:v>6600</x:v>
      </x:c>
      <x:c r="E20" s="12" t="n">
        <x:v>262</x:v>
      </x:c>
      <x:c r="F20" s="14" t="n">
        <x:f>E20/10</x:f>
        <x:v>26.2</x:v>
      </x:c>
    </x:row>
    <x:row r="21" ht="25" customHeight="1">
      <x:c r="A21" s="2" t="str">
        <x:v>2026-10-12_Day</x:v>
      </x:c>
      <x:c r="B21" s="7" t="n">
        <x:v>1800</x:v>
      </x:c>
      <x:c r="C21" s="7" t="n">
        <x:v>5000</x:v>
      </x:c>
      <x:c r="D21" s="7" t="n">
        <x:f>B21-C21</x:f>
        <x:v>-3200</x:v>
      </x:c>
      <x:c r="E21" s="12" t="n">
        <x:v>54</x:v>
      </x:c>
      <x:c r="F21" s="14" t="n">
        <x:f>E21/10</x:f>
        <x:v>5.4</x:v>
      </x:c>
    </x:row>
    <x:row r="22" ht="25" customHeight="1">
      <x:c r="A22" s="2" t="str">
        <x:v>2026-10-13_Day</x:v>
      </x:c>
      <x:c r="B22" s="7" t="n">
        <x:v>48200</x:v>
      </x:c>
      <x:c r="C22" s="7" t="n">
        <x:v>198800</x:v>
      </x:c>
      <x:c r="D22" s="7" t="n">
        <x:f>B22-C22</x:f>
        <x:v>-150600</x:v>
      </x:c>
      <x:c r="E22" s="12" t="n">
        <x:v>559</x:v>
      </x:c>
      <x:c r="F22" s="14" t="n">
        <x:f>E22/10</x:f>
        <x:v>55.9</x:v>
      </x:c>
    </x:row>
    <x:row r="23" ht="25" customHeight="1">
      <x:c r="A23" s="2" t="str">
        <x:v>2026-10-14_Day</x:v>
      </x:c>
      <x:c r="B23" s="7" t="n">
        <x:v>9100</x:v>
      </x:c>
      <x:c r="C23" s="7" t="n">
        <x:v>20500</x:v>
      </x:c>
      <x:c r="D23" s="7" t="n">
        <x:f>B23-C23</x:f>
        <x:v>-11400</x:v>
      </x:c>
      <x:c r="E23" s="12" t="n">
        <x:v>121</x:v>
      </x:c>
      <x:c r="F23" s="14" t="n">
        <x:f>E23/10</x:f>
        <x:v>12.1</x:v>
      </x:c>
    </x:row>
    <x:row r="24" ht="25" customHeight="1">
      <x:c r="A24" s="2" t="str">
        <x:v>2026-10-15_Day</x:v>
      </x:c>
      <x:c r="B24" s="7" t="n">
        <x:v>39700</x:v>
      </x:c>
      <x:c r="C24" s="7" t="n">
        <x:v>42000</x:v>
      </x:c>
      <x:c r="D24" s="7" t="n">
        <x:f>B24-C24</x:f>
        <x:v>-2300</x:v>
      </x:c>
      <x:c r="E24" s="12" t="n">
        <x:v>343</x:v>
      </x:c>
      <x:c r="F24" s="14" t="n">
        <x:f>E24/10</x:f>
        <x:v>34.3</x:v>
      </x:c>
    </x:row>
    <x:row r="25" ht="25" customHeight="1">
      <x:c r="A25" s="2" t="str">
        <x:v>2026-10-16_Day</x:v>
      </x:c>
      <x:c r="B25" s="7" t="n">
        <x:v>59400</x:v>
      </x:c>
      <x:c r="C25" s="7" t="n">
        <x:v>113000</x:v>
      </x:c>
      <x:c r="D25" s="7" t="n">
        <x:f>B25-C25</x:f>
        <x:v>-53600</x:v>
      </x:c>
      <x:c r="E25" s="12" t="n">
        <x:v>509</x:v>
      </x:c>
      <x:c r="F25" s="14" t="n">
        <x:f>E25/10</x:f>
        <x:v>50.9</x:v>
      </x:c>
    </x:row>
    <x:row r="26" ht="25" customHeight="1">
      <x:c r="A26" s="2" t="str">
        <x:v>2026-10-19_Day</x:v>
      </x:c>
      <x:c r="B26" s="7" t="n">
        <x:v>51400</x:v>
      </x:c>
      <x:c r="C26" s="7" t="n">
        <x:v>31200</x:v>
      </x:c>
      <x:c r="D26" s="7" t="n">
        <x:f>B26-C26</x:f>
        <x:v>20200</x:v>
      </x:c>
      <x:c r="E26" s="12" t="n">
        <x:v>434</x:v>
      </x:c>
      <x:c r="F26" s="14" t="n">
        <x:f>E26/10</x:f>
        <x:v>43.4</x:v>
      </x:c>
    </x:row>
    <x:row r="27" ht="25" customHeight="1">
      <x:c r="A27" s="2" t="str">
        <x:v>2026-10-20_Day</x:v>
      </x:c>
      <x:c r="B27" s="7" t="n">
        <x:v>21700</x:v>
      </x:c>
      <x:c r="C27" s="7" t="n">
        <x:v>65600</x:v>
      </x:c>
      <x:c r="D27" s="7" t="n">
        <x:f>B27-C27</x:f>
        <x:v>-43900</x:v>
      </x:c>
      <x:c r="E27" s="12" t="n">
        <x:v>319</x:v>
      </x:c>
      <x:c r="F27" s="14" t="n">
        <x:f>E27/10</x:f>
        <x:v>31.9</x:v>
      </x:c>
    </x:row>
    <x:row r="28" ht="25" customHeight="1">
      <x:c r="A28" s="2" t="str">
        <x:v>2026-10-21_Day</x:v>
      </x:c>
      <x:c r="B28" s="7" t="n">
        <x:v>27500</x:v>
      </x:c>
      <x:c r="C28" s="7" t="n">
        <x:v>93800</x:v>
      </x:c>
      <x:c r="D28" s="7" t="n">
        <x:f>B28-C28</x:f>
        <x:v>-66300</x:v>
      </x:c>
      <x:c r="E28" s="12" t="n">
        <x:v>352</x:v>
      </x:c>
      <x:c r="F28" s="14" t="n">
        <x:f>E28/10</x:f>
        <x:v>35.2</x:v>
      </x:c>
    </x:row>
    <x:row r="29" ht="25" customHeight="1">
      <x:c r="A29" s="2" t="str">
        <x:v>2026-10-22_Day</x:v>
      </x:c>
      <x:c r="B29" s="7" t="n">
        <x:v>13300</x:v>
      </x:c>
      <x:c r="C29" s="7" t="n">
        <x:v>21600</x:v>
      </x:c>
      <x:c r="D29" s="7" t="n">
        <x:f>B29-C29</x:f>
        <x:v>-8300</x:v>
      </x:c>
      <x:c r="E29" s="12" t="n">
        <x:v>111</x:v>
      </x:c>
      <x:c r="F29" s="14" t="n">
        <x:f>E29/10</x:f>
        <x:v>11.1</x:v>
      </x:c>
    </x:row>
    <x:row r="30" ht="25" customHeight="1">
      <x:c r="A30" s="2" t="str">
        <x:v>2026-10-23_Day</x:v>
      </x:c>
      <x:c r="B30" s="7" t="n">
        <x:v>98400</x:v>
      </x:c>
      <x:c r="C30" s="7" t="n">
        <x:v>119100</x:v>
      </x:c>
      <x:c r="D30" s="7" t="n">
        <x:f>B30-C30</x:f>
        <x:v>-20700</x:v>
      </x:c>
      <x:c r="E30" s="12" t="n">
        <x:v>902</x:v>
      </x:c>
      <x:c r="F30" s="14" t="n">
        <x:f>E30/10</x:f>
        <x:v>90.2</x:v>
      </x:c>
    </x:row>
    <x:row r="31" ht="25" customHeight="1">
      <x:c r="A31" s="2" t="str">
        <x:v>2026-10-26_Day</x:v>
      </x:c>
      <x:c r="B31" s="7" t="n">
        <x:v>3400</x:v>
      </x:c>
      <x:c r="C31" s="7" t="n">
        <x:v>110900</x:v>
      </x:c>
      <x:c r="D31" s="7" t="n">
        <x:f>B31-C31</x:f>
        <x:v>-107500</x:v>
      </x:c>
      <x:c r="E31" s="12" t="n">
        <x:v>258</x:v>
      </x:c>
      <x:c r="F31" s="14" t="n">
        <x:f>E31/10</x:f>
        <x:v>25.8</x:v>
      </x:c>
    </x:row>
    <x:row r="32" ht="25" customHeight="1">
      <x:c r="A32" s="2" t="str">
        <x:v>2026-10-27_Day</x:v>
      </x:c>
      <x:c r="B32" s="7" t="n">
        <x:v>90100</x:v>
      </x:c>
      <x:c r="C32" s="7" t="n">
        <x:v>116600</x:v>
      </x:c>
      <x:c r="D32" s="7" t="n">
        <x:f>B32-C32</x:f>
        <x:v>-26500</x:v>
      </x:c>
      <x:c r="E32" s="12" t="n">
        <x:v>434</x:v>
      </x:c>
      <x:c r="F32" s="14" t="n">
        <x:f>E32/10</x:f>
        <x:v>43.4</x:v>
      </x:c>
    </x:row>
    <x:row r="33" ht="25" customHeight="1">
      <x:c r="A33" s="10" t="str">
        <x:v>合計</x:v>
      </x:c>
      <x:c r="B33" s="11" t="n">
        <x:f>SUM(B6:B32)</x:f>
        <x:v>839800</x:v>
      </x:c>
      <x:c r="C33" s="11" t="n">
        <x:f>SUM(C6:C32)</x:f>
        <x:v>1803800</x:v>
      </x:c>
      <x:c r="D33" s="11" t="n">
        <x:f>B33-C33</x:f>
        <x:v>-964000</x:v>
      </x:c>
      <x:c r="E33" s="13" t="n">
        <x:f>SUM(E6:E32)</x:f>
        <x:v>7603</x:v>
      </x:c>
      <x:c r="F33" s="15" t="n">
        <x:f>E33/10</x:f>
        <x:v>760.3</x:v>
      </x:c>
    </x:row>
  </x:sheetData>
  <x:mergeCells>
    <x:mergeCell ref="A2:F2"/>
    <x:mergeCell ref="A3:F3"/>
    <x:mergeCell ref="A4:F4"/>
  </x:mergeCells>
  <x:conditionalFormatting sqref="D6:D32">
    <x:cfRule type="cellIs" dxfId="2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ff3f6d310c4255"/>
  </x:tableParts>
</x:worksheet>
</file>

<file path=xl/worksheets/sheet25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NK225_D168_23　日中の損益</x:v>
      </x:c>
      <x:c r="B2" s="2"/>
      <x:c r="C2" s="2"/>
      <x:c r="D2" s="2"/>
      <x:c r="E2" s="2"/>
      <x:c r="F2" s="2"/>
    </x:row>
    <x:row r="3" ht="38" customHeight="1">
      <x:c r="A3" s="5" t="str">
        <x:v>固定20円追尾で方向再判断3回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2000</x:v>
      </x:c>
      <x:c r="C6" s="7" t="n">
        <x:v>12000</x:v>
      </x:c>
      <x:c r="D6" s="7" t="n">
        <x:f>B6-C6</x:f>
        <x:v>-10000</x:v>
      </x:c>
      <x:c r="E6" s="12" t="n">
        <x:v>34</x:v>
      </x:c>
      <x:c r="F6" s="14" t="n">
        <x:f>E6/10</x:f>
        <x:v>3.4</x:v>
      </x:c>
    </x:row>
    <x:row r="7" ht="25" customHeight="1">
      <x:c r="A7" s="2" t="str">
        <x:v>2026-09-22_Day</x:v>
      </x:c>
      <x:c r="B7" s="7" t="n">
        <x:v>1400</x:v>
      </x:c>
      <x:c r="C7" s="7" t="n">
        <x:v>6000</x:v>
      </x:c>
      <x:c r="D7" s="7" t="n">
        <x:f>B7-C7</x:f>
        <x:v>-4600</x:v>
      </x:c>
      <x:c r="E7" s="12" t="n">
        <x:v>32</x:v>
      </x:c>
      <x:c r="F7" s="14" t="n">
        <x:f>E7/10</x:f>
        <x:v>3.2</x:v>
      </x:c>
    </x:row>
    <x:row r="8" ht="25" customHeight="1">
      <x:c r="A8" s="2" t="str">
        <x:v>2026-09-23_Day</x:v>
      </x:c>
      <x:c r="B8" s="7" t="n">
        <x:v>0</x:v>
      </x:c>
      <x:c r="C8" s="7" t="n">
        <x:v>7200</x:v>
      </x:c>
      <x:c r="D8" s="7" t="n">
        <x:f>B8-C8</x:f>
        <x:v>-7200</x:v>
      </x:c>
      <x:c r="E8" s="12" t="n">
        <x:v>16</x:v>
      </x:c>
      <x:c r="F8" s="14" t="n">
        <x:f>E8/10</x:f>
        <x:v>1.6</x:v>
      </x:c>
    </x:row>
    <x:row r="9" ht="25" customHeight="1">
      <x:c r="A9" s="2" t="str">
        <x:v>2026-09-24_Day</x:v>
      </x:c>
      <x:c r="B9" s="7" t="n">
        <x:v>69900</x:v>
      </x:c>
      <x:c r="C9" s="7" t="n">
        <x:v>39600</x:v>
      </x:c>
      <x:c r="D9" s="7" t="n">
        <x:f>B9-C9</x:f>
        <x:v>30300</x:v>
      </x:c>
      <x:c r="E9" s="12" t="n">
        <x:v>353</x:v>
      </x:c>
      <x:c r="F9" s="14" t="n">
        <x:f>E9/10</x:f>
        <x:v>35.3</x:v>
      </x:c>
    </x:row>
    <x:row r="10" ht="25" customHeight="1">
      <x:c r="A10" s="2" t="str">
        <x:v>2026-09-25_Day</x:v>
      </x:c>
      <x:c r="B10" s="7" t="n">
        <x:v>48500</x:v>
      </x:c>
      <x:c r="C10" s="7" t="n">
        <x:v>30900</x:v>
      </x:c>
      <x:c r="D10" s="7" t="n">
        <x:f>B10-C10</x:f>
        <x:v>17600</x:v>
      </x:c>
      <x:c r="E10" s="12" t="n">
        <x:v>273</x:v>
      </x:c>
      <x:c r="F10" s="14" t="n">
        <x:f>E10/10</x:f>
        <x:v>27.3</x:v>
      </x:c>
    </x:row>
    <x:row r="11" ht="25" customHeight="1">
      <x:c r="A11" s="2" t="str">
        <x:v>2026-09-28_Day</x:v>
      </x:c>
      <x:c r="B11" s="7" t="n">
        <x:v>12300</x:v>
      </x:c>
      <x:c r="C11" s="7" t="n">
        <x:v>124900</x:v>
      </x:c>
      <x:c r="D11" s="7" t="n">
        <x:f>B11-C11</x:f>
        <x:v>-112600</x:v>
      </x:c>
      <x:c r="E11" s="12" t="n">
        <x:v>233</x:v>
      </x:c>
      <x:c r="F11" s="14" t="n">
        <x:f>E11/10</x:f>
        <x:v>23.3</x:v>
      </x:c>
    </x:row>
    <x:row r="12" ht="25" customHeight="1">
      <x:c r="A12" s="2" t="str">
        <x:v>2026-09-29_Day</x:v>
      </x:c>
      <x:c r="B12" s="7" t="n">
        <x:v>36500</x:v>
      </x:c>
      <x:c r="C12" s="7" t="n">
        <x:v>142800</x:v>
      </x:c>
      <x:c r="D12" s="7" t="n">
        <x:f>B12-C12</x:f>
        <x:v>-106300</x:v>
      </x:c>
      <x:c r="E12" s="12" t="n">
        <x:v>435</x:v>
      </x:c>
      <x:c r="F12" s="14" t="n">
        <x:f>E12/10</x:f>
        <x:v>43.5</x:v>
      </x:c>
    </x:row>
    <x:row r="13" ht="25" customHeight="1">
      <x:c r="A13" s="2" t="str">
        <x:v>2026-09-30_Day</x:v>
      </x:c>
      <x:c r="B13" s="7" t="n">
        <x:v>4600</x:v>
      </x:c>
      <x:c r="C13" s="7" t="n">
        <x:v>7200</x:v>
      </x:c>
      <x:c r="D13" s="7" t="n">
        <x:f>B13-C13</x:f>
        <x:v>-2600</x:v>
      </x:c>
      <x:c r="E13" s="12" t="n">
        <x:v>92</x:v>
      </x:c>
      <x:c r="F13" s="14" t="n">
        <x:f>E13/10</x:f>
        <x:v>9.2</x:v>
      </x:c>
    </x:row>
    <x:row r="14" ht="25" customHeight="1">
      <x:c r="A14" s="2" t="str">
        <x:v>2026-10-01_Day</x:v>
      </x:c>
      <x:c r="B14" s="7" t="n">
        <x:v>49200</x:v>
      </x:c>
      <x:c r="C14" s="7" t="n">
        <x:v>60000</x:v>
      </x:c>
      <x:c r="D14" s="7" t="n">
        <x:f>B14-C14</x:f>
        <x:v>-10800</x:v>
      </x:c>
      <x:c r="E14" s="12" t="n">
        <x:v>389</x:v>
      </x:c>
      <x:c r="F14" s="14" t="n">
        <x:f>E14/10</x:f>
        <x:v>38.9</x:v>
      </x:c>
    </x:row>
    <x:row r="15" ht="25" customHeight="1">
      <x:c r="A15" s="2" t="str">
        <x:v>2026-10-02_Day</x:v>
      </x:c>
      <x:c r="B15" s="7" t="n">
        <x:v>18600</x:v>
      </x:c>
      <x:c r="C15" s="7" t="n">
        <x:v>14400</x:v>
      </x:c>
      <x:c r="D15" s="7" t="n">
        <x:f>B15-C15</x:f>
        <x:v>4200</x:v>
      </x:c>
      <x:c r="E15" s="12" t="n">
        <x:v>177</x:v>
      </x:c>
      <x:c r="F15" s="14" t="n">
        <x:f>E15/10</x:f>
        <x:v>17.7</x:v>
      </x:c>
    </x:row>
    <x:row r="16" ht="25" customHeight="1">
      <x:c r="A16" s="2" t="str">
        <x:v>2026-10-05_Day</x:v>
      </x:c>
      <x:c r="B16" s="7" t="n">
        <x:v>54300</x:v>
      </x:c>
      <x:c r="C16" s="7" t="n">
        <x:v>58800</x:v>
      </x:c>
      <x:c r="D16" s="7" t="n">
        <x:f>B16-C16</x:f>
        <x:v>-4500</x:v>
      </x:c>
      <x:c r="E16" s="12" t="n">
        <x:v>359</x:v>
      </x:c>
      <x:c r="F16" s="14" t="n">
        <x:f>E16/10</x:f>
        <x:v>35.9</x:v>
      </x:c>
    </x:row>
    <x:row r="17" ht="25" customHeight="1">
      <x:c r="A17" s="2" t="str">
        <x:v>2026-10-06_Day</x:v>
      </x:c>
      <x:c r="B17" s="7" t="n">
        <x:v>29700</x:v>
      </x:c>
      <x:c r="C17" s="7" t="n">
        <x:v>33600</x:v>
      </x:c>
      <x:c r="D17" s="7" t="n">
        <x:f>B17-C17</x:f>
        <x:v>-3900</x:v>
      </x:c>
      <x:c r="E17" s="12" t="n">
        <x:v>386</x:v>
      </x:c>
      <x:c r="F17" s="14" t="n">
        <x:f>E17/10</x:f>
        <x:v>38.6</x:v>
      </x:c>
    </x:row>
    <x:row r="18" ht="25" customHeight="1">
      <x:c r="A18" s="2" t="str">
        <x:v>2026-10-07_Day</x:v>
      </x:c>
      <x:c r="B18" s="7" t="n">
        <x:v>18000</x:v>
      </x:c>
      <x:c r="C18" s="7" t="n">
        <x:v>37200</x:v>
      </x:c>
      <x:c r="D18" s="7" t="n">
        <x:f>B18-C18</x:f>
        <x:v>-19200</x:v>
      </x:c>
      <x:c r="E18" s="12" t="n">
        <x:v>198</x:v>
      </x:c>
      <x:c r="F18" s="14" t="n">
        <x:f>E18/10</x:f>
        <x:v>19.8</x:v>
      </x:c>
    </x:row>
    <x:row r="19" ht="25" customHeight="1">
      <x:c r="A19" s="2" t="str">
        <x:v>2026-10-08_Day</x:v>
      </x:c>
      <x:c r="B19" s="7" t="n">
        <x:v>15100</x:v>
      </x:c>
      <x:c r="C19" s="7" t="n">
        <x:v>80400</x:v>
      </x:c>
      <x:c r="D19" s="7" t="n">
        <x:f>B19-C19</x:f>
        <x:v>-65300</x:v>
      </x:c>
      <x:c r="E19" s="12" t="n">
        <x:v>152</x:v>
      </x:c>
      <x:c r="F19" s="14" t="n">
        <x:f>E19/10</x:f>
        <x:v>15.2</x:v>
      </x:c>
    </x:row>
    <x:row r="20" ht="25" customHeight="1">
      <x:c r="A20" s="2" t="str">
        <x:v>2026-10-09_Day</x:v>
      </x:c>
      <x:c r="B20" s="7" t="n">
        <x:v>18000</x:v>
      </x:c>
      <x:c r="C20" s="7" t="n">
        <x:v>129600</x:v>
      </x:c>
      <x:c r="D20" s="7" t="n">
        <x:f>B20-C20</x:f>
        <x:v>-111600</x:v>
      </x:c>
      <x:c r="E20" s="12" t="n">
        <x:v>232</x:v>
      </x:c>
      <x:c r="F20" s="14" t="n">
        <x:f>E20/10</x:f>
        <x:v>23.2</x:v>
      </x:c>
    </x:row>
    <x:row r="21" ht="25" customHeight="1">
      <x:c r="A21" s="2" t="str">
        <x:v>2026-10-12_Day</x:v>
      </x:c>
      <x:c r="B21" s="7" t="n">
        <x:v>3600</x:v>
      </x:c>
      <x:c r="C21" s="7" t="n">
        <x:v>5000</x:v>
      </x:c>
      <x:c r="D21" s="7" t="n">
        <x:f>B21-C21</x:f>
        <x:v>-1400</x:v>
      </x:c>
      <x:c r="E21" s="12" t="n">
        <x:v>54</x:v>
      </x:c>
      <x:c r="F21" s="14" t="n">
        <x:f>E21/10</x:f>
        <x:v>5.4</x:v>
      </x:c>
    </x:row>
    <x:row r="22" ht="25" customHeight="1">
      <x:c r="A22" s="2" t="str">
        <x:v>2026-10-13_Day</x:v>
      </x:c>
      <x:c r="B22" s="7" t="n">
        <x:v>44100</x:v>
      </x:c>
      <x:c r="C22" s="7" t="n">
        <x:v>194400</x:v>
      </x:c>
      <x:c r="D22" s="7" t="n">
        <x:f>B22-C22</x:f>
        <x:v>-150300</x:v>
      </x:c>
      <x:c r="E22" s="12" t="n">
        <x:v>543</x:v>
      </x:c>
      <x:c r="F22" s="14" t="n">
        <x:f>E22/10</x:f>
        <x:v>54.3</x:v>
      </x:c>
    </x:row>
    <x:row r="23" ht="25" customHeight="1">
      <x:c r="A23" s="2" t="str">
        <x:v>2026-10-14_Day</x:v>
      </x:c>
      <x:c r="B23" s="7" t="n">
        <x:v>26600</x:v>
      </x:c>
      <x:c r="C23" s="7" t="n">
        <x:v>20400</x:v>
      </x:c>
      <x:c r="D23" s="7" t="n">
        <x:f>B23-C23</x:f>
        <x:v>6200</x:v>
      </x:c>
      <x:c r="E23" s="12" t="n">
        <x:v>129</x:v>
      </x:c>
      <x:c r="F23" s="14" t="n">
        <x:f>E23/10</x:f>
        <x:v>12.9</x:v>
      </x:c>
    </x:row>
    <x:row r="24" ht="25" customHeight="1">
      <x:c r="A24" s="2" t="str">
        <x:v>2026-10-15_Day</x:v>
      </x:c>
      <x:c r="B24" s="7" t="n">
        <x:v>59800</x:v>
      </x:c>
      <x:c r="C24" s="7" t="n">
        <x:v>24000</x:v>
      </x:c>
      <x:c r="D24" s="7" t="n">
        <x:f>B24-C24</x:f>
        <x:v>35800</x:v>
      </x:c>
      <x:c r="E24" s="12" t="n">
        <x:v>351</x:v>
      </x:c>
      <x:c r="F24" s="14" t="n">
        <x:f>E24/10</x:f>
        <x:v>35.1</x:v>
      </x:c>
    </x:row>
    <x:row r="25" ht="25" customHeight="1">
      <x:c r="A25" s="2" t="str">
        <x:v>2026-10-16_Day</x:v>
      </x:c>
      <x:c r="B25" s="7" t="n">
        <x:v>66100</x:v>
      </x:c>
      <x:c r="C25" s="7" t="n">
        <x:v>161400</x:v>
      </x:c>
      <x:c r="D25" s="7" t="n">
        <x:f>B25-C25</x:f>
        <x:v>-95300</x:v>
      </x:c>
      <x:c r="E25" s="12" t="n">
        <x:v>468</x:v>
      </x:c>
      <x:c r="F25" s="14" t="n">
        <x:f>E25/10</x:f>
        <x:v>46.8</x:v>
      </x:c>
    </x:row>
    <x:row r="26" ht="25" customHeight="1">
      <x:c r="A26" s="2" t="str">
        <x:v>2026-10-19_Day</x:v>
      </x:c>
      <x:c r="B26" s="7" t="n">
        <x:v>51600</x:v>
      </x:c>
      <x:c r="C26" s="7" t="n">
        <x:v>20400</x:v>
      </x:c>
      <x:c r="D26" s="7" t="n">
        <x:f>B26-C26</x:f>
        <x:v>31200</x:v>
      </x:c>
      <x:c r="E26" s="12" t="n">
        <x:v>378</x:v>
      </x:c>
      <x:c r="F26" s="14" t="n">
        <x:f>E26/10</x:f>
        <x:v>37.8</x:v>
      </x:c>
    </x:row>
    <x:row r="27" ht="25" customHeight="1">
      <x:c r="A27" s="2" t="str">
        <x:v>2026-10-20_Day</x:v>
      </x:c>
      <x:c r="B27" s="7" t="n">
        <x:v>31200</x:v>
      </x:c>
      <x:c r="C27" s="7" t="n">
        <x:v>76000</x:v>
      </x:c>
      <x:c r="D27" s="7" t="n">
        <x:f>B27-C27</x:f>
        <x:v>-44800</x:v>
      </x:c>
      <x:c r="E27" s="12" t="n">
        <x:v>299</x:v>
      </x:c>
      <x:c r="F27" s="14" t="n">
        <x:f>E27/10</x:f>
        <x:v>29.9</x:v>
      </x:c>
    </x:row>
    <x:row r="28" ht="25" customHeight="1">
      <x:c r="A28" s="2" t="str">
        <x:v>2026-10-21_Day</x:v>
      </x:c>
      <x:c r="B28" s="7" t="n">
        <x:v>29100</x:v>
      </x:c>
      <x:c r="C28" s="7" t="n">
        <x:v>86600</x:v>
      </x:c>
      <x:c r="D28" s="7" t="n">
        <x:f>B28-C28</x:f>
        <x:v>-57500</x:v>
      </x:c>
      <x:c r="E28" s="12" t="n">
        <x:v>398</x:v>
      </x:c>
      <x:c r="F28" s="14" t="n">
        <x:f>E28/10</x:f>
        <x:v>39.8</x:v>
      </x:c>
    </x:row>
    <x:row r="29" ht="25" customHeight="1">
      <x:c r="A29" s="2" t="str">
        <x:v>2026-10-22_Day</x:v>
      </x:c>
      <x:c r="B29" s="7" t="n">
        <x:v>15700</x:v>
      </x:c>
      <x:c r="C29" s="7" t="n">
        <x:v>10800</x:v>
      </x:c>
      <x:c r="D29" s="7" t="n">
        <x:f>B29-C29</x:f>
        <x:v>4900</x:v>
      </x:c>
      <x:c r="E29" s="12" t="n">
        <x:v>114</x:v>
      </x:c>
      <x:c r="F29" s="14" t="n">
        <x:f>E29/10</x:f>
        <x:v>11.4</x:v>
      </x:c>
    </x:row>
    <x:row r="30" ht="25" customHeight="1">
      <x:c r="A30" s="2" t="str">
        <x:v>2026-10-23_Day</x:v>
      </x:c>
      <x:c r="B30" s="7" t="n">
        <x:v>110100</x:v>
      </x:c>
      <x:c r="C30" s="7" t="n">
        <x:v>121000</x:v>
      </x:c>
      <x:c r="D30" s="7" t="n">
        <x:f>B30-C30</x:f>
        <x:v>-10900</x:v>
      </x:c>
      <x:c r="E30" s="12" t="n">
        <x:v>981</x:v>
      </x:c>
      <x:c r="F30" s="14" t="n">
        <x:f>E30/10</x:f>
        <x:v>98.1</x:v>
      </x:c>
    </x:row>
    <x:row r="31" ht="25" customHeight="1">
      <x:c r="A31" s="2" t="str">
        <x:v>2026-10-26_Day</x:v>
      </x:c>
      <x:c r="B31" s="7" t="n">
        <x:v>5800</x:v>
      </x:c>
      <x:c r="C31" s="7" t="n">
        <x:v>139600</x:v>
      </x:c>
      <x:c r="D31" s="7" t="n">
        <x:f>B31-C31</x:f>
        <x:v>-133800</x:v>
      </x:c>
      <x:c r="E31" s="12" t="n">
        <x:v>218</x:v>
      </x:c>
      <x:c r="F31" s="14" t="n">
        <x:f>E31/10</x:f>
        <x:v>21.8</x:v>
      </x:c>
    </x:row>
    <x:row r="32" ht="25" customHeight="1">
      <x:c r="A32" s="2" t="str">
        <x:v>2026-10-27_Day</x:v>
      </x:c>
      <x:c r="B32" s="7" t="n">
        <x:v>76900</x:v>
      </x:c>
      <x:c r="C32" s="7" t="n">
        <x:v>121200</x:v>
      </x:c>
      <x:c r="D32" s="7" t="n">
        <x:f>B32-C32</x:f>
        <x:v>-44300</x:v>
      </x:c>
      <x:c r="E32" s="12" t="n">
        <x:v>493</x:v>
      </x:c>
      <x:c r="F32" s="14" t="n">
        <x:f>E32/10</x:f>
        <x:v>49.3</x:v>
      </x:c>
    </x:row>
    <x:row r="33" ht="25" customHeight="1">
      <x:c r="A33" s="10" t="str">
        <x:v>合計</x:v>
      </x:c>
      <x:c r="B33" s="11" t="n">
        <x:f>SUM(B6:B32)</x:f>
        <x:v>898700</x:v>
      </x:c>
      <x:c r="C33" s="11" t="n">
        <x:f>SUM(C6:C32)</x:f>
        <x:v>1765400</x:v>
      </x:c>
      <x:c r="D33" s="11" t="n">
        <x:f>B33-C33</x:f>
        <x:v>-866700</x:v>
      </x:c>
      <x:c r="E33" s="13" t="n">
        <x:f>SUM(E6:E32)</x:f>
        <x:v>7787</x:v>
      </x:c>
      <x:c r="F33" s="15" t="n">
        <x:f>E33/10</x:f>
        <x:v>778.7</x:v>
      </x:c>
    </x:row>
  </x:sheetData>
  <x:mergeCells>
    <x:mergeCell ref="A2:F2"/>
    <x:mergeCell ref="A3:F3"/>
    <x:mergeCell ref="A4:F4"/>
  </x:mergeCells>
  <x:conditionalFormatting sqref="D6:D32">
    <x:cfRule type="cellIs" dxfId="2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630e14ca833446f"/>
  </x:tableParts>
</x:worksheet>
</file>

<file path=xl/worksheets/sheet26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NK225_D168_24　日中の損益</x:v>
      </x:c>
      <x:c r="B2" s="2"/>
      <x:c r="C2" s="2"/>
      <x:c r="D2" s="2"/>
      <x:c r="E2" s="2"/>
      <x:c r="F2" s="2"/>
    </x:row>
    <x:row r="3" ht="38" customHeight="1">
      <x:c r="A3" s="5" t="str">
        <x:v>8割回収後の残玉追尾と方向再判断3回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2000</x:v>
      </x:c>
      <x:c r="C6" s="7" t="n">
        <x:v>12000</x:v>
      </x:c>
      <x:c r="D6" s="7" t="n">
        <x:f>B6-C6</x:f>
        <x:v>-10000</x:v>
      </x:c>
      <x:c r="E6" s="12" t="n">
        <x:v>23</x:v>
      </x:c>
      <x:c r="F6" s="14" t="n">
        <x:f>E6/10</x:f>
        <x:v>2.3</x:v>
      </x:c>
    </x:row>
    <x:row r="7" ht="25" customHeight="1">
      <x:c r="A7" s="2" t="str">
        <x:v>2026-09-22_Day</x:v>
      </x:c>
      <x:c r="B7" s="7" t="n">
        <x:v>1600</x:v>
      </x:c>
      <x:c r="C7" s="7" t="n">
        <x:v>7200</x:v>
      </x:c>
      <x:c r="D7" s="7" t="n">
        <x:f>B7-C7</x:f>
        <x:v>-5600</x:v>
      </x:c>
      <x:c r="E7" s="12" t="n">
        <x:v>23</x:v>
      </x:c>
      <x:c r="F7" s="14" t="n">
        <x:f>E7/10</x:f>
        <x:v>2.3</x:v>
      </x:c>
    </x:row>
    <x:row r="8" ht="25" customHeight="1">
      <x:c r="A8" s="2" t="str">
        <x:v>2026-09-23_Day</x:v>
      </x:c>
      <x:c r="B8" s="7" t="n">
        <x:v>1600</x:v>
      </x:c>
      <x:c r="C8" s="7" t="n">
        <x:v>1200</x:v>
      </x:c>
      <x:c r="D8" s="7" t="n">
        <x:f>B8-C8</x:f>
        <x:v>400</x:v>
      </x:c>
      <x:c r="E8" s="12" t="n">
        <x:v>11</x:v>
      </x:c>
      <x:c r="F8" s="14" t="n">
        <x:f>E8/10</x:f>
        <x:v>1.1</x:v>
      </x:c>
    </x:row>
    <x:row r="9" ht="25" customHeight="1">
      <x:c r="A9" s="2" t="str">
        <x:v>2026-09-24_Day</x:v>
      </x:c>
      <x:c r="B9" s="7" t="n">
        <x:v>32600</x:v>
      </x:c>
      <x:c r="C9" s="7" t="n">
        <x:v>13300</x:v>
      </x:c>
      <x:c r="D9" s="7" t="n">
        <x:f>B9-C9</x:f>
        <x:v>19300</x:v>
      </x:c>
      <x:c r="E9" s="12" t="n">
        <x:v>209</x:v>
      </x:c>
      <x:c r="F9" s="14" t="n">
        <x:f>E9/10</x:f>
        <x:v>20.9</x:v>
      </x:c>
    </x:row>
    <x:row r="10" ht="25" customHeight="1">
      <x:c r="A10" s="2" t="str">
        <x:v>2026-09-25_Day</x:v>
      </x:c>
      <x:c r="B10" s="7" t="n">
        <x:v>28800</x:v>
      </x:c>
      <x:c r="C10" s="7" t="n">
        <x:v>4800</x:v>
      </x:c>
      <x:c r="D10" s="7" t="n">
        <x:f>B10-C10</x:f>
        <x:v>24000</x:v>
      </x:c>
      <x:c r="E10" s="12" t="n">
        <x:v>143</x:v>
      </x:c>
      <x:c r="F10" s="14" t="n">
        <x:f>E10/10</x:f>
        <x:v>14.3</x:v>
      </x:c>
    </x:row>
    <x:row r="11" ht="25" customHeight="1">
      <x:c r="A11" s="2" t="str">
        <x:v>2026-09-28_Day</x:v>
      </x:c>
      <x:c r="B11" s="7" t="n">
        <x:v>15700</x:v>
      </x:c>
      <x:c r="C11" s="7" t="n">
        <x:v>60100</x:v>
      </x:c>
      <x:c r="D11" s="7" t="n">
        <x:f>B11-C11</x:f>
        <x:v>-44400</x:v>
      </x:c>
      <x:c r="E11" s="12" t="n">
        <x:v>153</x:v>
      </x:c>
      <x:c r="F11" s="14" t="n">
        <x:f>E11/10</x:f>
        <x:v>15.3</x:v>
      </x:c>
    </x:row>
    <x:row r="12" ht="25" customHeight="1">
      <x:c r="A12" s="2" t="str">
        <x:v>2026-09-29_Day</x:v>
      </x:c>
      <x:c r="B12" s="7" t="n">
        <x:v>30500</x:v>
      </x:c>
      <x:c r="C12" s="7" t="n">
        <x:v>122800</x:v>
      </x:c>
      <x:c r="D12" s="7" t="n">
        <x:f>B12-C12</x:f>
        <x:v>-92300</x:v>
      </x:c>
      <x:c r="E12" s="12" t="n">
        <x:v>286</x:v>
      </x:c>
      <x:c r="F12" s="14" t="n">
        <x:f>E12/10</x:f>
        <x:v>28.6</x:v>
      </x:c>
    </x:row>
    <x:row r="13" ht="25" customHeight="1">
      <x:c r="A13" s="2" t="str">
        <x:v>2026-09-30_Day</x:v>
      </x:c>
      <x:c r="B13" s="7" t="n">
        <x:v>7900</x:v>
      </x:c>
      <x:c r="C13" s="7" t="n">
        <x:v>0</x:v>
      </x:c>
      <x:c r="D13" s="7" t="n">
        <x:f>B13-C13</x:f>
        <x:v>7900</x:v>
      </x:c>
      <x:c r="E13" s="12" t="n">
        <x:v>63</x:v>
      </x:c>
      <x:c r="F13" s="14" t="n">
        <x:f>E13/10</x:f>
        <x:v>6.3</x:v>
      </x:c>
    </x:row>
    <x:row r="14" ht="25" customHeight="1">
      <x:c r="A14" s="2" t="str">
        <x:v>2026-10-01_Day</x:v>
      </x:c>
      <x:c r="B14" s="7" t="n">
        <x:v>27200</x:v>
      </x:c>
      <x:c r="C14" s="7" t="n">
        <x:v>48000</x:v>
      </x:c>
      <x:c r="D14" s="7" t="n">
        <x:f>B14-C14</x:f>
        <x:v>-20800</x:v>
      </x:c>
      <x:c r="E14" s="12" t="n">
        <x:v>200</x:v>
      </x:c>
      <x:c r="F14" s="14" t="n">
        <x:f>E14/10</x:f>
        <x:v>20</x:v>
      </x:c>
    </x:row>
    <x:row r="15" ht="25" customHeight="1">
      <x:c r="A15" s="2" t="str">
        <x:v>2026-10-02_Day</x:v>
      </x:c>
      <x:c r="B15" s="7" t="n">
        <x:v>13300</x:v>
      </x:c>
      <x:c r="C15" s="7" t="n">
        <x:v>15600</x:v>
      </x:c>
      <x:c r="D15" s="7" t="n">
        <x:f>B15-C15</x:f>
        <x:v>-2300</x:v>
      </x:c>
      <x:c r="E15" s="12" t="n">
        <x:v>101</x:v>
      </x:c>
      <x:c r="F15" s="14" t="n">
        <x:f>E15/10</x:f>
        <x:v>10.1</x:v>
      </x:c>
    </x:row>
    <x:row r="16" ht="25" customHeight="1">
      <x:c r="A16" s="2" t="str">
        <x:v>2026-10-05_Day</x:v>
      </x:c>
      <x:c r="B16" s="7" t="n">
        <x:v>29200</x:v>
      </x:c>
      <x:c r="C16" s="7" t="n">
        <x:v>9600</x:v>
      </x:c>
      <x:c r="D16" s="7" t="n">
        <x:f>B16-C16</x:f>
        <x:v>19600</x:v>
      </x:c>
      <x:c r="E16" s="12" t="n">
        <x:v>188</x:v>
      </x:c>
      <x:c r="F16" s="14" t="n">
        <x:f>E16/10</x:f>
        <x:v>18.8</x:v>
      </x:c>
    </x:row>
    <x:row r="17" ht="25" customHeight="1">
      <x:c r="A17" s="2" t="str">
        <x:v>2026-10-06_Day</x:v>
      </x:c>
      <x:c r="B17" s="7" t="n">
        <x:v>41800</x:v>
      </x:c>
      <x:c r="C17" s="7" t="n">
        <x:v>19100</x:v>
      </x:c>
      <x:c r="D17" s="7" t="n">
        <x:f>B17-C17</x:f>
        <x:v>22700</x:v>
      </x:c>
      <x:c r="E17" s="12" t="n">
        <x:v>223</x:v>
      </x:c>
      <x:c r="F17" s="14" t="n">
        <x:f>E17/10</x:f>
        <x:v>22.3</x:v>
      </x:c>
    </x:row>
    <x:row r="18" ht="25" customHeight="1">
      <x:c r="A18" s="2" t="str">
        <x:v>2026-10-07_Day</x:v>
      </x:c>
      <x:c r="B18" s="7" t="n">
        <x:v>13800</x:v>
      </x:c>
      <x:c r="C18" s="7" t="n">
        <x:v>38400</x:v>
      </x:c>
      <x:c r="D18" s="7" t="n">
        <x:f>B18-C18</x:f>
        <x:v>-24600</x:v>
      </x:c>
      <x:c r="E18" s="12" t="n">
        <x:v>126</x:v>
      </x:c>
      <x:c r="F18" s="14" t="n">
        <x:f>E18/10</x:f>
        <x:v>12.6</x:v>
      </x:c>
    </x:row>
    <x:row r="19" ht="25" customHeight="1">
      <x:c r="A19" s="2" t="str">
        <x:v>2026-10-08_Day</x:v>
      </x:c>
      <x:c r="B19" s="7" t="n">
        <x:v>8500</x:v>
      </x:c>
      <x:c r="C19" s="7" t="n">
        <x:v>62400</x:v>
      </x:c>
      <x:c r="D19" s="7" t="n">
        <x:f>B19-C19</x:f>
        <x:v>-53900</x:v>
      </x:c>
      <x:c r="E19" s="12" t="n">
        <x:v>105</x:v>
      </x:c>
      <x:c r="F19" s="14" t="n">
        <x:f>E19/10</x:f>
        <x:v>10.5</x:v>
      </x:c>
    </x:row>
    <x:row r="20" ht="25" customHeight="1">
      <x:c r="A20" s="2" t="str">
        <x:v>2026-10-09_Day</x:v>
      </x:c>
      <x:c r="B20" s="7" t="n">
        <x:v>14300</x:v>
      </x:c>
      <x:c r="C20" s="7" t="n">
        <x:v>118800</x:v>
      </x:c>
      <x:c r="D20" s="7" t="n">
        <x:f>B20-C20</x:f>
        <x:v>-104500</x:v>
      </x:c>
      <x:c r="E20" s="12" t="n">
        <x:v>181</x:v>
      </x:c>
      <x:c r="F20" s="14" t="n">
        <x:f>E20/10</x:f>
        <x:v>18.1</x:v>
      </x:c>
    </x:row>
    <x:row r="21" ht="25" customHeight="1">
      <x:c r="A21" s="2" t="str">
        <x:v>2026-10-12_Day</x:v>
      </x:c>
      <x:c r="B21" s="7" t="n">
        <x:v>3500</x:v>
      </x:c>
      <x:c r="C21" s="7" t="n">
        <x:v>5000</x:v>
      </x:c>
      <x:c r="D21" s="7" t="n">
        <x:f>B21-C21</x:f>
        <x:v>-1500</x:v>
      </x:c>
      <x:c r="E21" s="12" t="n">
        <x:v>36</x:v>
      </x:c>
      <x:c r="F21" s="14" t="n">
        <x:f>E21/10</x:f>
        <x:v>3.6</x:v>
      </x:c>
    </x:row>
    <x:row r="22" ht="25" customHeight="1">
      <x:c r="A22" s="2" t="str">
        <x:v>2026-10-13_Day</x:v>
      </x:c>
      <x:c r="B22" s="7" t="n">
        <x:v>35000</x:v>
      </x:c>
      <x:c r="C22" s="7" t="n">
        <x:v>167900</x:v>
      </x:c>
      <x:c r="D22" s="7" t="n">
        <x:f>B22-C22</x:f>
        <x:v>-132900</x:v>
      </x:c>
      <x:c r="E22" s="12" t="n">
        <x:v>349</x:v>
      </x:c>
      <x:c r="F22" s="14" t="n">
        <x:f>E22/10</x:f>
        <x:v>34.9</x:v>
      </x:c>
    </x:row>
    <x:row r="23" ht="25" customHeight="1">
      <x:c r="A23" s="2" t="str">
        <x:v>2026-10-14_Day</x:v>
      </x:c>
      <x:c r="B23" s="7" t="n">
        <x:v>9600</x:v>
      </x:c>
      <x:c r="C23" s="7" t="n">
        <x:v>18000</x:v>
      </x:c>
      <x:c r="D23" s="7" t="n">
        <x:f>B23-C23</x:f>
        <x:v>-8400</x:v>
      </x:c>
      <x:c r="E23" s="12" t="n">
        <x:v>85</x:v>
      </x:c>
      <x:c r="F23" s="14" t="n">
        <x:f>E23/10</x:f>
        <x:v>8.5</x:v>
      </x:c>
    </x:row>
    <x:row r="24" ht="25" customHeight="1">
      <x:c r="A24" s="2" t="str">
        <x:v>2026-10-15_Day</x:v>
      </x:c>
      <x:c r="B24" s="7" t="n">
        <x:v>32100</x:v>
      </x:c>
      <x:c r="C24" s="7" t="n">
        <x:v>3500</x:v>
      </x:c>
      <x:c r="D24" s="7" t="n">
        <x:f>B24-C24</x:f>
        <x:v>28600</x:v>
      </x:c>
      <x:c r="E24" s="12" t="n">
        <x:v>192</x:v>
      </x:c>
      <x:c r="F24" s="14" t="n">
        <x:f>E24/10</x:f>
        <x:v>19.2</x:v>
      </x:c>
    </x:row>
    <x:row r="25" ht="25" customHeight="1">
      <x:c r="A25" s="2" t="str">
        <x:v>2026-10-16_Day</x:v>
      </x:c>
      <x:c r="B25" s="7" t="n">
        <x:v>47300</x:v>
      </x:c>
      <x:c r="C25" s="7" t="n">
        <x:v>60600</x:v>
      </x:c>
      <x:c r="D25" s="7" t="n">
        <x:f>B25-C25</x:f>
        <x:v>-13300</x:v>
      </x:c>
      <x:c r="E25" s="12" t="n">
        <x:v>306</x:v>
      </x:c>
      <x:c r="F25" s="14" t="n">
        <x:f>E25/10</x:f>
        <x:v>30.6</x:v>
      </x:c>
    </x:row>
    <x:row r="26" ht="25" customHeight="1">
      <x:c r="A26" s="2" t="str">
        <x:v>2026-10-19_Day</x:v>
      </x:c>
      <x:c r="B26" s="7" t="n">
        <x:v>36200</x:v>
      </x:c>
      <x:c r="C26" s="7" t="n">
        <x:v>8400</x:v>
      </x:c>
      <x:c r="D26" s="7" t="n">
        <x:f>B26-C26</x:f>
        <x:v>27800</x:v>
      </x:c>
      <x:c r="E26" s="12" t="n">
        <x:v>199</x:v>
      </x:c>
      <x:c r="F26" s="14" t="n">
        <x:f>E26/10</x:f>
        <x:v>19.9</x:v>
      </x:c>
    </x:row>
    <x:row r="27" ht="25" customHeight="1">
      <x:c r="A27" s="2" t="str">
        <x:v>2026-10-20_Day</x:v>
      </x:c>
      <x:c r="B27" s="7" t="n">
        <x:v>27500</x:v>
      </x:c>
      <x:c r="C27" s="7" t="n">
        <x:v>36200</x:v>
      </x:c>
      <x:c r="D27" s="7" t="n">
        <x:f>B27-C27</x:f>
        <x:v>-8700</x:v>
      </x:c>
      <x:c r="E27" s="12" t="n">
        <x:v>198</x:v>
      </x:c>
      <x:c r="F27" s="14" t="n">
        <x:f>E27/10</x:f>
        <x:v>19.8</x:v>
      </x:c>
    </x:row>
    <x:row r="28" ht="25" customHeight="1">
      <x:c r="A28" s="2" t="str">
        <x:v>2026-10-21_Day</x:v>
      </x:c>
      <x:c r="B28" s="7" t="n">
        <x:v>28000</x:v>
      </x:c>
      <x:c r="C28" s="7" t="n">
        <x:v>34800</x:v>
      </x:c>
      <x:c r="D28" s="7" t="n">
        <x:f>B28-C28</x:f>
        <x:v>-6800</x:v>
      </x:c>
      <x:c r="E28" s="12" t="n">
        <x:v>231</x:v>
      </x:c>
      <x:c r="F28" s="14" t="n">
        <x:f>E28/10</x:f>
        <x:v>23.1</x:v>
      </x:c>
    </x:row>
    <x:row r="29" ht="25" customHeight="1">
      <x:c r="A29" s="2" t="str">
        <x:v>2026-10-22_Day</x:v>
      </x:c>
      <x:c r="B29" s="7" t="n">
        <x:v>11900</x:v>
      </x:c>
      <x:c r="C29" s="7" t="n">
        <x:v>0</x:v>
      </x:c>
      <x:c r="D29" s="7" t="n">
        <x:f>B29-C29</x:f>
        <x:v>11900</x:v>
      </x:c>
      <x:c r="E29" s="12" t="n">
        <x:v>52</x:v>
      </x:c>
      <x:c r="F29" s="14" t="n">
        <x:f>E29/10</x:f>
        <x:v>5.2</x:v>
      </x:c>
    </x:row>
    <x:row r="30" ht="25" customHeight="1">
      <x:c r="A30" s="2" t="str">
        <x:v>2026-10-23_Day</x:v>
      </x:c>
      <x:c r="B30" s="7" t="n">
        <x:v>66400</x:v>
      </x:c>
      <x:c r="C30" s="7" t="n">
        <x:v>19600</x:v>
      </x:c>
      <x:c r="D30" s="7" t="n">
        <x:f>B30-C30</x:f>
        <x:v>46800</x:v>
      </x:c>
      <x:c r="E30" s="12" t="n">
        <x:v>436</x:v>
      </x:c>
      <x:c r="F30" s="14" t="n">
        <x:f>E30/10</x:f>
        <x:v>43.6</x:v>
      </x:c>
    </x:row>
    <x:row r="31" ht="25" customHeight="1">
      <x:c r="A31" s="2" t="str">
        <x:v>2026-10-26_Day</x:v>
      </x:c>
      <x:c r="B31" s="7" t="n">
        <x:v>13500</x:v>
      </x:c>
      <x:c r="C31" s="7" t="n">
        <x:v>88000</x:v>
      </x:c>
      <x:c r="D31" s="7" t="n">
        <x:f>B31-C31</x:f>
        <x:v>-74500</x:v>
      </x:c>
      <x:c r="E31" s="12" t="n">
        <x:v>163</x:v>
      </x:c>
      <x:c r="F31" s="14" t="n">
        <x:f>E31/10</x:f>
        <x:v>16.3</x:v>
      </x:c>
    </x:row>
    <x:row r="32" ht="25" customHeight="1">
      <x:c r="A32" s="2" t="str">
        <x:v>2026-10-27_Day</x:v>
      </x:c>
      <x:c r="B32" s="7" t="n">
        <x:v>45400</x:v>
      </x:c>
      <x:c r="C32" s="7" t="n">
        <x:v>45600</x:v>
      </x:c>
      <x:c r="D32" s="7" t="n">
        <x:f>B32-C32</x:f>
        <x:v>-200</x:v>
      </x:c>
      <x:c r="E32" s="12" t="n">
        <x:v>302</x:v>
      </x:c>
      <x:c r="F32" s="14" t="n">
        <x:f>E32/10</x:f>
        <x:v>30.2</x:v>
      </x:c>
    </x:row>
    <x:row r="33" ht="25" customHeight="1">
      <x:c r="A33" s="10" t="str">
        <x:v>合計</x:v>
      </x:c>
      <x:c r="B33" s="11" t="n">
        <x:f>SUM(B6:B32)</x:f>
        <x:v>625200</x:v>
      </x:c>
      <x:c r="C33" s="11" t="n">
        <x:f>SUM(C6:C32)</x:f>
        <x:v>1020900</x:v>
      </x:c>
      <x:c r="D33" s="11" t="n">
        <x:f>B33-C33</x:f>
        <x:v>-395700</x:v>
      </x:c>
      <x:c r="E33" s="13" t="n">
        <x:f>SUM(E6:E32)</x:f>
        <x:v>4584</x:v>
      </x:c>
      <x:c r="F33" s="15" t="n">
        <x:f>E33/10</x:f>
        <x:v>458.4</x:v>
      </x:c>
    </x:row>
  </x:sheetData>
  <x:mergeCells>
    <x:mergeCell ref="A2:F2"/>
    <x:mergeCell ref="A3:F3"/>
    <x:mergeCell ref="A4:F4"/>
  </x:mergeCells>
  <x:conditionalFormatting sqref="D6:D32">
    <x:cfRule type="cellIs" dxfId="2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1fa8ae8ee524141"/>
  </x:tableParts>
</x:worksheet>
</file>

<file path=xl/worksheets/sheet27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NK225_D168_25　日中の損益</x:v>
      </x:c>
      <x:c r="B2" s="2"/>
      <x:c r="C2" s="2"/>
      <x:c r="D2" s="2"/>
      <x:c r="E2" s="2"/>
      <x:c r="F2" s="2"/>
    </x:row>
    <x:row r="3" ht="38" customHeight="1">
      <x:c r="A3" s="5" t="str">
        <x:v>240円損切りと方向再判断3回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8800</x:v>
      </x:c>
      <x:c r="C6" s="7" t="n">
        <x:v>0</x:v>
      </x:c>
      <x:c r="D6" s="7" t="n">
        <x:f>B6-C6</x:f>
        <x:v>8800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2026-09-22_Day</x:v>
      </x:c>
      <x:c r="B7" s="7" t="n">
        <x:v>0</x:v>
      </x:c>
      <x:c r="C7" s="7" t="n">
        <x:v>6400</x:v>
      </x:c>
      <x:c r="D7" s="7" t="n">
        <x:f>B7-C7</x:f>
        <x:v>-6400</x:v>
      </x:c>
      <x:c r="E7" s="12" t="n">
        <x:v>32</x:v>
      </x:c>
      <x:c r="F7" s="14" t="n">
        <x:f>E7/10</x:f>
        <x:v>3.2</x:v>
      </x:c>
    </x:row>
    <x:row r="8" ht="25" customHeight="1">
      <x:c r="A8" s="2" t="str">
        <x:v>2026-09-23_Day</x:v>
      </x:c>
      <x:c r="B8" s="7" t="n">
        <x:v>1400</x:v>
      </x:c>
      <x:c r="C8" s="7" t="n">
        <x:v>2000</x:v>
      </x:c>
      <x:c r="D8" s="7" t="n">
        <x:f>B8-C8</x:f>
        <x:v>-600</x:v>
      </x:c>
      <x:c r="E8" s="12" t="n">
        <x:v>22</x:v>
      </x:c>
      <x:c r="F8" s="14" t="n">
        <x:f>E8/10</x:f>
        <x:v>2.2</x:v>
      </x:c>
    </x:row>
    <x:row r="9" ht="25" customHeight="1">
      <x:c r="A9" s="2" t="str">
        <x:v>2026-09-24_Day</x:v>
      </x:c>
      <x:c r="B9" s="7" t="n">
        <x:v>78700</x:v>
      </x:c>
      <x:c r="C9" s="7" t="n">
        <x:v>11400</x:v>
      </x:c>
      <x:c r="D9" s="7" t="n">
        <x:f>B9-C9</x:f>
        <x:v>67300</x:v>
      </x:c>
      <x:c r="E9" s="12" t="n">
        <x:v>363</x:v>
      </x:c>
      <x:c r="F9" s="14" t="n">
        <x:f>E9/10</x:f>
        <x:v>36.3</x:v>
      </x:c>
    </x:row>
    <x:row r="10" ht="25" customHeight="1">
      <x:c r="A10" s="2" t="str">
        <x:v>2026-09-25_Day</x:v>
      </x:c>
      <x:c r="B10" s="7" t="n">
        <x:v>106800</x:v>
      </x:c>
      <x:c r="C10" s="7" t="n">
        <x:v>20000</x:v>
      </x:c>
      <x:c r="D10" s="7" t="n">
        <x:f>B10-C10</x:f>
        <x:v>86800</x:v>
      </x:c>
      <x:c r="E10" s="12" t="n">
        <x:v>293</x:v>
      </x:c>
      <x:c r="F10" s="14" t="n">
        <x:f>E10/10</x:f>
        <x:v>29.3</x:v>
      </x:c>
    </x:row>
    <x:row r="11" ht="25" customHeight="1">
      <x:c r="A11" s="2" t="str">
        <x:v>2026-09-28_Day</x:v>
      </x:c>
      <x:c r="B11" s="7" t="n">
        <x:v>9800</x:v>
      </x:c>
      <x:c r="C11" s="7" t="n">
        <x:v>111800</x:v>
      </x:c>
      <x:c r="D11" s="7" t="n">
        <x:f>B11-C11</x:f>
        <x:v>-102000</x:v>
      </x:c>
      <x:c r="E11" s="12" t="n">
        <x:v>298</x:v>
      </x:c>
      <x:c r="F11" s="14" t="n">
        <x:f>E11/10</x:f>
        <x:v>29.8</x:v>
      </x:c>
    </x:row>
    <x:row r="12" ht="25" customHeight="1">
      <x:c r="A12" s="2" t="str">
        <x:v>2026-09-29_Day</x:v>
      </x:c>
      <x:c r="B12" s="7" t="n">
        <x:v>21100</x:v>
      </x:c>
      <x:c r="C12" s="7" t="n">
        <x:v>283300</x:v>
      </x:c>
      <x:c r="D12" s="7" t="n">
        <x:f>B12-C12</x:f>
        <x:v>-262200</x:v>
      </x:c>
      <x:c r="E12" s="12" t="n">
        <x:v>417</x:v>
      </x:c>
      <x:c r="F12" s="14" t="n">
        <x:f>E12/10</x:f>
        <x:v>41.7</x:v>
      </x:c>
    </x:row>
    <x:row r="13" ht="25" customHeight="1">
      <x:c r="A13" s="2" t="str">
        <x:v>2026-09-30_Day</x:v>
      </x:c>
      <x:c r="B13" s="7" t="n">
        <x:v>1500</x:v>
      </x:c>
      <x:c r="C13" s="7" t="n">
        <x:v>9800</x:v>
      </x:c>
      <x:c r="D13" s="7" t="n">
        <x:f>B13-C13</x:f>
        <x:v>-8300</x:v>
      </x:c>
      <x:c r="E13" s="12" t="n">
        <x:v>92</x:v>
      </x:c>
      <x:c r="F13" s="14" t="n">
        <x:f>E13/10</x:f>
        <x:v>9.2</x:v>
      </x:c>
    </x:row>
    <x:row r="14" ht="25" customHeight="1">
      <x:c r="A14" s="2" t="str">
        <x:v>2026-10-01_Day</x:v>
      </x:c>
      <x:c r="B14" s="7" t="n">
        <x:v>34400</x:v>
      </x:c>
      <x:c r="C14" s="7" t="n">
        <x:v>72000</x:v>
      </x:c>
      <x:c r="D14" s="7" t="n">
        <x:f>B14-C14</x:f>
        <x:v>-37600</x:v>
      </x:c>
      <x:c r="E14" s="12" t="n">
        <x:v>357</x:v>
      </x:c>
      <x:c r="F14" s="14" t="n">
        <x:f>E14/10</x:f>
        <x:v>35.7</x:v>
      </x:c>
    </x:row>
    <x:row r="15" ht="25" customHeight="1">
      <x:c r="A15" s="2" t="str">
        <x:v>2026-10-02_Day</x:v>
      </x:c>
      <x:c r="B15" s="7" t="n">
        <x:v>7400</x:v>
      </x:c>
      <x:c r="C15" s="7" t="n">
        <x:v>14400</x:v>
      </x:c>
      <x:c r="D15" s="7" t="n">
        <x:f>B15-C15</x:f>
        <x:v>-7000</x:v>
      </x:c>
      <x:c r="E15" s="12" t="n">
        <x:v>182</x:v>
      </x:c>
      <x:c r="F15" s="14" t="n">
        <x:f>E15/10</x:f>
        <x:v>18.2</x:v>
      </x:c>
    </x:row>
    <x:row r="16" ht="25" customHeight="1">
      <x:c r="A16" s="2" t="str">
        <x:v>2026-10-05_Day</x:v>
      </x:c>
      <x:c r="B16" s="7" t="n">
        <x:v>26000</x:v>
      </x:c>
      <x:c r="C16" s="7" t="n">
        <x:v>113800</x:v>
      </x:c>
      <x:c r="D16" s="7" t="n">
        <x:f>B16-C16</x:f>
        <x:v>-87800</x:v>
      </x:c>
      <x:c r="E16" s="12" t="n">
        <x:v>349</x:v>
      </x:c>
      <x:c r="F16" s="14" t="n">
        <x:f>E16/10</x:f>
        <x:v>34.9</x:v>
      </x:c>
    </x:row>
    <x:row r="17" ht="25" customHeight="1">
      <x:c r="A17" s="2" t="str">
        <x:v>2026-10-06_Day</x:v>
      </x:c>
      <x:c r="B17" s="7" t="n">
        <x:v>58600</x:v>
      </x:c>
      <x:c r="C17" s="7" t="n">
        <x:v>67200</x:v>
      </x:c>
      <x:c r="D17" s="7" t="n">
        <x:f>B17-C17</x:f>
        <x:v>-8600</x:v>
      </x:c>
      <x:c r="E17" s="12" t="n">
        <x:v>386</x:v>
      </x:c>
      <x:c r="F17" s="14" t="n">
        <x:f>E17/10</x:f>
        <x:v>38.6</x:v>
      </x:c>
    </x:row>
    <x:row r="18" ht="25" customHeight="1">
      <x:c r="A18" s="2" t="str">
        <x:v>2026-10-07_Day</x:v>
      </x:c>
      <x:c r="B18" s="7" t="n">
        <x:v>15300</x:v>
      </x:c>
      <x:c r="C18" s="7" t="n">
        <x:v>88800</x:v>
      </x:c>
      <x:c r="D18" s="7" t="n">
        <x:f>B18-C18</x:f>
        <x:v>-73500</x:v>
      </x:c>
      <x:c r="E18" s="12" t="n">
        <x:v>197</x:v>
      </x:c>
      <x:c r="F18" s="14" t="n">
        <x:f>E18/10</x:f>
        <x:v>19.7</x:v>
      </x:c>
    </x:row>
    <x:row r="19" ht="25" customHeight="1">
      <x:c r="A19" s="2" t="str">
        <x:v>2026-10-08_Day</x:v>
      </x:c>
      <x:c r="B19" s="7" t="n">
        <x:v>34400</x:v>
      </x:c>
      <x:c r="C19" s="7" t="n">
        <x:v>74400</x:v>
      </x:c>
      <x:c r="D19" s="7" t="n">
        <x:f>B19-C19</x:f>
        <x:v>-40000</x:v>
      </x:c>
      <x:c r="E19" s="12" t="n">
        <x:v>218</x:v>
      </x:c>
      <x:c r="F19" s="14" t="n">
        <x:f>E19/10</x:f>
        <x:v>21.8</x:v>
      </x:c>
    </x:row>
    <x:row r="20" ht="25" customHeight="1">
      <x:c r="A20" s="2" t="str">
        <x:v>2026-10-09_Day</x:v>
      </x:c>
      <x:c r="B20" s="7" t="n">
        <x:v>72000</x:v>
      </x:c>
      <x:c r="C20" s="7" t="n">
        <x:v>36000</x:v>
      </x:c>
      <x:c r="D20" s="7" t="n">
        <x:f>B20-C20</x:f>
        <x:v>36000</x:v>
      </x:c>
      <x:c r="E20" s="12" t="n">
        <x:v>305</x:v>
      </x:c>
      <x:c r="F20" s="14" t="n">
        <x:f>E20/10</x:f>
        <x:v>30.5</x:v>
      </x:c>
    </x:row>
    <x:row r="21" ht="25" customHeight="1">
      <x:c r="A21" s="2" t="str">
        <x:v>2026-10-12_Day</x:v>
      </x:c>
      <x:c r="B21" s="7" t="n">
        <x:v>1800</x:v>
      </x:c>
      <x:c r="C21" s="7" t="n">
        <x:v>5000</x:v>
      </x:c>
      <x:c r="D21" s="7" t="n">
        <x:f>B21-C21</x:f>
        <x:v>-3200</x:v>
      </x:c>
      <x:c r="E21" s="12" t="n">
        <x:v>54</x:v>
      </x:c>
      <x:c r="F21" s="14" t="n">
        <x:f>E21/10</x:f>
        <x:v>5.4</x:v>
      </x:c>
    </x:row>
    <x:row r="22" ht="25" customHeight="1">
      <x:c r="A22" s="2" t="str">
        <x:v>2026-10-13_Day</x:v>
      </x:c>
      <x:c r="B22" s="7" t="n">
        <x:v>63800</x:v>
      </x:c>
      <x:c r="C22" s="7" t="n">
        <x:v>294400</x:v>
      </x:c>
      <x:c r="D22" s="7" t="n">
        <x:f>B22-C22</x:f>
        <x:v>-230600</x:v>
      </x:c>
      <x:c r="E22" s="12" t="n">
        <x:v>635</x:v>
      </x:c>
      <x:c r="F22" s="14" t="n">
        <x:f>E22/10</x:f>
        <x:v>63.5</x:v>
      </x:c>
    </x:row>
    <x:row r="23" ht="25" customHeight="1">
      <x:c r="A23" s="2" t="str">
        <x:v>2026-10-14_Day</x:v>
      </x:c>
      <x:c r="B23" s="7" t="n">
        <x:v>9100</x:v>
      </x:c>
      <x:c r="C23" s="7" t="n">
        <x:v>50400</x:v>
      </x:c>
      <x:c r="D23" s="7" t="n">
        <x:f>B23-C23</x:f>
        <x:v>-41300</x:v>
      </x:c>
      <x:c r="E23" s="12" t="n">
        <x:v>123</x:v>
      </x:c>
      <x:c r="F23" s="14" t="n">
        <x:f>E23/10</x:f>
        <x:v>12.3</x:v>
      </x:c>
    </x:row>
    <x:row r="24" ht="25" customHeight="1">
      <x:c r="A24" s="2" t="str">
        <x:v>2026-10-15_Day</x:v>
      </x:c>
      <x:c r="B24" s="7" t="n">
        <x:v>40600</x:v>
      </x:c>
      <x:c r="C24" s="7" t="n">
        <x:v>77700</x:v>
      </x:c>
      <x:c r="D24" s="7" t="n">
        <x:f>B24-C24</x:f>
        <x:v>-37100</x:v>
      </x:c>
      <x:c r="E24" s="12" t="n">
        <x:v>358</x:v>
      </x:c>
      <x:c r="F24" s="14" t="n">
        <x:f>E24/10</x:f>
        <x:v>35.8</x:v>
      </x:c>
    </x:row>
    <x:row r="25" ht="25" customHeight="1">
      <x:c r="A25" s="2" t="str">
        <x:v>2026-10-16_Day</x:v>
      </x:c>
      <x:c r="B25" s="7" t="n">
        <x:v>74700</x:v>
      </x:c>
      <x:c r="C25" s="7" t="n">
        <x:v>47400</x:v>
      </x:c>
      <x:c r="D25" s="7" t="n">
        <x:f>B25-C25</x:f>
        <x:v>27300</x:v>
      </x:c>
      <x:c r="E25" s="12" t="n">
        <x:v>642</x:v>
      </x:c>
      <x:c r="F25" s="14" t="n">
        <x:f>E25/10</x:f>
        <x:v>64.2</x:v>
      </x:c>
    </x:row>
    <x:row r="26" ht="25" customHeight="1">
      <x:c r="A26" s="2" t="str">
        <x:v>2026-10-19_Day</x:v>
      </x:c>
      <x:c r="B26" s="7" t="n">
        <x:v>51400</x:v>
      </x:c>
      <x:c r="C26" s="7" t="n">
        <x:v>0</x:v>
      </x:c>
      <x:c r="D26" s="7" t="n">
        <x:f>B26-C26</x:f>
        <x:v>51400</x:v>
      </x:c>
      <x:c r="E26" s="12" t="n">
        <x:v>451</x:v>
      </x:c>
      <x:c r="F26" s="14" t="n">
        <x:f>E26/10</x:f>
        <x:v>45.1</x:v>
      </x:c>
    </x:row>
    <x:row r="27" ht="25" customHeight="1">
      <x:c r="A27" s="2" t="str">
        <x:v>2026-10-20_Day</x:v>
      </x:c>
      <x:c r="B27" s="7" t="n">
        <x:v>39700</x:v>
      </x:c>
      <x:c r="C27" s="7" t="n">
        <x:v>44100</x:v>
      </x:c>
      <x:c r="D27" s="7" t="n">
        <x:f>B27-C27</x:f>
        <x:v>-4400</x:v>
      </x:c>
      <x:c r="E27" s="12" t="n">
        <x:v>361</x:v>
      </x:c>
      <x:c r="F27" s="14" t="n">
        <x:f>E27/10</x:f>
        <x:v>36.1</x:v>
      </x:c>
    </x:row>
    <x:row r="28" ht="25" customHeight="1">
      <x:c r="A28" s="2" t="str">
        <x:v>2026-10-21_Day</x:v>
      </x:c>
      <x:c r="B28" s="7" t="n">
        <x:v>29200</x:v>
      </x:c>
      <x:c r="C28" s="7" t="n">
        <x:v>164200</x:v>
      </x:c>
      <x:c r="D28" s="7" t="n">
        <x:f>B28-C28</x:f>
        <x:v>-135000</x:v>
      </x:c>
      <x:c r="E28" s="12" t="n">
        <x:v>384</x:v>
      </x:c>
      <x:c r="F28" s="14" t="n">
        <x:f>E28/10</x:f>
        <x:v>38.4</x:v>
      </x:c>
    </x:row>
    <x:row r="29" ht="25" customHeight="1">
      <x:c r="A29" s="2" t="str">
        <x:v>2026-10-22_Day</x:v>
      </x:c>
      <x:c r="B29" s="7" t="n">
        <x:v>13300</x:v>
      </x:c>
      <x:c r="C29" s="7" t="n">
        <x:v>9600</x:v>
      </x:c>
      <x:c r="D29" s="7" t="n">
        <x:f>B29-C29</x:f>
        <x:v>3700</x:v>
      </x:c>
      <x:c r="E29" s="12" t="n">
        <x:v>111</x:v>
      </x:c>
      <x:c r="F29" s="14" t="n">
        <x:f>E29/10</x:f>
        <x:v>11.1</x:v>
      </x:c>
    </x:row>
    <x:row r="30" ht="25" customHeight="1">
      <x:c r="A30" s="2" t="str">
        <x:v>2026-10-23_Day</x:v>
      </x:c>
      <x:c r="B30" s="7" t="n">
        <x:v>113300</x:v>
      </x:c>
      <x:c r="C30" s="7" t="n">
        <x:v>28400</x:v>
      </x:c>
      <x:c r="D30" s="7" t="n">
        <x:f>B30-C30</x:f>
        <x:v>84900</x:v>
      </x:c>
      <x:c r="E30" s="12" t="n">
        <x:v>966</x:v>
      </x:c>
      <x:c r="F30" s="14" t="n">
        <x:f>E30/10</x:f>
        <x:v>96.6</x:v>
      </x:c>
    </x:row>
    <x:row r="31" ht="25" customHeight="1">
      <x:c r="A31" s="2" t="str">
        <x:v>2026-10-26_Day</x:v>
      </x:c>
      <x:c r="B31" s="7" t="n">
        <x:v>9400</x:v>
      </x:c>
      <x:c r="C31" s="7" t="n">
        <x:v>203400</x:v>
      </x:c>
      <x:c r="D31" s="7" t="n">
        <x:f>B31-C31</x:f>
        <x:v>-194000</x:v>
      </x:c>
      <x:c r="E31" s="12" t="n">
        <x:v>275</x:v>
      </x:c>
      <x:c r="F31" s="14" t="n">
        <x:f>E31/10</x:f>
        <x:v>27.5</x:v>
      </x:c>
    </x:row>
    <x:row r="32" ht="25" customHeight="1">
      <x:c r="A32" s="2" t="str">
        <x:v>2026-10-27_Day</x:v>
      </x:c>
      <x:c r="B32" s="7" t="n">
        <x:v>90200</x:v>
      </x:c>
      <x:c r="C32" s="7" t="n">
        <x:v>204400</x:v>
      </x:c>
      <x:c r="D32" s="7" t="n">
        <x:f>B32-C32</x:f>
        <x:v>-114200</x:v>
      </x:c>
      <x:c r="E32" s="12" t="n">
        <x:v>454</x:v>
      </x:c>
      <x:c r="F32" s="14" t="n">
        <x:f>E32/10</x:f>
        <x:v>45.4</x:v>
      </x:c>
    </x:row>
    <x:row r="33" ht="25" customHeight="1">
      <x:c r="A33" s="10" t="str">
        <x:v>合計</x:v>
      </x:c>
      <x:c r="B33" s="11" t="n">
        <x:f>SUM(B6:B32)</x:f>
        <x:v>1012700</x:v>
      </x:c>
      <x:c r="C33" s="11" t="n">
        <x:f>SUM(C6:C32)</x:f>
        <x:v>2040300</x:v>
      </x:c>
      <x:c r="D33" s="11" t="n">
        <x:f>B33-C33</x:f>
        <x:v>-1027600</x:v>
      </x:c>
      <x:c r="E33" s="13" t="n">
        <x:f>SUM(E6:E32)</x:f>
        <x:v>8375</x:v>
      </x:c>
      <x:c r="F33" s="15" t="n">
        <x:f>E33/10</x:f>
        <x:v>837.5</x:v>
      </x:c>
    </x:row>
  </x:sheetData>
  <x:mergeCells>
    <x:mergeCell ref="A2:F2"/>
    <x:mergeCell ref="A3:F3"/>
    <x:mergeCell ref="A4:F4"/>
  </x:mergeCells>
  <x:conditionalFormatting sqref="D6:D32">
    <x:cfRule type="cellIs" dxfId="2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ccd6c1db5b54b67"/>
  </x:tableParts>
</x:worksheet>
</file>

<file path=xl/worksheets/sheet28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NK225_D168_26　日中の損益</x:v>
      </x:c>
      <x:c r="B2" s="2"/>
      <x:c r="C2" s="2"/>
      <x:c r="D2" s="2"/>
      <x:c r="E2" s="2"/>
      <x:c r="F2" s="2"/>
    </x:row>
    <x:row r="3" ht="38" customHeight="1">
      <x:c r="A3" s="5" t="str">
        <x:v>中値20円逆行を経た玉だけ早期回収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6500</x:v>
      </x:c>
      <x:c r="C6" s="7" t="n">
        <x:v>0</x:v>
      </x:c>
      <x:c r="D6" s="7" t="n">
        <x:f>B6-C6</x:f>
        <x:v>6500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0</x:v>
      </x:c>
      <x:c r="C7" s="7" t="n">
        <x:v>14000</x:v>
      </x:c>
      <x:c r="D7" s="7" t="n">
        <x:f>B7-C7</x:f>
        <x:v>-14000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10000</x:v>
      </x:c>
      <x:c r="C8" s="7" t="n">
        <x:v>0</x:v>
      </x:c>
      <x:c r="D8" s="7" t="n">
        <x:f>B8-C8</x:f>
        <x:v>10000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38100</x:v>
      </x:c>
      <x:c r="C9" s="7" t="n">
        <x:v>16500</x:v>
      </x:c>
      <x:c r="D9" s="7" t="n">
        <x:f>B9-C9</x:f>
        <x:v>21600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57600</x:v>
      </x:c>
      <x:c r="C10" s="7" t="n">
        <x:v>8000</x:v>
      </x:c>
      <x:c r="D10" s="7" t="n">
        <x:f>B10-C10</x:f>
        <x:v>49600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11900</x:v>
      </x:c>
      <x:c r="C11" s="7" t="n">
        <x:v>31500</x:v>
      </x:c>
      <x:c r="D11" s="7" t="n">
        <x:f>B11-C11</x:f>
        <x:v>-19600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18500</x:v>
      </x:c>
      <x:c r="C12" s="7" t="n">
        <x:v>183800</x:v>
      </x:c>
      <x:c r="D12" s="7" t="n">
        <x:f>B12-C12</x:f>
        <x:v>-165300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3600</x:v>
      </x:c>
      <x:c r="C13" s="7" t="n">
        <x:v>2500</x:v>
      </x:c>
      <x:c r="D13" s="7" t="n">
        <x:f>B13-C13</x:f>
        <x:v>1100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9000</x:v>
      </x:c>
      <x:c r="C14" s="7" t="n">
        <x:v>140800</x:v>
      </x:c>
      <x:c r="D14" s="7" t="n">
        <x:f>B14-C14</x:f>
        <x:v>-131800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12200</x:v>
      </x:c>
      <x:c r="C15" s="7" t="n">
        <x:v>6000</x:v>
      </x:c>
      <x:c r="D15" s="7" t="n">
        <x:f>B15-C15</x:f>
        <x:v>6200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16500</x:v>
      </x:c>
      <x:c r="C16" s="7" t="n">
        <x:v>36400</x:v>
      </x:c>
      <x:c r="D16" s="7" t="n">
        <x:f>B16-C16</x:f>
        <x:v>-19900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37500</x:v>
      </x:c>
      <x:c r="C17" s="7" t="n">
        <x:v>26000</x:v>
      </x:c>
      <x:c r="D17" s="7" t="n">
        <x:f>B17-C17</x:f>
        <x:v>11500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8900</x:v>
      </x:c>
      <x:c r="C18" s="7" t="n">
        <x:v>49800</x:v>
      </x:c>
      <x:c r="D18" s="7" t="n">
        <x:f>B18-C18</x:f>
        <x:v>-40900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9300</x:v>
      </x:c>
      <x:c r="C19" s="7" t="n">
        <x:v>23000</x:v>
      </x:c>
      <x:c r="D19" s="7" t="n">
        <x:f>B19-C19</x:f>
        <x:v>-13700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55300</x:v>
      </x:c>
      <x:c r="C20" s="7" t="n">
        <x:v>43900</x:v>
      </x:c>
      <x:c r="D20" s="7" t="n">
        <x:f>B20-C20</x:f>
        <x:v>11400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3000</x:v>
      </x:c>
      <x:c r="C21" s="7" t="n">
        <x:v>5000</x:v>
      </x:c>
      <x:c r="D21" s="7" t="n">
        <x:f>B21-C21</x:f>
        <x:v>-2000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63800</x:v>
      </x:c>
      <x:c r="C22" s="7" t="n">
        <x:v>164000</x:v>
      </x:c>
      <x:c r="D22" s="7" t="n">
        <x:f>B22-C22</x:f>
        <x:v>-100200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46000</x:v>
      </x:c>
      <x:c r="C23" s="7" t="n">
        <x:v>6500</x:v>
      </x:c>
      <x:c r="D23" s="7" t="n">
        <x:f>B23-C23</x:f>
        <x:v>39500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33500</x:v>
      </x:c>
      <x:c r="C24" s="7" t="n">
        <x:v>33000</x:v>
      </x:c>
      <x:c r="D24" s="7" t="n">
        <x:f>B24-C24</x:f>
        <x:v>500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86500</x:v>
      </x:c>
      <x:c r="C25" s="7" t="n">
        <x:v>33400</x:v>
      </x:c>
      <x:c r="D25" s="7" t="n">
        <x:f>B25-C25</x:f>
        <x:v>53100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26500</x:v>
      </x:c>
      <x:c r="C26" s="7" t="n">
        <x:v>0</x:v>
      </x:c>
      <x:c r="D26" s="7" t="n">
        <x:f>B26-C26</x:f>
        <x:v>26500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20600</x:v>
      </x:c>
      <x:c r="C27" s="7" t="n">
        <x:v>24600</x:v>
      </x:c>
      <x:c r="D27" s="7" t="n">
        <x:f>B27-C27</x:f>
        <x:v>-4000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17700</x:v>
      </x:c>
      <x:c r="C28" s="7" t="n">
        <x:v>45500</x:v>
      </x:c>
      <x:c r="D28" s="7" t="n">
        <x:f>B28-C28</x:f>
        <x:v>-27800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9300</x:v>
      </x:c>
      <x:c r="C29" s="7" t="n">
        <x:v>0</x:v>
      </x:c>
      <x:c r="D29" s="7" t="n">
        <x:f>B29-C29</x:f>
        <x:v>9300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33300</x:v>
      </x:c>
      <x:c r="C30" s="7" t="n">
        <x:v>45000</x:v>
      </x:c>
      <x:c r="D30" s="7" t="n">
        <x:f>B30-C30</x:f>
        <x:v>-11700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5700</x:v>
      </x:c>
      <x:c r="C31" s="7" t="n">
        <x:v>28500</x:v>
      </x:c>
      <x:c r="D31" s="7" t="n">
        <x:f>B31-C31</x:f>
        <x:v>-22800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54600</x:v>
      </x:c>
      <x:c r="C32" s="7" t="n">
        <x:v>128900</x:v>
      </x:c>
      <x:c r="D32" s="7" t="n">
        <x:f>B32-C32</x:f>
        <x:v>-74300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695400</x:v>
      </x:c>
      <x:c r="C33" s="11" t="n">
        <x:f>SUM(C6:C32)</x:f>
        <x:v>1096600</x:v>
      </x:c>
      <x:c r="D33" s="11" t="n">
        <x:f>B33-C33</x:f>
        <x:v>-401200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2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b53f6c20dd9449c"/>
  </x:tableParts>
</x:worksheet>
</file>

<file path=xl/worksheets/sheet29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NK225_D168_27　日中の損益</x:v>
      </x:c>
      <x:c r="B2" s="2"/>
      <x:c r="C2" s="2"/>
      <x:c r="D2" s="2"/>
      <x:c r="E2" s="2"/>
      <x:c r="F2" s="2"/>
    </x:row>
    <x:row r="3" ht="38" customHeight="1">
      <x:c r="A3" s="5" t="str">
        <x:v>逆行後の回収・240円猶予・方向再判断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19700</x:v>
      </x:c>
      <x:c r="C6" s="7" t="n">
        <x:v>2400</x:v>
      </x:c>
      <x:c r="D6" s="7" t="n">
        <x:f>B6-C6</x:f>
        <x:v>17300</x:v>
      </x:c>
      <x:c r="E6" s="12" t="n">
        <x:v>42</x:v>
      </x:c>
      <x:c r="F6" s="14" t="n">
        <x:f>E6/10</x:f>
        <x:v>4.2</x:v>
      </x:c>
    </x:row>
    <x:row r="7" ht="25" customHeight="1">
      <x:c r="A7" s="2" t="str">
        <x:v>2026-09-22_Day</x:v>
      </x:c>
      <x:c r="B7" s="7" t="n">
        <x:v>0</x:v>
      </x:c>
      <x:c r="C7" s="7" t="n">
        <x:v>30000</x:v>
      </x:c>
      <x:c r="D7" s="7" t="n">
        <x:f>B7-C7</x:f>
        <x:v>-30000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10000</x:v>
      </x:c>
      <x:c r="C8" s="7" t="n">
        <x:v>0</x:v>
      </x:c>
      <x:c r="D8" s="7" t="n">
        <x:f>B8-C8</x:f>
        <x:v>10000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78200</x:v>
      </x:c>
      <x:c r="C9" s="7" t="n">
        <x:v>39600</x:v>
      </x:c>
      <x:c r="D9" s="7" t="n">
        <x:f>B9-C9</x:f>
        <x:v>38600</x:v>
      </x:c>
      <x:c r="E9" s="12" t="n">
        <x:v>326</x:v>
      </x:c>
      <x:c r="F9" s="14" t="n">
        <x:f>E9/10</x:f>
        <x:v>32.6</x:v>
      </x:c>
    </x:row>
    <x:row r="10" ht="25" customHeight="1">
      <x:c r="A10" s="2" t="str">
        <x:v>2026-09-25_Day</x:v>
      </x:c>
      <x:c r="B10" s="7" t="n">
        <x:v>149400</x:v>
      </x:c>
      <x:c r="C10" s="7" t="n">
        <x:v>84000</x:v>
      </x:c>
      <x:c r="D10" s="7" t="n">
        <x:f>B10-C10</x:f>
        <x:v>65400</x:v>
      </x:c>
      <x:c r="E10" s="12" t="n">
        <x:v>274</x:v>
      </x:c>
      <x:c r="F10" s="14" t="n">
        <x:f>E10/10</x:f>
        <x:v>27.4</x:v>
      </x:c>
    </x:row>
    <x:row r="11" ht="25" customHeight="1">
      <x:c r="A11" s="2" t="str">
        <x:v>2026-09-28_Day</x:v>
      </x:c>
      <x:c r="B11" s="7" t="n">
        <x:v>49300</x:v>
      </x:c>
      <x:c r="C11" s="7" t="n">
        <x:v>116600</x:v>
      </x:c>
      <x:c r="D11" s="7" t="n">
        <x:f>B11-C11</x:f>
        <x:v>-67300</x:v>
      </x:c>
      <x:c r="E11" s="12" t="n">
        <x:v>267</x:v>
      </x:c>
      <x:c r="F11" s="14" t="n">
        <x:f>E11/10</x:f>
        <x:v>26.7</x:v>
      </x:c>
    </x:row>
    <x:row r="12" ht="25" customHeight="1">
      <x:c r="A12" s="2" t="str">
        <x:v>2026-09-29_Day</x:v>
      </x:c>
      <x:c r="B12" s="7" t="n">
        <x:v>28600</x:v>
      </x:c>
      <x:c r="C12" s="7" t="n">
        <x:v>261300</x:v>
      </x:c>
      <x:c r="D12" s="7" t="n">
        <x:f>B12-C12</x:f>
        <x:v>-232700</x:v>
      </x:c>
      <x:c r="E12" s="12" t="n">
        <x:v>342</x:v>
      </x:c>
      <x:c r="F12" s="14" t="n">
        <x:f>E12/10</x:f>
        <x:v>34.2</x:v>
      </x:c>
    </x:row>
    <x:row r="13" ht="25" customHeight="1">
      <x:c r="A13" s="2" t="str">
        <x:v>2026-09-30_Day</x:v>
      </x:c>
      <x:c r="B13" s="7" t="n">
        <x:v>24900</x:v>
      </x:c>
      <x:c r="C13" s="7" t="n">
        <x:v>5000</x:v>
      </x:c>
      <x:c r="D13" s="7" t="n">
        <x:f>B13-C13</x:f>
        <x:v>19900</x:v>
      </x:c>
      <x:c r="E13" s="12" t="n">
        <x:v>79</x:v>
      </x:c>
      <x:c r="F13" s="14" t="n">
        <x:f>E13/10</x:f>
        <x:v>7.9</x:v>
      </x:c>
    </x:row>
    <x:row r="14" ht="25" customHeight="1">
      <x:c r="A14" s="2" t="str">
        <x:v>2026-10-01_Day</x:v>
      </x:c>
      <x:c r="B14" s="7" t="n">
        <x:v>26200</x:v>
      </x:c>
      <x:c r="C14" s="7" t="n">
        <x:v>103200</x:v>
      </x:c>
      <x:c r="D14" s="7" t="n">
        <x:f>B14-C14</x:f>
        <x:v>-77000</x:v>
      </x:c>
      <x:c r="E14" s="12" t="n">
        <x:v>179</x:v>
      </x:c>
      <x:c r="F14" s="14" t="n">
        <x:f>E14/10</x:f>
        <x:v>17.9</x:v>
      </x:c>
    </x:row>
    <x:row r="15" ht="25" customHeight="1">
      <x:c r="A15" s="2" t="str">
        <x:v>2026-10-02_Day</x:v>
      </x:c>
      <x:c r="B15" s="7" t="n">
        <x:v>29100</x:v>
      </x:c>
      <x:c r="C15" s="7" t="n">
        <x:v>0</x:v>
      </x:c>
      <x:c r="D15" s="7" t="n">
        <x:f>B15-C15</x:f>
        <x:v>29100</x:v>
      </x:c>
      <x:c r="E15" s="12" t="n">
        <x:v>154</x:v>
      </x:c>
      <x:c r="F15" s="14" t="n">
        <x:f>E15/10</x:f>
        <x:v>15.4</x:v>
      </x:c>
    </x:row>
    <x:row r="16" ht="25" customHeight="1">
      <x:c r="A16" s="2" t="str">
        <x:v>2026-10-05_Day</x:v>
      </x:c>
      <x:c r="B16" s="7" t="n">
        <x:v>23000</x:v>
      </x:c>
      <x:c r="C16" s="7" t="n">
        <x:v>148400</x:v>
      </x:c>
      <x:c r="D16" s="7" t="n">
        <x:f>B16-C16</x:f>
        <x:v>-125400</x:v>
      </x:c>
      <x:c r="E16" s="12" t="n">
        <x:v>323</x:v>
      </x:c>
      <x:c r="F16" s="14" t="n">
        <x:f>E16/10</x:f>
        <x:v>32.3</x:v>
      </x:c>
    </x:row>
    <x:row r="17" ht="25" customHeight="1">
      <x:c r="A17" s="2" t="str">
        <x:v>2026-10-06_Day</x:v>
      </x:c>
      <x:c r="B17" s="7" t="n">
        <x:v>80800</x:v>
      </x:c>
      <x:c r="C17" s="7" t="n">
        <x:v>173800</x:v>
      </x:c>
      <x:c r="D17" s="7" t="n">
        <x:f>B17-C17</x:f>
        <x:v>-93000</x:v>
      </x:c>
      <x:c r="E17" s="12" t="n">
        <x:v>296</x:v>
      </x:c>
      <x:c r="F17" s="14" t="n">
        <x:f>E17/10</x:f>
        <x:v>29.6</x:v>
      </x:c>
    </x:row>
    <x:row r="18" ht="25" customHeight="1">
      <x:c r="A18" s="2" t="str">
        <x:v>2026-10-07_Day</x:v>
      </x:c>
      <x:c r="B18" s="7" t="n">
        <x:v>124900</x:v>
      </x:c>
      <x:c r="C18" s="7" t="n">
        <x:v>100800</x:v>
      </x:c>
      <x:c r="D18" s="7" t="n">
        <x:f>B18-C18</x:f>
        <x:v>24100</x:v>
      </x:c>
      <x:c r="E18" s="12" t="n">
        <x:v>167</x:v>
      </x:c>
      <x:c r="F18" s="14" t="n">
        <x:f>E18/10</x:f>
        <x:v>16.7</x:v>
      </x:c>
    </x:row>
    <x:row r="19" ht="25" customHeight="1">
      <x:c r="A19" s="2" t="str">
        <x:v>2026-10-08_Day</x:v>
      </x:c>
      <x:c r="B19" s="7" t="n">
        <x:v>38300</x:v>
      </x:c>
      <x:c r="C19" s="7" t="n">
        <x:v>75400</x:v>
      </x:c>
      <x:c r="D19" s="7" t="n">
        <x:f>B19-C19</x:f>
        <x:v>-37100</x:v>
      </x:c>
      <x:c r="E19" s="12" t="n">
        <x:v>167</x:v>
      </x:c>
      <x:c r="F19" s="14" t="n">
        <x:f>E19/10</x:f>
        <x:v>16.7</x:v>
      </x:c>
    </x:row>
    <x:row r="20" ht="25" customHeight="1">
      <x:c r="A20" s="2" t="str">
        <x:v>2026-10-09_Day</x:v>
      </x:c>
      <x:c r="B20" s="7" t="n">
        <x:v>73900</x:v>
      </x:c>
      <x:c r="C20" s="7" t="n">
        <x:v>62700</x:v>
      </x:c>
      <x:c r="D20" s="7" t="n">
        <x:f>B20-C20</x:f>
        <x:v>11200</x:v>
      </x:c>
      <x:c r="E20" s="12" t="n">
        <x:v>297</x:v>
      </x:c>
      <x:c r="F20" s="14" t="n">
        <x:f>E20/10</x:f>
        <x:v>29.7</x:v>
      </x:c>
    </x:row>
    <x:row r="21" ht="25" customHeight="1">
      <x:c r="A21" s="2" t="str">
        <x:v>2026-10-12_Day</x:v>
      </x:c>
      <x:c r="B21" s="7" t="n">
        <x:v>2800</x:v>
      </x:c>
      <x:c r="C21" s="7" t="n">
        <x:v>5000</x:v>
      </x:c>
      <x:c r="D21" s="7" t="n">
        <x:f>B21-C21</x:f>
        <x:v>-2200</x:v>
      </x:c>
      <x:c r="E21" s="12" t="n">
        <x:v>42</x:v>
      </x:c>
      <x:c r="F21" s="14" t="n">
        <x:f>E21/10</x:f>
        <x:v>4.2</x:v>
      </x:c>
    </x:row>
    <x:row r="22" ht="25" customHeight="1">
      <x:c r="A22" s="2" t="str">
        <x:v>2026-10-13_Day</x:v>
      </x:c>
      <x:c r="B22" s="7" t="n">
        <x:v>141100</x:v>
      </x:c>
      <x:c r="C22" s="7" t="n">
        <x:v>323200</x:v>
      </x:c>
      <x:c r="D22" s="7" t="n">
        <x:f>B22-C22</x:f>
        <x:v>-182100</x:v>
      </x:c>
      <x:c r="E22" s="12" t="n">
        <x:v>655</x:v>
      </x:c>
      <x:c r="F22" s="14" t="n">
        <x:f>E22/10</x:f>
        <x:v>65.5</x:v>
      </x:c>
    </x:row>
    <x:row r="23" ht="25" customHeight="1">
      <x:c r="A23" s="2" t="str">
        <x:v>2026-10-14_Day</x:v>
      </x:c>
      <x:c r="B23" s="7" t="n">
        <x:v>43300</x:v>
      </x:c>
      <x:c r="C23" s="7" t="n">
        <x:v>31200</x:v>
      </x:c>
      <x:c r="D23" s="7" t="n">
        <x:f>B23-C23</x:f>
        <x:v>12100</x:v>
      </x:c>
      <x:c r="E23" s="12" t="n">
        <x:v>107</x:v>
      </x:c>
      <x:c r="F23" s="14" t="n">
        <x:f>E23/10</x:f>
        <x:v>10.7</x:v>
      </x:c>
    </x:row>
    <x:row r="24" ht="25" customHeight="1">
      <x:c r="A24" s="2" t="str">
        <x:v>2026-10-15_Day</x:v>
      </x:c>
      <x:c r="B24" s="7" t="n">
        <x:v>36900</x:v>
      </x:c>
      <x:c r="C24" s="7" t="n">
        <x:v>60000</x:v>
      </x:c>
      <x:c r="D24" s="7" t="n">
        <x:f>B24-C24</x:f>
        <x:v>-23100</x:v>
      </x:c>
      <x:c r="E24" s="12" t="n">
        <x:v>288</x:v>
      </x:c>
      <x:c r="F24" s="14" t="n">
        <x:f>E24/10</x:f>
        <x:v>28.8</x:v>
      </x:c>
    </x:row>
    <x:row r="25" ht="25" customHeight="1">
      <x:c r="A25" s="2" t="str">
        <x:v>2026-10-16_Day</x:v>
      </x:c>
      <x:c r="B25" s="7" t="n">
        <x:v>116700</x:v>
      </x:c>
      <x:c r="C25" s="7" t="n">
        <x:v>71400</x:v>
      </x:c>
      <x:c r="D25" s="7" t="n">
        <x:f>B25-C25</x:f>
        <x:v>45300</x:v>
      </x:c>
      <x:c r="E25" s="12" t="n">
        <x:v>559</x:v>
      </x:c>
      <x:c r="F25" s="14" t="n">
        <x:f>E25/10</x:f>
        <x:v>55.9</x:v>
      </x:c>
    </x:row>
    <x:row r="26" ht="25" customHeight="1">
      <x:c r="A26" s="2" t="str">
        <x:v>2026-10-19_Day</x:v>
      </x:c>
      <x:c r="B26" s="7" t="n">
        <x:v>272200</x:v>
      </x:c>
      <x:c r="C26" s="7" t="n">
        <x:v>0</x:v>
      </x:c>
      <x:c r="D26" s="7" t="n">
        <x:f>B26-C26</x:f>
        <x:v>272200</x:v>
      </x:c>
      <x:c r="E26" s="12" t="n">
        <x:v>283</x:v>
      </x:c>
      <x:c r="F26" s="14" t="n">
        <x:f>E26/10</x:f>
        <x:v>28.3</x:v>
      </x:c>
    </x:row>
    <x:row r="27" ht="25" customHeight="1">
      <x:c r="A27" s="2" t="str">
        <x:v>2026-10-20_Day</x:v>
      </x:c>
      <x:c r="B27" s="7" t="n">
        <x:v>34300</x:v>
      </x:c>
      <x:c r="C27" s="7" t="n">
        <x:v>48900</x:v>
      </x:c>
      <x:c r="D27" s="7" t="n">
        <x:f>B27-C27</x:f>
        <x:v>-14600</x:v>
      </x:c>
      <x:c r="E27" s="12" t="n">
        <x:v>303</x:v>
      </x:c>
      <x:c r="F27" s="14" t="n">
        <x:f>E27/10</x:f>
        <x:v>30.3</x:v>
      </x:c>
    </x:row>
    <x:row r="28" ht="25" customHeight="1">
      <x:c r="A28" s="2" t="str">
        <x:v>2026-10-21_Day</x:v>
      </x:c>
      <x:c r="B28" s="7" t="n">
        <x:v>61300</x:v>
      </x:c>
      <x:c r="C28" s="7" t="n">
        <x:v>195400</x:v>
      </x:c>
      <x:c r="D28" s="7" t="n">
        <x:f>B28-C28</x:f>
        <x:v>-134100</x:v>
      </x:c>
      <x:c r="E28" s="12" t="n">
        <x:v>325</x:v>
      </x:c>
      <x:c r="F28" s="14" t="n">
        <x:f>E28/10</x:f>
        <x:v>32.5</x:v>
      </x:c>
    </x:row>
    <x:row r="29" ht="25" customHeight="1">
      <x:c r="A29" s="2" t="str">
        <x:v>2026-10-22_Day</x:v>
      </x:c>
      <x:c r="B29" s="7" t="n">
        <x:v>19900</x:v>
      </x:c>
      <x:c r="C29" s="7" t="n">
        <x:v>14400</x:v>
      </x:c>
      <x:c r="D29" s="7" t="n">
        <x:f>B29-C29</x:f>
        <x:v>5500</x:v>
      </x:c>
      <x:c r="E29" s="12" t="n">
        <x:v>115</x:v>
      </x:c>
      <x:c r="F29" s="14" t="n">
        <x:f>E29/10</x:f>
        <x:v>11.5</x:v>
      </x:c>
    </x:row>
    <x:row r="30" ht="25" customHeight="1">
      <x:c r="A30" s="2" t="str">
        <x:v>2026-10-23_Day</x:v>
      </x:c>
      <x:c r="B30" s="7" t="n">
        <x:v>119900</x:v>
      </x:c>
      <x:c r="C30" s="7" t="n">
        <x:v>44600</x:v>
      </x:c>
      <x:c r="D30" s="7" t="n">
        <x:f>B30-C30</x:f>
        <x:v>75300</x:v>
      </x:c>
      <x:c r="E30" s="12" t="n">
        <x:v>836</x:v>
      </x:c>
      <x:c r="F30" s="14" t="n">
        <x:f>E30/10</x:f>
        <x:v>83.6</x:v>
      </x:c>
    </x:row>
    <x:row r="31" ht="25" customHeight="1">
      <x:c r="A31" s="2" t="str">
        <x:v>2026-10-26_Day</x:v>
      </x:c>
      <x:c r="B31" s="7" t="n">
        <x:v>105400</x:v>
      </x:c>
      <x:c r="C31" s="7" t="n">
        <x:v>95200</x:v>
      </x:c>
      <x:c r="D31" s="7" t="n">
        <x:f>B31-C31</x:f>
        <x:v>10200</x:v>
      </x:c>
      <x:c r="E31" s="12" t="n">
        <x:v>310</x:v>
      </x:c>
      <x:c r="F31" s="14" t="n">
        <x:f>E31/10</x:f>
        <x:v>31</x:v>
      </x:c>
    </x:row>
    <x:row r="32" ht="25" customHeight="1">
      <x:c r="A32" s="2" t="str">
        <x:v>2026-10-27_Day</x:v>
      </x:c>
      <x:c r="B32" s="7" t="n">
        <x:v>108300</x:v>
      </x:c>
      <x:c r="C32" s="7" t="n">
        <x:v>115200</x:v>
      </x:c>
      <x:c r="D32" s="7" t="n">
        <x:f>B32-C32</x:f>
        <x:v>-6900</x:v>
      </x:c>
      <x:c r="E32" s="12" t="n">
        <x:v>407</x:v>
      </x:c>
      <x:c r="F32" s="14" t="n">
        <x:f>E32/10</x:f>
        <x:v>40.7</x:v>
      </x:c>
    </x:row>
    <x:row r="33" ht="25" customHeight="1">
      <x:c r="A33" s="10" t="str">
        <x:v>合計</x:v>
      </x:c>
      <x:c r="B33" s="11" t="n">
        <x:f>SUM(B6:B32)</x:f>
        <x:v>1818400</x:v>
      </x:c>
      <x:c r="C33" s="11" t="n">
        <x:f>SUM(C6:C32)</x:f>
        <x:v>2207700</x:v>
      </x:c>
      <x:c r="D33" s="11" t="n">
        <x:f>B33-C33</x:f>
        <x:v>-389300</x:v>
      </x:c>
      <x:c r="E33" s="13" t="n">
        <x:f>SUM(E6:E32)</x:f>
        <x:v>7173</x:v>
      </x:c>
      <x:c r="F33" s="15" t="n">
        <x:f>E33/10</x:f>
        <x:v>717.3</x:v>
      </x:c>
    </x:row>
  </x:sheetData>
  <x:mergeCells>
    <x:mergeCell ref="A2:F2"/>
    <x:mergeCell ref="A3:F3"/>
    <x:mergeCell ref="A4:F4"/>
  </x:mergeCells>
  <x:conditionalFormatting sqref="D6:D32">
    <x:cfRule type="cellIs" dxfId="2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cc53a7633c14cb1"/>
  </x:tableParts>
</x:worksheet>
</file>

<file path=xl/worksheets/sheet30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NK225_D168B_01　日中の損益</x:v>
      </x:c>
      <x:c r="B2" s="2"/>
      <x:c r="C2" s="2"/>
      <x:c r="D2" s="2"/>
      <x:c r="E2" s="2"/>
      <x:c r="F2" s="2"/>
    </x:row>
    <x:row r="3" ht="38" customHeight="1">
      <x:c r="A3" s="5" t="str">
        <x:v>20円順行後は10円利益の床だけを維持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2000</x:v>
      </x:c>
      <x:c r="C6" s="7" t="n">
        <x:v>0</x:v>
      </x:c>
      <x:c r="D6" s="7" t="n">
        <x:f>B6-C6</x:f>
        <x:v>2000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1000</x:v>
      </x:c>
      <x:c r="C7" s="7" t="n">
        <x:v>6000</x:v>
      </x:c>
      <x:c r="D7" s="7" t="n">
        <x:f>B7-C7</x:f>
        <x:v>-5000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1000</x:v>
      </x:c>
      <x:c r="C8" s="7" t="n">
        <x:v>0</x:v>
      </x:c>
      <x:c r="D8" s="7" t="n">
        <x:f>B8-C8</x:f>
        <x:v>1000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14200</x:v>
      </x:c>
      <x:c r="C9" s="7" t="n">
        <x:v>16500</x:v>
      </x:c>
      <x:c r="D9" s="7" t="n">
        <x:f>B9-C9</x:f>
        <x:v>-2300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32100</x:v>
      </x:c>
      <x:c r="C10" s="7" t="n">
        <x:v>8000</x:v>
      </x:c>
      <x:c r="D10" s="7" t="n">
        <x:f>B10-C10</x:f>
        <x:v>24100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9700</x:v>
      </x:c>
      <x:c r="C11" s="7" t="n">
        <x:v>31500</x:v>
      </x:c>
      <x:c r="D11" s="7" t="n">
        <x:f>B11-C11</x:f>
        <x:v>-21800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16500</x:v>
      </x:c>
      <x:c r="C12" s="7" t="n">
        <x:v>164300</x:v>
      </x:c>
      <x:c r="D12" s="7" t="n">
        <x:f>B12-C12</x:f>
        <x:v>-147800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6200</x:v>
      </x:c>
      <x:c r="C13" s="7" t="n">
        <x:v>2500</x:v>
      </x:c>
      <x:c r="D13" s="7" t="n">
        <x:f>B13-C13</x:f>
        <x:v>3700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14900</x:v>
      </x:c>
      <x:c r="C14" s="7" t="n">
        <x:v>28000</x:v>
      </x:c>
      <x:c r="D14" s="7" t="n">
        <x:f>B14-C14</x:f>
        <x:v>-13100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10600</x:v>
      </x:c>
      <x:c r="C15" s="7" t="n">
        <x:v>6000</x:v>
      </x:c>
      <x:c r="D15" s="7" t="n">
        <x:f>B15-C15</x:f>
        <x:v>4600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14300</x:v>
      </x:c>
      <x:c r="C16" s="7" t="n">
        <x:v>3000</x:v>
      </x:c>
      <x:c r="D16" s="7" t="n">
        <x:f>B16-C16</x:f>
        <x:v>11300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17800</x:v>
      </x:c>
      <x:c r="C17" s="7" t="n">
        <x:v>17500</x:v>
      </x:c>
      <x:c r="D17" s="7" t="n">
        <x:f>B17-C17</x:f>
        <x:v>300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7900</x:v>
      </x:c>
      <x:c r="C18" s="7" t="n">
        <x:v>37700</x:v>
      </x:c>
      <x:c r="D18" s="7" t="n">
        <x:f>B18-C18</x:f>
        <x:v>-29800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9300</x:v>
      </x:c>
      <x:c r="C19" s="7" t="n">
        <x:v>19000</x:v>
      </x:c>
      <x:c r="D19" s="7" t="n">
        <x:f>B19-C19</x:f>
        <x:v>-9700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81900</x:v>
      </x:c>
      <x:c r="C20" s="7" t="n">
        <x:v>35900</x:v>
      </x:c>
      <x:c r="D20" s="7" t="n">
        <x:f>B20-C20</x:f>
        <x:v>46000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3000</x:v>
      </x:c>
      <x:c r="C21" s="7" t="n">
        <x:v>5000</x:v>
      </x:c>
      <x:c r="D21" s="7" t="n">
        <x:f>B21-C21</x:f>
        <x:v>-2000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21800</x:v>
      </x:c>
      <x:c r="C22" s="7" t="n">
        <x:v>164000</x:v>
      </x:c>
      <x:c r="D22" s="7" t="n">
        <x:f>B22-C22</x:f>
        <x:v>-142200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42600</x:v>
      </x:c>
      <x:c r="C23" s="7" t="n">
        <x:v>6500</x:v>
      </x:c>
      <x:c r="D23" s="7" t="n">
        <x:f>B23-C23</x:f>
        <x:v>36100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15800</x:v>
      </x:c>
      <x:c r="C24" s="7" t="n">
        <x:v>0</x:v>
      </x:c>
      <x:c r="D24" s="7" t="n">
        <x:f>B24-C24</x:f>
        <x:v>15800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28000</x:v>
      </x:c>
      <x:c r="C25" s="7" t="n">
        <x:v>25400</x:v>
      </x:c>
      <x:c r="D25" s="7" t="n">
        <x:f>B25-C25</x:f>
        <x:v>2600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21300</x:v>
      </x:c>
      <x:c r="C26" s="7" t="n">
        <x:v>0</x:v>
      </x:c>
      <x:c r="D26" s="7" t="n">
        <x:f>B26-C26</x:f>
        <x:v>21300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15100</x:v>
      </x:c>
      <x:c r="C27" s="7" t="n">
        <x:v>24600</x:v>
      </x:c>
      <x:c r="D27" s="7" t="n">
        <x:f>B27-C27</x:f>
        <x:v>-9500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20900</x:v>
      </x:c>
      <x:c r="C28" s="7" t="n">
        <x:v>33800</x:v>
      </x:c>
      <x:c r="D28" s="7" t="n">
        <x:f>B28-C28</x:f>
        <x:v>-12900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26300</x:v>
      </x:c>
      <x:c r="C29" s="7" t="n">
        <x:v>0</x:v>
      </x:c>
      <x:c r="D29" s="7" t="n">
        <x:f>B29-C29</x:f>
        <x:v>26300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42900</x:v>
      </x:c>
      <x:c r="C30" s="7" t="n">
        <x:v>29500</x:v>
      </x:c>
      <x:c r="D30" s="7" t="n">
        <x:f>B30-C30</x:f>
        <x:v>13400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14200</x:v>
      </x:c>
      <x:c r="C31" s="7" t="n">
        <x:v>15500</x:v>
      </x:c>
      <x:c r="D31" s="7" t="n">
        <x:f>B31-C31</x:f>
        <x:v>-1300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28900</x:v>
      </x:c>
      <x:c r="C32" s="7" t="n">
        <x:v>25400</x:v>
      </x:c>
      <x:c r="D32" s="7" t="n">
        <x:f>B32-C32</x:f>
        <x:v>3500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520200</x:v>
      </x:c>
      <x:c r="C33" s="11" t="n">
        <x:f>SUM(C6:C32)</x:f>
        <x:v>705600</x:v>
      </x:c>
      <x:c r="D33" s="11" t="n">
        <x:f>B33-C33</x:f>
        <x:v>-185400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2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09629435dff42b7"/>
  </x:tableParts>
</x:worksheet>
</file>

<file path=xl/worksheets/sheet31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NK225_D168B_02　日中の損益</x:v>
      </x:c>
      <x:c r="B2" s="2"/>
      <x:c r="C2" s="2"/>
      <x:c r="D2" s="2"/>
      <x:c r="E2" s="2"/>
      <x:c r="F2" s="2"/>
    </x:row>
    <x:row r="3" ht="38" customHeight="1">
      <x:c r="A3" s="5" t="str">
        <x:v>20円から最高利益の半分を守る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2000</x:v>
      </x:c>
      <x:c r="C6" s="7" t="n">
        <x:v>0</x:v>
      </x:c>
      <x:c r="D6" s="7" t="n">
        <x:f>B6-C6</x:f>
        <x:v>2000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1000</x:v>
      </x:c>
      <x:c r="C7" s="7" t="n">
        <x:v>6000</x:v>
      </x:c>
      <x:c r="D7" s="7" t="n">
        <x:f>B7-C7</x:f>
        <x:v>-5000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1000</x:v>
      </x:c>
      <x:c r="C8" s="7" t="n">
        <x:v>0</x:v>
      </x:c>
      <x:c r="D8" s="7" t="n">
        <x:f>B8-C8</x:f>
        <x:v>1000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14200</x:v>
      </x:c>
      <x:c r="C9" s="7" t="n">
        <x:v>16500</x:v>
      </x:c>
      <x:c r="D9" s="7" t="n">
        <x:f>B9-C9</x:f>
        <x:v>-2300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23600</x:v>
      </x:c>
      <x:c r="C10" s="7" t="n">
        <x:v>8000</x:v>
      </x:c>
      <x:c r="D10" s="7" t="n">
        <x:f>B10-C10</x:f>
        <x:v>15600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10700</x:v>
      </x:c>
      <x:c r="C11" s="7" t="n">
        <x:v>31500</x:v>
      </x:c>
      <x:c r="D11" s="7" t="n">
        <x:f>B11-C11</x:f>
        <x:v>-20800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16500</x:v>
      </x:c>
      <x:c r="C12" s="7" t="n">
        <x:v>164300</x:v>
      </x:c>
      <x:c r="D12" s="7" t="n">
        <x:f>B12-C12</x:f>
        <x:v>-147800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6200</x:v>
      </x:c>
      <x:c r="C13" s="7" t="n">
        <x:v>2500</x:v>
      </x:c>
      <x:c r="D13" s="7" t="n">
        <x:f>B13-C13</x:f>
        <x:v>3700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14900</x:v>
      </x:c>
      <x:c r="C14" s="7" t="n">
        <x:v>28000</x:v>
      </x:c>
      <x:c r="D14" s="7" t="n">
        <x:f>B14-C14</x:f>
        <x:v>-13100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12200</x:v>
      </x:c>
      <x:c r="C15" s="7" t="n">
        <x:v>6000</x:v>
      </x:c>
      <x:c r="D15" s="7" t="n">
        <x:f>B15-C15</x:f>
        <x:v>6200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16400</x:v>
      </x:c>
      <x:c r="C16" s="7" t="n">
        <x:v>3000</x:v>
      </x:c>
      <x:c r="D16" s="7" t="n">
        <x:f>B16-C16</x:f>
        <x:v>13400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17800</x:v>
      </x:c>
      <x:c r="C17" s="7" t="n">
        <x:v>17500</x:v>
      </x:c>
      <x:c r="D17" s="7" t="n">
        <x:f>B17-C17</x:f>
        <x:v>300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8400</x:v>
      </x:c>
      <x:c r="C18" s="7" t="n">
        <x:v>37700</x:v>
      </x:c>
      <x:c r="D18" s="7" t="n">
        <x:f>B18-C18</x:f>
        <x:v>-29300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9300</x:v>
      </x:c>
      <x:c r="C19" s="7" t="n">
        <x:v>19000</x:v>
      </x:c>
      <x:c r="D19" s="7" t="n">
        <x:f>B19-C19</x:f>
        <x:v>-9700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128400</x:v>
      </x:c>
      <x:c r="C20" s="7" t="n">
        <x:v>35900</x:v>
      </x:c>
      <x:c r="D20" s="7" t="n">
        <x:f>B20-C20</x:f>
        <x:v>92500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3000</x:v>
      </x:c>
      <x:c r="C21" s="7" t="n">
        <x:v>5000</x:v>
      </x:c>
      <x:c r="D21" s="7" t="n">
        <x:f>B21-C21</x:f>
        <x:v>-2000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21800</x:v>
      </x:c>
      <x:c r="C22" s="7" t="n">
        <x:v>164000</x:v>
      </x:c>
      <x:c r="D22" s="7" t="n">
        <x:f>B22-C22</x:f>
        <x:v>-142200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10600</x:v>
      </x:c>
      <x:c r="C23" s="7" t="n">
        <x:v>6500</x:v>
      </x:c>
      <x:c r="D23" s="7" t="n">
        <x:f>B23-C23</x:f>
        <x:v>4100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15800</x:v>
      </x:c>
      <x:c r="C24" s="7" t="n">
        <x:v>0</x:v>
      </x:c>
      <x:c r="D24" s="7" t="n">
        <x:f>B24-C24</x:f>
        <x:v>15800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29300</x:v>
      </x:c>
      <x:c r="C25" s="7" t="n">
        <x:v>25400</x:v>
      </x:c>
      <x:c r="D25" s="7" t="n">
        <x:f>B25-C25</x:f>
        <x:v>3900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21300</x:v>
      </x:c>
      <x:c r="C26" s="7" t="n">
        <x:v>0</x:v>
      </x:c>
      <x:c r="D26" s="7" t="n">
        <x:f>B26-C26</x:f>
        <x:v>21300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15100</x:v>
      </x:c>
      <x:c r="C27" s="7" t="n">
        <x:v>24600</x:v>
      </x:c>
      <x:c r="D27" s="7" t="n">
        <x:f>B27-C27</x:f>
        <x:v>-9500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18400</x:v>
      </x:c>
      <x:c r="C28" s="7" t="n">
        <x:v>33800</x:v>
      </x:c>
      <x:c r="D28" s="7" t="n">
        <x:f>B28-C28</x:f>
        <x:v>-15400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26800</x:v>
      </x:c>
      <x:c r="C29" s="7" t="n">
        <x:v>0</x:v>
      </x:c>
      <x:c r="D29" s="7" t="n">
        <x:f>B29-C29</x:f>
        <x:v>26800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43900</x:v>
      </x:c>
      <x:c r="C30" s="7" t="n">
        <x:v>29500</x:v>
      </x:c>
      <x:c r="D30" s="7" t="n">
        <x:f>B30-C30</x:f>
        <x:v>14400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14200</x:v>
      </x:c>
      <x:c r="C31" s="7" t="n">
        <x:v>15500</x:v>
      </x:c>
      <x:c r="D31" s="7" t="n">
        <x:f>B31-C31</x:f>
        <x:v>-1300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30400</x:v>
      </x:c>
      <x:c r="C32" s="7" t="n">
        <x:v>25400</x:v>
      </x:c>
      <x:c r="D32" s="7" t="n">
        <x:f>B32-C32</x:f>
        <x:v>5000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533200</x:v>
      </x:c>
      <x:c r="C33" s="11" t="n">
        <x:f>SUM(C6:C32)</x:f>
        <x:v>705600</x:v>
      </x:c>
      <x:c r="D33" s="11" t="n">
        <x:f>B33-C33</x:f>
        <x:v>-172400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2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0001c85bbb94cc0"/>
  </x:tableParts>
</x:worksheet>
</file>

<file path=xl/worksheets/sheet32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NK225_D168B_03　日中の損益</x:v>
      </x:c>
      <x:c r="B2" s="2"/>
      <x:c r="C2" s="2"/>
      <x:c r="D2" s="2"/>
      <x:c r="E2" s="2"/>
      <x:c r="F2" s="2"/>
    </x:row>
    <x:row r="3" ht="38" customHeight="1">
      <x:c r="A3" s="5" t="str">
        <x:v>20円から最高利益の75%を守る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2000</x:v>
      </x:c>
      <x:c r="C6" s="7" t="n">
        <x:v>0</x:v>
      </x:c>
      <x:c r="D6" s="7" t="n">
        <x:f>B6-C6</x:f>
        <x:v>2000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1000</x:v>
      </x:c>
      <x:c r="C7" s="7" t="n">
        <x:v>6000</x:v>
      </x:c>
      <x:c r="D7" s="7" t="n">
        <x:f>B7-C7</x:f>
        <x:v>-5000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1000</x:v>
      </x:c>
      <x:c r="C8" s="7" t="n">
        <x:v>0</x:v>
      </x:c>
      <x:c r="D8" s="7" t="n">
        <x:f>B8-C8</x:f>
        <x:v>1000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17800</x:v>
      </x:c>
      <x:c r="C9" s="7" t="n">
        <x:v>16500</x:v>
      </x:c>
      <x:c r="D9" s="7" t="n">
        <x:f>B9-C9</x:f>
        <x:v>1300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35700</x:v>
      </x:c>
      <x:c r="C10" s="7" t="n">
        <x:v>8000</x:v>
      </x:c>
      <x:c r="D10" s="7" t="n">
        <x:f>B10-C10</x:f>
        <x:v>27700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15400</x:v>
      </x:c>
      <x:c r="C11" s="7" t="n">
        <x:v>31500</x:v>
      </x:c>
      <x:c r="D11" s="7" t="n">
        <x:f>B11-C11</x:f>
        <x:v>-16100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17500</x:v>
      </x:c>
      <x:c r="C12" s="7" t="n">
        <x:v>164300</x:v>
      </x:c>
      <x:c r="D12" s="7" t="n">
        <x:f>B12-C12</x:f>
        <x:v>-146800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6200</x:v>
      </x:c>
      <x:c r="C13" s="7" t="n">
        <x:v>2500</x:v>
      </x:c>
      <x:c r="D13" s="7" t="n">
        <x:f>B13-C13</x:f>
        <x:v>3700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19400</x:v>
      </x:c>
      <x:c r="C14" s="7" t="n">
        <x:v>28000</x:v>
      </x:c>
      <x:c r="D14" s="7" t="n">
        <x:f>B14-C14</x:f>
        <x:v>-8600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13800</x:v>
      </x:c>
      <x:c r="C15" s="7" t="n">
        <x:v>6000</x:v>
      </x:c>
      <x:c r="D15" s="7" t="n">
        <x:f>B15-C15</x:f>
        <x:v>7800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21500</x:v>
      </x:c>
      <x:c r="C16" s="7" t="n">
        <x:v>3000</x:v>
      </x:c>
      <x:c r="D16" s="7" t="n">
        <x:f>B16-C16</x:f>
        <x:v>18500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18800</x:v>
      </x:c>
      <x:c r="C17" s="7" t="n">
        <x:v>17500</x:v>
      </x:c>
      <x:c r="D17" s="7" t="n">
        <x:f>B17-C17</x:f>
        <x:v>1300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9700</x:v>
      </x:c>
      <x:c r="C18" s="7" t="n">
        <x:v>37700</x:v>
      </x:c>
      <x:c r="D18" s="7" t="n">
        <x:f>B18-C18</x:f>
        <x:v>-28000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11400</x:v>
      </x:c>
      <x:c r="C19" s="7" t="n">
        <x:v>19000</x:v>
      </x:c>
      <x:c r="D19" s="7" t="n">
        <x:f>B19-C19</x:f>
        <x:v>-7600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51500</x:v>
      </x:c>
      <x:c r="C20" s="7" t="n">
        <x:v>35900</x:v>
      </x:c>
      <x:c r="D20" s="7" t="n">
        <x:f>B20-C20</x:f>
        <x:v>15600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4000</x:v>
      </x:c>
      <x:c r="C21" s="7" t="n">
        <x:v>5000</x:v>
      </x:c>
      <x:c r="D21" s="7" t="n">
        <x:f>B21-C21</x:f>
        <x:v>-1000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22800</x:v>
      </x:c>
      <x:c r="C22" s="7" t="n">
        <x:v>164000</x:v>
      </x:c>
      <x:c r="D22" s="7" t="n">
        <x:f>B22-C22</x:f>
        <x:v>-141200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10600</x:v>
      </x:c>
      <x:c r="C23" s="7" t="n">
        <x:v>6500</x:v>
      </x:c>
      <x:c r="D23" s="7" t="n">
        <x:f>B23-C23</x:f>
        <x:v>4100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15800</x:v>
      </x:c>
      <x:c r="C24" s="7" t="n">
        <x:v>0</x:v>
      </x:c>
      <x:c r="D24" s="7" t="n">
        <x:f>B24-C24</x:f>
        <x:v>15800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34600</x:v>
      </x:c>
      <x:c r="C25" s="7" t="n">
        <x:v>25400</x:v>
      </x:c>
      <x:c r="D25" s="7" t="n">
        <x:f>B25-C25</x:f>
        <x:v>9200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30400</x:v>
      </x:c>
      <x:c r="C26" s="7" t="n">
        <x:v>0</x:v>
      </x:c>
      <x:c r="D26" s="7" t="n">
        <x:f>B26-C26</x:f>
        <x:v>30400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21200</x:v>
      </x:c>
      <x:c r="C27" s="7" t="n">
        <x:v>24600</x:v>
      </x:c>
      <x:c r="D27" s="7" t="n">
        <x:f>B27-C27</x:f>
        <x:v>-3400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19700</x:v>
      </x:c>
      <x:c r="C28" s="7" t="n">
        <x:v>33800</x:v>
      </x:c>
      <x:c r="D28" s="7" t="n">
        <x:f>B28-C28</x:f>
        <x:v>-14100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6300</x:v>
      </x:c>
      <x:c r="C29" s="7" t="n">
        <x:v>0</x:v>
      </x:c>
      <x:c r="D29" s="7" t="n">
        <x:f>B29-C29</x:f>
        <x:v>6300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41500</x:v>
      </x:c>
      <x:c r="C30" s="7" t="n">
        <x:v>29500</x:v>
      </x:c>
      <x:c r="D30" s="7" t="n">
        <x:f>B30-C30</x:f>
        <x:v>12000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15200</x:v>
      </x:c>
      <x:c r="C31" s="7" t="n">
        <x:v>15500</x:v>
      </x:c>
      <x:c r="D31" s="7" t="n">
        <x:f>B31-C31</x:f>
        <x:v>-300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30400</x:v>
      </x:c>
      <x:c r="C32" s="7" t="n">
        <x:v>25400</x:v>
      </x:c>
      <x:c r="D32" s="7" t="n">
        <x:f>B32-C32</x:f>
        <x:v>5000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495200</x:v>
      </x:c>
      <x:c r="C33" s="11" t="n">
        <x:f>SUM(C6:C32)</x:f>
        <x:v>705600</x:v>
      </x:c>
      <x:c r="D33" s="11" t="n">
        <x:f>B33-C33</x:f>
        <x:v>-210400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3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84d3daefa13491f"/>
  </x:tableParts>
</x:worksheet>
</file>

<file path=xl/worksheets/sheet33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NK225_D168B_04　日中の損益</x:v>
      </x:c>
      <x:c r="B2" s="2"/>
      <x:c r="C2" s="2"/>
      <x:c r="D2" s="2"/>
      <x:c r="E2" s="2"/>
      <x:c r="F2" s="2"/>
    </x:row>
    <x:row r="3" ht="38" customHeight="1">
      <x:c r="A3" s="5" t="str">
        <x:v>大枚数ほど最高利益の保護割合を上げる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2000</x:v>
      </x:c>
      <x:c r="C6" s="7" t="n">
        <x:v>0</x:v>
      </x:c>
      <x:c r="D6" s="7" t="n">
        <x:f>B6-C6</x:f>
        <x:v>2000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1000</x:v>
      </x:c>
      <x:c r="C7" s="7" t="n">
        <x:v>6000</x:v>
      </x:c>
      <x:c r="D7" s="7" t="n">
        <x:f>B7-C7</x:f>
        <x:v>-5000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1000</x:v>
      </x:c>
      <x:c r="C8" s="7" t="n">
        <x:v>0</x:v>
      </x:c>
      <x:c r="D8" s="7" t="n">
        <x:f>B8-C8</x:f>
        <x:v>1000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14200</x:v>
      </x:c>
      <x:c r="C9" s="7" t="n">
        <x:v>16500</x:v>
      </x:c>
      <x:c r="D9" s="7" t="n">
        <x:f>B9-C9</x:f>
        <x:v>-2300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25600</x:v>
      </x:c>
      <x:c r="C10" s="7" t="n">
        <x:v>8000</x:v>
      </x:c>
      <x:c r="D10" s="7" t="n">
        <x:f>B10-C10</x:f>
        <x:v>17600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10700</x:v>
      </x:c>
      <x:c r="C11" s="7" t="n">
        <x:v>31500</x:v>
      </x:c>
      <x:c r="D11" s="7" t="n">
        <x:f>B11-C11</x:f>
        <x:v>-20800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16500</x:v>
      </x:c>
      <x:c r="C12" s="7" t="n">
        <x:v>164300</x:v>
      </x:c>
      <x:c r="D12" s="7" t="n">
        <x:f>B12-C12</x:f>
        <x:v>-147800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6200</x:v>
      </x:c>
      <x:c r="C13" s="7" t="n">
        <x:v>2500</x:v>
      </x:c>
      <x:c r="D13" s="7" t="n">
        <x:f>B13-C13</x:f>
        <x:v>3700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14900</x:v>
      </x:c>
      <x:c r="C14" s="7" t="n">
        <x:v>28000</x:v>
      </x:c>
      <x:c r="D14" s="7" t="n">
        <x:f>B14-C14</x:f>
        <x:v>-13100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12200</x:v>
      </x:c>
      <x:c r="C15" s="7" t="n">
        <x:v>6000</x:v>
      </x:c>
      <x:c r="D15" s="7" t="n">
        <x:f>B15-C15</x:f>
        <x:v>6200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16400</x:v>
      </x:c>
      <x:c r="C16" s="7" t="n">
        <x:v>3000</x:v>
      </x:c>
      <x:c r="D16" s="7" t="n">
        <x:f>B16-C16</x:f>
        <x:v>13400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17800</x:v>
      </x:c>
      <x:c r="C17" s="7" t="n">
        <x:v>17500</x:v>
      </x:c>
      <x:c r="D17" s="7" t="n">
        <x:f>B17-C17</x:f>
        <x:v>300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8400</x:v>
      </x:c>
      <x:c r="C18" s="7" t="n">
        <x:v>37700</x:v>
      </x:c>
      <x:c r="D18" s="7" t="n">
        <x:f>B18-C18</x:f>
        <x:v>-29300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9300</x:v>
      </x:c>
      <x:c r="C19" s="7" t="n">
        <x:v>19000</x:v>
      </x:c>
      <x:c r="D19" s="7" t="n">
        <x:f>B19-C19</x:f>
        <x:v>-9700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52400</x:v>
      </x:c>
      <x:c r="C20" s="7" t="n">
        <x:v>35900</x:v>
      </x:c>
      <x:c r="D20" s="7" t="n">
        <x:f>B20-C20</x:f>
        <x:v>16500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3000</x:v>
      </x:c>
      <x:c r="C21" s="7" t="n">
        <x:v>5000</x:v>
      </x:c>
      <x:c r="D21" s="7" t="n">
        <x:f>B21-C21</x:f>
        <x:v>-2000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21800</x:v>
      </x:c>
      <x:c r="C22" s="7" t="n">
        <x:v>164000</x:v>
      </x:c>
      <x:c r="D22" s="7" t="n">
        <x:f>B22-C22</x:f>
        <x:v>-142200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10600</x:v>
      </x:c>
      <x:c r="C23" s="7" t="n">
        <x:v>6500</x:v>
      </x:c>
      <x:c r="D23" s="7" t="n">
        <x:f>B23-C23</x:f>
        <x:v>4100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15800</x:v>
      </x:c>
      <x:c r="C24" s="7" t="n">
        <x:v>0</x:v>
      </x:c>
      <x:c r="D24" s="7" t="n">
        <x:f>B24-C24</x:f>
        <x:v>15800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29300</x:v>
      </x:c>
      <x:c r="C25" s="7" t="n">
        <x:v>25400</x:v>
      </x:c>
      <x:c r="D25" s="7" t="n">
        <x:f>B25-C25</x:f>
        <x:v>3900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21300</x:v>
      </x:c>
      <x:c r="C26" s="7" t="n">
        <x:v>0</x:v>
      </x:c>
      <x:c r="D26" s="7" t="n">
        <x:f>B26-C26</x:f>
        <x:v>21300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15100</x:v>
      </x:c>
      <x:c r="C27" s="7" t="n">
        <x:v>24600</x:v>
      </x:c>
      <x:c r="D27" s="7" t="n">
        <x:f>B27-C27</x:f>
        <x:v>-9500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18400</x:v>
      </x:c>
      <x:c r="C28" s="7" t="n">
        <x:v>33800</x:v>
      </x:c>
      <x:c r="D28" s="7" t="n">
        <x:f>B28-C28</x:f>
        <x:v>-15400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26800</x:v>
      </x:c>
      <x:c r="C29" s="7" t="n">
        <x:v>0</x:v>
      </x:c>
      <x:c r="D29" s="7" t="n">
        <x:f>B29-C29</x:f>
        <x:v>26800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49600</x:v>
      </x:c>
      <x:c r="C30" s="7" t="n">
        <x:v>29500</x:v>
      </x:c>
      <x:c r="D30" s="7" t="n">
        <x:f>B30-C30</x:f>
        <x:v>20100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14200</x:v>
      </x:c>
      <x:c r="C31" s="7" t="n">
        <x:v>15500</x:v>
      </x:c>
      <x:c r="D31" s="7" t="n">
        <x:f>B31-C31</x:f>
        <x:v>-1300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30400</x:v>
      </x:c>
      <x:c r="C32" s="7" t="n">
        <x:v>25400</x:v>
      </x:c>
      <x:c r="D32" s="7" t="n">
        <x:f>B32-C32</x:f>
        <x:v>5000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464900</x:v>
      </x:c>
      <x:c r="C33" s="11" t="n">
        <x:f>SUM(C6:C32)</x:f>
        <x:v>705600</x:v>
      </x:c>
      <x:c r="D33" s="11" t="n">
        <x:f>B33-C33</x:f>
        <x:v>-240700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3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97be812a1d4870"/>
  </x:tableParts>
</x:worksheet>
</file>

<file path=xl/worksheets/sheet34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NK225_D168B_05　日中の損益</x:v>
      </x:c>
      <x:c r="B2" s="2"/>
      <x:c r="C2" s="2"/>
      <x:c r="D2" s="2"/>
      <x:c r="E2" s="2"/>
      <x:c r="F2" s="2"/>
    </x:row>
    <x:row r="3" ht="38" customHeight="1">
      <x:c r="A3" s="5" t="str">
        <x:v>半量を20円で回収し残りは10円床で伸ばす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2500</x:v>
      </x:c>
      <x:c r="C6" s="7" t="n">
        <x:v>0</x:v>
      </x:c>
      <x:c r="D6" s="7" t="n">
        <x:f>B6-C6</x:f>
        <x:v>2500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1500</x:v>
      </x:c>
      <x:c r="C7" s="7" t="n">
        <x:v>6000</x:v>
      </x:c>
      <x:c r="D7" s="7" t="n">
        <x:f>B7-C7</x:f>
        <x:v>-4500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1500</x:v>
      </x:c>
      <x:c r="C8" s="7" t="n">
        <x:v>0</x:v>
      </x:c>
      <x:c r="D8" s="7" t="n">
        <x:f>B8-C8</x:f>
        <x:v>1500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21200</x:v>
      </x:c>
      <x:c r="C9" s="7" t="n">
        <x:v>16500</x:v>
      </x:c>
      <x:c r="D9" s="7" t="n">
        <x:f>B9-C9</x:f>
        <x:v>4700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28500</x:v>
      </x:c>
      <x:c r="C10" s="7" t="n">
        <x:v>8000</x:v>
      </x:c>
      <x:c r="D10" s="7" t="n">
        <x:f>B10-C10</x:f>
        <x:v>20500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13800</x:v>
      </x:c>
      <x:c r="C11" s="7" t="n">
        <x:v>31500</x:v>
      </x:c>
      <x:c r="D11" s="7" t="n">
        <x:f>B11-C11</x:f>
        <x:v>-17700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23600</x:v>
      </x:c>
      <x:c r="C12" s="7" t="n">
        <x:v>164300</x:v>
      </x:c>
      <x:c r="D12" s="7" t="n">
        <x:f>B12-C12</x:f>
        <x:v>-140700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7200</x:v>
      </x:c>
      <x:c r="C13" s="7" t="n">
        <x:v>2500</x:v>
      </x:c>
      <x:c r="D13" s="7" t="n">
        <x:f>B13-C13</x:f>
        <x:v>4700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21700</x:v>
      </x:c>
      <x:c r="C14" s="7" t="n">
        <x:v>28000</x:v>
      </x:c>
      <x:c r="D14" s="7" t="n">
        <x:f>B14-C14</x:f>
        <x:v>-6300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12400</x:v>
      </x:c>
      <x:c r="C15" s="7" t="n">
        <x:v>6000</x:v>
      </x:c>
      <x:c r="D15" s="7" t="n">
        <x:f>B15-C15</x:f>
        <x:v>6400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20400</x:v>
      </x:c>
      <x:c r="C16" s="7" t="n">
        <x:v>3000</x:v>
      </x:c>
      <x:c r="D16" s="7" t="n">
        <x:f>B16-C16</x:f>
        <x:v>17400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25600</x:v>
      </x:c>
      <x:c r="C17" s="7" t="n">
        <x:v>17500</x:v>
      </x:c>
      <x:c r="D17" s="7" t="n">
        <x:f>B17-C17</x:f>
        <x:v>8100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11200</x:v>
      </x:c>
      <x:c r="C18" s="7" t="n">
        <x:v>37700</x:v>
      </x:c>
      <x:c r="D18" s="7" t="n">
        <x:f>B18-C18</x:f>
        <x:v>-26500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10300</x:v>
      </x:c>
      <x:c r="C19" s="7" t="n">
        <x:v>19000</x:v>
      </x:c>
      <x:c r="D19" s="7" t="n">
        <x:f>B19-C19</x:f>
        <x:v>-8700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53300</x:v>
      </x:c>
      <x:c r="C20" s="7" t="n">
        <x:v>35900</x:v>
      </x:c>
      <x:c r="D20" s="7" t="n">
        <x:f>B20-C20</x:f>
        <x:v>17400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3500</x:v>
      </x:c>
      <x:c r="C21" s="7" t="n">
        <x:v>5000</x:v>
      </x:c>
      <x:c r="D21" s="7" t="n">
        <x:f>B21-C21</x:f>
        <x:v>-1500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29000</x:v>
      </x:c>
      <x:c r="C22" s="7" t="n">
        <x:v>164000</x:v>
      </x:c>
      <x:c r="D22" s="7" t="n">
        <x:f>B22-C22</x:f>
        <x:v>-135000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28800</x:v>
      </x:c>
      <x:c r="C23" s="7" t="n">
        <x:v>6500</x:v>
      </x:c>
      <x:c r="D23" s="7" t="n">
        <x:f>B23-C23</x:f>
        <x:v>22300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20900</x:v>
      </x:c>
      <x:c r="C24" s="7" t="n">
        <x:v>0</x:v>
      </x:c>
      <x:c r="D24" s="7" t="n">
        <x:f>B24-C24</x:f>
        <x:v>20900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35500</x:v>
      </x:c>
      <x:c r="C25" s="7" t="n">
        <x:v>25400</x:v>
      </x:c>
      <x:c r="D25" s="7" t="n">
        <x:f>B25-C25</x:f>
        <x:v>10100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27100</x:v>
      </x:c>
      <x:c r="C26" s="7" t="n">
        <x:v>0</x:v>
      </x:c>
      <x:c r="D26" s="7" t="n">
        <x:f>B26-C26</x:f>
        <x:v>27100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20100</x:v>
      </x:c>
      <x:c r="C27" s="7" t="n">
        <x:v>24600</x:v>
      </x:c>
      <x:c r="D27" s="7" t="n">
        <x:f>B27-C27</x:f>
        <x:v>-4500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21600</x:v>
      </x:c>
      <x:c r="C28" s="7" t="n">
        <x:v>33800</x:v>
      </x:c>
      <x:c r="D28" s="7" t="n">
        <x:f>B28-C28</x:f>
        <x:v>-12200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16800</x:v>
      </x:c>
      <x:c r="C29" s="7" t="n">
        <x:v>0</x:v>
      </x:c>
      <x:c r="D29" s="7" t="n">
        <x:f>B29-C29</x:f>
        <x:v>16800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49500</x:v>
      </x:c>
      <x:c r="C30" s="7" t="n">
        <x:v>29500</x:v>
      </x:c>
      <x:c r="D30" s="7" t="n">
        <x:f>B30-C30</x:f>
        <x:v>20000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19500</x:v>
      </x:c>
      <x:c r="C31" s="7" t="n">
        <x:v>15500</x:v>
      </x:c>
      <x:c r="D31" s="7" t="n">
        <x:f>B31-C31</x:f>
        <x:v>4000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32600</x:v>
      </x:c>
      <x:c r="C32" s="7" t="n">
        <x:v>25400</x:v>
      </x:c>
      <x:c r="D32" s="7" t="n">
        <x:f>B32-C32</x:f>
        <x:v>7200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559600</x:v>
      </x:c>
      <x:c r="C33" s="11" t="n">
        <x:f>SUM(C6:C32)</x:f>
        <x:v>705600</x:v>
      </x:c>
      <x:c r="D33" s="11" t="n">
        <x:f>B33-C33</x:f>
        <x:v>-146000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3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96134041dee4409"/>
  </x:tableParts>
</x:worksheet>
</file>

<file path=xl/worksheets/sheet35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NK225_D168B_06　日中の損益</x:v>
      </x:c>
      <x:c r="B2" s="2"/>
      <x:c r="C2" s="2"/>
      <x:c r="D2" s="2"/>
      <x:c r="E2" s="2"/>
      <x:c r="F2" s="2"/>
    </x:row>
    <x:row r="3" ht="38" customHeight="1">
      <x:c r="A3" s="5" t="str">
        <x:v>8割を20円で回収し残りは10円床で伸ばす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2800</x:v>
      </x:c>
      <x:c r="C6" s="7" t="n">
        <x:v>0</x:v>
      </x:c>
      <x:c r="D6" s="7" t="n">
        <x:f>B6-C6</x:f>
        <x:v>2800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1800</x:v>
      </x:c>
      <x:c r="C7" s="7" t="n">
        <x:v>6000</x:v>
      </x:c>
      <x:c r="D7" s="7" t="n">
        <x:f>B7-C7</x:f>
        <x:v>-4200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1800</x:v>
      </x:c>
      <x:c r="C8" s="7" t="n">
        <x:v>0</x:v>
      </x:c>
      <x:c r="D8" s="7" t="n">
        <x:f>B8-C8</x:f>
        <x:v>1800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25500</x:v>
      </x:c>
      <x:c r="C9" s="7" t="n">
        <x:v>16500</x:v>
      </x:c>
      <x:c r="D9" s="7" t="n">
        <x:f>B9-C9</x:f>
        <x:v>9000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24500</x:v>
      </x:c>
      <x:c r="C10" s="7" t="n">
        <x:v>8000</x:v>
      </x:c>
      <x:c r="D10" s="7" t="n">
        <x:f>B10-C10</x:f>
        <x:v>16500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16200</x:v>
      </x:c>
      <x:c r="C11" s="7" t="n">
        <x:v>31500</x:v>
      </x:c>
      <x:c r="D11" s="7" t="n">
        <x:f>B11-C11</x:f>
        <x:v>-15300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27900</x:v>
      </x:c>
      <x:c r="C12" s="7" t="n">
        <x:v>164300</x:v>
      </x:c>
      <x:c r="D12" s="7" t="n">
        <x:f>B12-C12</x:f>
        <x:v>-136400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7800</x:v>
      </x:c>
      <x:c r="C13" s="7" t="n">
        <x:v>2500</x:v>
      </x:c>
      <x:c r="D13" s="7" t="n">
        <x:f>B13-C13</x:f>
        <x:v>5300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25900</x:v>
      </x:c>
      <x:c r="C14" s="7" t="n">
        <x:v>28000</x:v>
      </x:c>
      <x:c r="D14" s="7" t="n">
        <x:f>B14-C14</x:f>
        <x:v>-2100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13400</x:v>
      </x:c>
      <x:c r="C15" s="7" t="n">
        <x:v>6000</x:v>
      </x:c>
      <x:c r="D15" s="7" t="n">
        <x:f>B15-C15</x:f>
        <x:v>7400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24300</x:v>
      </x:c>
      <x:c r="C16" s="7" t="n">
        <x:v>3000</x:v>
      </x:c>
      <x:c r="D16" s="7" t="n">
        <x:f>B16-C16</x:f>
        <x:v>21300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30200</x:v>
      </x:c>
      <x:c r="C17" s="7" t="n">
        <x:v>17500</x:v>
      </x:c>
      <x:c r="D17" s="7" t="n">
        <x:f>B17-C17</x:f>
        <x:v>12700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13200</x:v>
      </x:c>
      <x:c r="C18" s="7" t="n">
        <x:v>37700</x:v>
      </x:c>
      <x:c r="D18" s="7" t="n">
        <x:f>B18-C18</x:f>
        <x:v>-24500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10900</x:v>
      </x:c>
      <x:c r="C19" s="7" t="n">
        <x:v>19000</x:v>
      </x:c>
      <x:c r="D19" s="7" t="n">
        <x:f>B19-C19</x:f>
        <x:v>-8100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36100</x:v>
      </x:c>
      <x:c r="C20" s="7" t="n">
        <x:v>35900</x:v>
      </x:c>
      <x:c r="D20" s="7" t="n">
        <x:f>B20-C20</x:f>
        <x:v>200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3800</x:v>
      </x:c>
      <x:c r="C21" s="7" t="n">
        <x:v>5000</x:v>
      </x:c>
      <x:c r="D21" s="7" t="n">
        <x:f>B21-C21</x:f>
        <x:v>-1200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33400</x:v>
      </x:c>
      <x:c r="C22" s="7" t="n">
        <x:v>164000</x:v>
      </x:c>
      <x:c r="D22" s="7" t="n">
        <x:f>B22-C22</x:f>
        <x:v>-130600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17200</x:v>
      </x:c>
      <x:c r="C23" s="7" t="n">
        <x:v>6500</x:v>
      </x:c>
      <x:c r="D23" s="7" t="n">
        <x:f>B23-C23</x:f>
        <x:v>10700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24100</x:v>
      </x:c>
      <x:c r="C24" s="7" t="n">
        <x:v>0</x:v>
      </x:c>
      <x:c r="D24" s="7" t="n">
        <x:f>B24-C24</x:f>
        <x:v>24100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39900</x:v>
      </x:c>
      <x:c r="C25" s="7" t="n">
        <x:v>25400</x:v>
      </x:c>
      <x:c r="D25" s="7" t="n">
        <x:f>B25-C25</x:f>
        <x:v>14500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30500</x:v>
      </x:c>
      <x:c r="C26" s="7" t="n">
        <x:v>0</x:v>
      </x:c>
      <x:c r="D26" s="7" t="n">
        <x:f>B26-C26</x:f>
        <x:v>30500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23100</x:v>
      </x:c>
      <x:c r="C27" s="7" t="n">
        <x:v>24600</x:v>
      </x:c>
      <x:c r="D27" s="7" t="n">
        <x:f>B27-C27</x:f>
        <x:v>-1500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21900</x:v>
      </x:c>
      <x:c r="C28" s="7" t="n">
        <x:v>33800</x:v>
      </x:c>
      <x:c r="D28" s="7" t="n">
        <x:f>B28-C28</x:f>
        <x:v>-11900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12100</x:v>
      </x:c>
      <x:c r="C29" s="7" t="n">
        <x:v>0</x:v>
      </x:c>
      <x:c r="D29" s="7" t="n">
        <x:f>B29-C29</x:f>
        <x:v>12100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53900</x:v>
      </x:c>
      <x:c r="C30" s="7" t="n">
        <x:v>29500</x:v>
      </x:c>
      <x:c r="D30" s="7" t="n">
        <x:f>B30-C30</x:f>
        <x:v>24400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22700</x:v>
      </x:c>
      <x:c r="C31" s="7" t="n">
        <x:v>15500</x:v>
      </x:c>
      <x:c r="D31" s="7" t="n">
        <x:f>B31-C31</x:f>
        <x:v>7200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34900</x:v>
      </x:c>
      <x:c r="C32" s="7" t="n">
        <x:v>25400</x:v>
      </x:c>
      <x:c r="D32" s="7" t="n">
        <x:f>B32-C32</x:f>
        <x:v>9500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579800</x:v>
      </x:c>
      <x:c r="C33" s="11" t="n">
        <x:f>SUM(C6:C32)</x:f>
        <x:v>705600</x:v>
      </x:c>
      <x:c r="D33" s="11" t="n">
        <x:f>B33-C33</x:f>
        <x:v>-125800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3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05372b141948c7"/>
  </x:tableParts>
</x:worksheet>
</file>

<file path=xl/worksheets/sheet36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NK225_D168B_07　日中の損益</x:v>
      </x:c>
      <x:c r="B2" s="2"/>
      <x:c r="C2" s="2"/>
      <x:c r="D2" s="2"/>
      <x:c r="E2" s="2"/>
      <x:c r="F2" s="2"/>
    </x:row>
    <x:row r="3" ht="38" customHeight="1">
      <x:c r="A3" s="5" t="str">
        <x:v>半量20円回収・残りは最高利益の半分を守る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2500</x:v>
      </x:c>
      <x:c r="C6" s="7" t="n">
        <x:v>0</x:v>
      </x:c>
      <x:c r="D6" s="7" t="n">
        <x:f>B6-C6</x:f>
        <x:v>2500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1500</x:v>
      </x:c>
      <x:c r="C7" s="7" t="n">
        <x:v>6000</x:v>
      </x:c>
      <x:c r="D7" s="7" t="n">
        <x:f>B7-C7</x:f>
        <x:v>-4500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1500</x:v>
      </x:c>
      <x:c r="C8" s="7" t="n">
        <x:v>0</x:v>
      </x:c>
      <x:c r="D8" s="7" t="n">
        <x:f>B8-C8</x:f>
        <x:v>1500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21200</x:v>
      </x:c>
      <x:c r="C9" s="7" t="n">
        <x:v>16500</x:v>
      </x:c>
      <x:c r="D9" s="7" t="n">
        <x:f>B9-C9</x:f>
        <x:v>4700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23400</x:v>
      </x:c>
      <x:c r="C10" s="7" t="n">
        <x:v>8000</x:v>
      </x:c>
      <x:c r="D10" s="7" t="n">
        <x:f>B10-C10</x:f>
        <x:v>15400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14300</x:v>
      </x:c>
      <x:c r="C11" s="7" t="n">
        <x:v>31500</x:v>
      </x:c>
      <x:c r="D11" s="7" t="n">
        <x:f>B11-C11</x:f>
        <x:v>-17200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23600</x:v>
      </x:c>
      <x:c r="C12" s="7" t="n">
        <x:v>164300</x:v>
      </x:c>
      <x:c r="D12" s="7" t="n">
        <x:f>B12-C12</x:f>
        <x:v>-140700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7200</x:v>
      </x:c>
      <x:c r="C13" s="7" t="n">
        <x:v>2500</x:v>
      </x:c>
      <x:c r="D13" s="7" t="n">
        <x:f>B13-C13</x:f>
        <x:v>4700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21700</x:v>
      </x:c>
      <x:c r="C14" s="7" t="n">
        <x:v>28000</x:v>
      </x:c>
      <x:c r="D14" s="7" t="n">
        <x:f>B14-C14</x:f>
        <x:v>-6300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13200</x:v>
      </x:c>
      <x:c r="C15" s="7" t="n">
        <x:v>6000</x:v>
      </x:c>
      <x:c r="D15" s="7" t="n">
        <x:f>B15-C15</x:f>
        <x:v>7200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21500</x:v>
      </x:c>
      <x:c r="C16" s="7" t="n">
        <x:v>3000</x:v>
      </x:c>
      <x:c r="D16" s="7" t="n">
        <x:f>B16-C16</x:f>
        <x:v>18500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25600</x:v>
      </x:c>
      <x:c r="C17" s="7" t="n">
        <x:v>17500</x:v>
      </x:c>
      <x:c r="D17" s="7" t="n">
        <x:f>B17-C17</x:f>
        <x:v>8100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11500</x:v>
      </x:c>
      <x:c r="C18" s="7" t="n">
        <x:v>37700</x:v>
      </x:c>
      <x:c r="D18" s="7" t="n">
        <x:f>B18-C18</x:f>
        <x:v>-26200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10300</x:v>
      </x:c>
      <x:c r="C19" s="7" t="n">
        <x:v>19000</x:v>
      </x:c>
      <x:c r="D19" s="7" t="n">
        <x:f>B19-C19</x:f>
        <x:v>-8700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77300</x:v>
      </x:c>
      <x:c r="C20" s="7" t="n">
        <x:v>35900</x:v>
      </x:c>
      <x:c r="D20" s="7" t="n">
        <x:f>B20-C20</x:f>
        <x:v>41400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3500</x:v>
      </x:c>
      <x:c r="C21" s="7" t="n">
        <x:v>5000</x:v>
      </x:c>
      <x:c r="D21" s="7" t="n">
        <x:f>B21-C21</x:f>
        <x:v>-1500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29000</x:v>
      </x:c>
      <x:c r="C22" s="7" t="n">
        <x:v>164000</x:v>
      </x:c>
      <x:c r="D22" s="7" t="n">
        <x:f>B22-C22</x:f>
        <x:v>-135000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10000</x:v>
      </x:c>
      <x:c r="C23" s="7" t="n">
        <x:v>6500</x:v>
      </x:c>
      <x:c r="D23" s="7" t="n">
        <x:f>B23-C23</x:f>
        <x:v>3500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20900</x:v>
      </x:c>
      <x:c r="C24" s="7" t="n">
        <x:v>0</x:v>
      </x:c>
      <x:c r="D24" s="7" t="n">
        <x:f>B24-C24</x:f>
        <x:v>20900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36200</x:v>
      </x:c>
      <x:c r="C25" s="7" t="n">
        <x:v>25400</x:v>
      </x:c>
      <x:c r="D25" s="7" t="n">
        <x:f>B25-C25</x:f>
        <x:v>10800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27100</x:v>
      </x:c>
      <x:c r="C26" s="7" t="n">
        <x:v>0</x:v>
      </x:c>
      <x:c r="D26" s="7" t="n">
        <x:f>B26-C26</x:f>
        <x:v>27100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20100</x:v>
      </x:c>
      <x:c r="C27" s="7" t="n">
        <x:v>24600</x:v>
      </x:c>
      <x:c r="D27" s="7" t="n">
        <x:f>B27-C27</x:f>
        <x:v>-4500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20300</x:v>
      </x:c>
      <x:c r="C28" s="7" t="n">
        <x:v>33800</x:v>
      </x:c>
      <x:c r="D28" s="7" t="n">
        <x:f>B28-C28</x:f>
        <x:v>-13500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17100</x:v>
      </x:c>
      <x:c r="C29" s="7" t="n">
        <x:v>0</x:v>
      </x:c>
      <x:c r="D29" s="7" t="n">
        <x:f>B29-C29</x:f>
        <x:v>17100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50000</x:v>
      </x:c>
      <x:c r="C30" s="7" t="n">
        <x:v>29500</x:v>
      </x:c>
      <x:c r="D30" s="7" t="n">
        <x:f>B30-C30</x:f>
        <x:v>20500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19500</x:v>
      </x:c>
      <x:c r="C31" s="7" t="n">
        <x:v>15500</x:v>
      </x:c>
      <x:c r="D31" s="7" t="n">
        <x:f>B31-C31</x:f>
        <x:v>4000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33400</x:v>
      </x:c>
      <x:c r="C32" s="7" t="n">
        <x:v>25400</x:v>
      </x:c>
      <x:c r="D32" s="7" t="n">
        <x:f>B32-C32</x:f>
        <x:v>8000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563400</x:v>
      </x:c>
      <x:c r="C33" s="11" t="n">
        <x:f>SUM(C6:C32)</x:f>
        <x:v>705600</x:v>
      </x:c>
      <x:c r="D33" s="11" t="n">
        <x:f>B33-C33</x:f>
        <x:v>-142200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3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9a1725c09645fe"/>
  </x:tableParts>
</x:worksheet>
</file>

<file path=xl/worksheets/sheet37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NK225_D168B_08　日中の損益</x:v>
      </x:c>
      <x:c r="B2" s="2"/>
      <x:c r="C2" s="2"/>
      <x:c r="D2" s="2"/>
      <x:c r="E2" s="2"/>
      <x:c r="F2" s="2"/>
    </x:row>
    <x:row r="3" ht="38" customHeight="1">
      <x:c r="A3" s="5" t="str">
        <x:v>8割20円回収・残りは最高利益の半分を守る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2800</x:v>
      </x:c>
      <x:c r="C6" s="7" t="n">
        <x:v>0</x:v>
      </x:c>
      <x:c r="D6" s="7" t="n">
        <x:f>B6-C6</x:f>
        <x:v>2800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1800</x:v>
      </x:c>
      <x:c r="C7" s="7" t="n">
        <x:v>6000</x:v>
      </x:c>
      <x:c r="D7" s="7" t="n">
        <x:f>B7-C7</x:f>
        <x:v>-4200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1800</x:v>
      </x:c>
      <x:c r="C8" s="7" t="n">
        <x:v>0</x:v>
      </x:c>
      <x:c r="D8" s="7" t="n">
        <x:f>B8-C8</x:f>
        <x:v>1800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25500</x:v>
      </x:c>
      <x:c r="C9" s="7" t="n">
        <x:v>16500</x:v>
      </x:c>
      <x:c r="D9" s="7" t="n">
        <x:f>B9-C9</x:f>
        <x:v>9000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22800</x:v>
      </x:c>
      <x:c r="C10" s="7" t="n">
        <x:v>8000</x:v>
      </x:c>
      <x:c r="D10" s="7" t="n">
        <x:f>B10-C10</x:f>
        <x:v>14800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16400</x:v>
      </x:c>
      <x:c r="C11" s="7" t="n">
        <x:v>31500</x:v>
      </x:c>
      <x:c r="D11" s="7" t="n">
        <x:f>B11-C11</x:f>
        <x:v>-15100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27900</x:v>
      </x:c>
      <x:c r="C12" s="7" t="n">
        <x:v>164300</x:v>
      </x:c>
      <x:c r="D12" s="7" t="n">
        <x:f>B12-C12</x:f>
        <x:v>-136400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7800</x:v>
      </x:c>
      <x:c r="C13" s="7" t="n">
        <x:v>2500</x:v>
      </x:c>
      <x:c r="D13" s="7" t="n">
        <x:f>B13-C13</x:f>
        <x:v>5300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25900</x:v>
      </x:c>
      <x:c r="C14" s="7" t="n">
        <x:v>28000</x:v>
      </x:c>
      <x:c r="D14" s="7" t="n">
        <x:f>B14-C14</x:f>
        <x:v>-2100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13800</x:v>
      </x:c>
      <x:c r="C15" s="7" t="n">
        <x:v>6000</x:v>
      </x:c>
      <x:c r="D15" s="7" t="n">
        <x:f>B15-C15</x:f>
        <x:v>7800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24800</x:v>
      </x:c>
      <x:c r="C16" s="7" t="n">
        <x:v>3000</x:v>
      </x:c>
      <x:c r="D16" s="7" t="n">
        <x:f>B16-C16</x:f>
        <x:v>21800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30200</x:v>
      </x:c>
      <x:c r="C17" s="7" t="n">
        <x:v>17500</x:v>
      </x:c>
      <x:c r="D17" s="7" t="n">
        <x:f>B17-C17</x:f>
        <x:v>12700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13300</x:v>
      </x:c>
      <x:c r="C18" s="7" t="n">
        <x:v>37700</x:v>
      </x:c>
      <x:c r="D18" s="7" t="n">
        <x:f>B18-C18</x:f>
        <x:v>-24400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10900</x:v>
      </x:c>
      <x:c r="C19" s="7" t="n">
        <x:v>19000</x:v>
      </x:c>
      <x:c r="D19" s="7" t="n">
        <x:f>B19-C19</x:f>
        <x:v>-8100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46600</x:v>
      </x:c>
      <x:c r="C20" s="7" t="n">
        <x:v>35900</x:v>
      </x:c>
      <x:c r="D20" s="7" t="n">
        <x:f>B20-C20</x:f>
        <x:v>10700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3800</x:v>
      </x:c>
      <x:c r="C21" s="7" t="n">
        <x:v>5000</x:v>
      </x:c>
      <x:c r="D21" s="7" t="n">
        <x:f>B21-C21</x:f>
        <x:v>-1200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33400</x:v>
      </x:c>
      <x:c r="C22" s="7" t="n">
        <x:v>164000</x:v>
      </x:c>
      <x:c r="D22" s="7" t="n">
        <x:f>B22-C22</x:f>
        <x:v>-130600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9600</x:v>
      </x:c>
      <x:c r="C23" s="7" t="n">
        <x:v>6500</x:v>
      </x:c>
      <x:c r="D23" s="7" t="n">
        <x:f>B23-C23</x:f>
        <x:v>3100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24100</x:v>
      </x:c>
      <x:c r="C24" s="7" t="n">
        <x:v>0</x:v>
      </x:c>
      <x:c r="D24" s="7" t="n">
        <x:f>B24-C24</x:f>
        <x:v>24100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40200</x:v>
      </x:c>
      <x:c r="C25" s="7" t="n">
        <x:v>25400</x:v>
      </x:c>
      <x:c r="D25" s="7" t="n">
        <x:f>B25-C25</x:f>
        <x:v>14800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30500</x:v>
      </x:c>
      <x:c r="C26" s="7" t="n">
        <x:v>0</x:v>
      </x:c>
      <x:c r="D26" s="7" t="n">
        <x:f>B26-C26</x:f>
        <x:v>30500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23100</x:v>
      </x:c>
      <x:c r="C27" s="7" t="n">
        <x:v>24600</x:v>
      </x:c>
      <x:c r="D27" s="7" t="n">
        <x:f>B27-C27</x:f>
        <x:v>-1500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21400</x:v>
      </x:c>
      <x:c r="C28" s="7" t="n">
        <x:v>33800</x:v>
      </x:c>
      <x:c r="D28" s="7" t="n">
        <x:f>B28-C28</x:f>
        <x:v>-12400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12200</x:v>
      </x:c>
      <x:c r="C29" s="7" t="n">
        <x:v>0</x:v>
      </x:c>
      <x:c r="D29" s="7" t="n">
        <x:f>B29-C29</x:f>
        <x:v>12200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54100</x:v>
      </x:c>
      <x:c r="C30" s="7" t="n">
        <x:v>29500</x:v>
      </x:c>
      <x:c r="D30" s="7" t="n">
        <x:f>B30-C30</x:f>
        <x:v>24600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22700</x:v>
      </x:c>
      <x:c r="C31" s="7" t="n">
        <x:v>15500</x:v>
      </x:c>
      <x:c r="D31" s="7" t="n">
        <x:f>B31-C31</x:f>
        <x:v>7200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35200</x:v>
      </x:c>
      <x:c r="C32" s="7" t="n">
        <x:v>25400</x:v>
      </x:c>
      <x:c r="D32" s="7" t="n">
        <x:f>B32-C32</x:f>
        <x:v>9800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582600</x:v>
      </x:c>
      <x:c r="C33" s="11" t="n">
        <x:f>SUM(C6:C32)</x:f>
        <x:v>705600</x:v>
      </x:c>
      <x:c r="D33" s="11" t="n">
        <x:f>B33-C33</x:f>
        <x:v>-123000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3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90505e7ba9d432f"/>
  </x:tableParts>
</x:worksheet>
</file>

<file path=xl/worksheets/sheet38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NK225_D168B_09　日中の損益</x:v>
      </x:c>
      <x:c r="B2" s="2"/>
      <x:c r="C2" s="2"/>
      <x:c r="D2" s="2"/>
      <x:c r="E2" s="2"/>
      <x:c r="F2" s="2"/>
    </x:row>
    <x:row r="3" ht="38" customHeight="1">
      <x:c r="A3" s="5" t="str">
        <x:v>実逆行を経た玉の10円利益床・240円猶予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2000</x:v>
      </x:c>
      <x:c r="C6" s="7" t="n">
        <x:v>0</x:v>
      </x:c>
      <x:c r="D6" s="7" t="n">
        <x:f>B6-C6</x:f>
        <x:v>2000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0</x:v>
      </x:c>
      <x:c r="C7" s="7" t="n">
        <x:v>30000</x:v>
      </x:c>
      <x:c r="D7" s="7" t="n">
        <x:f>B7-C7</x:f>
        <x:v>-30000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10000</x:v>
      </x:c>
      <x:c r="C8" s="7" t="n">
        <x:v>0</x:v>
      </x:c>
      <x:c r="D8" s="7" t="n">
        <x:f>B8-C8</x:f>
        <x:v>10000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31600</x:v>
      </x:c>
      <x:c r="C9" s="7" t="n">
        <x:v>0</x:v>
      </x:c>
      <x:c r="D9" s="7" t="n">
        <x:f>B9-C9</x:f>
        <x:v>31600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56600</x:v>
      </x:c>
      <x:c r="C10" s="7" t="n">
        <x:v>0</x:v>
      </x:c>
      <x:c r="D10" s="7" t="n">
        <x:f>B10-C10</x:f>
        <x:v>56600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14900</x:v>
      </x:c>
      <x:c r="C11" s="7" t="n">
        <x:v>102200</x:v>
      </x:c>
      <x:c r="D11" s="7" t="n">
        <x:f>B11-C11</x:f>
        <x:v>-87300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16000</x:v>
      </x:c>
      <x:c r="C12" s="7" t="n">
        <x:v>242400</x:v>
      </x:c>
      <x:c r="D12" s="7" t="n">
        <x:f>B12-C12</x:f>
        <x:v>-226400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6700</x:v>
      </x:c>
      <x:c r="C13" s="7" t="n">
        <x:v>0</x:v>
      </x:c>
      <x:c r="D13" s="7" t="n">
        <x:f>B13-C13</x:f>
        <x:v>6700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18100</x:v>
      </x:c>
      <x:c r="C14" s="7" t="n">
        <x:v>79200</x:v>
      </x:c>
      <x:c r="D14" s="7" t="n">
        <x:f>B14-C14</x:f>
        <x:v>-61100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21600</x:v>
      </x:c>
      <x:c r="C15" s="7" t="n">
        <x:v>0</x:v>
      </x:c>
      <x:c r="D15" s="7" t="n">
        <x:f>B15-C15</x:f>
        <x:v>21600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11600</x:v>
      </x:c>
      <x:c r="C16" s="7" t="n">
        <x:v>86600</x:v>
      </x:c>
      <x:c r="D16" s="7" t="n">
        <x:f>B16-C16</x:f>
        <x:v>-75000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34300</x:v>
      </x:c>
      <x:c r="C17" s="7" t="n">
        <x:v>36000</x:v>
      </x:c>
      <x:c r="D17" s="7" t="n">
        <x:f>B17-C17</x:f>
        <x:v>-1700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14200</x:v>
      </x:c>
      <x:c r="C18" s="7" t="n">
        <x:v>69600</x:v>
      </x:c>
      <x:c r="D18" s="7" t="n">
        <x:f>B18-C18</x:f>
        <x:v>-55400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13400</x:v>
      </x:c>
      <x:c r="C19" s="7" t="n">
        <x:v>60000</x:v>
      </x:c>
      <x:c r="D19" s="7" t="n">
        <x:f>B19-C19</x:f>
        <x:v>-46600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87100</x:v>
      </x:c>
      <x:c r="C20" s="7" t="n">
        <x:v>43500</x:v>
      </x:c>
      <x:c r="D20" s="7" t="n">
        <x:f>B20-C20</x:f>
        <x:v>43600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3000</x:v>
      </x:c>
      <x:c r="C21" s="7" t="n">
        <x:v>5000</x:v>
      </x:c>
      <x:c r="D21" s="7" t="n">
        <x:f>B21-C21</x:f>
        <x:v>-2000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76300</x:v>
      </x:c>
      <x:c r="C22" s="7" t="n">
        <x:v>136000</x:v>
      </x:c>
      <x:c r="D22" s="7" t="n">
        <x:f>B22-C22</x:f>
        <x:v>-59700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45000</x:v>
      </x:c>
      <x:c r="C23" s="7" t="n">
        <x:v>31200</x:v>
      </x:c>
      <x:c r="D23" s="7" t="n">
        <x:f>B23-C23</x:f>
        <x:v>13800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11700</x:v>
      </x:c>
      <x:c r="C24" s="7" t="n">
        <x:v>24000</x:v>
      </x:c>
      <x:c r="D24" s="7" t="n">
        <x:f>B24-C24</x:f>
        <x:v>-12300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76800</x:v>
      </x:c>
      <x:c r="C25" s="7" t="n">
        <x:v>37800</x:v>
      </x:c>
      <x:c r="D25" s="7" t="n">
        <x:f>B25-C25</x:f>
        <x:v>39000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26900</x:v>
      </x:c>
      <x:c r="C26" s="7" t="n">
        <x:v>0</x:v>
      </x:c>
      <x:c r="D26" s="7" t="n">
        <x:f>B26-C26</x:f>
        <x:v>26900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23100</x:v>
      </x:c>
      <x:c r="C27" s="7" t="n">
        <x:v>15300</x:v>
      </x:c>
      <x:c r="D27" s="7" t="n">
        <x:f>B27-C27</x:f>
        <x:v>7800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21100</x:v>
      </x:c>
      <x:c r="C28" s="7" t="n">
        <x:v>75400</x:v>
      </x:c>
      <x:c r="D28" s="7" t="n">
        <x:f>B28-C28</x:f>
        <x:v>-54300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26300</x:v>
      </x:c>
      <x:c r="C29" s="7" t="n">
        <x:v>0</x:v>
      </x:c>
      <x:c r="D29" s="7" t="n">
        <x:f>B29-C29</x:f>
        <x:v>26300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56400</x:v>
      </x:c>
      <x:c r="C30" s="7" t="n">
        <x:v>0</x:v>
      </x:c>
      <x:c r="D30" s="7" t="n">
        <x:f>B30-C30</x:f>
        <x:v>56400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12900</x:v>
      </x:c>
      <x:c r="C31" s="7" t="n">
        <x:v>35000</x:v>
      </x:c>
      <x:c r="D31" s="7" t="n">
        <x:f>B31-C31</x:f>
        <x:v>-22100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48400</x:v>
      </x:c>
      <x:c r="C32" s="7" t="n">
        <x:v>64800</x:v>
      </x:c>
      <x:c r="D32" s="7" t="n">
        <x:f>B32-C32</x:f>
        <x:v>-16400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766000</x:v>
      </x:c>
      <x:c r="C33" s="11" t="n">
        <x:f>SUM(C6:C32)</x:f>
        <x:v>1174000</x:v>
      </x:c>
      <x:c r="D33" s="11" t="n">
        <x:f>B33-C33</x:f>
        <x:v>-408000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3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f7cfff878c54cdf"/>
  </x:tableParts>
</x:worksheet>
</file>

<file path=xl/worksheets/sheet39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NK225_D168B_10　日中の損益</x:v>
      </x:c>
      <x:c r="B2" s="2"/>
      <x:c r="C2" s="2"/>
      <x:c r="D2" s="2"/>
      <x:c r="E2" s="2"/>
      <x:c r="F2" s="2"/>
    </x:row>
    <x:row r="3" ht="38" customHeight="1">
      <x:c r="A3" s="5" t="str">
        <x:v>240円まで猶予し10円利益を直接回収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2000</x:v>
      </x:c>
      <x:c r="C6" s="7" t="n">
        <x:v>0</x:v>
      </x:c>
      <x:c r="D6" s="7" t="n">
        <x:f>B6-C6</x:f>
        <x:v>2000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1000</x:v>
      </x:c>
      <x:c r="C7" s="7" t="n">
        <x:v>6000</x:v>
      </x:c>
      <x:c r="D7" s="7" t="n">
        <x:f>B7-C7</x:f>
        <x:v>-5000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1000</x:v>
      </x:c>
      <x:c r="C8" s="7" t="n">
        <x:v>0</x:v>
      </x:c>
      <x:c r="D8" s="7" t="n">
        <x:f>B8-C8</x:f>
        <x:v>1000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17500</x:v>
      </x:c>
      <x:c r="C9" s="7" t="n">
        <x:v>0</x:v>
      </x:c>
      <x:c r="D9" s="7" t="n">
        <x:f>B9-C9</x:f>
        <x:v>17500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12300</x:v>
      </x:c>
      <x:c r="C10" s="7" t="n">
        <x:v>0</x:v>
      </x:c>
      <x:c r="D10" s="7" t="n">
        <x:f>B10-C10</x:f>
        <x:v>12300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9500</x:v>
      </x:c>
      <x:c r="C11" s="7" t="n">
        <x:v>47000</x:v>
      </x:c>
      <x:c r="D11" s="7" t="n">
        <x:f>B11-C11</x:f>
        <x:v>-37500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14000</x:v>
      </x:c>
      <x:c r="C12" s="7" t="n">
        <x:v>218400</x:v>
      </x:c>
      <x:c r="D12" s="7" t="n">
        <x:f>B12-C12</x:f>
        <x:v>-204400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4100</x:v>
      </x:c>
      <x:c r="C13" s="7" t="n">
        <x:v>0</x:v>
      </x:c>
      <x:c r="D13" s="7" t="n">
        <x:f>B13-C13</x:f>
        <x:v>4100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21400</x:v>
      </x:c>
      <x:c r="C14" s="7" t="n">
        <x:v>0</x:v>
      </x:c>
      <x:c r="D14" s="7" t="n">
        <x:f>B14-C14</x:f>
        <x:v>21400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8800</x:v>
      </x:c>
      <x:c r="C15" s="7" t="n">
        <x:v>0</x:v>
      </x:c>
      <x:c r="D15" s="7" t="n">
        <x:f>B15-C15</x:f>
        <x:v>8800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10300</x:v>
      </x:c>
      <x:c r="C16" s="7" t="n">
        <x:v>0</x:v>
      </x:c>
      <x:c r="D16" s="7" t="n">
        <x:f>B16-C16</x:f>
        <x:v>10300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12600</x:v>
      </x:c>
      <x:c r="C17" s="7" t="n">
        <x:v>24000</x:v>
      </x:c>
      <x:c r="D17" s="7" t="n">
        <x:f>B17-C17</x:f>
        <x:v>-11400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4400</x:v>
      </x:c>
      <x:c r="C18" s="7" t="n">
        <x:v>69600</x:v>
      </x:c>
      <x:c r="D18" s="7" t="n">
        <x:f>B18-C18</x:f>
        <x:v>-65200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5100</x:v>
      </x:c>
      <x:c r="C19" s="7" t="n">
        <x:v>60000</x:v>
      </x:c>
      <x:c r="D19" s="7" t="n">
        <x:f>B19-C19</x:f>
        <x:v>-54900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13500</x:v>
      </x:c>
      <x:c r="C20" s="7" t="n">
        <x:v>36000</x:v>
      </x:c>
      <x:c r="D20" s="7" t="n">
        <x:f>B20-C20</x:f>
        <x:v>-22500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1000</x:v>
      </x:c>
      <x:c r="C21" s="7" t="n">
        <x:v>5000</x:v>
      </x:c>
      <x:c r="D21" s="7" t="n">
        <x:f>B21-C21</x:f>
        <x:v>-4000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23500</x:v>
      </x:c>
      <x:c r="C22" s="7" t="n">
        <x:v>90400</x:v>
      </x:c>
      <x:c r="D22" s="7" t="n">
        <x:f>B22-C22</x:f>
        <x:v>-66900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7300</x:v>
      </x:c>
      <x:c r="C23" s="7" t="n">
        <x:v>0</x:v>
      </x:c>
      <x:c r="D23" s="7" t="n">
        <x:f>B23-C23</x:f>
        <x:v>7300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15800</x:v>
      </x:c>
      <x:c r="C24" s="7" t="n">
        <x:v>0</x:v>
      </x:c>
      <x:c r="D24" s="7" t="n">
        <x:f>B24-C24</x:f>
        <x:v>15800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29600</x:v>
      </x:c>
      <x:c r="C25" s="7" t="n">
        <x:v>13800</x:v>
      </x:c>
      <x:c r="D25" s="7" t="n">
        <x:f>B25-C25</x:f>
        <x:v>15800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11300</x:v>
      </x:c>
      <x:c r="C26" s="7" t="n">
        <x:v>0</x:v>
      </x:c>
      <x:c r="D26" s="7" t="n">
        <x:f>B26-C26</x:f>
        <x:v>11300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17300</x:v>
      </x:c>
      <x:c r="C27" s="7" t="n">
        <x:v>15300</x:v>
      </x:c>
      <x:c r="D27" s="7" t="n">
        <x:f>B27-C27</x:f>
        <x:v>2000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18900</x:v>
      </x:c>
      <x:c r="C28" s="7" t="n">
        <x:v>12000</x:v>
      </x:c>
      <x:c r="D28" s="7" t="n">
        <x:f>B28-C28</x:f>
        <x:v>6900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4300</x:v>
      </x:c>
      <x:c r="C29" s="7" t="n">
        <x:v>0</x:v>
      </x:c>
      <x:c r="D29" s="7" t="n">
        <x:f>B29-C29</x:f>
        <x:v>4300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24700</x:v>
      </x:c>
      <x:c r="C30" s="7" t="n">
        <x:v>0</x:v>
      </x:c>
      <x:c r="D30" s="7" t="n">
        <x:f>B30-C30</x:f>
        <x:v>24700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14600</x:v>
      </x:c>
      <x:c r="C31" s="7" t="n">
        <x:v>0</x:v>
      </x:c>
      <x:c r="D31" s="7" t="n">
        <x:f>B31-C31</x:f>
        <x:v>14600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22900</x:v>
      </x:c>
      <x:c r="C32" s="7" t="n">
        <x:v>64800</x:v>
      </x:c>
      <x:c r="D32" s="7" t="n">
        <x:f>B32-C32</x:f>
        <x:v>-41900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328700</x:v>
      </x:c>
      <x:c r="C33" s="11" t="n">
        <x:f>SUM(C6:C32)</x:f>
        <x:v>662300</x:v>
      </x:c>
      <x:c r="D33" s="11" t="n">
        <x:f>B33-C33</x:f>
        <x:v>-333600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3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d78eed5762a4f90"/>
  </x:tableParts>
</x:worksheet>
</file>

<file path=xl/worksheets/sheet40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NK225_D168B_11　日中の損益</x:v>
      </x:c>
      <x:c r="B2" s="2"/>
      <x:c r="C2" s="2"/>
      <x:c r="D2" s="2"/>
      <x:c r="E2" s="2"/>
      <x:c r="F2" s="2"/>
    </x:row>
    <x:row r="3" ht="38" customHeight="1">
      <x:c r="A3" s="5" t="str">
        <x:v>240円まで猶予し20円利益を直接回収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3000</x:v>
      </x:c>
      <x:c r="C6" s="7" t="n">
        <x:v>0</x:v>
      </x:c>
      <x:c r="D6" s="7" t="n">
        <x:f>B6-C6</x:f>
        <x:v>3000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2000</x:v>
      </x:c>
      <x:c r="C7" s="7" t="n">
        <x:v>6000</x:v>
      </x:c>
      <x:c r="D7" s="7" t="n">
        <x:f>B7-C7</x:f>
        <x:v>-4000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2000</x:v>
      </x:c>
      <x:c r="C8" s="7" t="n">
        <x:v>0</x:v>
      </x:c>
      <x:c r="D8" s="7" t="n">
        <x:f>B8-C8</x:f>
        <x:v>2000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34100</x:v>
      </x:c>
      <x:c r="C9" s="7" t="n">
        <x:v>0</x:v>
      </x:c>
      <x:c r="D9" s="7" t="n">
        <x:f>B9-C9</x:f>
        <x:v>34100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24600</x:v>
      </x:c>
      <x:c r="C10" s="7" t="n">
        <x:v>0</x:v>
      </x:c>
      <x:c r="D10" s="7" t="n">
        <x:f>B10-C10</x:f>
        <x:v>24600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17900</x:v>
      </x:c>
      <x:c r="C11" s="7" t="n">
        <x:v>102200</x:v>
      </x:c>
      <x:c r="D11" s="7" t="n">
        <x:f>B11-C11</x:f>
        <x:v>-84300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32000</x:v>
      </x:c>
      <x:c r="C12" s="7" t="n">
        <x:v>218400</x:v>
      </x:c>
      <x:c r="D12" s="7" t="n">
        <x:f>B12-C12</x:f>
        <x:v>-186400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9200</x:v>
      </x:c>
      <x:c r="C13" s="7" t="n">
        <x:v>0</x:v>
      </x:c>
      <x:c r="D13" s="7" t="n">
        <x:f>B13-C13</x:f>
        <x:v>9200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28800</x:v>
      </x:c>
      <x:c r="C14" s="7" t="n">
        <x:v>48000</x:v>
      </x:c>
      <x:c r="D14" s="7" t="n">
        <x:f>B14-C14</x:f>
        <x:v>-19200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16600</x:v>
      </x:c>
      <x:c r="C15" s="7" t="n">
        <x:v>0</x:v>
      </x:c>
      <x:c r="D15" s="7" t="n">
        <x:f>B15-C15</x:f>
        <x:v>16600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28900</x:v>
      </x:c>
      <x:c r="C16" s="7" t="n">
        <x:v>0</x:v>
      </x:c>
      <x:c r="D16" s="7" t="n">
        <x:f>B16-C16</x:f>
        <x:v>28900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36200</x:v>
      </x:c>
      <x:c r="C17" s="7" t="n">
        <x:v>24000</x:v>
      </x:c>
      <x:c r="D17" s="7" t="n">
        <x:f>B17-C17</x:f>
        <x:v>12200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14800</x:v>
      </x:c>
      <x:c r="C18" s="7" t="n">
        <x:v>69600</x:v>
      </x:c>
      <x:c r="D18" s="7" t="n">
        <x:f>B18-C18</x:f>
        <x:v>-54800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11300</x:v>
      </x:c>
      <x:c r="C19" s="7" t="n">
        <x:v>60000</x:v>
      </x:c>
      <x:c r="D19" s="7" t="n">
        <x:f>B19-C19</x:f>
        <x:v>-48700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28600</x:v>
      </x:c>
      <x:c r="C20" s="7" t="n">
        <x:v>36000</x:v>
      </x:c>
      <x:c r="D20" s="7" t="n">
        <x:f>B20-C20</x:f>
        <x:v>-7400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4000</x:v>
      </x:c>
      <x:c r="C21" s="7" t="n">
        <x:v>5000</x:v>
      </x:c>
      <x:c r="D21" s="7" t="n">
        <x:f>B21-C21</x:f>
        <x:v>-1000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46600</x:v>
      </x:c>
      <x:c r="C22" s="7" t="n">
        <x:v>136000</x:v>
      </x:c>
      <x:c r="D22" s="7" t="n">
        <x:f>B22-C22</x:f>
        <x:v>-89400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9300</x:v>
      </x:c>
      <x:c r="C23" s="7" t="n">
        <x:v>31200</x:v>
      </x:c>
      <x:c r="D23" s="7" t="n">
        <x:f>B23-C23</x:f>
        <x:v>-21900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26300</x:v>
      </x:c>
      <x:c r="C24" s="7" t="n">
        <x:v>0</x:v>
      </x:c>
      <x:c r="D24" s="7" t="n">
        <x:f>B24-C24</x:f>
        <x:v>26300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49800</x:v>
      </x:c>
      <x:c r="C25" s="7" t="n">
        <x:v>13800</x:v>
      </x:c>
      <x:c r="D25" s="7" t="n">
        <x:f>B25-C25</x:f>
        <x:v>36000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33000</x:v>
      </x:c>
      <x:c r="C26" s="7" t="n">
        <x:v>0</x:v>
      </x:c>
      <x:c r="D26" s="7" t="n">
        <x:f>B26-C26</x:f>
        <x:v>33000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26200</x:v>
      </x:c>
      <x:c r="C27" s="7" t="n">
        <x:v>15300</x:v>
      </x:c>
      <x:c r="D27" s="7" t="n">
        <x:f>B27-C27</x:f>
        <x:v>10900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25200</x:v>
      </x:c>
      <x:c r="C28" s="7" t="n">
        <x:v>44200</x:v>
      </x:c>
      <x:c r="D28" s="7" t="n">
        <x:f>B28-C28</x:f>
        <x:v>-19000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8600</x:v>
      </x:c>
      <x:c r="C29" s="7" t="n">
        <x:v>0</x:v>
      </x:c>
      <x:c r="D29" s="7" t="n">
        <x:f>B29-C29</x:f>
        <x:v>8600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62000</x:v>
      </x:c>
      <x:c r="C30" s="7" t="n">
        <x:v>0</x:v>
      </x:c>
      <x:c r="D30" s="7" t="n">
        <x:f>B30-C30</x:f>
        <x:v>62000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26400</x:v>
      </x:c>
      <x:c r="C31" s="7" t="n">
        <x:v>12000</x:v>
      </x:c>
      <x:c r="D31" s="7" t="n">
        <x:f>B31-C31</x:f>
        <x:v>14400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38700</x:v>
      </x:c>
      <x:c r="C32" s="7" t="n">
        <x:v>64800</x:v>
      </x:c>
      <x:c r="D32" s="7" t="n">
        <x:f>B32-C32</x:f>
        <x:v>-26100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646100</x:v>
      </x:c>
      <x:c r="C33" s="11" t="n">
        <x:f>SUM(C6:C32)</x:f>
        <x:v>886500</x:v>
      </x:c>
      <x:c r="D33" s="11" t="n">
        <x:f>B33-C33</x:f>
        <x:v>-240400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3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ae3874137c4a2a"/>
  </x:tableParts>
</x:worksheet>
</file>

<file path=xl/worksheets/sheet41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NK225_D168B_12　日中の損益</x:v>
      </x:c>
      <x:c r="B2" s="2"/>
      <x:c r="C2" s="2"/>
      <x:c r="D2" s="2"/>
      <x:c r="E2" s="2"/>
      <x:c r="F2" s="2"/>
    </x:row>
    <x:row r="3" ht="38" customHeight="1">
      <x:c r="A3" s="5" t="str">
        <x:v>240円猶予・大枚数ほど浅い金額基準の直接回収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8000</x:v>
      </x:c>
      <x:c r="C6" s="7" t="n">
        <x:v>0</x:v>
      </x:c>
      <x:c r="D6" s="7" t="n">
        <x:f>B6-C6</x:f>
        <x:v>8000</x:v>
      </x:c>
      <x:c r="E6" s="12" t="n">
        <x:v>20</x:v>
      </x:c>
      <x:c r="F6" s="14" t="n">
        <x:f>E6/10</x:f>
        <x:v>2</x:v>
      </x:c>
    </x:row>
    <x:row r="7" ht="25" customHeight="1">
      <x:c r="A7" s="2" t="str">
        <x:v>2026-09-22_Day</x:v>
      </x:c>
      <x:c r="B7" s="7" t="n">
        <x:v>0</x:v>
      </x:c>
      <x:c r="C7" s="7" t="n">
        <x:v>30000</x:v>
      </x:c>
      <x:c r="D7" s="7" t="n">
        <x:f>B7-C7</x:f>
        <x:v>-30000</x:v>
      </x:c>
      <x:c r="E7" s="12" t="n">
        <x:v>20</x:v>
      </x:c>
      <x:c r="F7" s="14" t="n">
        <x:f>E7/10</x:f>
        <x:v>2</x:v>
      </x:c>
    </x:row>
    <x:row r="8" ht="25" customHeight="1">
      <x:c r="A8" s="2" t="str">
        <x:v>2026-09-23_Day</x:v>
      </x:c>
      <x:c r="B8" s="7" t="n">
        <x:v>4000</x:v>
      </x:c>
      <x:c r="C8" s="7" t="n">
        <x:v>0</x:v>
      </x:c>
      <x:c r="D8" s="7" t="n">
        <x:f>B8-C8</x:f>
        <x:v>4000</x:v>
      </x:c>
      <x:c r="E8" s="12" t="n">
        <x:v>10</x:v>
      </x:c>
      <x:c r="F8" s="14" t="n">
        <x:f>E8/10</x:f>
        <x:v>1</x:v>
      </x:c>
    </x:row>
    <x:row r="9" ht="25" customHeight="1">
      <x:c r="A9" s="2" t="str">
        <x:v>2026-09-24_Day</x:v>
      </x:c>
      <x:c r="B9" s="7" t="n">
        <x:v>49200</x:v>
      </x:c>
      <x:c r="C9" s="7" t="n">
        <x:v>0</x:v>
      </x:c>
      <x:c r="D9" s="7" t="n">
        <x:f>B9-C9</x:f>
        <x:v>49200</x:v>
      </x:c>
      <x:c r="E9" s="12" t="n">
        <x:v>175</x:v>
      </x:c>
      <x:c r="F9" s="14" t="n">
        <x:f>E9/10</x:f>
        <x:v>17.5</x:v>
      </x:c>
    </x:row>
    <x:row r="10" ht="25" customHeight="1">
      <x:c r="A10" s="2" t="str">
        <x:v>2026-09-25_Day</x:v>
      </x:c>
      <x:c r="B10" s="7" t="n">
        <x:v>19800</x:v>
      </x:c>
      <x:c r="C10" s="7" t="n">
        <x:v>16000</x:v>
      </x:c>
      <x:c r="D10" s="7" t="n">
        <x:f>B10-C10</x:f>
        <x:v>3800</x:v>
      </x:c>
      <x:c r="E10" s="12" t="n">
        <x:v>123</x:v>
      </x:c>
      <x:c r="F10" s="14" t="n">
        <x:f>E10/10</x:f>
        <x:v>12.3</x:v>
      </x:c>
    </x:row>
    <x:row r="11" ht="25" customHeight="1">
      <x:c r="A11" s="2" t="str">
        <x:v>2026-09-28_Day</x:v>
      </x:c>
      <x:c r="B11" s="7" t="n">
        <x:v>21900</x:v>
      </x:c>
      <x:c r="C11" s="7" t="n">
        <x:v>126200</x:v>
      </x:c>
      <x:c r="D11" s="7" t="n">
        <x:f>B11-C11</x:f>
        <x:v>-104300</x:v>
      </x:c>
      <x:c r="E11" s="12" t="n">
        <x:v>135</x:v>
      </x:c>
      <x:c r="F11" s="14" t="n">
        <x:f>E11/10</x:f>
        <x:v>13.5</x:v>
      </x:c>
    </x:row>
    <x:row r="12" ht="25" customHeight="1">
      <x:c r="A12" s="2" t="str">
        <x:v>2026-09-29_Day</x:v>
      </x:c>
      <x:c r="B12" s="7" t="n">
        <x:v>54200</x:v>
      </x:c>
      <x:c r="C12" s="7" t="n">
        <x:v>242400</x:v>
      </x:c>
      <x:c r="D12" s="7" t="n">
        <x:f>B12-C12</x:f>
        <x:v>-188200</x:v>
      </x:c>
      <x:c r="E12" s="12" t="n">
        <x:v>251</x:v>
      </x:c>
      <x:c r="F12" s="14" t="n">
        <x:f>E12/10</x:f>
        <x:v>25.1</x:v>
      </x:c>
    </x:row>
    <x:row r="13" ht="25" customHeight="1">
      <x:c r="A13" s="2" t="str">
        <x:v>2026-09-30_Day</x:v>
      </x:c>
      <x:c r="B13" s="7" t="n">
        <x:v>16400</x:v>
      </x:c>
      <x:c r="C13" s="7" t="n">
        <x:v>24000</x:v>
      </x:c>
      <x:c r="D13" s="7" t="n">
        <x:f>B13-C13</x:f>
        <x:v>-7600</x:v>
      </x:c>
      <x:c r="E13" s="12" t="n">
        <x:v>51</x:v>
      </x:c>
      <x:c r="F13" s="14" t="n">
        <x:f>E13/10</x:f>
        <x:v>5.1</x:v>
      </x:c>
    </x:row>
    <x:row r="14" ht="25" customHeight="1">
      <x:c r="A14" s="2" t="str">
        <x:v>2026-10-01_Day</x:v>
      </x:c>
      <x:c r="B14" s="7" t="n">
        <x:v>21100</x:v>
      </x:c>
      <x:c r="C14" s="7" t="n">
        <x:v>79200</x:v>
      </x:c>
      <x:c r="D14" s="7" t="n">
        <x:f>B14-C14</x:f>
        <x:v>-58100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2026-10-02_Day</x:v>
      </x:c>
      <x:c r="B15" s="7" t="n">
        <x:v>32800</x:v>
      </x:c>
      <x:c r="C15" s="7" t="n">
        <x:v>0</x:v>
      </x:c>
      <x:c r="D15" s="7" t="n">
        <x:f>B15-C15</x:f>
        <x:v>32800</x:v>
      </x:c>
      <x:c r="E15" s="12" t="n">
        <x:v>88</x:v>
      </x:c>
      <x:c r="F15" s="14" t="n">
        <x:f>E15/10</x:f>
        <x:v>8.8</x:v>
      </x:c>
    </x:row>
    <x:row r="16" ht="25" customHeight="1">
      <x:c r="A16" s="2" t="str">
        <x:v>2026-10-05_Day</x:v>
      </x:c>
      <x:c r="B16" s="7" t="n">
        <x:v>48400</x:v>
      </x:c>
      <x:c r="C16" s="7" t="n">
        <x:v>50600</x:v>
      </x:c>
      <x:c r="D16" s="7" t="n">
        <x:f>B16-C16</x:f>
        <x:v>-2200</x:v>
      </x:c>
      <x:c r="E16" s="12" t="n">
        <x:v>153</x:v>
      </x:c>
      <x:c r="F16" s="14" t="n">
        <x:f>E16/10</x:f>
        <x:v>15.3</x:v>
      </x:c>
    </x:row>
    <x:row r="17" ht="25" customHeight="1">
      <x:c r="A17" s="2" t="str">
        <x:v>2026-10-06_Day</x:v>
      </x:c>
      <x:c r="B17" s="7" t="n">
        <x:v>46000</x:v>
      </x:c>
      <x:c r="C17" s="7" t="n">
        <x:v>24000</x:v>
      </x:c>
      <x:c r="D17" s="7" t="n">
        <x:f>B17-C17</x:f>
        <x:v>22000</x:v>
      </x:c>
      <x:c r="E17" s="12" t="n">
        <x:v>186</x:v>
      </x:c>
      <x:c r="F17" s="14" t="n">
        <x:f>E17/10</x:f>
        <x:v>18.6</x:v>
      </x:c>
    </x:row>
    <x:row r="18" ht="25" customHeight="1">
      <x:c r="A18" s="2" t="str">
        <x:v>2026-10-07_Day</x:v>
      </x:c>
      <x:c r="B18" s="7" t="n">
        <x:v>30400</x:v>
      </x:c>
      <x:c r="C18" s="7" t="n">
        <x:v>69600</x:v>
      </x:c>
      <x:c r="D18" s="7" t="n">
        <x:f>B18-C18</x:f>
        <x:v>-39200</x:v>
      </x:c>
      <x:c r="E18" s="12" t="n">
        <x:v>108</x:v>
      </x:c>
      <x:c r="F18" s="14" t="n">
        <x:f>E18/10</x:f>
        <x:v>10.8</x:v>
      </x:c>
    </x:row>
    <x:row r="19" ht="25" customHeight="1">
      <x:c r="A19" s="2" t="str">
        <x:v>2026-10-08_Day</x:v>
      </x:c>
      <x:c r="B19" s="7" t="n">
        <x:v>26700</x:v>
      </x:c>
      <x:c r="C19" s="7" t="n">
        <x:v>60000</x:v>
      </x:c>
      <x:c r="D19" s="7" t="n">
        <x:f>B19-C19</x:f>
        <x:v>-33300</x:v>
      </x:c>
      <x:c r="E19" s="12" t="n">
        <x:v>97</x:v>
      </x:c>
      <x:c r="F19" s="14" t="n">
        <x:f>E19/10</x:f>
        <x:v>9.7</x:v>
      </x:c>
    </x:row>
    <x:row r="20" ht="25" customHeight="1">
      <x:c r="A20" s="2" t="str">
        <x:v>2026-10-09_Day</x:v>
      </x:c>
      <x:c r="B20" s="7" t="n">
        <x:v>39600</x:v>
      </x:c>
      <x:c r="C20" s="7" t="n">
        <x:v>36000</x:v>
      </x:c>
      <x:c r="D20" s="7" t="n">
        <x:f>B20-C20</x:f>
        <x:v>3600</x:v>
      </x:c>
      <x:c r="E20" s="12" t="n">
        <x:v>168</x:v>
      </x:c>
      <x:c r="F20" s="14" t="n">
        <x:f>E20/10</x:f>
        <x:v>16.8</x:v>
      </x:c>
    </x:row>
    <x:row r="21" ht="25" customHeight="1">
      <x:c r="A21" s="2" t="str">
        <x:v>2026-10-12_Day</x:v>
      </x:c>
      <x:c r="B21" s="7" t="n">
        <x:v>8000</x:v>
      </x:c>
      <x:c r="C21" s="7" t="n">
        <x:v>5000</x:v>
      </x:c>
      <x:c r="D21" s="7" t="n">
        <x:f>B21-C21</x:f>
        <x:v>3000</x:v>
      </x:c>
      <x:c r="E21" s="12" t="n">
        <x:v>30</x:v>
      </x:c>
      <x:c r="F21" s="14" t="n">
        <x:f>E21/10</x:f>
        <x:v>3</x:v>
      </x:c>
    </x:row>
    <x:row r="22" ht="25" customHeight="1">
      <x:c r="A22" s="2" t="str">
        <x:v>2026-10-13_Day</x:v>
      </x:c>
      <x:c r="B22" s="7" t="n">
        <x:v>57300</x:v>
      </x:c>
      <x:c r="C22" s="7" t="n">
        <x:v>136000</x:v>
      </x:c>
      <x:c r="D22" s="7" t="n">
        <x:f>B22-C22</x:f>
        <x:v>-78700</x:v>
      </x:c>
      <x:c r="E22" s="12" t="n">
        <x:v>315</x:v>
      </x:c>
      <x:c r="F22" s="14" t="n">
        <x:f>E22/10</x:f>
        <x:v>31.5</x:v>
      </x:c>
    </x:row>
    <x:row r="23" ht="25" customHeight="1">
      <x:c r="A23" s="2" t="str">
        <x:v>2026-10-14_Day</x:v>
      </x:c>
      <x:c r="B23" s="7" t="n">
        <x:v>24000</x:v>
      </x:c>
      <x:c r="C23" s="7" t="n">
        <x:v>31200</x:v>
      </x:c>
      <x:c r="D23" s="7" t="n">
        <x:f>B23-C23</x:f>
        <x:v>-7200</x:v>
      </x:c>
      <x:c r="E23" s="12" t="n">
        <x:v>73</x:v>
      </x:c>
      <x:c r="F23" s="14" t="n">
        <x:f>E23/10</x:f>
        <x:v>7.3</x:v>
      </x:c>
    </x:row>
    <x:row r="24" ht="25" customHeight="1">
      <x:c r="A24" s="2" t="str">
        <x:v>2026-10-15_Day</x:v>
      </x:c>
      <x:c r="B24" s="7" t="n">
        <x:v>40500</x:v>
      </x:c>
      <x:c r="C24" s="7" t="n">
        <x:v>24000</x:v>
      </x:c>
      <x:c r="D24" s="7" t="n">
        <x:f>B24-C24</x:f>
        <x:v>16500</x:v>
      </x:c>
      <x:c r="E24" s="12" t="n">
        <x:v>158</x:v>
      </x:c>
      <x:c r="F24" s="14" t="n">
        <x:f>E24/10</x:f>
        <x:v>15.8</x:v>
      </x:c>
    </x:row>
    <x:row r="25" ht="25" customHeight="1">
      <x:c r="A25" s="2" t="str">
        <x:v>2026-10-16_Day</x:v>
      </x:c>
      <x:c r="B25" s="7" t="n">
        <x:v>82100</x:v>
      </x:c>
      <x:c r="C25" s="7" t="n">
        <x:v>13800</x:v>
      </x:c>
      <x:c r="D25" s="7" t="n">
        <x:f>B25-C25</x:f>
        <x:v>68300</x:v>
      </x:c>
      <x:c r="E25" s="12" t="n">
        <x:v>260</x:v>
      </x:c>
      <x:c r="F25" s="14" t="n">
        <x:f>E25/10</x:f>
        <x:v>26</x:v>
      </x:c>
    </x:row>
    <x:row r="26" ht="25" customHeight="1">
      <x:c r="A26" s="2" t="str">
        <x:v>2026-10-19_Day</x:v>
      </x:c>
      <x:c r="B26" s="7" t="n">
        <x:v>42100</x:v>
      </x:c>
      <x:c r="C26" s="7" t="n">
        <x:v>0</x:v>
      </x:c>
      <x:c r="D26" s="7" t="n">
        <x:f>B26-C26</x:f>
        <x:v>42100</x:v>
      </x:c>
      <x:c r="E26" s="12" t="n">
        <x:v>165</x:v>
      </x:c>
      <x:c r="F26" s="14" t="n">
        <x:f>E26/10</x:f>
        <x:v>16.5</x:v>
      </x:c>
    </x:row>
    <x:row r="27" ht="25" customHeight="1">
      <x:c r="A27" s="2" t="str">
        <x:v>2026-10-20_Day</x:v>
      </x:c>
      <x:c r="B27" s="7" t="n">
        <x:v>49700</x:v>
      </x:c>
      <x:c r="C27" s="7" t="n">
        <x:v>39300</x:v>
      </x:c>
      <x:c r="D27" s="7" t="n">
        <x:f>B27-C27</x:f>
        <x:v>10400</x:v>
      </x:c>
      <x:c r="E27" s="12" t="n">
        <x:v>163</x:v>
      </x:c>
      <x:c r="F27" s="14" t="n">
        <x:f>E27/10</x:f>
        <x:v>16.3</x:v>
      </x:c>
    </x:row>
    <x:row r="28" ht="25" customHeight="1">
      <x:c r="A28" s="2" t="str">
        <x:v>2026-10-21_Day</x:v>
      </x:c>
      <x:c r="B28" s="7" t="n">
        <x:v>42500</x:v>
      </x:c>
      <x:c r="C28" s="7" t="n">
        <x:v>68200</x:v>
      </x:c>
      <x:c r="D28" s="7" t="n">
        <x:f>B28-C28</x:f>
        <x:v>-25700</x:v>
      </x:c>
      <x:c r="E28" s="12" t="n">
        <x:v>194</x:v>
      </x:c>
      <x:c r="F28" s="14" t="n">
        <x:f>E28/10</x:f>
        <x:v>19.4</x:v>
      </x:c>
    </x:row>
    <x:row r="29" ht="25" customHeight="1">
      <x:c r="A29" s="2" t="str">
        <x:v>2026-10-22_Day</x:v>
      </x:c>
      <x:c r="B29" s="7" t="n">
        <x:v>12900</x:v>
      </x:c>
      <x:c r="C29" s="7" t="n">
        <x:v>0</x:v>
      </x:c>
      <x:c r="D29" s="7" t="n">
        <x:f>B29-C29</x:f>
        <x:v>12900</x:v>
      </x:c>
      <x:c r="E29" s="12" t="n">
        <x:v>43</x:v>
      </x:c>
      <x:c r="F29" s="14" t="n">
        <x:f>E29/10</x:f>
        <x:v>4.3</x:v>
      </x:c>
    </x:row>
    <x:row r="30" ht="25" customHeight="1">
      <x:c r="A30" s="2" t="str">
        <x:v>2026-10-23_Day</x:v>
      </x:c>
      <x:c r="B30" s="7" t="n">
        <x:v>90900</x:v>
      </x:c>
      <x:c r="C30" s="7" t="n">
        <x:v>24000</x:v>
      </x:c>
      <x:c r="D30" s="7" t="n">
        <x:f>B30-C30</x:f>
        <x:v>66900</x:v>
      </x:c>
      <x:c r="E30" s="12" t="n">
        <x:v>363</x:v>
      </x:c>
      <x:c r="F30" s="14" t="n">
        <x:f>E30/10</x:f>
        <x:v>36.3</x:v>
      </x:c>
    </x:row>
    <x:row r="31" ht="25" customHeight="1">
      <x:c r="A31" s="2" t="str">
        <x:v>2026-10-26_Day</x:v>
      </x:c>
      <x:c r="B31" s="7" t="n">
        <x:v>34000</x:v>
      </x:c>
      <x:c r="C31" s="7" t="n">
        <x:v>12000</x:v>
      </x:c>
      <x:c r="D31" s="7" t="n">
        <x:f>B31-C31</x:f>
        <x:v>22000</x:v>
      </x:c>
      <x:c r="E31" s="12" t="n">
        <x:v>149</x:v>
      </x:c>
      <x:c r="F31" s="14" t="n">
        <x:f>E31/10</x:f>
        <x:v>14.9</x:v>
      </x:c>
    </x:row>
    <x:row r="32" ht="25" customHeight="1">
      <x:c r="A32" s="2" t="str">
        <x:v>2026-10-27_Day</x:v>
      </x:c>
      <x:c r="B32" s="7" t="n">
        <x:v>65900</x:v>
      </x:c>
      <x:c r="C32" s="7" t="n">
        <x:v>64800</x:v>
      </x:c>
      <x:c r="D32" s="7" t="n">
        <x:f>B32-C32</x:f>
        <x:v>1100</x:v>
      </x:c>
      <x:c r="E32" s="12" t="n">
        <x:v>267</x:v>
      </x:c>
      <x:c r="F32" s="14" t="n">
        <x:f>E32/10</x:f>
        <x:v>26.7</x:v>
      </x:c>
    </x:row>
    <x:row r="33" ht="25" customHeight="1">
      <x:c r="A33" s="10" t="str">
        <x:v>合計</x:v>
      </x:c>
      <x:c r="B33" s="11" t="n">
        <x:f>SUM(B6:B32)</x:f>
        <x:v>968400</x:v>
      </x:c>
      <x:c r="C33" s="11" t="n">
        <x:f>SUM(C6:C32)</x:f>
        <x:v>1176300</x:v>
      </x:c>
      <x:c r="D33" s="11" t="n">
        <x:f>B33-C33</x:f>
        <x:v>-207900</x:v>
      </x:c>
      <x:c r="E33" s="13" t="n">
        <x:f>SUM(E6:E32)</x:f>
        <x:v>3934</x:v>
      </x:c>
      <x:c r="F33" s="15" t="n">
        <x:f>E33/10</x:f>
        <x:v>393.4</x:v>
      </x:c>
    </x:row>
  </x:sheetData>
  <x:mergeCells>
    <x:mergeCell ref="A2:F2"/>
    <x:mergeCell ref="A3:F3"/>
    <x:mergeCell ref="A4:F4"/>
  </x:mergeCells>
  <x:conditionalFormatting sqref="D6:D32">
    <x:cfRule type="cellIs" dxfId="3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53c4a6a4b74187"/>
  </x:tableParts>
</x:worksheet>
</file>

<file path=xl/worksheets/sheet42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NK225_D168B_13　日中の損益</x:v>
      </x:c>
      <x:c r="B2" s="2"/>
      <x:c r="C2" s="2"/>
      <x:c r="D2" s="2"/>
      <x:c r="E2" s="2"/>
      <x:c r="F2" s="2"/>
    </x:row>
    <x:row r="3" ht="38" customHeight="1">
      <x:c r="A3" s="5" t="str">
        <x:v>20円直接回収後は直近方向を確認し再参加・損失50円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4000</x:v>
      </x:c>
      <x:c r="C6" s="7" t="n">
        <x:v>8000</x:v>
      </x:c>
      <x:c r="D6" s="7" t="n">
        <x:f>B6-C6</x:f>
        <x:v>-4000</x:v>
      </x:c>
      <x:c r="E6" s="12" t="n">
        <x:v>46</x:v>
      </x:c>
      <x:c r="F6" s="14" t="n">
        <x:f>E6/10</x:f>
        <x:v>4.6</x:v>
      </x:c>
    </x:row>
    <x:row r="7" ht="25" customHeight="1">
      <x:c r="A7" s="2" t="str">
        <x:v>2026-09-22_Day</x:v>
      </x:c>
      <x:c r="B7" s="7" t="n">
        <x:v>2000</x:v>
      </x:c>
      <x:c r="C7" s="7" t="n">
        <x:v>9000</x:v>
      </x:c>
      <x:c r="D7" s="7" t="n">
        <x:f>B7-C7</x:f>
        <x:v>-7000</x:v>
      </x:c>
      <x:c r="E7" s="12" t="n">
        <x:v>26</x:v>
      </x:c>
      <x:c r="F7" s="14" t="n">
        <x:f>E7/10</x:f>
        <x:v>2.6</x:v>
      </x:c>
    </x:row>
    <x:row r="8" ht="25" customHeight="1">
      <x:c r="A8" s="2" t="str">
        <x:v>2026-09-23_Day</x:v>
      </x:c>
      <x:c r="B8" s="7" t="n">
        <x:v>4000</x:v>
      </x:c>
      <x:c r="C8" s="7" t="n">
        <x:v>2000</x:v>
      </x:c>
      <x:c r="D8" s="7" t="n">
        <x:f>B8-C8</x:f>
        <x:v>2000</x:v>
      </x:c>
      <x:c r="E8" s="12" t="n">
        <x:v>24</x:v>
      </x:c>
      <x:c r="F8" s="14" t="n">
        <x:f>E8/10</x:f>
        <x:v>2.4</x:v>
      </x:c>
    </x:row>
    <x:row r="9" ht="25" customHeight="1">
      <x:c r="A9" s="2" t="str">
        <x:v>2026-09-24_Day</x:v>
      </x:c>
      <x:c r="B9" s="7" t="n">
        <x:v>75500</x:v>
      </x:c>
      <x:c r="C9" s="7" t="n">
        <x:v>77600</x:v>
      </x:c>
      <x:c r="D9" s="7" t="n">
        <x:f>B9-C9</x:f>
        <x:v>-2100</x:v>
      </x:c>
      <x:c r="E9" s="12" t="n">
        <x:v>536</x:v>
      </x:c>
      <x:c r="F9" s="14" t="n">
        <x:f>E9/10</x:f>
        <x:v>53.6</x:v>
      </x:c>
    </x:row>
    <x:row r="10" ht="25" customHeight="1">
      <x:c r="A10" s="2" t="str">
        <x:v>2026-09-25_Day</x:v>
      </x:c>
      <x:c r="B10" s="7" t="n">
        <x:v>31600</x:v>
      </x:c>
      <x:c r="C10" s="7" t="n">
        <x:v>54000</x:v>
      </x:c>
      <x:c r="D10" s="7" t="n">
        <x:f>B10-C10</x:f>
        <x:v>-22400</x:v>
      </x:c>
      <x:c r="E10" s="12" t="n">
        <x:v>266</x:v>
      </x:c>
      <x:c r="F10" s="14" t="n">
        <x:f>E10/10</x:f>
        <x:v>26.6</x:v>
      </x:c>
    </x:row>
    <x:row r="11" ht="25" customHeight="1">
      <x:c r="A11" s="2" t="str">
        <x:v>2026-09-28_Day</x:v>
      </x:c>
      <x:c r="B11" s="7" t="n">
        <x:v>21500</x:v>
      </x:c>
      <x:c r="C11" s="7" t="n">
        <x:v>141200</x:v>
      </x:c>
      <x:c r="D11" s="7" t="n">
        <x:f>B11-C11</x:f>
        <x:v>-119700</x:v>
      </x:c>
      <x:c r="E11" s="12" t="n">
        <x:v>231</x:v>
      </x:c>
      <x:c r="F11" s="14" t="n">
        <x:f>E11/10</x:f>
        <x:v>23.1</x:v>
      </x:c>
    </x:row>
    <x:row r="12" ht="25" customHeight="1">
      <x:c r="A12" s="2" t="str">
        <x:v>2026-09-29_Day</x:v>
      </x:c>
      <x:c r="B12" s="7" t="n">
        <x:v>42600</x:v>
      </x:c>
      <x:c r="C12" s="7" t="n">
        <x:v>284900</x:v>
      </x:c>
      <x:c r="D12" s="7" t="n">
        <x:f>B12-C12</x:f>
        <x:v>-242300</x:v>
      </x:c>
      <x:c r="E12" s="12" t="n">
        <x:v>439</x:v>
      </x:c>
      <x:c r="F12" s="14" t="n">
        <x:f>E12/10</x:f>
        <x:v>43.9</x:v>
      </x:c>
    </x:row>
    <x:row r="13" ht="25" customHeight="1">
      <x:c r="A13" s="2" t="str">
        <x:v>2026-09-30_Day</x:v>
      </x:c>
      <x:c r="B13" s="7" t="n">
        <x:v>13200</x:v>
      </x:c>
      <x:c r="C13" s="7" t="n">
        <x:v>8500</x:v>
      </x:c>
      <x:c r="D13" s="7" t="n">
        <x:f>B13-C13</x:f>
        <x:v>4700</x:v>
      </x:c>
      <x:c r="E13" s="12" t="n">
        <x:v>88</x:v>
      </x:c>
      <x:c r="F13" s="14" t="n">
        <x:f>E13/10</x:f>
        <x:v>8.8</x:v>
      </x:c>
    </x:row>
    <x:row r="14" ht="25" customHeight="1">
      <x:c r="A14" s="2" t="str">
        <x:v>2026-10-01_Day</x:v>
      </x:c>
      <x:c r="B14" s="7" t="n">
        <x:v>37800</x:v>
      </x:c>
      <x:c r="C14" s="7" t="n">
        <x:v>120000</x:v>
      </x:c>
      <x:c r="D14" s="7" t="n">
        <x:f>B14-C14</x:f>
        <x:v>-82200</x:v>
      </x:c>
      <x:c r="E14" s="12" t="n">
        <x:v>358</x:v>
      </x:c>
      <x:c r="F14" s="14" t="n">
        <x:f>E14/10</x:f>
        <x:v>35.8</x:v>
      </x:c>
    </x:row>
    <x:row r="15" ht="25" customHeight="1">
      <x:c r="A15" s="2" t="str">
        <x:v>2026-10-02_Day</x:v>
      </x:c>
      <x:c r="B15" s="7" t="n">
        <x:v>21800</x:v>
      </x:c>
      <x:c r="C15" s="7" t="n">
        <x:v>36000</x:v>
      </x:c>
      <x:c r="D15" s="7" t="n">
        <x:f>B15-C15</x:f>
        <x:v>-14200</x:v>
      </x:c>
      <x:c r="E15" s="12" t="n">
        <x:v>186</x:v>
      </x:c>
      <x:c r="F15" s="14" t="n">
        <x:f>E15/10</x:f>
        <x:v>18.6</x:v>
      </x:c>
    </x:row>
    <x:row r="16" ht="25" customHeight="1">
      <x:c r="A16" s="2" t="str">
        <x:v>2026-10-05_Day</x:v>
      </x:c>
      <x:c r="B16" s="7" t="n">
        <x:v>41300</x:v>
      </x:c>
      <x:c r="C16" s="7" t="n">
        <x:v>76700</x:v>
      </x:c>
      <x:c r="D16" s="7" t="n">
        <x:f>B16-C16</x:f>
        <x:v>-35400</x:v>
      </x:c>
      <x:c r="E16" s="12" t="n">
        <x:v>369</x:v>
      </x:c>
      <x:c r="F16" s="14" t="n">
        <x:f>E16/10</x:f>
        <x:v>36.9</x:v>
      </x:c>
    </x:row>
    <x:row r="17" ht="25" customHeight="1">
      <x:c r="A17" s="2" t="str">
        <x:v>2026-10-06_Day</x:v>
      </x:c>
      <x:c r="B17" s="7" t="n">
        <x:v>61600</x:v>
      </x:c>
      <x:c r="C17" s="7" t="n">
        <x:v>88000</x:v>
      </x:c>
      <x:c r="D17" s="7" t="n">
        <x:f>B17-C17</x:f>
        <x:v>-26400</x:v>
      </x:c>
      <x:c r="E17" s="12" t="n">
        <x:v>458</x:v>
      </x:c>
      <x:c r="F17" s="14" t="n">
        <x:f>E17/10</x:f>
        <x:v>45.8</x:v>
      </x:c>
    </x:row>
    <x:row r="18" ht="25" customHeight="1">
      <x:c r="A18" s="2" t="str">
        <x:v>2026-10-07_Day</x:v>
      </x:c>
      <x:c r="B18" s="7" t="n">
        <x:v>22600</x:v>
      </x:c>
      <x:c r="C18" s="7" t="n">
        <x:v>88100</x:v>
      </x:c>
      <x:c r="D18" s="7" t="n">
        <x:f>B18-C18</x:f>
        <x:v>-65500</x:v>
      </x:c>
      <x:c r="E18" s="12" t="n">
        <x:v>184</x:v>
      </x:c>
      <x:c r="F18" s="14" t="n">
        <x:f>E18/10</x:f>
        <x:v>18.4</x:v>
      </x:c>
    </x:row>
    <x:row r="19" ht="25" customHeight="1">
      <x:c r="A19" s="2" t="str">
        <x:v>2026-10-08_Day</x:v>
      </x:c>
      <x:c r="B19" s="7" t="n">
        <x:v>19300</x:v>
      </x:c>
      <x:c r="C19" s="7" t="n">
        <x:v>83900</x:v>
      </x:c>
      <x:c r="D19" s="7" t="n">
        <x:f>B19-C19</x:f>
        <x:v>-64600</x:v>
      </x:c>
      <x:c r="E19" s="12" t="n">
        <x:v>189</x:v>
      </x:c>
      <x:c r="F19" s="14" t="n">
        <x:f>E19/10</x:f>
        <x:v>18.9</x:v>
      </x:c>
    </x:row>
    <x:row r="20" ht="25" customHeight="1">
      <x:c r="A20" s="2" t="str">
        <x:v>2026-10-09_Day</x:v>
      </x:c>
      <x:c r="B20" s="7" t="n">
        <x:v>74900</x:v>
      </x:c>
      <x:c r="C20" s="7" t="n">
        <x:v>46100</x:v>
      </x:c>
      <x:c r="D20" s="7" t="n">
        <x:f>B20-C20</x:f>
        <x:v>28800</x:v>
      </x:c>
      <x:c r="E20" s="12" t="n">
        <x:v>468</x:v>
      </x:c>
      <x:c r="F20" s="14" t="n">
        <x:f>E20/10</x:f>
        <x:v>46.8</x:v>
      </x:c>
    </x:row>
    <x:row r="21" ht="25" customHeight="1">
      <x:c r="A21" s="2" t="str">
        <x:v>2026-10-12_Day</x:v>
      </x:c>
      <x:c r="B21" s="7" t="n">
        <x:v>5800</x:v>
      </x:c>
      <x:c r="C21" s="7" t="n">
        <x:v>10000</x:v>
      </x:c>
      <x:c r="D21" s="7" t="n">
        <x:f>B21-C21</x:f>
        <x:v>-4200</x:v>
      </x:c>
      <x:c r="E21" s="12" t="n">
        <x:v>52</x:v>
      </x:c>
      <x:c r="F21" s="14" t="n">
        <x:f>E21/10</x:f>
        <x:v>5.2</x:v>
      </x:c>
    </x:row>
    <x:row r="22" ht="25" customHeight="1">
      <x:c r="A22" s="2" t="str">
        <x:v>2026-10-13_Day</x:v>
      </x:c>
      <x:c r="B22" s="7" t="n">
        <x:v>56200</x:v>
      </x:c>
      <x:c r="C22" s="7" t="n">
        <x:v>236300</x:v>
      </x:c>
      <x:c r="D22" s="7" t="n">
        <x:f>B22-C22</x:f>
        <x:v>-180100</x:v>
      </x:c>
      <x:c r="E22" s="12" t="n">
        <x:v>562</x:v>
      </x:c>
      <x:c r="F22" s="14" t="n">
        <x:f>E22/10</x:f>
        <x:v>56.2</x:v>
      </x:c>
    </x:row>
    <x:row r="23" ht="25" customHeight="1">
      <x:c r="A23" s="2" t="str">
        <x:v>2026-10-14_Day</x:v>
      </x:c>
      <x:c r="B23" s="7" t="n">
        <x:v>31800</x:v>
      </x:c>
      <x:c r="C23" s="7" t="n">
        <x:v>39200</x:v>
      </x:c>
      <x:c r="D23" s="7" t="n">
        <x:f>B23-C23</x:f>
        <x:v>-7400</x:v>
      </x:c>
      <x:c r="E23" s="12" t="n">
        <x:v>211</x:v>
      </x:c>
      <x:c r="F23" s="14" t="n">
        <x:f>E23/10</x:f>
        <x:v>21.1</x:v>
      </x:c>
    </x:row>
    <x:row r="24" ht="25" customHeight="1">
      <x:c r="A24" s="2" t="str">
        <x:v>2026-10-15_Day</x:v>
      </x:c>
      <x:c r="B24" s="7" t="n">
        <x:v>48600</x:v>
      </x:c>
      <x:c r="C24" s="7" t="n">
        <x:v>72100</x:v>
      </x:c>
      <x:c r="D24" s="7" t="n">
        <x:f>B24-C24</x:f>
        <x:v>-23500</x:v>
      </x:c>
      <x:c r="E24" s="12" t="n">
        <x:v>426</x:v>
      </x:c>
      <x:c r="F24" s="14" t="n">
        <x:f>E24/10</x:f>
        <x:v>42.6</x:v>
      </x:c>
    </x:row>
    <x:row r="25" ht="25" customHeight="1">
      <x:c r="A25" s="2" t="str">
        <x:v>2026-10-16_Day</x:v>
      </x:c>
      <x:c r="B25" s="7" t="n">
        <x:v>76600</x:v>
      </x:c>
      <x:c r="C25" s="7" t="n">
        <x:v>121200</x:v>
      </x:c>
      <x:c r="D25" s="7" t="n">
        <x:f>B25-C25</x:f>
        <x:v>-44600</x:v>
      </x:c>
      <x:c r="E25" s="12" t="n">
        <x:v>640</x:v>
      </x:c>
      <x:c r="F25" s="14" t="n">
        <x:f>E25/10</x:f>
        <x:v>64</x:v>
      </x:c>
    </x:row>
    <x:row r="26" ht="25" customHeight="1">
      <x:c r="A26" s="2" t="str">
        <x:v>2026-10-19_Day</x:v>
      </x:c>
      <x:c r="B26" s="7" t="n">
        <x:v>77800</x:v>
      </x:c>
      <x:c r="C26" s="7" t="n">
        <x:v>43500</x:v>
      </x:c>
      <x:c r="D26" s="7" t="n">
        <x:f>B26-C26</x:f>
        <x:v>34300</x:v>
      </x:c>
      <x:c r="E26" s="12" t="n">
        <x:v>478</x:v>
      </x:c>
      <x:c r="F26" s="14" t="n">
        <x:f>E26/10</x:f>
        <x:v>47.8</x:v>
      </x:c>
    </x:row>
    <x:row r="27" ht="25" customHeight="1">
      <x:c r="A27" s="2" t="str">
        <x:v>2026-10-20_Day</x:v>
      </x:c>
      <x:c r="B27" s="7" t="n">
        <x:v>45400</x:v>
      </x:c>
      <x:c r="C27" s="7" t="n">
        <x:v>75300</x:v>
      </x:c>
      <x:c r="D27" s="7" t="n">
        <x:f>B27-C27</x:f>
        <x:v>-29900</x:v>
      </x:c>
      <x:c r="E27" s="12" t="n">
        <x:v>376</x:v>
      </x:c>
      <x:c r="F27" s="14" t="n">
        <x:f>E27/10</x:f>
        <x:v>37.6</x:v>
      </x:c>
    </x:row>
    <x:row r="28" ht="25" customHeight="1">
      <x:c r="A28" s="2" t="str">
        <x:v>2026-10-21_Day</x:v>
      </x:c>
      <x:c r="B28" s="7" t="n">
        <x:v>46800</x:v>
      </x:c>
      <x:c r="C28" s="7" t="n">
        <x:v>109900</x:v>
      </x:c>
      <x:c r="D28" s="7" t="n">
        <x:f>B28-C28</x:f>
        <x:v>-63100</x:v>
      </x:c>
      <x:c r="E28" s="12" t="n">
        <x:v>438</x:v>
      </x:c>
      <x:c r="F28" s="14" t="n">
        <x:f>E28/10</x:f>
        <x:v>43.8</x:v>
      </x:c>
    </x:row>
    <x:row r="29" ht="25" customHeight="1">
      <x:c r="A29" s="2" t="str">
        <x:v>2026-10-22_Day</x:v>
      </x:c>
      <x:c r="B29" s="7" t="n">
        <x:v>14600</x:v>
      </x:c>
      <x:c r="C29" s="7" t="n">
        <x:v>16500</x:v>
      </x:c>
      <x:c r="D29" s="7" t="n">
        <x:f>B29-C29</x:f>
        <x:v>-1900</x:v>
      </x:c>
      <x:c r="E29" s="12" t="n">
        <x:v>106</x:v>
      </x:c>
      <x:c r="F29" s="14" t="n">
        <x:f>E29/10</x:f>
        <x:v>10.6</x:v>
      </x:c>
    </x:row>
    <x:row r="30" ht="25" customHeight="1">
      <x:c r="A30" s="2" t="str">
        <x:v>2026-10-23_Day</x:v>
      </x:c>
      <x:c r="B30" s="7" t="n">
        <x:v>100800</x:v>
      </x:c>
      <x:c r="C30" s="7" t="n">
        <x:v>156200</x:v>
      </x:c>
      <x:c r="D30" s="7" t="n">
        <x:f>B30-C30</x:f>
        <x:v>-55400</x:v>
      </x:c>
      <x:c r="E30" s="12" t="n">
        <x:v>896</x:v>
      </x:c>
      <x:c r="F30" s="14" t="n">
        <x:f>E30/10</x:f>
        <x:v>89.6</x:v>
      </x:c>
    </x:row>
    <x:row r="31" ht="25" customHeight="1">
      <x:c r="A31" s="2" t="str">
        <x:v>2026-10-26_Day</x:v>
      </x:c>
      <x:c r="B31" s="7" t="n">
        <x:v>26400</x:v>
      </x:c>
      <x:c r="C31" s="7" t="n">
        <x:v>72000</x:v>
      </x:c>
      <x:c r="D31" s="7" t="n">
        <x:f>B31-C31</x:f>
        <x:v>-45600</x:v>
      </x:c>
      <x:c r="E31" s="12" t="n">
        <x:v>269</x:v>
      </x:c>
      <x:c r="F31" s="14" t="n">
        <x:f>E31/10</x:f>
        <x:v>26.9</x:v>
      </x:c>
    </x:row>
    <x:row r="32" ht="25" customHeight="1">
      <x:c r="A32" s="2" t="str">
        <x:v>2026-10-27_Day</x:v>
      </x:c>
      <x:c r="B32" s="7" t="n">
        <x:v>62700</x:v>
      </x:c>
      <x:c r="C32" s="7" t="n">
        <x:v>149100</x:v>
      </x:c>
      <x:c r="D32" s="7" t="n">
        <x:f>B32-C32</x:f>
        <x:v>-86400</x:v>
      </x:c>
      <x:c r="E32" s="12" t="n">
        <x:v>571</x:v>
      </x:c>
      <x:c r="F32" s="14" t="n">
        <x:f>E32/10</x:f>
        <x:v>57.1</x:v>
      </x:c>
    </x:row>
    <x:row r="33" ht="25" customHeight="1">
      <x:c r="A33" s="10" t="str">
        <x:v>合計</x:v>
      </x:c>
      <x:c r="B33" s="11" t="n">
        <x:f>SUM(B6:B32)</x:f>
        <x:v>1067200</x:v>
      </x:c>
      <x:c r="C33" s="11" t="n">
        <x:f>SUM(C6:C32)</x:f>
        <x:v>2225300</x:v>
      </x:c>
      <x:c r="D33" s="11" t="n">
        <x:f>B33-C33</x:f>
        <x:v>-1158100</x:v>
      </x:c>
      <x:c r="E33" s="13" t="n">
        <x:f>SUM(E6:E32)</x:f>
        <x:v>8893</x:v>
      </x:c>
      <x:c r="F33" s="15" t="n">
        <x:f>E33/10</x:f>
        <x:v>889.3</x:v>
      </x:c>
    </x:row>
  </x:sheetData>
  <x:mergeCells>
    <x:mergeCell ref="A2:F2"/>
    <x:mergeCell ref="A3:F3"/>
    <x:mergeCell ref="A4:F4"/>
  </x:mergeCells>
  <x:conditionalFormatting sqref="D6:D32">
    <x:cfRule type="cellIs" dxfId="4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99b042ee10f4ec8"/>
  </x:tableParts>
</x:worksheet>
</file>

<file path=xl/worksheets/sheet43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NK225_D168B_14　日中の損益</x:v>
      </x:c>
      <x:c r="B2" s="2"/>
      <x:c r="C2" s="2"/>
      <x:c r="D2" s="2"/>
      <x:c r="E2" s="2"/>
      <x:c r="F2" s="2"/>
    </x:row>
    <x:row r="3" ht="38" customHeight="1">
      <x:c r="A3" s="5" t="str">
        <x:v>8割回収と割合床・直近方向の再参加・損失50円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3000</x:v>
      </x:c>
      <x:c r="C6" s="7" t="n">
        <x:v>1000</x:v>
      </x:c>
      <x:c r="D6" s="7" t="n">
        <x:f>B6-C6</x:f>
        <x:v>2000</x:v>
      </x:c>
      <x:c r="E6" s="12" t="n">
        <x:v>24</x:v>
      </x:c>
      <x:c r="F6" s="14" t="n">
        <x:f>E6/10</x:f>
        <x:v>2.4</x:v>
      </x:c>
    </x:row>
    <x:row r="7" ht="25" customHeight="1">
      <x:c r="A7" s="2" t="str">
        <x:v>2026-09-22_Day</x:v>
      </x:c>
      <x:c r="B7" s="7" t="n">
        <x:v>1800</x:v>
      </x:c>
      <x:c r="C7" s="7" t="n">
        <x:v>6500</x:v>
      </x:c>
      <x:c r="D7" s="7" t="n">
        <x:f>B7-C7</x:f>
        <x:v>-4700</x:v>
      </x:c>
      <x:c r="E7" s="12" t="n">
        <x:v>21</x:v>
      </x:c>
      <x:c r="F7" s="14" t="n">
        <x:f>E7/10</x:f>
        <x:v>2.1</x:v>
      </x:c>
    </x:row>
    <x:row r="8" ht="25" customHeight="1">
      <x:c r="A8" s="2" t="str">
        <x:v>2026-09-23_Day</x:v>
      </x:c>
      <x:c r="B8" s="7" t="n">
        <x:v>1900</x:v>
      </x:c>
      <x:c r="C8" s="7" t="n">
        <x:v>500</x:v>
      </x:c>
      <x:c r="D8" s="7" t="n">
        <x:f>B8-C8</x:f>
        <x:v>1400</x:v>
      </x:c>
      <x:c r="E8" s="12" t="n">
        <x:v>12</x:v>
      </x:c>
      <x:c r="F8" s="14" t="n">
        <x:f>E8/10</x:f>
        <x:v>1.2</x:v>
      </x:c>
    </x:row>
    <x:row r="9" ht="25" customHeight="1">
      <x:c r="A9" s="2" t="str">
        <x:v>2026-09-24_Day</x:v>
      </x:c>
      <x:c r="B9" s="7" t="n">
        <x:v>34300</x:v>
      </x:c>
      <x:c r="C9" s="7" t="n">
        <x:v>6100</x:v>
      </x:c>
      <x:c r="D9" s="7" t="n">
        <x:f>B9-C9</x:f>
        <x:v>28200</x:v>
      </x:c>
      <x:c r="E9" s="12" t="n">
        <x:v>210</x:v>
      </x:c>
      <x:c r="F9" s="14" t="n">
        <x:f>E9/10</x:f>
        <x:v>21</x:v>
      </x:c>
    </x:row>
    <x:row r="10" ht="25" customHeight="1">
      <x:c r="A10" s="2" t="str">
        <x:v>2026-09-25_Day</x:v>
      </x:c>
      <x:c r="B10" s="7" t="n">
        <x:v>27500</x:v>
      </x:c>
      <x:c r="C10" s="7" t="n">
        <x:v>3000</x:v>
      </x:c>
      <x:c r="D10" s="7" t="n">
        <x:f>B10-C10</x:f>
        <x:v>24500</x:v>
      </x:c>
      <x:c r="E10" s="12" t="n">
        <x:v>146</x:v>
      </x:c>
      <x:c r="F10" s="14" t="n">
        <x:f>E10/10</x:f>
        <x:v>14.6</x:v>
      </x:c>
    </x:row>
    <x:row r="11" ht="25" customHeight="1">
      <x:c r="A11" s="2" t="str">
        <x:v>2026-09-28_Day</x:v>
      </x:c>
      <x:c r="B11" s="7" t="n">
        <x:v>16900</x:v>
      </x:c>
      <x:c r="C11" s="7" t="n">
        <x:v>109700</x:v>
      </x:c>
      <x:c r="D11" s="7" t="n">
        <x:f>B11-C11</x:f>
        <x:v>-92800</x:v>
      </x:c>
      <x:c r="E11" s="12" t="n">
        <x:v>155</x:v>
      </x:c>
      <x:c r="F11" s="14" t="n">
        <x:f>E11/10</x:f>
        <x:v>15.5</x:v>
      </x:c>
    </x:row>
    <x:row r="12" ht="25" customHeight="1">
      <x:c r="A12" s="2" t="str">
        <x:v>2026-09-29_Day</x:v>
      </x:c>
      <x:c r="B12" s="7" t="n">
        <x:v>30500</x:v>
      </x:c>
      <x:c r="C12" s="7" t="n">
        <x:v>229800</x:v>
      </x:c>
      <x:c r="D12" s="7" t="n">
        <x:f>B12-C12</x:f>
        <x:v>-199300</x:v>
      </x:c>
      <x:c r="E12" s="12" t="n">
        <x:v>285</x:v>
      </x:c>
      <x:c r="F12" s="14" t="n">
        <x:f>E12/10</x:f>
        <x:v>28.5</x:v>
      </x:c>
    </x:row>
    <x:row r="13" ht="25" customHeight="1">
      <x:c r="A13" s="2" t="str">
        <x:v>2026-09-30_Day</x:v>
      </x:c>
      <x:c r="B13" s="7" t="n">
        <x:v>8800</x:v>
      </x:c>
      <x:c r="C13" s="7" t="n">
        <x:v>2000</x:v>
      </x:c>
      <x:c r="D13" s="7" t="n">
        <x:f>B13-C13</x:f>
        <x:v>6800</x:v>
      </x:c>
      <x:c r="E13" s="12" t="n">
        <x:v>57</x:v>
      </x:c>
      <x:c r="F13" s="14" t="n">
        <x:f>E13/10</x:f>
        <x:v>5.7</x:v>
      </x:c>
    </x:row>
    <x:row r="14" ht="25" customHeight="1">
      <x:c r="A14" s="2" t="str">
        <x:v>2026-10-01_Day</x:v>
      </x:c>
      <x:c r="B14" s="7" t="n">
        <x:v>27500</x:v>
      </x:c>
      <x:c r="C14" s="7" t="n">
        <x:v>59500</x:v>
      </x:c>
      <x:c r="D14" s="7" t="n">
        <x:f>B14-C14</x:f>
        <x:v>-32000</x:v>
      </x:c>
      <x:c r="E14" s="12" t="n">
        <x:v>201</x:v>
      </x:c>
      <x:c r="F14" s="14" t="n">
        <x:f>E14/10</x:f>
        <x:v>20.1</x:v>
      </x:c>
    </x:row>
    <x:row r="15" ht="25" customHeight="1">
      <x:c r="A15" s="2" t="str">
        <x:v>2026-10-02_Day</x:v>
      </x:c>
      <x:c r="B15" s="7" t="n">
        <x:v>17400</x:v>
      </x:c>
      <x:c r="C15" s="7" t="n">
        <x:v>3900</x:v>
      </x:c>
      <x:c r="D15" s="7" t="n">
        <x:f>B15-C15</x:f>
        <x:v>13500</x:v>
      </x:c>
      <x:c r="E15" s="12" t="n">
        <x:v>108</x:v>
      </x:c>
      <x:c r="F15" s="14" t="n">
        <x:f>E15/10</x:f>
        <x:v>10.8</x:v>
      </x:c>
    </x:row>
    <x:row r="16" ht="25" customHeight="1">
      <x:c r="A16" s="2" t="str">
        <x:v>2026-10-05_Day</x:v>
      </x:c>
      <x:c r="B16" s="7" t="n">
        <x:v>30000</x:v>
      </x:c>
      <x:c r="C16" s="7" t="n">
        <x:v>7500</x:v>
      </x:c>
      <x:c r="D16" s="7" t="n">
        <x:f>B16-C16</x:f>
        <x:v>22500</x:v>
      </x:c>
      <x:c r="E16" s="12" t="n">
        <x:v>188</x:v>
      </x:c>
      <x:c r="F16" s="14" t="n">
        <x:f>E16/10</x:f>
        <x:v>18.8</x:v>
      </x:c>
    </x:row>
    <x:row r="17" ht="25" customHeight="1">
      <x:c r="A17" s="2" t="str">
        <x:v>2026-10-06_Day</x:v>
      </x:c>
      <x:c r="B17" s="7" t="n">
        <x:v>34800</x:v>
      </x:c>
      <x:c r="C17" s="7" t="n">
        <x:v>35900</x:v>
      </x:c>
      <x:c r="D17" s="7" t="n">
        <x:f>B17-C17</x:f>
        <x:v>-1100</x:v>
      </x:c>
      <x:c r="E17" s="12" t="n">
        <x:v>225</x:v>
      </x:c>
      <x:c r="F17" s="14" t="n">
        <x:f>E17/10</x:f>
        <x:v>22.5</x:v>
      </x:c>
    </x:row>
    <x:row r="18" ht="25" customHeight="1">
      <x:c r="A18" s="2" t="str">
        <x:v>2026-10-07_Day</x:v>
      </x:c>
      <x:c r="B18" s="7" t="n">
        <x:v>15100</x:v>
      </x:c>
      <x:c r="C18" s="7" t="n">
        <x:v>72600</x:v>
      </x:c>
      <x:c r="D18" s="7" t="n">
        <x:f>B18-C18</x:f>
        <x:v>-57500</x:v>
      </x:c>
      <x:c r="E18" s="12" t="n">
        <x:v>124</x:v>
      </x:c>
      <x:c r="F18" s="14" t="n">
        <x:f>E18/10</x:f>
        <x:v>12.4</x:v>
      </x:c>
    </x:row>
    <x:row r="19" ht="25" customHeight="1">
      <x:c r="A19" s="2" t="str">
        <x:v>2026-10-08_Day</x:v>
      </x:c>
      <x:c r="B19" s="7" t="n">
        <x:v>11400</x:v>
      </x:c>
      <x:c r="C19" s="7" t="n">
        <x:v>65000</x:v>
      </x:c>
      <x:c r="D19" s="7" t="n">
        <x:f>B19-C19</x:f>
        <x:v>-53600</x:v>
      </x:c>
      <x:c r="E19" s="12" t="n">
        <x:v>112</x:v>
      </x:c>
      <x:c r="F19" s="14" t="n">
        <x:f>E19/10</x:f>
        <x:v>11.2</x:v>
      </x:c>
    </x:row>
    <x:row r="20" ht="25" customHeight="1">
      <x:c r="A20" s="2" t="str">
        <x:v>2026-10-09_Day</x:v>
      </x:c>
      <x:c r="B20" s="7" t="n">
        <x:v>50800</x:v>
      </x:c>
      <x:c r="C20" s="7" t="n">
        <x:v>39400</x:v>
      </x:c>
      <x:c r="D20" s="7" t="n">
        <x:f>B20-C20</x:f>
        <x:v>11400</x:v>
      </x:c>
      <x:c r="E20" s="12" t="n">
        <x:v>182</x:v>
      </x:c>
      <x:c r="F20" s="14" t="n">
        <x:f>E20/10</x:f>
        <x:v>18.2</x:v>
      </x:c>
    </x:row>
    <x:row r="21" ht="25" customHeight="1">
      <x:c r="A21" s="2" t="str">
        <x:v>2026-10-12_Day</x:v>
      </x:c>
      <x:c r="B21" s="7" t="n">
        <x:v>4100</x:v>
      </x:c>
      <x:c r="C21" s="7" t="n">
        <x:v>5500</x:v>
      </x:c>
      <x:c r="D21" s="7" t="n">
        <x:f>B21-C21</x:f>
        <x:v>-1400</x:v>
      </x:c>
      <x:c r="E21" s="12" t="n">
        <x:v>34</x:v>
      </x:c>
      <x:c r="F21" s="14" t="n">
        <x:f>E21/10</x:f>
        <x:v>3.4</x:v>
      </x:c>
    </x:row>
    <x:row r="22" ht="25" customHeight="1">
      <x:c r="A22" s="2" t="str">
        <x:v>2026-10-13_Day</x:v>
      </x:c>
      <x:c r="B22" s="7" t="n">
        <x:v>47200</x:v>
      </x:c>
      <x:c r="C22" s="7" t="n">
        <x:v>148200</x:v>
      </x:c>
      <x:c r="D22" s="7" t="n">
        <x:f>B22-C22</x:f>
        <x:v>-101000</x:v>
      </x:c>
      <x:c r="E22" s="12" t="n">
        <x:v>358</x:v>
      </x:c>
      <x:c r="F22" s="14" t="n">
        <x:f>E22/10</x:f>
        <x:v>35.8</x:v>
      </x:c>
    </x:row>
    <x:row r="23" ht="25" customHeight="1">
      <x:c r="A23" s="2" t="str">
        <x:v>2026-10-14_Day</x:v>
      </x:c>
      <x:c r="B23" s="7" t="n">
        <x:v>11400</x:v>
      </x:c>
      <x:c r="C23" s="7" t="n">
        <x:v>33200</x:v>
      </x:c>
      <x:c r="D23" s="7" t="n">
        <x:f>B23-C23</x:f>
        <x:v>-21800</x:v>
      </x:c>
      <x:c r="E23" s="12" t="n">
        <x:v>89</x:v>
      </x:c>
      <x:c r="F23" s="14" t="n">
        <x:f>E23/10</x:f>
        <x:v>8.9</x:v>
      </x:c>
    </x:row>
    <x:row r="24" ht="25" customHeight="1">
      <x:c r="A24" s="2" t="str">
        <x:v>2026-10-15_Day</x:v>
      </x:c>
      <x:c r="B24" s="7" t="n">
        <x:v>28300</x:v>
      </x:c>
      <x:c r="C24" s="7" t="n">
        <x:v>7400</x:v>
      </x:c>
      <x:c r="D24" s="7" t="n">
        <x:f>B24-C24</x:f>
        <x:v>20900</x:v>
      </x:c>
      <x:c r="E24" s="12" t="n">
        <x:v>196</x:v>
      </x:c>
      <x:c r="F24" s="14" t="n">
        <x:f>E24/10</x:f>
        <x:v>19.6</x:v>
      </x:c>
    </x:row>
    <x:row r="25" ht="25" customHeight="1">
      <x:c r="A25" s="2" t="str">
        <x:v>2026-10-16_Day</x:v>
      </x:c>
      <x:c r="B25" s="7" t="n">
        <x:v>51800</x:v>
      </x:c>
      <x:c r="C25" s="7" t="n">
        <x:v>25800</x:v>
      </x:c>
      <x:c r="D25" s="7" t="n">
        <x:f>B25-C25</x:f>
        <x:v>26000</x:v>
      </x:c>
      <x:c r="E25" s="12" t="n">
        <x:v>320</x:v>
      </x:c>
      <x:c r="F25" s="14" t="n">
        <x:f>E25/10</x:f>
        <x:v>32</x:v>
      </x:c>
    </x:row>
    <x:row r="26" ht="25" customHeight="1">
      <x:c r="A26" s="2" t="str">
        <x:v>2026-10-19_Day</x:v>
      </x:c>
      <x:c r="B26" s="7" t="n">
        <x:v>37000</x:v>
      </x:c>
      <x:c r="C26" s="7" t="n">
        <x:v>500</x:v>
      </x:c>
      <x:c r="D26" s="7" t="n">
        <x:f>B26-C26</x:f>
        <x:v>36500</x:v>
      </x:c>
      <x:c r="E26" s="12" t="n">
        <x:v>207</x:v>
      </x:c>
      <x:c r="F26" s="14" t="n">
        <x:f>E26/10</x:f>
        <x:v>20.7</x:v>
      </x:c>
    </x:row>
    <x:row r="27" ht="25" customHeight="1">
      <x:c r="A27" s="2" t="str">
        <x:v>2026-10-20_Day</x:v>
      </x:c>
      <x:c r="B27" s="7" t="n">
        <x:v>26300</x:v>
      </x:c>
      <x:c r="C27" s="7" t="n">
        <x:v>25100</x:v>
      </x:c>
      <x:c r="D27" s="7" t="n">
        <x:f>B27-C27</x:f>
        <x:v>1200</x:v>
      </x:c>
      <x:c r="E27" s="12" t="n">
        <x:v>195</x:v>
      </x:c>
      <x:c r="F27" s="14" t="n">
        <x:f>E27/10</x:f>
        <x:v>19.5</x:v>
      </x:c>
    </x:row>
    <x:row r="28" ht="25" customHeight="1">
      <x:c r="A28" s="2" t="str">
        <x:v>2026-10-21_Day</x:v>
      </x:c>
      <x:c r="B28" s="7" t="n">
        <x:v>27800</x:v>
      </x:c>
      <x:c r="C28" s="7" t="n">
        <x:v>54900</x:v>
      </x:c>
      <x:c r="D28" s="7" t="n">
        <x:f>B28-C28</x:f>
        <x:v>-27100</x:v>
      </x:c>
      <x:c r="E28" s="12" t="n">
        <x:v>237</x:v>
      </x:c>
      <x:c r="F28" s="14" t="n">
        <x:f>E28/10</x:f>
        <x:v>23.7</x:v>
      </x:c>
    </x:row>
    <x:row r="29" ht="25" customHeight="1">
      <x:c r="A29" s="2" t="str">
        <x:v>2026-10-22_Day</x:v>
      </x:c>
      <x:c r="B29" s="7" t="n">
        <x:v>12700</x:v>
      </x:c>
      <x:c r="C29" s="7" t="n">
        <x:v>3500</x:v>
      </x:c>
      <x:c r="D29" s="7" t="n">
        <x:f>B29-C29</x:f>
        <x:v>9200</x:v>
      </x:c>
      <x:c r="E29" s="12" t="n">
        <x:v>53</x:v>
      </x:c>
      <x:c r="F29" s="14" t="n">
        <x:f>E29/10</x:f>
        <x:v>5.3</x:v>
      </x:c>
    </x:row>
    <x:row r="30" ht="25" customHeight="1">
      <x:c r="A30" s="2" t="str">
        <x:v>2026-10-23_Day</x:v>
      </x:c>
      <x:c r="B30" s="7" t="n">
        <x:v>62500</x:v>
      </x:c>
      <x:c r="C30" s="7" t="n">
        <x:v>26200</x:v>
      </x:c>
      <x:c r="D30" s="7" t="n">
        <x:f>B30-C30</x:f>
        <x:v>36300</x:v>
      </x:c>
      <x:c r="E30" s="12" t="n">
        <x:v>439</x:v>
      </x:c>
      <x:c r="F30" s="14" t="n">
        <x:f>E30/10</x:f>
        <x:v>43.9</x:v>
      </x:c>
    </x:row>
    <x:row r="31" ht="25" customHeight="1">
      <x:c r="A31" s="2" t="str">
        <x:v>2026-10-26_Day</x:v>
      </x:c>
      <x:c r="B31" s="7" t="n">
        <x:v>24300</x:v>
      </x:c>
      <x:c r="C31" s="7" t="n">
        <x:v>22000</x:v>
      </x:c>
      <x:c r="D31" s="7" t="n">
        <x:f>B31-C31</x:f>
        <x:v>2300</x:v>
      </x:c>
      <x:c r="E31" s="12" t="n">
        <x:v>172</x:v>
      </x:c>
      <x:c r="F31" s="14" t="n">
        <x:f>E31/10</x:f>
        <x:v>17.2</x:v>
      </x:c>
    </x:row>
    <x:row r="32" ht="25" customHeight="1">
      <x:c r="A32" s="2" t="str">
        <x:v>2026-10-27_Day</x:v>
      </x:c>
      <x:c r="B32" s="7" t="n">
        <x:v>41400</x:v>
      </x:c>
      <x:c r="C32" s="7" t="n">
        <x:v>78200</x:v>
      </x:c>
      <x:c r="D32" s="7" t="n">
        <x:f>B32-C32</x:f>
        <x:v>-36800</x:v>
      </x:c>
      <x:c r="E32" s="12" t="n">
        <x:v>322</x:v>
      </x:c>
      <x:c r="F32" s="14" t="n">
        <x:f>E32/10</x:f>
        <x:v>32.2</x:v>
      </x:c>
    </x:row>
    <x:row r="33" ht="25" customHeight="1">
      <x:c r="A33" s="10" t="str">
        <x:v>合計</x:v>
      </x:c>
      <x:c r="B33" s="11" t="n">
        <x:f>SUM(B6:B32)</x:f>
        <x:v>686500</x:v>
      </x:c>
      <x:c r="C33" s="11" t="n">
        <x:f>SUM(C6:C32)</x:f>
        <x:v>1072900</x:v>
      </x:c>
      <x:c r="D33" s="11" t="n">
        <x:f>B33-C33</x:f>
        <x:v>-386400</x:v>
      </x:c>
      <x:c r="E33" s="13" t="n">
        <x:f>SUM(E6:E32)</x:f>
        <x:v>4672</x:v>
      </x:c>
      <x:c r="F33" s="15" t="n">
        <x:f>E33/10</x:f>
        <x:v>467.2</x:v>
      </x:c>
    </x:row>
  </x:sheetData>
  <x:mergeCells>
    <x:mergeCell ref="A2:F2"/>
    <x:mergeCell ref="A3:F3"/>
    <x:mergeCell ref="A4:F4"/>
  </x:mergeCells>
  <x:conditionalFormatting sqref="D6:D32">
    <x:cfRule type="cellIs" dxfId="4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2e132e75624653"/>
  </x:tableParts>
</x:worksheet>
</file>

<file path=xl/worksheets/sheet44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NK225_D168B_15　日中の損益</x:v>
      </x:c>
      <x:c r="B2" s="2"/>
      <x:c r="C2" s="2"/>
      <x:c r="D2" s="2"/>
      <x:c r="E2" s="2"/>
      <x:c r="F2" s="2"/>
    </x:row>
    <x:row r="3" ht="38" customHeight="1">
      <x:c r="A3" s="5" t="str">
        <x:v>20円回収後の再参加を回収益半分の損失予算で制御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3000</x:v>
      </x:c>
      <x:c r="C6" s="7" t="n">
        <x:v>500</x:v>
      </x:c>
      <x:c r="D6" s="7" t="n">
        <x:f>B6-C6</x:f>
        <x:v>2500</x:v>
      </x:c>
      <x:c r="E6" s="12" t="n">
        <x:v>21</x:v>
      </x:c>
      <x:c r="F6" s="14" t="n">
        <x:f>E6/10</x:f>
        <x:v>2.1</x:v>
      </x:c>
    </x:row>
    <x:row r="7" ht="25" customHeight="1">
      <x:c r="A7" s="2" t="str">
        <x:v>2026-09-22_Day</x:v>
      </x:c>
      <x:c r="B7" s="7" t="n">
        <x:v>2000</x:v>
      </x:c>
      <x:c r="C7" s="7" t="n">
        <x:v>6500</x:v>
      </x:c>
      <x:c r="D7" s="7" t="n">
        <x:f>B7-C7</x:f>
        <x:v>-4500</x:v>
      </x:c>
      <x:c r="E7" s="12" t="n">
        <x:v>21</x:v>
      </x:c>
      <x:c r="F7" s="14" t="n">
        <x:f>E7/10</x:f>
        <x:v>2.1</x:v>
      </x:c>
    </x:row>
    <x:row r="8" ht="25" customHeight="1">
      <x:c r="A8" s="2" t="str">
        <x:v>2026-09-23_Day</x:v>
      </x:c>
      <x:c r="B8" s="7" t="n">
        <x:v>2400</x:v>
      </x:c>
      <x:c r="C8" s="7" t="n">
        <x:v>1000</x:v>
      </x:c>
      <x:c r="D8" s="7" t="n">
        <x:f>B8-C8</x:f>
        <x:v>1400</x:v>
      </x:c>
      <x:c r="E8" s="12" t="n">
        <x:v>14</x:v>
      </x:c>
      <x:c r="F8" s="14" t="n">
        <x:f>E8/10</x:f>
        <x:v>1.4</x:v>
      </x:c>
    </x:row>
    <x:row r="9" ht="25" customHeight="1">
      <x:c r="A9" s="2" t="str">
        <x:v>2026-09-24_Day</x:v>
      </x:c>
      <x:c r="B9" s="7" t="n">
        <x:v>40100</x:v>
      </x:c>
      <x:c r="C9" s="7" t="n">
        <x:v>14500</x:v>
      </x:c>
      <x:c r="D9" s="7" t="n">
        <x:f>B9-C9</x:f>
        <x:v>25600</x:v>
      </x:c>
      <x:c r="E9" s="12" t="n">
        <x:v>234</x:v>
      </x:c>
      <x:c r="F9" s="14" t="n">
        <x:f>E9/10</x:f>
        <x:v>23.4</x:v>
      </x:c>
    </x:row>
    <x:row r="10" ht="25" customHeight="1">
      <x:c r="A10" s="2" t="str">
        <x:v>2026-09-25_Day</x:v>
      </x:c>
      <x:c r="B10" s="7" t="n">
        <x:v>25400</x:v>
      </x:c>
      <x:c r="C10" s="7" t="n">
        <x:v>8500</x:v>
      </x:c>
      <x:c r="D10" s="7" t="n">
        <x:f>B10-C10</x:f>
        <x:v>16900</x:v>
      </x:c>
      <x:c r="E10" s="12" t="n">
        <x:v>144</x:v>
      </x:c>
      <x:c r="F10" s="14" t="n">
        <x:f>E10/10</x:f>
        <x:v>14.4</x:v>
      </x:c>
    </x:row>
    <x:row r="11" ht="25" customHeight="1">
      <x:c r="A11" s="2" t="str">
        <x:v>2026-09-28_Day</x:v>
      </x:c>
      <x:c r="B11" s="7" t="n">
        <x:v>18700</x:v>
      </x:c>
      <x:c r="C11" s="7" t="n">
        <x:v>106700</x:v>
      </x:c>
      <x:c r="D11" s="7" t="n">
        <x:f>B11-C11</x:f>
        <x:v>-88000</x:v>
      </x:c>
      <x:c r="E11" s="12" t="n">
        <x:v>148</x:v>
      </x:c>
      <x:c r="F11" s="14" t="n">
        <x:f>E11/10</x:f>
        <x:v>14.8</x:v>
      </x:c>
    </x:row>
    <x:row r="12" ht="25" customHeight="1">
      <x:c r="A12" s="2" t="str">
        <x:v>2026-09-29_Day</x:v>
      </x:c>
      <x:c r="B12" s="7" t="n">
        <x:v>33200</x:v>
      </x:c>
      <x:c r="C12" s="7" t="n">
        <x:v>227800</x:v>
      </x:c>
      <x:c r="D12" s="7" t="n">
        <x:f>B12-C12</x:f>
        <x:v>-194600</x:v>
      </x:c>
      <x:c r="E12" s="12" t="n">
        <x:v>276</x:v>
      </x:c>
      <x:c r="F12" s="14" t="n">
        <x:f>E12/10</x:f>
        <x:v>27.6</x:v>
      </x:c>
    </x:row>
    <x:row r="13" ht="25" customHeight="1">
      <x:c r="A13" s="2" t="str">
        <x:v>2026-09-30_Day</x:v>
      </x:c>
      <x:c r="B13" s="7" t="n">
        <x:v>10200</x:v>
      </x:c>
      <x:c r="C13" s="7" t="n">
        <x:v>500</x:v>
      </x:c>
      <x:c r="D13" s="7" t="n">
        <x:f>B13-C13</x:f>
        <x:v>9700</x:v>
      </x:c>
      <x:c r="E13" s="12" t="n">
        <x:v>57</x:v>
      </x:c>
      <x:c r="F13" s="14" t="n">
        <x:f>E13/10</x:f>
        <x:v>5.7</x:v>
      </x:c>
    </x:row>
    <x:row r="14" ht="25" customHeight="1">
      <x:c r="A14" s="2" t="str">
        <x:v>2026-10-01_Day</x:v>
      </x:c>
      <x:c r="B14" s="7" t="n">
        <x:v>30200</x:v>
      </x:c>
      <x:c r="C14" s="7" t="n">
        <x:v>59500</x:v>
      </x:c>
      <x:c r="D14" s="7" t="n">
        <x:f>B14-C14</x:f>
        <x:v>-29300</x:v>
      </x:c>
      <x:c r="E14" s="12" t="n">
        <x:v>199</x:v>
      </x:c>
      <x:c r="F14" s="14" t="n">
        <x:f>E14/10</x:f>
        <x:v>19.9</x:v>
      </x:c>
    </x:row>
    <x:row r="15" ht="25" customHeight="1">
      <x:c r="A15" s="2" t="str">
        <x:v>2026-10-02_Day</x:v>
      </x:c>
      <x:c r="B15" s="7" t="n">
        <x:v>17600</x:v>
      </x:c>
      <x:c r="C15" s="7" t="n">
        <x:v>5500</x:v>
      </x:c>
      <x:c r="D15" s="7" t="n">
        <x:f>B15-C15</x:f>
        <x:v>12100</x:v>
      </x:c>
      <x:c r="E15" s="12" t="n">
        <x:v>104</x:v>
      </x:c>
      <x:c r="F15" s="14" t="n">
        <x:f>E15/10</x:f>
        <x:v>10.4</x:v>
      </x:c>
    </x:row>
    <x:row r="16" ht="25" customHeight="1">
      <x:c r="A16" s="2" t="str">
        <x:v>2026-10-05_Day</x:v>
      </x:c>
      <x:c r="B16" s="7" t="n">
        <x:v>30600</x:v>
      </x:c>
      <x:c r="C16" s="7" t="n">
        <x:v>10100</x:v>
      </x:c>
      <x:c r="D16" s="7" t="n">
        <x:f>B16-C16</x:f>
        <x:v>20500</x:v>
      </x:c>
      <x:c r="E16" s="12" t="n">
        <x:v>182</x:v>
      </x:c>
      <x:c r="F16" s="14" t="n">
        <x:f>E16/10</x:f>
        <x:v>18.2</x:v>
      </x:c>
    </x:row>
    <x:row r="17" ht="25" customHeight="1">
      <x:c r="A17" s="2" t="str">
        <x:v>2026-10-06_Day</x:v>
      </x:c>
      <x:c r="B17" s="7" t="n">
        <x:v>40900</x:v>
      </x:c>
      <x:c r="C17" s="7" t="n">
        <x:v>35100</x:v>
      </x:c>
      <x:c r="D17" s="7" t="n">
        <x:f>B17-C17</x:f>
        <x:v>5800</x:v>
      </x:c>
      <x:c r="E17" s="12" t="n">
        <x:v>235</x:v>
      </x:c>
      <x:c r="F17" s="14" t="n">
        <x:f>E17/10</x:f>
        <x:v>23.5</x:v>
      </x:c>
    </x:row>
    <x:row r="18" ht="25" customHeight="1">
      <x:c r="A18" s="2" t="str">
        <x:v>2026-10-07_Day</x:v>
      </x:c>
      <x:c r="B18" s="7" t="n">
        <x:v>15800</x:v>
      </x:c>
      <x:c r="C18" s="7" t="n">
        <x:v>72100</x:v>
      </x:c>
      <x:c r="D18" s="7" t="n">
        <x:f>B18-C18</x:f>
        <x:v>-56300</x:v>
      </x:c>
      <x:c r="E18" s="12" t="n">
        <x:v>118</x:v>
      </x:c>
      <x:c r="F18" s="14" t="n">
        <x:f>E18/10</x:f>
        <x:v>11.8</x:v>
      </x:c>
    </x:row>
    <x:row r="19" ht="25" customHeight="1">
      <x:c r="A19" s="2" t="str">
        <x:v>2026-10-08_Day</x:v>
      </x:c>
      <x:c r="B19" s="7" t="n">
        <x:v>12100</x:v>
      </x:c>
      <x:c r="C19" s="7" t="n">
        <x:v>63400</x:v>
      </x:c>
      <x:c r="D19" s="7" t="n">
        <x:f>B19-C19</x:f>
        <x:v>-51300</x:v>
      </x:c>
      <x:c r="E19" s="12" t="n">
        <x:v>108</x:v>
      </x:c>
      <x:c r="F19" s="14" t="n">
        <x:f>E19/10</x:f>
        <x:v>10.8</x:v>
      </x:c>
    </x:row>
    <x:row r="20" ht="25" customHeight="1">
      <x:c r="A20" s="2" t="str">
        <x:v>2026-10-09_Day</x:v>
      </x:c>
      <x:c r="B20" s="7" t="n">
        <x:v>38200</x:v>
      </x:c>
      <x:c r="C20" s="7" t="n">
        <x:v>38000</x:v>
      </x:c>
      <x:c r="D20" s="7" t="n">
        <x:f>B20-C20</x:f>
        <x:v>200</x:v>
      </x:c>
      <x:c r="E20" s="12" t="n">
        <x:v>230</x:v>
      </x:c>
      <x:c r="F20" s="14" t="n">
        <x:f>E20/10</x:f>
        <x:v>23</x:v>
      </x:c>
    </x:row>
    <x:row r="21" ht="25" customHeight="1">
      <x:c r="A21" s="2" t="str">
        <x:v>2026-10-12_Day</x:v>
      </x:c>
      <x:c r="B21" s="7" t="n">
        <x:v>4300</x:v>
      </x:c>
      <x:c r="C21" s="7" t="n">
        <x:v>6000</x:v>
      </x:c>
      <x:c r="D21" s="7" t="n">
        <x:f>B21-C21</x:f>
        <x:v>-1700</x:v>
      </x:c>
      <x:c r="E21" s="12" t="n">
        <x:v>34</x:v>
      </x:c>
      <x:c r="F21" s="14" t="n">
        <x:f>E21/10</x:f>
        <x:v>3.4</x:v>
      </x:c>
    </x:row>
    <x:row r="22" ht="25" customHeight="1">
      <x:c r="A22" s="2" t="str">
        <x:v>2026-10-13_Day</x:v>
      </x:c>
      <x:c r="B22" s="7" t="n">
        <x:v>48100</x:v>
      </x:c>
      <x:c r="C22" s="7" t="n">
        <x:v>153100</x:v>
      </x:c>
      <x:c r="D22" s="7" t="n">
        <x:f>B22-C22</x:f>
        <x:v>-105000</x:v>
      </x:c>
      <x:c r="E22" s="12" t="n">
        <x:v>357</x:v>
      </x:c>
      <x:c r="F22" s="14" t="n">
        <x:f>E22/10</x:f>
        <x:v>35.7</x:v>
      </x:c>
    </x:row>
    <x:row r="23" ht="25" customHeight="1">
      <x:c r="A23" s="2" t="str">
        <x:v>2026-10-14_Day</x:v>
      </x:c>
      <x:c r="B23" s="7" t="n">
        <x:v>12000</x:v>
      </x:c>
      <x:c r="C23" s="7" t="n">
        <x:v>32700</x:v>
      </x:c>
      <x:c r="D23" s="7" t="n">
        <x:f>B23-C23</x:f>
        <x:v>-20700</x:v>
      </x:c>
      <x:c r="E23" s="12" t="n">
        <x:v>91</x:v>
      </x:c>
      <x:c r="F23" s="14" t="n">
        <x:f>E23/10</x:f>
        <x:v>9.1</x:v>
      </x:c>
    </x:row>
    <x:row r="24" ht="25" customHeight="1">
      <x:c r="A24" s="2" t="str">
        <x:v>2026-10-15_Day</x:v>
      </x:c>
      <x:c r="B24" s="7" t="n">
        <x:v>29100</x:v>
      </x:c>
      <x:c r="C24" s="7" t="n">
        <x:v>10300</x:v>
      </x:c>
      <x:c r="D24" s="7" t="n">
        <x:f>B24-C24</x:f>
        <x:v>18800</x:v>
      </x:c>
      <x:c r="E24" s="12" t="n">
        <x:v>194</x:v>
      </x:c>
      <x:c r="F24" s="14" t="n">
        <x:f>E24/10</x:f>
        <x:v>19.4</x:v>
      </x:c>
    </x:row>
    <x:row r="25" ht="25" customHeight="1">
      <x:c r="A25" s="2" t="str">
        <x:v>2026-10-16_Day</x:v>
      </x:c>
      <x:c r="B25" s="7" t="n">
        <x:v>53700</x:v>
      </x:c>
      <x:c r="C25" s="7" t="n">
        <x:v>32600</x:v>
      </x:c>
      <x:c r="D25" s="7" t="n">
        <x:f>B25-C25</x:f>
        <x:v>21100</x:v>
      </x:c>
      <x:c r="E25" s="12" t="n">
        <x:v>322</x:v>
      </x:c>
      <x:c r="F25" s="14" t="n">
        <x:f>E25/10</x:f>
        <x:v>32.2</x:v>
      </x:c>
    </x:row>
    <x:row r="26" ht="25" customHeight="1">
      <x:c r="A26" s="2" t="str">
        <x:v>2026-10-19_Day</x:v>
      </x:c>
      <x:c r="B26" s="7" t="n">
        <x:v>42900</x:v>
      </x:c>
      <x:c r="C26" s="7" t="n">
        <x:v>11000</x:v>
      </x:c>
      <x:c r="D26" s="7" t="n">
        <x:f>B26-C26</x:f>
        <x:v>31900</x:v>
      </x:c>
      <x:c r="E26" s="12" t="n">
        <x:v>234</x:v>
      </x:c>
      <x:c r="F26" s="14" t="n">
        <x:f>E26/10</x:f>
        <x:v>23.4</x:v>
      </x:c>
    </x:row>
    <x:row r="27" ht="25" customHeight="1">
      <x:c r="A27" s="2" t="str">
        <x:v>2026-10-20_Day</x:v>
      </x:c>
      <x:c r="B27" s="7" t="n">
        <x:v>27300</x:v>
      </x:c>
      <x:c r="C27" s="7" t="n">
        <x:v>22800</x:v>
      </x:c>
      <x:c r="D27" s="7" t="n">
        <x:f>B27-C27</x:f>
        <x:v>4500</x:v>
      </x:c>
      <x:c r="E27" s="12" t="n">
        <x:v>183</x:v>
      </x:c>
      <x:c r="F27" s="14" t="n">
        <x:f>E27/10</x:f>
        <x:v>18.3</x:v>
      </x:c>
    </x:row>
    <x:row r="28" ht="25" customHeight="1">
      <x:c r="A28" s="2" t="str">
        <x:v>2026-10-21_Day</x:v>
      </x:c>
      <x:c r="B28" s="7" t="n">
        <x:v>28200</x:v>
      </x:c>
      <x:c r="C28" s="7" t="n">
        <x:v>50500</x:v>
      </x:c>
      <x:c r="D28" s="7" t="n">
        <x:f>B28-C28</x:f>
        <x:v>-22300</x:v>
      </x:c>
      <x:c r="E28" s="12" t="n">
        <x:v>222</x:v>
      </x:c>
      <x:c r="F28" s="14" t="n">
        <x:f>E28/10</x:f>
        <x:v>22.2</x:v>
      </x:c>
    </x:row>
    <x:row r="29" ht="25" customHeight="1">
      <x:c r="A29" s="2" t="str">
        <x:v>2026-10-22_Day</x:v>
      </x:c>
      <x:c r="B29" s="7" t="n">
        <x:v>9400</x:v>
      </x:c>
      <x:c r="C29" s="7" t="n">
        <x:v>2500</x:v>
      </x:c>
      <x:c r="D29" s="7" t="n">
        <x:f>B29-C29</x:f>
        <x:v>6900</x:v>
      </x:c>
      <x:c r="E29" s="12" t="n">
        <x:v>52</x:v>
      </x:c>
      <x:c r="F29" s="14" t="n">
        <x:f>E29/10</x:f>
        <x:v>5.2</x:v>
      </x:c>
    </x:row>
    <x:row r="30" ht="25" customHeight="1">
      <x:c r="A30" s="2" t="str">
        <x:v>2026-10-23_Day</x:v>
      </x:c>
      <x:c r="B30" s="7" t="n">
        <x:v>67300</x:v>
      </x:c>
      <x:c r="C30" s="7" t="n">
        <x:v>19500</x:v>
      </x:c>
      <x:c r="D30" s="7" t="n">
        <x:f>B30-C30</x:f>
        <x:v>47800</x:v>
      </x:c>
      <x:c r="E30" s="12" t="n">
        <x:v>432</x:v>
      </x:c>
      <x:c r="F30" s="14" t="n">
        <x:f>E30/10</x:f>
        <x:v>43.2</x:v>
      </x:c>
    </x:row>
    <x:row r="31" ht="25" customHeight="1">
      <x:c r="A31" s="2" t="str">
        <x:v>2026-10-26_Day</x:v>
      </x:c>
      <x:c r="B31" s="7" t="n">
        <x:v>26400</x:v>
      </x:c>
      <x:c r="C31" s="7" t="n">
        <x:v>22000</x:v>
      </x:c>
      <x:c r="D31" s="7" t="n">
        <x:f>B31-C31</x:f>
        <x:v>4400</x:v>
      </x:c>
      <x:c r="E31" s="12" t="n">
        <x:v>169</x:v>
      </x:c>
      <x:c r="F31" s="14" t="n">
        <x:f>E31/10</x:f>
        <x:v>16.9</x:v>
      </x:c>
    </x:row>
    <x:row r="32" ht="25" customHeight="1">
      <x:c r="A32" s="2" t="str">
        <x:v>2026-10-27_Day</x:v>
      </x:c>
      <x:c r="B32" s="7" t="n">
        <x:v>41100</x:v>
      </x:c>
      <x:c r="C32" s="7" t="n">
        <x:v>75300</x:v>
      </x:c>
      <x:c r="D32" s="7" t="n">
        <x:f>B32-C32</x:f>
        <x:v>-34200</x:v>
      </x:c>
      <x:c r="E32" s="12" t="n">
        <x:v>302</x:v>
      </x:c>
      <x:c r="F32" s="14" t="n">
        <x:f>E32/10</x:f>
        <x:v>30.2</x:v>
      </x:c>
    </x:row>
    <x:row r="33" ht="25" customHeight="1">
      <x:c r="A33" s="10" t="str">
        <x:v>合計</x:v>
      </x:c>
      <x:c r="B33" s="11" t="n">
        <x:f>SUM(B6:B32)</x:f>
        <x:v>710200</x:v>
      </x:c>
      <x:c r="C33" s="11" t="n">
        <x:f>SUM(C6:C32)</x:f>
        <x:v>1088000</x:v>
      </x:c>
      <x:c r="D33" s="11" t="n">
        <x:f>B33-C33</x:f>
        <x:v>-377800</x:v>
      </x:c>
      <x:c r="E33" s="13" t="n">
        <x:f>SUM(E6:E32)</x:f>
        <x:v>4683</x:v>
      </x:c>
      <x:c r="F33" s="15" t="n">
        <x:f>E33/10</x:f>
        <x:v>468.3</x:v>
      </x:c>
    </x:row>
  </x:sheetData>
  <x:mergeCells>
    <x:mergeCell ref="A2:F2"/>
    <x:mergeCell ref="A3:F3"/>
    <x:mergeCell ref="A4:F4"/>
  </x:mergeCells>
  <x:conditionalFormatting sqref="D6:D32">
    <x:cfRule type="cellIs" dxfId="4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a2ebc0a551e41a3"/>
  </x:tableParts>
</x:worksheet>
</file>

<file path=xl/worksheets/sheet45.xml><?xml version="1.0" encoding="utf-8"?>
<x:worksheet xmlns:x="http://schemas.openxmlformats.org/spreadsheetml/2006/main">
  <x:sheetPr>
    <x:tabColor rgb="FF304F7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NK225_D168B_16　日中の損益</x:v>
      </x:c>
      <x:c r="B2" s="2"/>
      <x:c r="C2" s="2"/>
      <x:c r="D2" s="2"/>
      <x:c r="E2" s="2"/>
      <x:c r="F2" s="2"/>
    </x:row>
    <x:row r="3" ht="38" customHeight="1">
      <x:c r="A3" s="5" t="str">
        <x:v>8割回収と割合床・回収益予算で12回まで再判断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19" t="str">
        <x:v>セッション</x:v>
      </x:c>
      <x:c r="B5" s="19" t="str">
        <x:v>利益（円）</x:v>
      </x:c>
      <x:c r="C5" s="19" t="str">
        <x:v>損失（円）</x:v>
      </x:c>
      <x:c r="D5" s="19" t="str">
        <x:v>収支（円）</x:v>
      </x:c>
      <x:c r="E5" s="19" t="str">
        <x:v>新規枚数（micro）</x:v>
      </x:c>
      <x:c r="F5" s="19" t="str">
        <x:v>新規枚数（mini換算）</x:v>
      </x:c>
    </x:row>
    <x:row r="6" ht="25" customHeight="1">
      <x:c r="A6" s="2" t="str">
        <x:v>2026-09-21_Day</x:v>
      </x:c>
      <x:c r="B6" s="7" t="n">
        <x:v>2800</x:v>
      </x:c>
      <x:c r="C6" s="7" t="n">
        <x:v>500</x:v>
      </x:c>
      <x:c r="D6" s="7" t="n">
        <x:f>B6-C6</x:f>
        <x:v>2300</x:v>
      </x:c>
      <x:c r="E6" s="12" t="n">
        <x:v>21</x:v>
      </x:c>
      <x:c r="F6" s="14" t="n">
        <x:f>E6/10</x:f>
        <x:v>2.1</x:v>
      </x:c>
    </x:row>
    <x:row r="7" ht="25" customHeight="1">
      <x:c r="A7" s="2" t="str">
        <x:v>2026-09-22_Day</x:v>
      </x:c>
      <x:c r="B7" s="7" t="n">
        <x:v>1800</x:v>
      </x:c>
      <x:c r="C7" s="7" t="n">
        <x:v>6500</x:v>
      </x:c>
      <x:c r="D7" s="7" t="n">
        <x:f>B7-C7</x:f>
        <x:v>-4700</x:v>
      </x:c>
      <x:c r="E7" s="12" t="n">
        <x:v>21</x:v>
      </x:c>
      <x:c r="F7" s="14" t="n">
        <x:f>E7/10</x:f>
        <x:v>2.1</x:v>
      </x:c>
    </x:row>
    <x:row r="8" ht="25" customHeight="1">
      <x:c r="A8" s="2" t="str">
        <x:v>2026-09-23_Day</x:v>
      </x:c>
      <x:c r="B8" s="7" t="n">
        <x:v>2000</x:v>
      </x:c>
      <x:c r="C8" s="7" t="n">
        <x:v>500</x:v>
      </x:c>
      <x:c r="D8" s="7" t="n">
        <x:f>B8-C8</x:f>
        <x:v>1500</x:v>
      </x:c>
      <x:c r="E8" s="12" t="n">
        <x:v>13</x:v>
      </x:c>
      <x:c r="F8" s="14" t="n">
        <x:f>E8/10</x:f>
        <x:v>1.3</x:v>
      </x:c>
    </x:row>
    <x:row r="9" ht="25" customHeight="1">
      <x:c r="A9" s="2" t="str">
        <x:v>2026-09-24_Day</x:v>
      </x:c>
      <x:c r="B9" s="7" t="n">
        <x:v>34100</x:v>
      </x:c>
      <x:c r="C9" s="7" t="n">
        <x:v>11600</x:v>
      </x:c>
      <x:c r="D9" s="7" t="n">
        <x:f>B9-C9</x:f>
        <x:v>22500</x:v>
      </x:c>
      <x:c r="E9" s="12" t="n">
        <x:v>219</x:v>
      </x:c>
      <x:c r="F9" s="14" t="n">
        <x:f>E9/10</x:f>
        <x:v>21.9</x:v>
      </x:c>
    </x:row>
    <x:row r="10" ht="25" customHeight="1">
      <x:c r="A10" s="2" t="str">
        <x:v>2026-09-25_Day</x:v>
      </x:c>
      <x:c r="B10" s="7" t="n">
        <x:v>27500</x:v>
      </x:c>
      <x:c r="C10" s="7" t="n">
        <x:v>10500</x:v>
      </x:c>
      <x:c r="D10" s="7" t="n">
        <x:f>B10-C10</x:f>
        <x:v>17000</x:v>
      </x:c>
      <x:c r="E10" s="12" t="n">
        <x:v>160</x:v>
      </x:c>
      <x:c r="F10" s="14" t="n">
        <x:f>E10/10</x:f>
        <x:v>16</x:v>
      </x:c>
    </x:row>
    <x:row r="11" ht="25" customHeight="1">
      <x:c r="A11" s="2" t="str">
        <x:v>2026-09-28_Day</x:v>
      </x:c>
      <x:c r="B11" s="7" t="n">
        <x:v>16700</x:v>
      </x:c>
      <x:c r="C11" s="7" t="n">
        <x:v>107200</x:v>
      </x:c>
      <x:c r="D11" s="7" t="n">
        <x:f>B11-C11</x:f>
        <x:v>-90500</x:v>
      </x:c>
      <x:c r="E11" s="12" t="n">
        <x:v>148</x:v>
      </x:c>
      <x:c r="F11" s="14" t="n">
        <x:f>E11/10</x:f>
        <x:v>14.8</x:v>
      </x:c>
    </x:row>
    <x:row r="12" ht="25" customHeight="1">
      <x:c r="A12" s="2" t="str">
        <x:v>2026-09-29_Day</x:v>
      </x:c>
      <x:c r="B12" s="7" t="n">
        <x:v>29700</x:v>
      </x:c>
      <x:c r="C12" s="7" t="n">
        <x:v>225400</x:v>
      </x:c>
      <x:c r="D12" s="7" t="n">
        <x:f>B12-C12</x:f>
        <x:v>-195700</x:v>
      </x:c>
      <x:c r="E12" s="12" t="n">
        <x:v>272</x:v>
      </x:c>
      <x:c r="F12" s="14" t="n">
        <x:f>E12/10</x:f>
        <x:v>27.2</x:v>
      </x:c>
    </x:row>
    <x:row r="13" ht="25" customHeight="1">
      <x:c r="A13" s="2" t="str">
        <x:v>2026-09-30_Day</x:v>
      </x:c>
      <x:c r="B13" s="7" t="n">
        <x:v>9300</x:v>
      </x:c>
      <x:c r="C13" s="7" t="n">
        <x:v>1000</x:v>
      </x:c>
      <x:c r="D13" s="7" t="n">
        <x:f>B13-C13</x:f>
        <x:v>8300</x:v>
      </x:c>
      <x:c r="E13" s="12" t="n">
        <x:v>59</x:v>
      </x:c>
      <x:c r="F13" s="14" t="n">
        <x:f>E13/10</x:f>
        <x:v>5.9</x:v>
      </x:c>
    </x:row>
    <x:row r="14" ht="25" customHeight="1">
      <x:c r="A14" s="2" t="str">
        <x:v>2026-10-01_Day</x:v>
      </x:c>
      <x:c r="B14" s="7" t="n">
        <x:v>26900</x:v>
      </x:c>
      <x:c r="C14" s="7" t="n">
        <x:v>58000</x:v>
      </x:c>
      <x:c r="D14" s="7" t="n">
        <x:f>B14-C14</x:f>
        <x:v>-31100</x:v>
      </x:c>
      <x:c r="E14" s="12" t="n">
        <x:v>195</x:v>
      </x:c>
      <x:c r="F14" s="14" t="n">
        <x:f>E14/10</x:f>
        <x:v>19.5</x:v>
      </x:c>
    </x:row>
    <x:row r="15" ht="25" customHeight="1">
      <x:c r="A15" s="2" t="str">
        <x:v>2026-10-02_Day</x:v>
      </x:c>
      <x:c r="B15" s="7" t="n">
        <x:v>17000</x:v>
      </x:c>
      <x:c r="C15" s="7" t="n">
        <x:v>5000</x:v>
      </x:c>
      <x:c r="D15" s="7" t="n">
        <x:f>B15-C15</x:f>
        <x:v>12000</x:v>
      </x:c>
      <x:c r="E15" s="12" t="n">
        <x:v>109</x:v>
      </x:c>
      <x:c r="F15" s="14" t="n">
        <x:f>E15/10</x:f>
        <x:v>10.9</x:v>
      </x:c>
    </x:row>
    <x:row r="16" ht="25" customHeight="1">
      <x:c r="A16" s="2" t="str">
        <x:v>2026-10-05_Day</x:v>
      </x:c>
      <x:c r="B16" s="7" t="n">
        <x:v>29300</x:v>
      </x:c>
      <x:c r="C16" s="7" t="n">
        <x:v>10100</x:v>
      </x:c>
      <x:c r="D16" s="7" t="n">
        <x:f>B16-C16</x:f>
        <x:v>19200</x:v>
      </x:c>
      <x:c r="E16" s="12" t="n">
        <x:v>190</x:v>
      </x:c>
      <x:c r="F16" s="14" t="n">
        <x:f>E16/10</x:f>
        <x:v>19</x:v>
      </x:c>
    </x:row>
    <x:row r="17" ht="25" customHeight="1">
      <x:c r="A17" s="2" t="str">
        <x:v>2026-10-06_Day</x:v>
      </x:c>
      <x:c r="B17" s="7" t="n">
        <x:v>39500</x:v>
      </x:c>
      <x:c r="C17" s="7" t="n">
        <x:v>37000</x:v>
      </x:c>
      <x:c r="D17" s="7" t="n">
        <x:f>B17-C17</x:f>
        <x:v>2500</x:v>
      </x:c>
      <x:c r="E17" s="12" t="n">
        <x:v>254</x:v>
      </x:c>
      <x:c r="F17" s="14" t="n">
        <x:f>E17/10</x:f>
        <x:v>25.4</x:v>
      </x:c>
    </x:row>
    <x:row r="18" ht="25" customHeight="1">
      <x:c r="A18" s="2" t="str">
        <x:v>2026-10-07_Day</x:v>
      </x:c>
      <x:c r="B18" s="7" t="n">
        <x:v>15200</x:v>
      </x:c>
      <x:c r="C18" s="7" t="n">
        <x:v>72600</x:v>
      </x:c>
      <x:c r="D18" s="7" t="n">
        <x:f>B18-C18</x:f>
        <x:v>-57400</x:v>
      </x:c>
      <x:c r="E18" s="12" t="n">
        <x:v>124</x:v>
      </x:c>
      <x:c r="F18" s="14" t="n">
        <x:f>E18/10</x:f>
        <x:v>12.4</x:v>
      </x:c>
    </x:row>
    <x:row r="19" ht="25" customHeight="1">
      <x:c r="A19" s="2" t="str">
        <x:v>2026-10-08_Day</x:v>
      </x:c>
      <x:c r="B19" s="7" t="n">
        <x:v>11000</x:v>
      </x:c>
      <x:c r="C19" s="7" t="n">
        <x:v>62900</x:v>
      </x:c>
      <x:c r="D19" s="7" t="n">
        <x:f>B19-C19</x:f>
        <x:v>-51900</x:v>
      </x:c>
      <x:c r="E19" s="12" t="n">
        <x:v>104</x:v>
      </x:c>
      <x:c r="F19" s="14" t="n">
        <x:f>E19/10</x:f>
        <x:v>10.4</x:v>
      </x:c>
    </x:row>
    <x:row r="20" ht="25" customHeight="1">
      <x:c r="A20" s="2" t="str">
        <x:v>2026-10-09_Day</x:v>
      </x:c>
      <x:c r="B20" s="7" t="n">
        <x:v>52200</x:v>
      </x:c>
      <x:c r="C20" s="7" t="n">
        <x:v>39200</x:v>
      </x:c>
      <x:c r="D20" s="7" t="n">
        <x:f>B20-C20</x:f>
        <x:v>13000</x:v>
      </x:c>
      <x:c r="E20" s="12" t="n">
        <x:v>190</x:v>
      </x:c>
      <x:c r="F20" s="14" t="n">
        <x:f>E20/10</x:f>
        <x:v>19</x:v>
      </x:c>
    </x:row>
    <x:row r="21" ht="25" customHeight="1">
      <x:c r="A21" s="2" t="str">
        <x:v>2026-10-12_Day</x:v>
      </x:c>
      <x:c r="B21" s="7" t="n">
        <x:v>4000</x:v>
      </x:c>
      <x:c r="C21" s="7" t="n">
        <x:v>6000</x:v>
      </x:c>
      <x:c r="D21" s="7" t="n">
        <x:f>B21-C21</x:f>
        <x:v>-2000</x:v>
      </x:c>
      <x:c r="E21" s="12" t="n">
        <x:v>34</x:v>
      </x:c>
      <x:c r="F21" s="14" t="n">
        <x:f>E21/10</x:f>
        <x:v>3.4</x:v>
      </x:c>
    </x:row>
    <x:row r="22" ht="25" customHeight="1">
      <x:c r="A22" s="2" t="str">
        <x:v>2026-10-13_Day</x:v>
      </x:c>
      <x:c r="B22" s="7" t="n">
        <x:v>49100</x:v>
      </x:c>
      <x:c r="C22" s="7" t="n">
        <x:v>155000</x:v>
      </x:c>
      <x:c r="D22" s="7" t="n">
        <x:f>B22-C22</x:f>
        <x:v>-105900</x:v>
      </x:c>
      <x:c r="E22" s="12" t="n">
        <x:v>380</x:v>
      </x:c>
      <x:c r="F22" s="14" t="n">
        <x:f>E22/10</x:f>
        <x:v>38</x:v>
      </x:c>
    </x:row>
    <x:row r="23" ht="25" customHeight="1">
      <x:c r="A23" s="2" t="str">
        <x:v>2026-10-14_Day</x:v>
      </x:c>
      <x:c r="B23" s="7" t="n">
        <x:v>10700</x:v>
      </x:c>
      <x:c r="C23" s="7" t="n">
        <x:v>34700</x:v>
      </x:c>
      <x:c r="D23" s="7" t="n">
        <x:f>B23-C23</x:f>
        <x:v>-24000</x:v>
      </x:c>
      <x:c r="E23" s="12" t="n">
        <x:v>87</x:v>
      </x:c>
      <x:c r="F23" s="14" t="n">
        <x:f>E23/10</x:f>
        <x:v>8.7</x:v>
      </x:c>
    </x:row>
    <x:row r="24" ht="25" customHeight="1">
      <x:c r="A24" s="2" t="str">
        <x:v>2026-10-15_Day</x:v>
      </x:c>
      <x:c r="B24" s="7" t="n">
        <x:v>27800</x:v>
      </x:c>
      <x:c r="C24" s="7" t="n">
        <x:v>8000</x:v>
      </x:c>
      <x:c r="D24" s="7" t="n">
        <x:f>B24-C24</x:f>
        <x:v>19800</x:v>
      </x:c>
      <x:c r="E24" s="12" t="n">
        <x:v>195</x:v>
      </x:c>
      <x:c r="F24" s="14" t="n">
        <x:f>E24/10</x:f>
        <x:v>19.5</x:v>
      </x:c>
    </x:row>
    <x:row r="25" ht="25" customHeight="1">
      <x:c r="A25" s="2" t="str">
        <x:v>2026-10-16_Day</x:v>
      </x:c>
      <x:c r="B25" s="7" t="n">
        <x:v>52600</x:v>
      </x:c>
      <x:c r="C25" s="7" t="n">
        <x:v>31600</x:v>
      </x:c>
      <x:c r="D25" s="7" t="n">
        <x:f>B25-C25</x:f>
        <x:v>21000</x:v>
      </x:c>
      <x:c r="E25" s="12" t="n">
        <x:v>334</x:v>
      </x:c>
      <x:c r="F25" s="14" t="n">
        <x:f>E25/10</x:f>
        <x:v>33.4</x:v>
      </x:c>
    </x:row>
    <x:row r="26" ht="25" customHeight="1">
      <x:c r="A26" s="2" t="str">
        <x:v>2026-10-19_Day</x:v>
      </x:c>
      <x:c r="B26" s="7" t="n">
        <x:v>42600</x:v>
      </x:c>
      <x:c r="C26" s="7" t="n">
        <x:v>12000</x:v>
      </x:c>
      <x:c r="D26" s="7" t="n">
        <x:f>B26-C26</x:f>
        <x:v>30600</x:v>
      </x:c>
      <x:c r="E26" s="12" t="n">
        <x:v>259</x:v>
      </x:c>
      <x:c r="F26" s="14" t="n">
        <x:f>E26/10</x:f>
        <x:v>25.9</x:v>
      </x:c>
    </x:row>
    <x:row r="27" ht="25" customHeight="1">
      <x:c r="A27" s="2" t="str">
        <x:v>2026-10-20_Day</x:v>
      </x:c>
      <x:c r="B27" s="7" t="n">
        <x:v>24700</x:v>
      </x:c>
      <x:c r="C27" s="7" t="n">
        <x:v>21200</x:v>
      </x:c>
      <x:c r="D27" s="7" t="n">
        <x:f>B27-C27</x:f>
        <x:v>3500</x:v>
      </x:c>
      <x:c r="E27" s="12" t="n">
        <x:v>177</x:v>
      </x:c>
      <x:c r="F27" s="14" t="n">
        <x:f>E27/10</x:f>
        <x:v>17.7</x:v>
      </x:c>
    </x:row>
    <x:row r="28" ht="25" customHeight="1">
      <x:c r="A28" s="2" t="str">
        <x:v>2026-10-21_Day</x:v>
      </x:c>
      <x:c r="B28" s="7" t="n">
        <x:v>26800</x:v>
      </x:c>
      <x:c r="C28" s="7" t="n">
        <x:v>52100</x:v>
      </x:c>
      <x:c r="D28" s="7" t="n">
        <x:f>B28-C28</x:f>
        <x:v>-25300</x:v>
      </x:c>
      <x:c r="E28" s="12" t="n">
        <x:v>226</x:v>
      </x:c>
      <x:c r="F28" s="14" t="n">
        <x:f>E28/10</x:f>
        <x:v>22.6</x:v>
      </x:c>
    </x:row>
    <x:row r="29" ht="25" customHeight="1">
      <x:c r="A29" s="2" t="str">
        <x:v>2026-10-22_Day</x:v>
      </x:c>
      <x:c r="B29" s="7" t="n">
        <x:v>13800</x:v>
      </x:c>
      <x:c r="C29" s="7" t="n">
        <x:v>5000</x:v>
      </x:c>
      <x:c r="D29" s="7" t="n">
        <x:f>B29-C29</x:f>
        <x:v>8800</x:v>
      </x:c>
      <x:c r="E29" s="12" t="n">
        <x:v>62</x:v>
      </x:c>
      <x:c r="F29" s="14" t="n">
        <x:f>E29/10</x:f>
        <x:v>6.2</x:v>
      </x:c>
    </x:row>
    <x:row r="30" ht="25" customHeight="1">
      <x:c r="A30" s="2" t="str">
        <x:v>2026-10-23_Day</x:v>
      </x:c>
      <x:c r="B30" s="7" t="n">
        <x:v>61700</x:v>
      </x:c>
      <x:c r="C30" s="7" t="n">
        <x:v>16700</x:v>
      </x:c>
      <x:c r="D30" s="7" t="n">
        <x:f>B30-C30</x:f>
        <x:v>45000</x:v>
      </x:c>
      <x:c r="E30" s="12" t="n">
        <x:v>413</x:v>
      </x:c>
      <x:c r="F30" s="14" t="n">
        <x:f>E30/10</x:f>
        <x:v>41.3</x:v>
      </x:c>
    </x:row>
    <x:row r="31" ht="25" customHeight="1">
      <x:c r="A31" s="2" t="str">
        <x:v>2026-10-26_Day</x:v>
      </x:c>
      <x:c r="B31" s="7" t="n">
        <x:v>24400</x:v>
      </x:c>
      <x:c r="C31" s="7" t="n">
        <x:v>21500</x:v>
      </x:c>
      <x:c r="D31" s="7" t="n">
        <x:f>B31-C31</x:f>
        <x:v>2900</x:v>
      </x:c>
      <x:c r="E31" s="12" t="n">
        <x:v>171</x:v>
      </x:c>
      <x:c r="F31" s="14" t="n">
        <x:f>E31/10</x:f>
        <x:v>17.1</x:v>
      </x:c>
    </x:row>
    <x:row r="32" ht="25" customHeight="1">
      <x:c r="A32" s="2" t="str">
        <x:v>2026-10-27_Day</x:v>
      </x:c>
      <x:c r="B32" s="7" t="n">
        <x:v>40700</x:v>
      </x:c>
      <x:c r="C32" s="7" t="n">
        <x:v>74000</x:v>
      </x:c>
      <x:c r="D32" s="7" t="n">
        <x:f>B32-C32</x:f>
        <x:v>-33300</x:v>
      </x:c>
      <x:c r="E32" s="12" t="n">
        <x:v>309</x:v>
      </x:c>
      <x:c r="F32" s="14" t="n">
        <x:f>E32/10</x:f>
        <x:v>30.9</x:v>
      </x:c>
    </x:row>
    <x:row r="33" ht="25" customHeight="1">
      <x:c r="A33" s="10" t="str">
        <x:v>合計</x:v>
      </x:c>
      <x:c r="B33" s="11" t="n">
        <x:f>SUM(B6:B32)</x:f>
        <x:v>693900</x:v>
      </x:c>
      <x:c r="C33" s="11" t="n">
        <x:f>SUM(C6:C32)</x:f>
        <x:v>1085800</x:v>
      </x:c>
      <x:c r="D33" s="11" t="n">
        <x:f>B33-C33</x:f>
        <x:v>-391900</x:v>
      </x:c>
      <x:c r="E33" s="13" t="n">
        <x:f>SUM(E6:E32)</x:f>
        <x:v>4726</x:v>
      </x:c>
      <x:c r="F33" s="15" t="n">
        <x:f>E33/10</x:f>
        <x:v>472.6</x:v>
      </x:c>
    </x:row>
  </x:sheetData>
  <x:mergeCells>
    <x:mergeCell ref="A2:F2"/>
    <x:mergeCell ref="A3:F3"/>
    <x:mergeCell ref="A4:F4"/>
  </x:mergeCells>
  <x:conditionalFormatting sqref="D6:D32">
    <x:cfRule type="cellIs" dxfId="4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037caf924494f81"/>
  </x:tableParts>
</x:worksheet>
</file>

<file path=xl/worksheets/sheet46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NK225_P164_06　米国前の損益</x:v>
      </x:c>
      <x:c r="B2" s="2"/>
      <x:c r="C2" s="2"/>
      <x:c r="D2" s="2"/>
      <x:c r="E2" s="2"/>
      <x:c r="F2" s="2"/>
    </x:row>
    <x:row r="3" ht="38" customHeight="1">
      <x:c r="A3" s="5" t="str">
        <x:v>現行の保存済み通知を同じ次正常板で再現する比較元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15000</x:v>
      </x:c>
      <x:c r="C7" s="7" t="n">
        <x:v>0</x:v>
      </x:c>
      <x:c r="D7" s="7" t="n">
        <x:f>B7-C7</x:f>
        <x:v>15000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30000</x:v>
      </x:c>
      <x:c r="C9" s="7" t="n">
        <x:v>0</x:v>
      </x:c>
      <x:c r="D9" s="7" t="n">
        <x:f>B9-C9</x:f>
        <x:v>30000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60000</x:v>
      </x:c>
      <x:c r="C13" s="7" t="n">
        <x:v>0</x:v>
      </x:c>
      <x:c r="D13" s="7" t="n">
        <x:f>B13-C13</x:f>
        <x:v>60000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55000</x:v>
      </x:c>
      <x:c r="C14" s="7" t="n">
        <x:v>5000</x:v>
      </x:c>
      <x:c r="D14" s="7" t="n">
        <x:f>B14-C14</x:f>
        <x:v>50000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15000</x:v>
      </x:c>
      <x:c r="C16" s="7" t="n">
        <x:v>0</x:v>
      </x:c>
      <x:c r="D16" s="7" t="n">
        <x:f>B16-C16</x:f>
        <x:v>15000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20000</x:v>
      </x:c>
      <x:c r="C18" s="7" t="n">
        <x:v>5000</x:v>
      </x:c>
      <x:c r="D18" s="7" t="n">
        <x:f>B18-C18</x:f>
        <x:v>15000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5000</x:v>
      </x:c>
      <x:c r="C19" s="7" t="n">
        <x:v>0</x:v>
      </x:c>
      <x:c r="D19" s="7" t="n">
        <x:f>B19-C19</x:f>
        <x:v>5000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40000</x:v>
      </x:c>
      <x:c r="C20" s="7" t="n">
        <x:v>0</x:v>
      </x:c>
      <x:c r="D20" s="7" t="n">
        <x:f>B20-C20</x:f>
        <x:v>40000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15000</x:v>
      </x:c>
      <x:c r="C22" s="7" t="n">
        <x:v>0</x:v>
      </x:c>
      <x:c r="D22" s="7" t="n">
        <x:f>B22-C22</x:f>
        <x:v>15000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15000</x:v>
      </x:c>
      <x:c r="C23" s="7" t="n">
        <x:v>0</x:v>
      </x:c>
      <x:c r="D23" s="7" t="n">
        <x:f>B23-C23</x:f>
        <x:v>15000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0</x:v>
      </x:c>
      <x:c r="C25" s="7" t="n">
        <x:v>20000</x:v>
      </x:c>
      <x:c r="D25" s="7" t="n">
        <x:f>B25-C25</x:f>
        <x:v>-20000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35000</x:v>
      </x:c>
      <x:c r="C26" s="7" t="n">
        <x:v>0</x:v>
      </x:c>
      <x:c r="D26" s="7" t="n">
        <x:f>B26-C26</x:f>
        <x:v>35000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57000</x:v>
      </x:c>
      <x:c r="C27" s="7" t="n">
        <x:v>0</x:v>
      </x:c>
      <x:c r="D27" s="7" t="n">
        <x:f>B27-C27</x:f>
        <x:v>57000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15000</x:v>
      </x:c>
      <x:c r="C28" s="7" t="n">
        <x:v>0</x:v>
      </x:c>
      <x:c r="D28" s="7" t="n">
        <x:f>B28-C28</x:f>
        <x:v>15000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20000</x:v>
      </x:c>
      <x:c r="C30" s="7" t="n">
        <x:v>5000</x:v>
      </x:c>
      <x:c r="D30" s="7" t="n">
        <x:f>B30-C30</x:f>
        <x:v>15000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15000</x:v>
      </x:c>
      <x:c r="C31" s="7" t="n">
        <x:v>0</x:v>
      </x:c>
      <x:c r="D31" s="7" t="n">
        <x:f>B31-C31</x:f>
        <x:v>15000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15000</x:v>
      </x:c>
      <x:c r="C32" s="7" t="n">
        <x:v>0</x:v>
      </x:c>
      <x:c r="D32" s="7" t="n">
        <x:f>B32-C32</x:f>
        <x:v>15000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427000</x:v>
      </x:c>
      <x:c r="C33" s="11" t="n">
        <x:f>SUM(C6:C32)</x:f>
        <x:v>35000</x:v>
      </x:c>
      <x:c r="D33" s="11" t="n">
        <x:f>B33-C33</x:f>
        <x:v>392000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4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0064bef86db478b"/>
  </x:tableParts>
</x:worksheet>
</file>

<file path=xl/worksheets/sheet47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NK225_P168_01　米国前の損益</x:v>
      </x:c>
      <x:c r="B2" s="2"/>
      <x:c r="C2" s="2"/>
      <x:c r="D2" s="2"/>
      <x:c r="E2" s="2"/>
      <x:c r="F2" s="2"/>
    </x:row>
    <x:row r="3" ht="38" customHeight="1">
      <x:c r="A3" s="5" t="str">
        <x:v>10円から固定20円追尾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0</x:v>
      </x:c>
      <x:c r="C7" s="7" t="n">
        <x:v>0</x:v>
      </x:c>
      <x:c r="D7" s="7" t="n">
        <x:f>B7-C7</x:f>
        <x:v>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5000</x:v>
      </x:c>
      <x:c r="C9" s="7" t="n">
        <x:v>5000</x:v>
      </x:c>
      <x:c r="D9" s="7" t="n">
        <x:f>B9-C9</x:f>
        <x:v>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5000</x:v>
      </x:c>
      <x:c r="C13" s="7" t="n">
        <x:v>0</x:v>
      </x:c>
      <x:c r="D13" s="7" t="n">
        <x:f>B13-C13</x:f>
        <x:v>5000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13000</x:v>
      </x:c>
      <x:c r="C14" s="7" t="n">
        <x:v>0</x:v>
      </x:c>
      <x:c r="D14" s="7" t="n">
        <x:f>B14-C14</x:f>
        <x:v>13000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0</x:v>
      </x:c>
      <x:c r="C16" s="7" t="n">
        <x:v>0</x:v>
      </x:c>
      <x:c r="D16" s="7" t="n">
        <x:f>B16-C16</x:f>
        <x:v>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0</x:v>
      </x:c>
      <x:c r="C18" s="7" t="n">
        <x:v>5000</x:v>
      </x:c>
      <x:c r="D18" s="7" t="n">
        <x:f>B18-C18</x:f>
        <x:v>-5000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1000</x:v>
      </x:c>
      <x:c r="C19" s="7" t="n">
        <x:v>0</x:v>
      </x:c>
      <x:c r="D19" s="7" t="n">
        <x:f>B19-C19</x:f>
        <x:v>1000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10000</x:v>
      </x:c>
      <x:c r="C20" s="7" t="n">
        <x:v>0</x:v>
      </x:c>
      <x:c r="D20" s="7" t="n">
        <x:f>B20-C20</x:f>
        <x:v>10000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0</x:v>
      </x:c>
      <x:c r="C22" s="7" t="n">
        <x:v>0</x:v>
      </x:c>
      <x:c r="D22" s="7" t="n">
        <x:f>B22-C22</x:f>
        <x:v>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5000</x:v>
      </x:c>
      <x:c r="C23" s="7" t="n">
        <x:v>0</x:v>
      </x:c>
      <x:c r="D23" s="7" t="n">
        <x:f>B23-C23</x:f>
        <x:v>5000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0</x:v>
      </x:c>
      <x:c r="C25" s="7" t="n">
        <x:v>0</x:v>
      </x:c>
      <x:c r="D25" s="7" t="n">
        <x:f>B25-C25</x:f>
        <x:v>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0</x:v>
      </x:c>
      <x:c r="C26" s="7" t="n">
        <x:v>0</x:v>
      </x:c>
      <x:c r="D26" s="7" t="n">
        <x:f>B26-C26</x:f>
        <x:v>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4000</x:v>
      </x:c>
      <x:c r="C27" s="7" t="n">
        <x:v>0</x:v>
      </x:c>
      <x:c r="D27" s="7" t="n">
        <x:f>B27-C27</x:f>
        <x:v>4000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0</x:v>
      </x:c>
      <x:c r="C28" s="7" t="n">
        <x:v>0</x:v>
      </x:c>
      <x:c r="D28" s="7" t="n">
        <x:f>B28-C28</x:f>
        <x:v>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1000</x:v>
      </x:c>
      <x:c r="C30" s="7" t="n">
        <x:v>5000</x:v>
      </x:c>
      <x:c r="D30" s="7" t="n">
        <x:f>B30-C30</x:f>
        <x:v>-4000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0</x:v>
      </x:c>
      <x:c r="C31" s="7" t="n">
        <x:v>0</x:v>
      </x:c>
      <x:c r="D31" s="7" t="n">
        <x:f>B31-C31</x:f>
        <x:v>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0</x:v>
      </x:c>
      <x:c r="C32" s="7" t="n">
        <x:v>0</x:v>
      </x:c>
      <x:c r="D32" s="7" t="n">
        <x:f>B32-C32</x:f>
        <x:v>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44000</x:v>
      </x:c>
      <x:c r="C33" s="11" t="n">
        <x:f>SUM(C6:C32)</x:f>
        <x:v>15000</x:v>
      </x:c>
      <x:c r="D33" s="11" t="n">
        <x:f>B33-C33</x:f>
        <x:v>29000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4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1c836cd66644c1"/>
  </x:tableParts>
</x:worksheet>
</file>

<file path=xl/worksheets/sheet48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NK225_P168_02　米国前の損益</x:v>
      </x:c>
      <x:c r="B2" s="2"/>
      <x:c r="C2" s="2"/>
      <x:c r="D2" s="2"/>
      <x:c r="E2" s="2"/>
      <x:c r="F2" s="2"/>
    </x:row>
    <x:row r="3" ht="38" customHeight="1">
      <x:c r="A3" s="5" t="str">
        <x:v>20円から固定20円追尾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0</x:v>
      </x:c>
      <x:c r="C7" s="7" t="n">
        <x:v>0</x:v>
      </x:c>
      <x:c r="D7" s="7" t="n">
        <x:f>B7-C7</x:f>
        <x:v>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5000</x:v>
      </x:c>
      <x:c r="C9" s="7" t="n">
        <x:v>0</x:v>
      </x:c>
      <x:c r="D9" s="7" t="n">
        <x:f>B9-C9</x:f>
        <x:v>5000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25000</x:v>
      </x:c>
      <x:c r="C13" s="7" t="n">
        <x:v>0</x:v>
      </x:c>
      <x:c r="D13" s="7" t="n">
        <x:f>B13-C13</x:f>
        <x:v>25000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49000</x:v>
      </x:c>
      <x:c r="C14" s="7" t="n">
        <x:v>0</x:v>
      </x:c>
      <x:c r="D14" s="7" t="n">
        <x:f>B14-C14</x:f>
        <x:v>49000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15000</x:v>
      </x:c>
      <x:c r="C16" s="7" t="n">
        <x:v>0</x:v>
      </x:c>
      <x:c r="D16" s="7" t="n">
        <x:f>B16-C16</x:f>
        <x:v>15000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20000</x:v>
      </x:c>
      <x:c r="C18" s="7" t="n">
        <x:v>5000</x:v>
      </x:c>
      <x:c r="D18" s="7" t="n">
        <x:f>B18-C18</x:f>
        <x:v>15000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0</x:v>
      </x:c>
      <x:c r="C19" s="7" t="n">
        <x:v>0</x:v>
      </x:c>
      <x:c r="D19" s="7" t="n">
        <x:f>B19-C19</x:f>
        <x:v>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5000</x:v>
      </x:c>
      <x:c r="C20" s="7" t="n">
        <x:v>0</x:v>
      </x:c>
      <x:c r="D20" s="7" t="n">
        <x:f>B20-C20</x:f>
        <x:v>5000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0</x:v>
      </x:c>
      <x:c r="C22" s="7" t="n">
        <x:v>0</x:v>
      </x:c>
      <x:c r="D22" s="7" t="n">
        <x:f>B22-C22</x:f>
        <x:v>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15000</x:v>
      </x:c>
      <x:c r="C23" s="7" t="n">
        <x:v>0</x:v>
      </x:c>
      <x:c r="D23" s="7" t="n">
        <x:f>B23-C23</x:f>
        <x:v>15000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0</x:v>
      </x:c>
      <x:c r="C25" s="7" t="n">
        <x:v>0</x:v>
      </x:c>
      <x:c r="D25" s="7" t="n">
        <x:f>B25-C25</x:f>
        <x:v>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0</x:v>
      </x:c>
      <x:c r="C26" s="7" t="n">
        <x:v>0</x:v>
      </x:c>
      <x:c r="D26" s="7" t="n">
        <x:f>B26-C26</x:f>
        <x:v>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41000</x:v>
      </x:c>
      <x:c r="C27" s="7" t="n">
        <x:v>0</x:v>
      </x:c>
      <x:c r="D27" s="7" t="n">
        <x:f>B27-C27</x:f>
        <x:v>41000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5000</x:v>
      </x:c>
      <x:c r="C28" s="7" t="n">
        <x:v>0</x:v>
      </x:c>
      <x:c r="D28" s="7" t="n">
        <x:f>B28-C28</x:f>
        <x:v>5000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10000</x:v>
      </x:c>
      <x:c r="C30" s="7" t="n">
        <x:v>5000</x:v>
      </x:c>
      <x:c r="D30" s="7" t="n">
        <x:f>B30-C30</x:f>
        <x:v>5000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0</x:v>
      </x:c>
      <x:c r="C31" s="7" t="n">
        <x:v>0</x:v>
      </x:c>
      <x:c r="D31" s="7" t="n">
        <x:f>B31-C31</x:f>
        <x:v>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5000</x:v>
      </x:c>
      <x:c r="C32" s="7" t="n">
        <x:v>0</x:v>
      </x:c>
      <x:c r="D32" s="7" t="n">
        <x:f>B32-C32</x:f>
        <x:v>5000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195000</x:v>
      </x:c>
      <x:c r="C33" s="11" t="n">
        <x:f>SUM(C6:C32)</x:f>
        <x:v>10000</x:v>
      </x:c>
      <x:c r="D33" s="11" t="n">
        <x:f>B33-C33</x:f>
        <x:v>185000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4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51ec048e38d4d5c"/>
  </x:tableParts>
</x:worksheet>
</file>

<file path=xl/worksheets/sheet49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NK225_P168_03　米国前の損益</x:v>
      </x:c>
      <x:c r="B2" s="2"/>
      <x:c r="C2" s="2"/>
      <x:c r="D2" s="2"/>
      <x:c r="E2" s="2"/>
      <x:c r="F2" s="2"/>
    </x:row>
    <x:row r="3" ht="38" customHeight="1">
      <x:c r="A3" s="5" t="str">
        <x:v>40円から固定30円追尾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15000</x:v>
      </x:c>
      <x:c r="C7" s="7" t="n">
        <x:v>0</x:v>
      </x:c>
      <x:c r="D7" s="7" t="n">
        <x:f>B7-C7</x:f>
        <x:v>15000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30000</x:v>
      </x:c>
      <x:c r="C9" s="7" t="n">
        <x:v>0</x:v>
      </x:c>
      <x:c r="D9" s="7" t="n">
        <x:f>B9-C9</x:f>
        <x:v>30000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60000</x:v>
      </x:c>
      <x:c r="C13" s="7" t="n">
        <x:v>0</x:v>
      </x:c>
      <x:c r="D13" s="7" t="n">
        <x:f>B13-C13</x:f>
        <x:v>60000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55000</x:v>
      </x:c>
      <x:c r="C14" s="7" t="n">
        <x:v>5000</x:v>
      </x:c>
      <x:c r="D14" s="7" t="n">
        <x:f>B14-C14</x:f>
        <x:v>50000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15000</x:v>
      </x:c>
      <x:c r="C16" s="7" t="n">
        <x:v>0</x:v>
      </x:c>
      <x:c r="D16" s="7" t="n">
        <x:f>B16-C16</x:f>
        <x:v>15000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20000</x:v>
      </x:c>
      <x:c r="C18" s="7" t="n">
        <x:v>5000</x:v>
      </x:c>
      <x:c r="D18" s="7" t="n">
        <x:f>B18-C18</x:f>
        <x:v>15000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5000</x:v>
      </x:c>
      <x:c r="C19" s="7" t="n">
        <x:v>0</x:v>
      </x:c>
      <x:c r="D19" s="7" t="n">
        <x:f>B19-C19</x:f>
        <x:v>5000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40000</x:v>
      </x:c>
      <x:c r="C20" s="7" t="n">
        <x:v>0</x:v>
      </x:c>
      <x:c r="D20" s="7" t="n">
        <x:f>B20-C20</x:f>
        <x:v>40000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15000</x:v>
      </x:c>
      <x:c r="C22" s="7" t="n">
        <x:v>0</x:v>
      </x:c>
      <x:c r="D22" s="7" t="n">
        <x:f>B22-C22</x:f>
        <x:v>15000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15000</x:v>
      </x:c>
      <x:c r="C23" s="7" t="n">
        <x:v>0</x:v>
      </x:c>
      <x:c r="D23" s="7" t="n">
        <x:f>B23-C23</x:f>
        <x:v>15000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0</x:v>
      </x:c>
      <x:c r="C25" s="7" t="n">
        <x:v>20000</x:v>
      </x:c>
      <x:c r="D25" s="7" t="n">
        <x:f>B25-C25</x:f>
        <x:v>-20000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35000</x:v>
      </x:c>
      <x:c r="C26" s="7" t="n">
        <x:v>0</x:v>
      </x:c>
      <x:c r="D26" s="7" t="n">
        <x:f>B26-C26</x:f>
        <x:v>35000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57000</x:v>
      </x:c>
      <x:c r="C27" s="7" t="n">
        <x:v>0</x:v>
      </x:c>
      <x:c r="D27" s="7" t="n">
        <x:f>B27-C27</x:f>
        <x:v>57000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15000</x:v>
      </x:c>
      <x:c r="C28" s="7" t="n">
        <x:v>0</x:v>
      </x:c>
      <x:c r="D28" s="7" t="n">
        <x:f>B28-C28</x:f>
        <x:v>15000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20000</x:v>
      </x:c>
      <x:c r="C30" s="7" t="n">
        <x:v>5000</x:v>
      </x:c>
      <x:c r="D30" s="7" t="n">
        <x:f>B30-C30</x:f>
        <x:v>15000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15000</x:v>
      </x:c>
      <x:c r="C31" s="7" t="n">
        <x:v>0</x:v>
      </x:c>
      <x:c r="D31" s="7" t="n">
        <x:f>B31-C31</x:f>
        <x:v>15000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15000</x:v>
      </x:c>
      <x:c r="C32" s="7" t="n">
        <x:v>0</x:v>
      </x:c>
      <x:c r="D32" s="7" t="n">
        <x:f>B32-C32</x:f>
        <x:v>15000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427000</x:v>
      </x:c>
      <x:c r="C33" s="11" t="n">
        <x:f>SUM(C6:C32)</x:f>
        <x:v>35000</x:v>
      </x:c>
      <x:c r="D33" s="11" t="n">
        <x:f>B33-C33</x:f>
        <x:v>392000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4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f2291da67f4329"/>
  </x:tableParts>
</x:worksheet>
</file>

<file path=xl/worksheets/sheet50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NK225_P168_04　米国前の損益</x:v>
      </x:c>
      <x:c r="B2" s="2"/>
      <x:c r="C2" s="2"/>
      <x:c r="D2" s="2"/>
      <x:c r="E2" s="2"/>
      <x:c r="F2" s="2"/>
    </x:row>
    <x:row r="3" ht="38" customHeight="1">
      <x:c r="A3" s="5" t="str">
        <x:v>方向別総枚数に応じた1万円基準の追尾幅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0</x:v>
      </x:c>
      <x:c r="C7" s="7" t="n">
        <x:v>0</x:v>
      </x:c>
      <x:c r="D7" s="7" t="n">
        <x:f>B7-C7</x:f>
        <x:v>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5000</x:v>
      </x:c>
      <x:c r="C9" s="7" t="n">
        <x:v>0</x:v>
      </x:c>
      <x:c r="D9" s="7" t="n">
        <x:f>B9-C9</x:f>
        <x:v>5000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25000</x:v>
      </x:c>
      <x:c r="C13" s="7" t="n">
        <x:v>0</x:v>
      </x:c>
      <x:c r="D13" s="7" t="n">
        <x:f>B13-C13</x:f>
        <x:v>25000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49000</x:v>
      </x:c>
      <x:c r="C14" s="7" t="n">
        <x:v>0</x:v>
      </x:c>
      <x:c r="D14" s="7" t="n">
        <x:f>B14-C14</x:f>
        <x:v>49000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15000</x:v>
      </x:c>
      <x:c r="C16" s="7" t="n">
        <x:v>0</x:v>
      </x:c>
      <x:c r="D16" s="7" t="n">
        <x:f>B16-C16</x:f>
        <x:v>15000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20000</x:v>
      </x:c>
      <x:c r="C18" s="7" t="n">
        <x:v>5000</x:v>
      </x:c>
      <x:c r="D18" s="7" t="n">
        <x:f>B18-C18</x:f>
        <x:v>15000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0</x:v>
      </x:c>
      <x:c r="C19" s="7" t="n">
        <x:v>0</x:v>
      </x:c>
      <x:c r="D19" s="7" t="n">
        <x:f>B19-C19</x:f>
        <x:v>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5000</x:v>
      </x:c>
      <x:c r="C20" s="7" t="n">
        <x:v>0</x:v>
      </x:c>
      <x:c r="D20" s="7" t="n">
        <x:f>B20-C20</x:f>
        <x:v>5000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0</x:v>
      </x:c>
      <x:c r="C22" s="7" t="n">
        <x:v>0</x:v>
      </x:c>
      <x:c r="D22" s="7" t="n">
        <x:f>B22-C22</x:f>
        <x:v>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15000</x:v>
      </x:c>
      <x:c r="C23" s="7" t="n">
        <x:v>0</x:v>
      </x:c>
      <x:c r="D23" s="7" t="n">
        <x:f>B23-C23</x:f>
        <x:v>15000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0</x:v>
      </x:c>
      <x:c r="C25" s="7" t="n">
        <x:v>0</x:v>
      </x:c>
      <x:c r="D25" s="7" t="n">
        <x:f>B25-C25</x:f>
        <x:v>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0</x:v>
      </x:c>
      <x:c r="C26" s="7" t="n">
        <x:v>0</x:v>
      </x:c>
      <x:c r="D26" s="7" t="n">
        <x:f>B26-C26</x:f>
        <x:v>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39000</x:v>
      </x:c>
      <x:c r="C27" s="7" t="n">
        <x:v>0</x:v>
      </x:c>
      <x:c r="D27" s="7" t="n">
        <x:f>B27-C27</x:f>
        <x:v>39000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5000</x:v>
      </x:c>
      <x:c r="C28" s="7" t="n">
        <x:v>0</x:v>
      </x:c>
      <x:c r="D28" s="7" t="n">
        <x:f>B28-C28</x:f>
        <x:v>5000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10000</x:v>
      </x:c>
      <x:c r="C30" s="7" t="n">
        <x:v>5000</x:v>
      </x:c>
      <x:c r="D30" s="7" t="n">
        <x:f>B30-C30</x:f>
        <x:v>5000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0</x:v>
      </x:c>
      <x:c r="C31" s="7" t="n">
        <x:v>0</x:v>
      </x:c>
      <x:c r="D31" s="7" t="n">
        <x:f>B31-C31</x:f>
        <x:v>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5000</x:v>
      </x:c>
      <x:c r="C32" s="7" t="n">
        <x:v>0</x:v>
      </x:c>
      <x:c r="D32" s="7" t="n">
        <x:f>B32-C32</x:f>
        <x:v>5000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193000</x:v>
      </x:c>
      <x:c r="C33" s="11" t="n">
        <x:f>SUM(C6:C32)</x:f>
        <x:v>10000</x:v>
      </x:c>
      <x:c r="D33" s="11" t="n">
        <x:f>B33-C33</x:f>
        <x:v>183000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4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ef8ede802e4b11"/>
  </x:tableParts>
</x:worksheet>
</file>

<file path=xl/worksheets/sheet51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NK225_P168_05　米国前の損益</x:v>
      </x:c>
      <x:c r="B2" s="2"/>
      <x:c r="C2" s="2"/>
      <x:c r="D2" s="2"/>
      <x:c r="E2" s="2"/>
      <x:c r="F2" s="2"/>
    </x:row>
    <x:row r="3" ht="38" customHeight="1">
      <x:c r="A3" s="5" t="str">
        <x:v>方向別総枚数に応じた2万円基準の追尾幅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0</x:v>
      </x:c>
      <x:c r="C7" s="7" t="n">
        <x:v>0</x:v>
      </x:c>
      <x:c r="D7" s="7" t="n">
        <x:f>B7-C7</x:f>
        <x:v>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5000</x:v>
      </x:c>
      <x:c r="C9" s="7" t="n">
        <x:v>0</x:v>
      </x:c>
      <x:c r="D9" s="7" t="n">
        <x:f>B9-C9</x:f>
        <x:v>5000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25000</x:v>
      </x:c>
      <x:c r="C13" s="7" t="n">
        <x:v>0</x:v>
      </x:c>
      <x:c r="D13" s="7" t="n">
        <x:f>B13-C13</x:f>
        <x:v>25000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44000</x:v>
      </x:c>
      <x:c r="C14" s="7" t="n">
        <x:v>0</x:v>
      </x:c>
      <x:c r="D14" s="7" t="n">
        <x:f>B14-C14</x:f>
        <x:v>44000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15000</x:v>
      </x:c>
      <x:c r="C16" s="7" t="n">
        <x:v>0</x:v>
      </x:c>
      <x:c r="D16" s="7" t="n">
        <x:f>B16-C16</x:f>
        <x:v>15000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20000</x:v>
      </x:c>
      <x:c r="C18" s="7" t="n">
        <x:v>5000</x:v>
      </x:c>
      <x:c r="D18" s="7" t="n">
        <x:f>B18-C18</x:f>
        <x:v>15000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0</x:v>
      </x:c>
      <x:c r="C19" s="7" t="n">
        <x:v>0</x:v>
      </x:c>
      <x:c r="D19" s="7" t="n">
        <x:f>B19-C19</x:f>
        <x:v>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5000</x:v>
      </x:c>
      <x:c r="C20" s="7" t="n">
        <x:v>0</x:v>
      </x:c>
      <x:c r="D20" s="7" t="n">
        <x:f>B20-C20</x:f>
        <x:v>5000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0</x:v>
      </x:c>
      <x:c r="C22" s="7" t="n">
        <x:v>0</x:v>
      </x:c>
      <x:c r="D22" s="7" t="n">
        <x:f>B22-C22</x:f>
        <x:v>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15000</x:v>
      </x:c>
      <x:c r="C23" s="7" t="n">
        <x:v>0</x:v>
      </x:c>
      <x:c r="D23" s="7" t="n">
        <x:f>B23-C23</x:f>
        <x:v>15000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0</x:v>
      </x:c>
      <x:c r="C25" s="7" t="n">
        <x:v>0</x:v>
      </x:c>
      <x:c r="D25" s="7" t="n">
        <x:f>B25-C25</x:f>
        <x:v>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0</x:v>
      </x:c>
      <x:c r="C26" s="7" t="n">
        <x:v>0</x:v>
      </x:c>
      <x:c r="D26" s="7" t="n">
        <x:f>B26-C26</x:f>
        <x:v>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39000</x:v>
      </x:c>
      <x:c r="C27" s="7" t="n">
        <x:v>0</x:v>
      </x:c>
      <x:c r="D27" s="7" t="n">
        <x:f>B27-C27</x:f>
        <x:v>39000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0</x:v>
      </x:c>
      <x:c r="C28" s="7" t="n">
        <x:v>0</x:v>
      </x:c>
      <x:c r="D28" s="7" t="n">
        <x:f>B28-C28</x:f>
        <x:v>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5000</x:v>
      </x:c>
      <x:c r="C30" s="7" t="n">
        <x:v>5000</x:v>
      </x:c>
      <x:c r="D30" s="7" t="n">
        <x:f>B30-C30</x:f>
        <x:v>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0</x:v>
      </x:c>
      <x:c r="C31" s="7" t="n">
        <x:v>0</x:v>
      </x:c>
      <x:c r="D31" s="7" t="n">
        <x:f>B31-C31</x:f>
        <x:v>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5000</x:v>
      </x:c>
      <x:c r="C32" s="7" t="n">
        <x:v>0</x:v>
      </x:c>
      <x:c r="D32" s="7" t="n">
        <x:f>B32-C32</x:f>
        <x:v>5000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178000</x:v>
      </x:c>
      <x:c r="C33" s="11" t="n">
        <x:f>SUM(C6:C32)</x:f>
        <x:v>10000</x:v>
      </x:c>
      <x:c r="D33" s="11" t="n">
        <x:f>B33-C33</x:f>
        <x:v>168000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4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cefe325bb64958"/>
  </x:tableParts>
</x:worksheet>
</file>

<file path=xl/worksheets/sheet52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NK225_P168_06　米国前の損益</x:v>
      </x:c>
      <x:c r="B2" s="2"/>
      <x:c r="C2" s="2"/>
      <x:c r="D2" s="2"/>
      <x:c r="E2" s="2"/>
      <x:c r="F2" s="2"/>
    </x:row>
    <x:row r="3" ht="38" customHeight="1">
      <x:c r="A3" s="5" t="str">
        <x:v>固定20円追尾と独立120円損切り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0</x:v>
      </x:c>
      <x:c r="C7" s="7" t="n">
        <x:v>0</x:v>
      </x:c>
      <x:c r="D7" s="7" t="n">
        <x:f>B7-C7</x:f>
        <x:v>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5000</x:v>
      </x:c>
      <x:c r="C9" s="7" t="n">
        <x:v>55000</x:v>
      </x:c>
      <x:c r="D9" s="7" t="n">
        <x:f>B9-C9</x:f>
        <x:v>-50000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5000</x:v>
      </x:c>
      <x:c r="C13" s="7" t="n">
        <x:v>60000</x:v>
      </x:c>
      <x:c r="D13" s="7" t="n">
        <x:f>B13-C13</x:f>
        <x:v>-55000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47000</x:v>
      </x:c>
      <x:c r="C14" s="7" t="n">
        <x:v>0</x:v>
      </x:c>
      <x:c r="D14" s="7" t="n">
        <x:f>B14-C14</x:f>
        <x:v>47000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15000</x:v>
      </x:c>
      <x:c r="C16" s="7" t="n">
        <x:v>0</x:v>
      </x:c>
      <x:c r="D16" s="7" t="n">
        <x:f>B16-C16</x:f>
        <x:v>15000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10000</x:v>
      </x:c>
      <x:c r="C18" s="7" t="n">
        <x:v>12000</x:v>
      </x:c>
      <x:c r="D18" s="7" t="n">
        <x:f>B18-C18</x:f>
        <x:v>-2000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0</x:v>
      </x:c>
      <x:c r="C19" s="7" t="n">
        <x:v>0</x:v>
      </x:c>
      <x:c r="D19" s="7" t="n">
        <x:f>B19-C19</x:f>
        <x:v>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5000</x:v>
      </x:c>
      <x:c r="C20" s="7" t="n">
        <x:v>0</x:v>
      </x:c>
      <x:c r="D20" s="7" t="n">
        <x:f>B20-C20</x:f>
        <x:v>5000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0</x:v>
      </x:c>
      <x:c r="C22" s="7" t="n">
        <x:v>0</x:v>
      </x:c>
      <x:c r="D22" s="7" t="n">
        <x:f>B22-C22</x:f>
        <x:v>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10000</x:v>
      </x:c>
      <x:c r="C23" s="7" t="n">
        <x:v>0</x:v>
      </x:c>
      <x:c r="D23" s="7" t="n">
        <x:f>B23-C23</x:f>
        <x:v>10000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0</x:v>
      </x:c>
      <x:c r="C25" s="7" t="n">
        <x:v>0</x:v>
      </x:c>
      <x:c r="D25" s="7" t="n">
        <x:f>B25-C25</x:f>
        <x:v>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0</x:v>
      </x:c>
      <x:c r="C26" s="7" t="n">
        <x:v>0</x:v>
      </x:c>
      <x:c r="D26" s="7" t="n">
        <x:f>B26-C26</x:f>
        <x:v>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34000</x:v>
      </x:c>
      <x:c r="C27" s="7" t="n">
        <x:v>0</x:v>
      </x:c>
      <x:c r="D27" s="7" t="n">
        <x:f>B27-C27</x:f>
        <x:v>34000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5000</x:v>
      </x:c>
      <x:c r="C28" s="7" t="n">
        <x:v>0</x:v>
      </x:c>
      <x:c r="D28" s="7" t="n">
        <x:f>B28-C28</x:f>
        <x:v>5000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12000</x:v>
      </x:c>
      <x:c r="C30" s="7" t="n">
        <x:v>11000</x:v>
      </x:c>
      <x:c r="D30" s="7" t="n">
        <x:f>B30-C30</x:f>
        <x:v>1000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0</x:v>
      </x:c>
      <x:c r="C31" s="7" t="n">
        <x:v>0</x:v>
      </x:c>
      <x:c r="D31" s="7" t="n">
        <x:f>B31-C31</x:f>
        <x:v>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0</x:v>
      </x:c>
      <x:c r="C32" s="7" t="n">
        <x:v>60000</x:v>
      </x:c>
      <x:c r="D32" s="7" t="n">
        <x:f>B32-C32</x:f>
        <x:v>-60000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148000</x:v>
      </x:c>
      <x:c r="C33" s="11" t="n">
        <x:f>SUM(C6:C32)</x:f>
        <x:v>198000</x:v>
      </x:c>
      <x:c r="D33" s="11" t="n">
        <x:f>B33-C33</x:f>
        <x:v>-50000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5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fbcff5fd88d42ef"/>
  </x:tableParts>
</x:worksheet>
</file>

<file path=xl/worksheets/sheet53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NK225_P168_07　米国前の損益</x:v>
      </x:c>
      <x:c r="B2" s="2"/>
      <x:c r="C2" s="2"/>
      <x:c r="D2" s="2"/>
      <x:c r="E2" s="2"/>
      <x:c r="F2" s="2"/>
    </x:row>
    <x:row r="3" ht="38" customHeight="1">
      <x:c r="A3" s="5" t="str">
        <x:v>数量別回収と独立120円損切り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0</x:v>
      </x:c>
      <x:c r="C7" s="7" t="n">
        <x:v>0</x:v>
      </x:c>
      <x:c r="D7" s="7" t="n">
        <x:f>B7-C7</x:f>
        <x:v>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5000</x:v>
      </x:c>
      <x:c r="C9" s="7" t="n">
        <x:v>55000</x:v>
      </x:c>
      <x:c r="D9" s="7" t="n">
        <x:f>B9-C9</x:f>
        <x:v>-50000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5000</x:v>
      </x:c>
      <x:c r="C13" s="7" t="n">
        <x:v>60000</x:v>
      </x:c>
      <x:c r="D13" s="7" t="n">
        <x:f>B13-C13</x:f>
        <x:v>-55000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46000</x:v>
      </x:c>
      <x:c r="C14" s="7" t="n">
        <x:v>0</x:v>
      </x:c>
      <x:c r="D14" s="7" t="n">
        <x:f>B14-C14</x:f>
        <x:v>46000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15000</x:v>
      </x:c>
      <x:c r="C16" s="7" t="n">
        <x:v>0</x:v>
      </x:c>
      <x:c r="D16" s="7" t="n">
        <x:f>B16-C16</x:f>
        <x:v>15000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10000</x:v>
      </x:c>
      <x:c r="C18" s="7" t="n">
        <x:v>12000</x:v>
      </x:c>
      <x:c r="D18" s="7" t="n">
        <x:f>B18-C18</x:f>
        <x:v>-2000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0</x:v>
      </x:c>
      <x:c r="C19" s="7" t="n">
        <x:v>0</x:v>
      </x:c>
      <x:c r="D19" s="7" t="n">
        <x:f>B19-C19</x:f>
        <x:v>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5000</x:v>
      </x:c>
      <x:c r="C20" s="7" t="n">
        <x:v>0</x:v>
      </x:c>
      <x:c r="D20" s="7" t="n">
        <x:f>B20-C20</x:f>
        <x:v>5000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0</x:v>
      </x:c>
      <x:c r="C22" s="7" t="n">
        <x:v>0</x:v>
      </x:c>
      <x:c r="D22" s="7" t="n">
        <x:f>B22-C22</x:f>
        <x:v>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10000</x:v>
      </x:c>
      <x:c r="C23" s="7" t="n">
        <x:v>0</x:v>
      </x:c>
      <x:c r="D23" s="7" t="n">
        <x:f>B23-C23</x:f>
        <x:v>10000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0</x:v>
      </x:c>
      <x:c r="C25" s="7" t="n">
        <x:v>0</x:v>
      </x:c>
      <x:c r="D25" s="7" t="n">
        <x:f>B25-C25</x:f>
        <x:v>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0</x:v>
      </x:c>
      <x:c r="C26" s="7" t="n">
        <x:v>0</x:v>
      </x:c>
      <x:c r="D26" s="7" t="n">
        <x:f>B26-C26</x:f>
        <x:v>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30000</x:v>
      </x:c>
      <x:c r="C27" s="7" t="n">
        <x:v>0</x:v>
      </x:c>
      <x:c r="D27" s="7" t="n">
        <x:f>B27-C27</x:f>
        <x:v>30000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5000</x:v>
      </x:c>
      <x:c r="C28" s="7" t="n">
        <x:v>0</x:v>
      </x:c>
      <x:c r="D28" s="7" t="n">
        <x:f>B28-C28</x:f>
        <x:v>5000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6000</x:v>
      </x:c>
      <x:c r="C30" s="7" t="n">
        <x:v>11000</x:v>
      </x:c>
      <x:c r="D30" s="7" t="n">
        <x:f>B30-C30</x:f>
        <x:v>-5000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0</x:v>
      </x:c>
      <x:c r="C31" s="7" t="n">
        <x:v>0</x:v>
      </x:c>
      <x:c r="D31" s="7" t="n">
        <x:f>B31-C31</x:f>
        <x:v>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0</x:v>
      </x:c>
      <x:c r="C32" s="7" t="n">
        <x:v>60000</x:v>
      </x:c>
      <x:c r="D32" s="7" t="n">
        <x:f>B32-C32</x:f>
        <x:v>-60000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137000</x:v>
      </x:c>
      <x:c r="C33" s="11" t="n">
        <x:f>SUM(C6:C32)</x:f>
        <x:v>198000</x:v>
      </x:c>
      <x:c r="D33" s="11" t="n">
        <x:f>B33-C33</x:f>
        <x:v>-61000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5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3fa4424e72d4914"/>
  </x:tableParts>
</x:worksheet>
</file>

<file path=xl/worksheets/sheet54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NK225_P168_08　米国前の損益</x:v>
      </x:c>
      <x:c r="B2" s="2"/>
      <x:c r="C2" s="2"/>
      <x:c r="D2" s="2"/>
      <x:c r="E2" s="2"/>
      <x:c r="F2" s="2"/>
    </x:row>
    <x:row r="3" ht="38" customHeight="1">
      <x:c r="A3" s="5" t="str">
        <x:v>数量別回収と独立240円損切り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0</x:v>
      </x:c>
      <x:c r="C7" s="7" t="n">
        <x:v>0</x:v>
      </x:c>
      <x:c r="D7" s="7" t="n">
        <x:f>B7-C7</x:f>
        <x:v>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5000</x:v>
      </x:c>
      <x:c r="C9" s="7" t="n">
        <x:v>0</x:v>
      </x:c>
      <x:c r="D9" s="7" t="n">
        <x:f>B9-C9</x:f>
        <x:v>5000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10000</x:v>
      </x:c>
      <x:c r="C13" s="7" t="n">
        <x:v>0</x:v>
      </x:c>
      <x:c r="D13" s="7" t="n">
        <x:f>B13-C13</x:f>
        <x:v>10000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46000</x:v>
      </x:c>
      <x:c r="C14" s="7" t="n">
        <x:v>0</x:v>
      </x:c>
      <x:c r="D14" s="7" t="n">
        <x:f>B14-C14</x:f>
        <x:v>46000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15000</x:v>
      </x:c>
      <x:c r="C16" s="7" t="n">
        <x:v>0</x:v>
      </x:c>
      <x:c r="D16" s="7" t="n">
        <x:f>B16-C16</x:f>
        <x:v>15000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10000</x:v>
      </x:c>
      <x:c r="C18" s="7" t="n">
        <x:v>23000</x:v>
      </x:c>
      <x:c r="D18" s="7" t="n">
        <x:f>B18-C18</x:f>
        <x:v>-13000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0</x:v>
      </x:c>
      <x:c r="C19" s="7" t="n">
        <x:v>0</x:v>
      </x:c>
      <x:c r="D19" s="7" t="n">
        <x:f>B19-C19</x:f>
        <x:v>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5000</x:v>
      </x:c>
      <x:c r="C20" s="7" t="n">
        <x:v>0</x:v>
      </x:c>
      <x:c r="D20" s="7" t="n">
        <x:f>B20-C20</x:f>
        <x:v>5000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0</x:v>
      </x:c>
      <x:c r="C22" s="7" t="n">
        <x:v>0</x:v>
      </x:c>
      <x:c r="D22" s="7" t="n">
        <x:f>B22-C22</x:f>
        <x:v>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10000</x:v>
      </x:c>
      <x:c r="C23" s="7" t="n">
        <x:v>0</x:v>
      </x:c>
      <x:c r="D23" s="7" t="n">
        <x:f>B23-C23</x:f>
        <x:v>10000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0</x:v>
      </x:c>
      <x:c r="C25" s="7" t="n">
        <x:v>0</x:v>
      </x:c>
      <x:c r="D25" s="7" t="n">
        <x:f>B25-C25</x:f>
        <x:v>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0</x:v>
      </x:c>
      <x:c r="C26" s="7" t="n">
        <x:v>0</x:v>
      </x:c>
      <x:c r="D26" s="7" t="n">
        <x:f>B26-C26</x:f>
        <x:v>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30000</x:v>
      </x:c>
      <x:c r="C27" s="7" t="n">
        <x:v>0</x:v>
      </x:c>
      <x:c r="D27" s="7" t="n">
        <x:f>B27-C27</x:f>
        <x:v>30000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5000</x:v>
      </x:c>
      <x:c r="C28" s="7" t="n">
        <x:v>0</x:v>
      </x:c>
      <x:c r="D28" s="7" t="n">
        <x:f>B28-C28</x:f>
        <x:v>5000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6000</x:v>
      </x:c>
      <x:c r="C30" s="7" t="n">
        <x:v>24000</x:v>
      </x:c>
      <x:c r="D30" s="7" t="n">
        <x:f>B30-C30</x:f>
        <x:v>-18000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0</x:v>
      </x:c>
      <x:c r="C31" s="7" t="n">
        <x:v>0</x:v>
      </x:c>
      <x:c r="D31" s="7" t="n">
        <x:f>B31-C31</x:f>
        <x:v>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0</x:v>
      </x:c>
      <x:c r="C32" s="7" t="n">
        <x:v>120000</x:v>
      </x:c>
      <x:c r="D32" s="7" t="n">
        <x:f>B32-C32</x:f>
        <x:v>-120000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142000</x:v>
      </x:c>
      <x:c r="C33" s="11" t="n">
        <x:f>SUM(C6:C32)</x:f>
        <x:v>167000</x:v>
      </x:c>
      <x:c r="D33" s="11" t="n">
        <x:f>B33-C33</x:f>
        <x:v>-25000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5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67835bbf16d4e7f"/>
  </x:tableParts>
</x:worksheet>
</file>

<file path=xl/worksheets/sheet55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NK225_P168_09　米国前の損益</x:v>
      </x:c>
      <x:c r="B2" s="2"/>
      <x:c r="C2" s="2"/>
      <x:c r="D2" s="2"/>
      <x:c r="E2" s="2"/>
      <x:c r="F2" s="2"/>
    </x:row>
    <x:row r="3" ht="38" customHeight="1">
      <x:c r="A3" s="5" t="str">
        <x:v>数量別回収・通常損切りなし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0</x:v>
      </x:c>
      <x:c r="C7" s="7" t="n">
        <x:v>0</x:v>
      </x:c>
      <x:c r="D7" s="7" t="n">
        <x:f>B7-C7</x:f>
        <x:v>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5000</x:v>
      </x:c>
      <x:c r="C9" s="7" t="n">
        <x:v>0</x:v>
      </x:c>
      <x:c r="D9" s="7" t="n">
        <x:f>B9-C9</x:f>
        <x:v>5000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10000</x:v>
      </x:c>
      <x:c r="C13" s="7" t="n">
        <x:v>0</x:v>
      </x:c>
      <x:c r="D13" s="7" t="n">
        <x:f>B13-C13</x:f>
        <x:v>10000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46000</x:v>
      </x:c>
      <x:c r="C14" s="7" t="n">
        <x:v>0</x:v>
      </x:c>
      <x:c r="D14" s="7" t="n">
        <x:f>B14-C14</x:f>
        <x:v>46000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15000</x:v>
      </x:c>
      <x:c r="C16" s="7" t="n">
        <x:v>0</x:v>
      </x:c>
      <x:c r="D16" s="7" t="n">
        <x:f>B16-C16</x:f>
        <x:v>15000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10000</x:v>
      </x:c>
      <x:c r="C18" s="7" t="n">
        <x:v>25000</x:v>
      </x:c>
      <x:c r="D18" s="7" t="n">
        <x:f>B18-C18</x:f>
        <x:v>-15000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0</x:v>
      </x:c>
      <x:c r="C19" s="7" t="n">
        <x:v>0</x:v>
      </x:c>
      <x:c r="D19" s="7" t="n">
        <x:f>B19-C19</x:f>
        <x:v>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5000</x:v>
      </x:c>
      <x:c r="C20" s="7" t="n">
        <x:v>0</x:v>
      </x:c>
      <x:c r="D20" s="7" t="n">
        <x:f>B20-C20</x:f>
        <x:v>5000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0</x:v>
      </x:c>
      <x:c r="C22" s="7" t="n">
        <x:v>0</x:v>
      </x:c>
      <x:c r="D22" s="7" t="n">
        <x:f>B22-C22</x:f>
        <x:v>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10000</x:v>
      </x:c>
      <x:c r="C23" s="7" t="n">
        <x:v>0</x:v>
      </x:c>
      <x:c r="D23" s="7" t="n">
        <x:f>B23-C23</x:f>
        <x:v>10000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0</x:v>
      </x:c>
      <x:c r="C25" s="7" t="n">
        <x:v>0</x:v>
      </x:c>
      <x:c r="D25" s="7" t="n">
        <x:f>B25-C25</x:f>
        <x:v>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0</x:v>
      </x:c>
      <x:c r="C26" s="7" t="n">
        <x:v>0</x:v>
      </x:c>
      <x:c r="D26" s="7" t="n">
        <x:f>B26-C26</x:f>
        <x:v>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30000</x:v>
      </x:c>
      <x:c r="C27" s="7" t="n">
        <x:v>0</x:v>
      </x:c>
      <x:c r="D27" s="7" t="n">
        <x:f>B27-C27</x:f>
        <x:v>30000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5000</x:v>
      </x:c>
      <x:c r="C28" s="7" t="n">
        <x:v>0</x:v>
      </x:c>
      <x:c r="D28" s="7" t="n">
        <x:f>B28-C28</x:f>
        <x:v>5000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6000</x:v>
      </x:c>
      <x:c r="C30" s="7" t="n">
        <x:v>32000</x:v>
      </x:c>
      <x:c r="D30" s="7" t="n">
        <x:f>B30-C30</x:f>
        <x:v>-26000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0</x:v>
      </x:c>
      <x:c r="C31" s="7" t="n">
        <x:v>0</x:v>
      </x:c>
      <x:c r="D31" s="7" t="n">
        <x:f>B31-C31</x:f>
        <x:v>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5000</x:v>
      </x:c>
      <x:c r="C32" s="7" t="n">
        <x:v>0</x:v>
      </x:c>
      <x:c r="D32" s="7" t="n">
        <x:f>B32-C32</x:f>
        <x:v>5000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147000</x:v>
      </x:c>
      <x:c r="C33" s="11" t="n">
        <x:f>SUM(C6:C32)</x:f>
        <x:v>57000</x:v>
      </x:c>
      <x:c r="D33" s="11" t="n">
        <x:f>B33-C33</x:f>
        <x:v>90000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5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c6b6ea5c3384c87"/>
  </x:tableParts>
</x:worksheet>
</file>

<file path=xl/worksheets/sheet56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NK225_P168_10　米国前の損益</x:v>
      </x:c>
      <x:c r="B2" s="2"/>
      <x:c r="C2" s="2"/>
      <x:c r="D2" s="2"/>
      <x:c r="E2" s="2"/>
      <x:c r="F2" s="2"/>
    </x:row>
    <x:row r="3" ht="38" customHeight="1">
      <x:c r="A3" s="5" t="str">
        <x:v>半量を20円で利確し残り追尾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5000</x:v>
      </x:c>
      <x:c r="C7" s="7" t="n">
        <x:v>0</x:v>
      </x:c>
      <x:c r="D7" s="7" t="n">
        <x:f>B7-C7</x:f>
        <x:v>5000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10000</x:v>
      </x:c>
      <x:c r="C9" s="7" t="n">
        <x:v>0</x:v>
      </x:c>
      <x:c r="D9" s="7" t="n">
        <x:f>B9-C9</x:f>
        <x:v>10000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22500</x:v>
      </x:c>
      <x:c r="C13" s="7" t="n">
        <x:v>0</x:v>
      </x:c>
      <x:c r="D13" s="7" t="n">
        <x:f>B13-C13</x:f>
        <x:v>22500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43500</x:v>
      </x:c>
      <x:c r="C14" s="7" t="n">
        <x:v>0</x:v>
      </x:c>
      <x:c r="D14" s="7" t="n">
        <x:f>B14-C14</x:f>
        <x:v>43500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12500</x:v>
      </x:c>
      <x:c r="C16" s="7" t="n">
        <x:v>0</x:v>
      </x:c>
      <x:c r="D16" s="7" t="n">
        <x:f>B16-C16</x:f>
        <x:v>12500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16000</x:v>
      </x:c>
      <x:c r="C18" s="7" t="n">
        <x:v>5000</x:v>
      </x:c>
      <x:c r="D18" s="7" t="n">
        <x:f>B18-C18</x:f>
        <x:v>11000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1000</x:v>
      </x:c>
      <x:c r="C19" s="7" t="n">
        <x:v>0</x:v>
      </x:c>
      <x:c r="D19" s="7" t="n">
        <x:f>B19-C19</x:f>
        <x:v>1000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12500</x:v>
      </x:c>
      <x:c r="C20" s="7" t="n">
        <x:v>0</x:v>
      </x:c>
      <x:c r="D20" s="7" t="n">
        <x:f>B20-C20</x:f>
        <x:v>12500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5000</x:v>
      </x:c>
      <x:c r="C22" s="7" t="n">
        <x:v>0</x:v>
      </x:c>
      <x:c r="D22" s="7" t="n">
        <x:f>B22-C22</x:f>
        <x:v>5000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12500</x:v>
      </x:c>
      <x:c r="C23" s="7" t="n">
        <x:v>0</x:v>
      </x:c>
      <x:c r="D23" s="7" t="n">
        <x:f>B23-C23</x:f>
        <x:v>12500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5000</x:v>
      </x:c>
      <x:c r="C25" s="7" t="n">
        <x:v>0</x:v>
      </x:c>
      <x:c r="D25" s="7" t="n">
        <x:f>B25-C25</x:f>
        <x:v>5000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7500</x:v>
      </x:c>
      <x:c r="C26" s="7" t="n">
        <x:v>0</x:v>
      </x:c>
      <x:c r="D26" s="7" t="n">
        <x:f>B26-C26</x:f>
        <x:v>7500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32500</x:v>
      </x:c>
      <x:c r="C27" s="7" t="n">
        <x:v>0</x:v>
      </x:c>
      <x:c r="D27" s="7" t="n">
        <x:f>B27-C27</x:f>
        <x:v>32500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7500</x:v>
      </x:c>
      <x:c r="C28" s="7" t="n">
        <x:v>0</x:v>
      </x:c>
      <x:c r="D28" s="7" t="n">
        <x:f>B28-C28</x:f>
        <x:v>7500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12000</x:v>
      </x:c>
      <x:c r="C30" s="7" t="n">
        <x:v>5000</x:v>
      </x:c>
      <x:c r="D30" s="7" t="n">
        <x:f>B30-C30</x:f>
        <x:v>7000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5000</x:v>
      </x:c>
      <x:c r="C31" s="7" t="n">
        <x:v>0</x:v>
      </x:c>
      <x:c r="D31" s="7" t="n">
        <x:f>B31-C31</x:f>
        <x:v>5000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7500</x:v>
      </x:c>
      <x:c r="C32" s="7" t="n">
        <x:v>0</x:v>
      </x:c>
      <x:c r="D32" s="7" t="n">
        <x:f>B32-C32</x:f>
        <x:v>7500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217500</x:v>
      </x:c>
      <x:c r="C33" s="11" t="n">
        <x:f>SUM(C6:C32)</x:f>
        <x:v>10000</x:v>
      </x:c>
      <x:c r="D33" s="11" t="n">
        <x:f>B33-C33</x:f>
        <x:v>207500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5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57fe58ced049f9"/>
  </x:tableParts>
</x:worksheet>
</file>

<file path=xl/worksheets/sheet57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NK225_P168_11　米国前の損益</x:v>
      </x:c>
      <x:c r="B2" s="2"/>
      <x:c r="C2" s="2"/>
      <x:c r="D2" s="2"/>
      <x:c r="E2" s="2"/>
      <x:c r="F2" s="2"/>
    </x:row>
    <x:row r="3" ht="38" customHeight="1">
      <x:c r="A3" s="5" t="str">
        <x:v>8割を20円で利確し残り数量別追尾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8000</x:v>
      </x:c>
      <x:c r="C7" s="7" t="n">
        <x:v>0</x:v>
      </x:c>
      <x:c r="D7" s="7" t="n">
        <x:f>B7-C7</x:f>
        <x:v>8000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13000</x:v>
      </x:c>
      <x:c r="C9" s="7" t="n">
        <x:v>0</x:v>
      </x:c>
      <x:c r="D9" s="7" t="n">
        <x:f>B9-C9</x:f>
        <x:v>13000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21000</x:v>
      </x:c>
      <x:c r="C13" s="7" t="n">
        <x:v>0</x:v>
      </x:c>
      <x:c r="D13" s="7" t="n">
        <x:f>B13-C13</x:f>
        <x:v>21000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39200</x:v>
      </x:c>
      <x:c r="C14" s="7" t="n">
        <x:v>0</x:v>
      </x:c>
      <x:c r="D14" s="7" t="n">
        <x:f>B14-C14</x:f>
        <x:v>39200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11000</x:v>
      </x:c>
      <x:c r="C16" s="7" t="n">
        <x:v>0</x:v>
      </x:c>
      <x:c r="D16" s="7" t="n">
        <x:f>B16-C16</x:f>
        <x:v>11000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13600</x:v>
      </x:c>
      <x:c r="C18" s="7" t="n">
        <x:v>5000</x:v>
      </x:c>
      <x:c r="D18" s="7" t="n">
        <x:f>B18-C18</x:f>
        <x:v>8600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1600</x:v>
      </x:c>
      <x:c r="C19" s="7" t="n">
        <x:v>0</x:v>
      </x:c>
      <x:c r="D19" s="7" t="n">
        <x:f>B19-C19</x:f>
        <x:v>1600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17000</x:v>
      </x:c>
      <x:c r="C20" s="7" t="n">
        <x:v>0</x:v>
      </x:c>
      <x:c r="D20" s="7" t="n">
        <x:f>B20-C20</x:f>
        <x:v>17000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8000</x:v>
      </x:c>
      <x:c r="C22" s="7" t="n">
        <x:v>0</x:v>
      </x:c>
      <x:c r="D22" s="7" t="n">
        <x:f>B22-C22</x:f>
        <x:v>8000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11000</x:v>
      </x:c>
      <x:c r="C23" s="7" t="n">
        <x:v>0</x:v>
      </x:c>
      <x:c r="D23" s="7" t="n">
        <x:f>B23-C23</x:f>
        <x:v>11000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8000</x:v>
      </x:c>
      <x:c r="C25" s="7" t="n">
        <x:v>0</x:v>
      </x:c>
      <x:c r="D25" s="7" t="n">
        <x:f>B25-C25</x:f>
        <x:v>8000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12000</x:v>
      </x:c>
      <x:c r="C26" s="7" t="n">
        <x:v>0</x:v>
      </x:c>
      <x:c r="D26" s="7" t="n">
        <x:f>B26-C26</x:f>
        <x:v>12000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27000</x:v>
      </x:c>
      <x:c r="C27" s="7" t="n">
        <x:v>0</x:v>
      </x:c>
      <x:c r="D27" s="7" t="n">
        <x:f>B27-C27</x:f>
        <x:v>27000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8000</x:v>
      </x:c>
      <x:c r="C28" s="7" t="n">
        <x:v>0</x:v>
      </x:c>
      <x:c r="D28" s="7" t="n">
        <x:f>B28-C28</x:f>
        <x:v>8000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12200</x:v>
      </x:c>
      <x:c r="C30" s="7" t="n">
        <x:v>5000</x:v>
      </x:c>
      <x:c r="D30" s="7" t="n">
        <x:f>B30-C30</x:f>
        <x:v>7200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8000</x:v>
      </x:c>
      <x:c r="C31" s="7" t="n">
        <x:v>0</x:v>
      </x:c>
      <x:c r="D31" s="7" t="n">
        <x:f>B31-C31</x:f>
        <x:v>8000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9000</x:v>
      </x:c>
      <x:c r="C32" s="7" t="n">
        <x:v>0</x:v>
      </x:c>
      <x:c r="D32" s="7" t="n">
        <x:f>B32-C32</x:f>
        <x:v>9000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227600</x:v>
      </x:c>
      <x:c r="C33" s="11" t="n">
        <x:f>SUM(C6:C32)</x:f>
        <x:v>10000</x:v>
      </x:c>
      <x:c r="D33" s="11" t="n">
        <x:f>B33-C33</x:f>
        <x:v>217600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5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5baccf6ba0b4f87"/>
  </x:tableParts>
</x:worksheet>
</file>

<file path=xl/worksheets/sheet58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NK225_P168_12　米国前の損益</x:v>
      </x:c>
      <x:c r="B2" s="2"/>
      <x:c r="C2" s="2"/>
      <x:c r="D2" s="2"/>
      <x:c r="E2" s="2"/>
      <x:c r="F2" s="2"/>
    </x:row>
    <x:row r="3" ht="38" customHeight="1">
      <x:c r="A3" s="5" t="str">
        <x:v>8割回収・残り追尾・120円損切り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8000</x:v>
      </x:c>
      <x:c r="C7" s="7" t="n">
        <x:v>0</x:v>
      </x:c>
      <x:c r="D7" s="7" t="n">
        <x:f>B7-C7</x:f>
        <x:v>8000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9000</x:v>
      </x:c>
      <x:c r="C9" s="7" t="n">
        <x:v>55000</x:v>
      </x:c>
      <x:c r="D9" s="7" t="n">
        <x:f>B9-C9</x:f>
        <x:v>-46000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1600</x:v>
      </x:c>
      <x:c r="C11" s="7" t="n">
        <x:v>0</x:v>
      </x:c>
      <x:c r="D11" s="7" t="n">
        <x:f>B11-C11</x:f>
        <x:v>1600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9000</x:v>
      </x:c>
      <x:c r="C13" s="7" t="n">
        <x:v>60000</x:v>
      </x:c>
      <x:c r="D13" s="7" t="n">
        <x:f>B13-C13</x:f>
        <x:v>-51000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41400</x:v>
      </x:c>
      <x:c r="C14" s="7" t="n">
        <x:v>0</x:v>
      </x:c>
      <x:c r="D14" s="7" t="n">
        <x:f>B14-C14</x:f>
        <x:v>41400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13000</x:v>
      </x:c>
      <x:c r="C16" s="7" t="n">
        <x:v>0</x:v>
      </x:c>
      <x:c r="D16" s="7" t="n">
        <x:f>B16-C16</x:f>
        <x:v>13000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9600</x:v>
      </x:c>
      <x:c r="C18" s="7" t="n">
        <x:v>12000</x:v>
      </x:c>
      <x:c r="D18" s="7" t="n">
        <x:f>B18-C18</x:f>
        <x:v>-2400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3200</x:v>
      </x:c>
      <x:c r="C19" s="7" t="n">
        <x:v>0</x:v>
      </x:c>
      <x:c r="D19" s="7" t="n">
        <x:f>B19-C19</x:f>
        <x:v>3200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17000</x:v>
      </x:c>
      <x:c r="C20" s="7" t="n">
        <x:v>0</x:v>
      </x:c>
      <x:c r="D20" s="7" t="n">
        <x:f>B20-C20</x:f>
        <x:v>17000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8000</x:v>
      </x:c>
      <x:c r="C22" s="7" t="n">
        <x:v>0</x:v>
      </x:c>
      <x:c r="D22" s="7" t="n">
        <x:f>B22-C22</x:f>
        <x:v>8000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8000</x:v>
      </x:c>
      <x:c r="C23" s="7" t="n">
        <x:v>0</x:v>
      </x:c>
      <x:c r="D23" s="7" t="n">
        <x:f>B23-C23</x:f>
        <x:v>8000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8000</x:v>
      </x:c>
      <x:c r="C25" s="7" t="n">
        <x:v>0</x:v>
      </x:c>
      <x:c r="D25" s="7" t="n">
        <x:f>B25-C25</x:f>
        <x:v>8000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12000</x:v>
      </x:c>
      <x:c r="C26" s="7" t="n">
        <x:v>0</x:v>
      </x:c>
      <x:c r="D26" s="7" t="n">
        <x:f>B26-C26</x:f>
        <x:v>12000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23200</x:v>
      </x:c>
      <x:c r="C27" s="7" t="n">
        <x:v>0</x:v>
      </x:c>
      <x:c r="D27" s="7" t="n">
        <x:f>B27-C27</x:f>
        <x:v>23200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8000</x:v>
      </x:c>
      <x:c r="C28" s="7" t="n">
        <x:v>0</x:v>
      </x:c>
      <x:c r="D28" s="7" t="n">
        <x:f>B28-C28</x:f>
        <x:v>8000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12200</x:v>
      </x:c>
      <x:c r="C30" s="7" t="n">
        <x:v>11000</x:v>
      </x:c>
      <x:c r="D30" s="7" t="n">
        <x:f>B30-C30</x:f>
        <x:v>1200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8000</x:v>
      </x:c>
      <x:c r="C31" s="7" t="n">
        <x:v>0</x:v>
      </x:c>
      <x:c r="D31" s="7" t="n">
        <x:f>B31-C31</x:f>
        <x:v>8000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0</x:v>
      </x:c>
      <x:c r="C32" s="7" t="n">
        <x:v>60000</x:v>
      </x:c>
      <x:c r="D32" s="7" t="n">
        <x:f>B32-C32</x:f>
        <x:v>-60000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199200</x:v>
      </x:c>
      <x:c r="C33" s="11" t="n">
        <x:f>SUM(C6:C32)</x:f>
        <x:v>198000</x:v>
      </x:c>
      <x:c r="D33" s="11" t="n">
        <x:f>B33-C33</x:f>
        <x:v>1200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5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07eac42f4ab4455"/>
  </x:tableParts>
</x:worksheet>
</file>

<file path=xl/worksheets/sheet59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NK225_P168_13　米国前の損益</x:v>
      </x:c>
      <x:c r="B2" s="2"/>
      <x:c r="C2" s="2"/>
      <x:c r="D2" s="2"/>
      <x:c r="E2" s="2"/>
      <x:c r="F2" s="2"/>
    </x:row>
    <x:row r="3" ht="38" customHeight="1">
      <x:c r="A3" s="5" t="str">
        <x:v>数量別回収後に同方向押戻り再参加1回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10000</x:v>
      </x:c>
      <x:c r="C7" s="7" t="n">
        <x:v>0</x:v>
      </x:c>
      <x:c r="D7" s="7" t="n">
        <x:f>B7-C7</x:f>
        <x:v>10000</x:v>
      </x:c>
      <x:c r="E7" s="12" t="n">
        <x:v>100</x:v>
      </x:c>
      <x:c r="F7" s="14" t="n">
        <x:f>E7/10</x:f>
        <x:v>10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10000</x:v>
      </x:c>
      <x:c r="C9" s="7" t="n">
        <x:v>0</x:v>
      </x:c>
      <x:c r="D9" s="7" t="n">
        <x:f>B9-C9</x:f>
        <x:v>10000</x:v>
      </x:c>
      <x:c r="E9" s="12" t="n">
        <x:v>150</x:v>
      </x:c>
      <x:c r="F9" s="14" t="n">
        <x:f>E9/10</x:f>
        <x:v>15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30000</x:v>
      </x:c>
      <x:c r="C13" s="7" t="n">
        <x:v>0</x:v>
      </x:c>
      <x:c r="D13" s="7" t="n">
        <x:f>B13-C13</x:f>
        <x:v>30000</x:v>
      </x:c>
      <x:c r="E13" s="12" t="n">
        <x:v>200</x:v>
      </x:c>
      <x:c r="F13" s="14" t="n">
        <x:f>E13/10</x:f>
        <x:v>20</x:v>
      </x:c>
    </x:row>
    <x:row r="14" ht="25" customHeight="1">
      <x:c r="A14" s="2" t="str">
        <x:v>2026-10-01_Night</x:v>
      </x:c>
      <x:c r="B14" s="7" t="n">
        <x:v>59000</x:v>
      </x:c>
      <x:c r="C14" s="7" t="n">
        <x:v>0</x:v>
      </x:c>
      <x:c r="D14" s="7" t="n">
        <x:f>B14-C14</x:f>
        <x:v>59000</x:v>
      </x:c>
      <x:c r="E14" s="12" t="n">
        <x:v>270</x:v>
      </x:c>
      <x:c r="F14" s="14" t="n">
        <x:f>E14/10</x:f>
        <x:v>27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15000</x:v>
      </x:c>
      <x:c r="C16" s="7" t="n">
        <x:v>0</x:v>
      </x:c>
      <x:c r="D16" s="7" t="n">
        <x:f>B16-C16</x:f>
        <x:v>15000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20000</x:v>
      </x:c>
      <x:c r="C18" s="7" t="n">
        <x:v>5000</x:v>
      </x:c>
      <x:c r="D18" s="7" t="n">
        <x:f>B18-C18</x:f>
        <x:v>15000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2000</x:v>
      </x:c>
      <x:c r="C19" s="7" t="n">
        <x:v>0</x:v>
      </x:c>
      <x:c r="D19" s="7" t="n">
        <x:f>B19-C19</x:f>
        <x:v>2000</x:v>
      </x:c>
      <x:c r="E19" s="12" t="n">
        <x:v>30</x:v>
      </x:c>
      <x:c r="F19" s="14" t="n">
        <x:f>E19/10</x:f>
        <x:v>3</x:v>
      </x:c>
    </x:row>
    <x:row r="20" ht="25" customHeight="1">
      <x:c r="A20" s="2" t="str">
        <x:v>2026-10-09_Night</x:v>
      </x:c>
      <x:c r="B20" s="7" t="n">
        <x:v>15000</x:v>
      </x:c>
      <x:c r="C20" s="7" t="n">
        <x:v>0</x:v>
      </x:c>
      <x:c r="D20" s="7" t="n">
        <x:f>B20-C20</x:f>
        <x:v>15000</x:v>
      </x:c>
      <x:c r="E20" s="12" t="n">
        <x:v>150</x:v>
      </x:c>
      <x:c r="F20" s="14" t="n">
        <x:f>E20/10</x:f>
        <x:v>15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20000</x:v>
      </x:c>
      <x:c r="C22" s="7" t="n">
        <x:v>0</x:v>
      </x:c>
      <x:c r="D22" s="7" t="n">
        <x:f>B22-C22</x:f>
        <x:v>20000</x:v>
      </x:c>
      <x:c r="E22" s="12" t="n">
        <x:v>100</x:v>
      </x:c>
      <x:c r="F22" s="14" t="n">
        <x:f>E22/10</x:f>
        <x:v>10</x:v>
      </x:c>
    </x:row>
    <x:row r="23" ht="25" customHeight="1">
      <x:c r="A23" s="2" t="str">
        <x:v>2026-10-14_Night</x:v>
      </x:c>
      <x:c r="B23" s="7" t="n">
        <x:v>15000</x:v>
      </x:c>
      <x:c r="C23" s="7" t="n">
        <x:v>0</x:v>
      </x:c>
      <x:c r="D23" s="7" t="n">
        <x:f>B23-C23</x:f>
        <x:v>15000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0</x:v>
      </x:c>
      <x:c r="C25" s="7" t="n">
        <x:v>20000</x:v>
      </x:c>
      <x:c r="D25" s="7" t="n">
        <x:f>B25-C25</x:f>
        <x:v>-20000</x:v>
      </x:c>
      <x:c r="E25" s="12" t="n">
        <x:v>100</x:v>
      </x:c>
      <x:c r="F25" s="14" t="n">
        <x:f>E25/10</x:f>
        <x:v>10</x:v>
      </x:c>
    </x:row>
    <x:row r="26" ht="25" customHeight="1">
      <x:c r="A26" s="2" t="str">
        <x:v>2026-10-19_Night</x:v>
      </x:c>
      <x:c r="B26" s="7" t="n">
        <x:v>0</x:v>
      </x:c>
      <x:c r="C26" s="7" t="n">
        <x:v>0</x:v>
      </x:c>
      <x:c r="D26" s="7" t="n">
        <x:f>B26-C26</x:f>
        <x:v>0</x:v>
      </x:c>
      <x:c r="E26" s="12" t="n">
        <x:v>150</x:v>
      </x:c>
      <x:c r="F26" s="14" t="n">
        <x:f>E26/10</x:f>
        <x:v>15</x:v>
      </x:c>
    </x:row>
    <x:row r="27" ht="25" customHeight="1">
      <x:c r="A27" s="2" t="str">
        <x:v>2026-10-20_Night</x:v>
      </x:c>
      <x:c r="B27" s="7" t="n">
        <x:v>44000</x:v>
      </x:c>
      <x:c r="C27" s="7" t="n">
        <x:v>0</x:v>
      </x:c>
      <x:c r="D27" s="7" t="n">
        <x:f>B27-C27</x:f>
        <x:v>44000</x:v>
      </x:c>
      <x:c r="E27" s="12" t="n">
        <x:v>170</x:v>
      </x:c>
      <x:c r="F27" s="14" t="n">
        <x:f>E27/10</x:f>
        <x:v>17</x:v>
      </x:c>
    </x:row>
    <x:row r="28" ht="25" customHeight="1">
      <x:c r="A28" s="2" t="str">
        <x:v>2026-10-21_Night</x:v>
      </x:c>
      <x:c r="B28" s="7" t="n">
        <x:v>5000</x:v>
      </x:c>
      <x:c r="C28" s="7" t="n">
        <x:v>0</x:v>
      </x:c>
      <x:c r="D28" s="7" t="n">
        <x:f>B28-C28</x:f>
        <x:v>5000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10000</x:v>
      </x:c>
      <x:c r="C30" s="7" t="n">
        <x:v>5000</x:v>
      </x:c>
      <x:c r="D30" s="7" t="n">
        <x:f>B30-C30</x:f>
        <x:v>5000</x:v>
      </x:c>
      <x:c r="E30" s="12" t="n">
        <x:v>140</x:v>
      </x:c>
      <x:c r="F30" s="14" t="n">
        <x:f>E30/10</x:f>
        <x:v>14</x:v>
      </x:c>
    </x:row>
    <x:row r="31" ht="25" customHeight="1">
      <x:c r="A31" s="2" t="str">
        <x:v>2026-10-26_Night</x:v>
      </x:c>
      <x:c r="B31" s="7" t="n">
        <x:v>5000</x:v>
      </x:c>
      <x:c r="C31" s="7" t="n">
        <x:v>0</x:v>
      </x:c>
      <x:c r="D31" s="7" t="n">
        <x:f>B31-C31</x:f>
        <x:v>5000</x:v>
      </x:c>
      <x:c r="E31" s="12" t="n">
        <x:v>100</x:v>
      </x:c>
      <x:c r="F31" s="14" t="n">
        <x:f>E31/10</x:f>
        <x:v>10</x:v>
      </x:c>
    </x:row>
    <x:row r="32" ht="25" customHeight="1">
      <x:c r="A32" s="2" t="str">
        <x:v>2026-10-27_Night</x:v>
      </x:c>
      <x:c r="B32" s="7" t="n">
        <x:v>20000</x:v>
      </x:c>
      <x:c r="C32" s="7" t="n">
        <x:v>0</x:v>
      </x:c>
      <x:c r="D32" s="7" t="n">
        <x:f>B32-C32</x:f>
        <x:v>20000</x:v>
      </x:c>
      <x:c r="E32" s="12" t="n">
        <x:v>100</x:v>
      </x:c>
      <x:c r="F32" s="14" t="n">
        <x:f>E32/10</x:f>
        <x:v>10</x:v>
      </x:c>
    </x:row>
    <x:row r="33" ht="25" customHeight="1">
      <x:c r="A33" s="10" t="str">
        <x:v>合計</x:v>
      </x:c>
      <x:c r="B33" s="11" t="n">
        <x:f>SUM(B6:B32)</x:f>
        <x:v>280000</x:v>
      </x:c>
      <x:c r="C33" s="11" t="n">
        <x:f>SUM(C6:C32)</x:f>
        <x:v>30000</x:v>
      </x:c>
      <x:c r="D33" s="11" t="n">
        <x:f>B33-C33</x:f>
        <x:v>250000</x:v>
      </x:c>
      <x:c r="E33" s="13" t="n">
        <x:f>SUM(E6:E32)</x:f>
        <x:v>1990</x:v>
      </x:c>
      <x:c r="F33" s="15" t="n">
        <x:f>E33/10</x:f>
        <x:v>199</x:v>
      </x:c>
    </x:row>
  </x:sheetData>
  <x:mergeCells>
    <x:mergeCell ref="A2:F2"/>
    <x:mergeCell ref="A3:F3"/>
    <x:mergeCell ref="A4:F4"/>
  </x:mergeCells>
  <x:conditionalFormatting sqref="D6:D32">
    <x:cfRule type="cellIs" dxfId="5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66b12572aa645d1"/>
  </x:tableParts>
</x:worksheet>
</file>

<file path=xl/worksheets/sheet60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NK225_P168_14　米国前の損益</x:v>
      </x:c>
      <x:c r="B2" s="2"/>
      <x:c r="C2" s="2"/>
      <x:c r="D2" s="2"/>
      <x:c r="E2" s="2"/>
      <x:c r="F2" s="2"/>
    </x:row>
    <x:row r="3" ht="38" customHeight="1">
      <x:c r="A3" s="5" t="str">
        <x:v>120円損切りと押戻り再参加1回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10000</x:v>
      </x:c>
      <x:c r="C7" s="7" t="n">
        <x:v>0</x:v>
      </x:c>
      <x:c r="D7" s="7" t="n">
        <x:f>B7-C7</x:f>
        <x:v>10000</x:v>
      </x:c>
      <x:c r="E7" s="12" t="n">
        <x:v>100</x:v>
      </x:c>
      <x:c r="F7" s="14" t="n">
        <x:f>E7/10</x:f>
        <x:v>10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5000</x:v>
      </x:c>
      <x:c r="C9" s="7" t="n">
        <x:v>55000</x:v>
      </x:c>
      <x:c r="D9" s="7" t="n">
        <x:f>B9-C9</x:f>
        <x:v>-50000</x:v>
      </x:c>
      <x:c r="E9" s="12" t="n">
        <x:v>150</x:v>
      </x:c>
      <x:c r="F9" s="14" t="n">
        <x:f>E9/10</x:f>
        <x:v>15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5000</x:v>
      </x:c>
      <x:c r="C13" s="7" t="n">
        <x:v>60000</x:v>
      </x:c>
      <x:c r="D13" s="7" t="n">
        <x:f>B13-C13</x:f>
        <x:v>-55000</x:v>
      </x:c>
      <x:c r="E13" s="12" t="n">
        <x:v>200</x:v>
      </x:c>
      <x:c r="F13" s="14" t="n">
        <x:f>E13/10</x:f>
        <x:v>20</x:v>
      </x:c>
    </x:row>
    <x:row r="14" ht="25" customHeight="1">
      <x:c r="A14" s="2" t="str">
        <x:v>2026-10-01_Night</x:v>
      </x:c>
      <x:c r="B14" s="7" t="n">
        <x:v>51000</x:v>
      </x:c>
      <x:c r="C14" s="7" t="n">
        <x:v>0</x:v>
      </x:c>
      <x:c r="D14" s="7" t="n">
        <x:f>B14-C14</x:f>
        <x:v>51000</x:v>
      </x:c>
      <x:c r="E14" s="12" t="n">
        <x:v>270</x:v>
      </x:c>
      <x:c r="F14" s="14" t="n">
        <x:f>E14/10</x:f>
        <x:v>27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15000</x:v>
      </x:c>
      <x:c r="C16" s="7" t="n">
        <x:v>0</x:v>
      </x:c>
      <x:c r="D16" s="7" t="n">
        <x:f>B16-C16</x:f>
        <x:v>15000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10000</x:v>
      </x:c>
      <x:c r="C18" s="7" t="n">
        <x:v>12000</x:v>
      </x:c>
      <x:c r="D18" s="7" t="n">
        <x:f>B18-C18</x:f>
        <x:v>-2000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9000</x:v>
      </x:c>
      <x:c r="C19" s="7" t="n">
        <x:v>0</x:v>
      </x:c>
      <x:c r="D19" s="7" t="n">
        <x:f>B19-C19</x:f>
        <x:v>9000</x:v>
      </x:c>
      <x:c r="E19" s="12" t="n">
        <x:v>30</x:v>
      </x:c>
      <x:c r="F19" s="14" t="n">
        <x:f>E19/10</x:f>
        <x:v>3</x:v>
      </x:c>
    </x:row>
    <x:row r="20" ht="25" customHeight="1">
      <x:c r="A20" s="2" t="str">
        <x:v>2026-10-09_Night</x:v>
      </x:c>
      <x:c r="B20" s="7" t="n">
        <x:v>5000</x:v>
      </x:c>
      <x:c r="C20" s="7" t="n">
        <x:v>0</x:v>
      </x:c>
      <x:c r="D20" s="7" t="n">
        <x:f>B20-C20</x:f>
        <x:v>5000</x:v>
      </x:c>
      <x:c r="E20" s="12" t="n">
        <x:v>150</x:v>
      </x:c>
      <x:c r="F20" s="14" t="n">
        <x:f>E20/10</x:f>
        <x:v>15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20000</x:v>
      </x:c>
      <x:c r="C22" s="7" t="n">
        <x:v>0</x:v>
      </x:c>
      <x:c r="D22" s="7" t="n">
        <x:f>B22-C22</x:f>
        <x:v>20000</x:v>
      </x:c>
      <x:c r="E22" s="12" t="n">
        <x:v>100</x:v>
      </x:c>
      <x:c r="F22" s="14" t="n">
        <x:f>E22/10</x:f>
        <x:v>10</x:v>
      </x:c>
    </x:row>
    <x:row r="23" ht="25" customHeight="1">
      <x:c r="A23" s="2" t="str">
        <x:v>2026-10-14_Night</x:v>
      </x:c>
      <x:c r="B23" s="7" t="n">
        <x:v>10000</x:v>
      </x:c>
      <x:c r="C23" s="7" t="n">
        <x:v>0</x:v>
      </x:c>
      <x:c r="D23" s="7" t="n">
        <x:f>B23-C23</x:f>
        <x:v>10000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0</x:v>
      </x:c>
      <x:c r="C25" s="7" t="n">
        <x:v>20000</x:v>
      </x:c>
      <x:c r="D25" s="7" t="n">
        <x:f>B25-C25</x:f>
        <x:v>-20000</x:v>
      </x:c>
      <x:c r="E25" s="12" t="n">
        <x:v>100</x:v>
      </x:c>
      <x:c r="F25" s="14" t="n">
        <x:f>E25/10</x:f>
        <x:v>10</x:v>
      </x:c>
    </x:row>
    <x:row r="26" ht="25" customHeight="1">
      <x:c r="A26" s="2" t="str">
        <x:v>2026-10-19_Night</x:v>
      </x:c>
      <x:c r="B26" s="7" t="n">
        <x:v>5000</x:v>
      </x:c>
      <x:c r="C26" s="7" t="n">
        <x:v>0</x:v>
      </x:c>
      <x:c r="D26" s="7" t="n">
        <x:f>B26-C26</x:f>
        <x:v>5000</x:v>
      </x:c>
      <x:c r="E26" s="12" t="n">
        <x:v>150</x:v>
      </x:c>
      <x:c r="F26" s="14" t="n">
        <x:f>E26/10</x:f>
        <x:v>15</x:v>
      </x:c>
    </x:row>
    <x:row r="27" ht="25" customHeight="1">
      <x:c r="A27" s="2" t="str">
        <x:v>2026-10-20_Night</x:v>
      </x:c>
      <x:c r="B27" s="7" t="n">
        <x:v>35000</x:v>
      </x:c>
      <x:c r="C27" s="7" t="n">
        <x:v>0</x:v>
      </x:c>
      <x:c r="D27" s="7" t="n">
        <x:f>B27-C27</x:f>
        <x:v>35000</x:v>
      </x:c>
      <x:c r="E27" s="12" t="n">
        <x:v>170</x:v>
      </x:c>
      <x:c r="F27" s="14" t="n">
        <x:f>E27/10</x:f>
        <x:v>17</x:v>
      </x:c>
    </x:row>
    <x:row r="28" ht="25" customHeight="1">
      <x:c r="A28" s="2" t="str">
        <x:v>2026-10-21_Night</x:v>
      </x:c>
      <x:c r="B28" s="7" t="n">
        <x:v>5000</x:v>
      </x:c>
      <x:c r="C28" s="7" t="n">
        <x:v>0</x:v>
      </x:c>
      <x:c r="D28" s="7" t="n">
        <x:f>B28-C28</x:f>
        <x:v>5000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6000</x:v>
      </x:c>
      <x:c r="C30" s="7" t="n">
        <x:v>11000</x:v>
      </x:c>
      <x:c r="D30" s="7" t="n">
        <x:f>B30-C30</x:f>
        <x:v>-5000</x:v>
      </x:c>
      <x:c r="E30" s="12" t="n">
        <x:v>140</x:v>
      </x:c>
      <x:c r="F30" s="14" t="n">
        <x:f>E30/10</x:f>
        <x:v>14</x:v>
      </x:c>
    </x:row>
    <x:row r="31" ht="25" customHeight="1">
      <x:c r="A31" s="2" t="str">
        <x:v>2026-10-26_Night</x:v>
      </x:c>
      <x:c r="B31" s="7" t="n">
        <x:v>5000</x:v>
      </x:c>
      <x:c r="C31" s="7" t="n">
        <x:v>0</x:v>
      </x:c>
      <x:c r="D31" s="7" t="n">
        <x:f>B31-C31</x:f>
        <x:v>5000</x:v>
      </x:c>
      <x:c r="E31" s="12" t="n">
        <x:v>100</x:v>
      </x:c>
      <x:c r="F31" s="14" t="n">
        <x:f>E31/10</x:f>
        <x:v>10</x:v>
      </x:c>
    </x:row>
    <x:row r="32" ht="25" customHeight="1">
      <x:c r="A32" s="2" t="str">
        <x:v>2026-10-27_Night</x:v>
      </x:c>
      <x:c r="B32" s="7" t="n">
        <x:v>0</x:v>
      </x:c>
      <x:c r="C32" s="7" t="n">
        <x:v>60000</x:v>
      </x:c>
      <x:c r="D32" s="7" t="n">
        <x:f>B32-C32</x:f>
        <x:v>-60000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196000</x:v>
      </x:c>
      <x:c r="C33" s="11" t="n">
        <x:f>SUM(C6:C32)</x:f>
        <x:v>218000</x:v>
      </x:c>
      <x:c r="D33" s="11" t="n">
        <x:f>B33-C33</x:f>
        <x:v>-22000</x:v>
      </x:c>
      <x:c r="E33" s="13" t="n">
        <x:f>SUM(E6:E32)</x:f>
        <x:v>1940</x:v>
      </x:c>
      <x:c r="F33" s="15" t="n">
        <x:f>E33/10</x:f>
        <x:v>194</x:v>
      </x:c>
    </x:row>
  </x:sheetData>
  <x:mergeCells>
    <x:mergeCell ref="A2:F2"/>
    <x:mergeCell ref="A3:F3"/>
    <x:mergeCell ref="A4:F4"/>
  </x:mergeCells>
  <x:conditionalFormatting sqref="D6:D32">
    <x:cfRule type="cellIs" dxfId="5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41f213f7184aa6"/>
  </x:tableParts>
</x:worksheet>
</file>

<file path=xl/worksheets/sheet61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NK225_P168_15　米国前の損益</x:v>
      </x:c>
      <x:c r="B2" s="2"/>
      <x:c r="C2" s="2"/>
      <x:c r="D2" s="2"/>
      <x:c r="E2" s="2"/>
      <x:c r="F2" s="2"/>
    </x:row>
    <x:row r="3" ht="38" customHeight="1">
      <x:c r="A3" s="5" t="str">
        <x:v>回収直後に方向と数量を再判断1回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5000</x:v>
      </x:c>
      <x:c r="C7" s="7" t="n">
        <x:v>0</x:v>
      </x:c>
      <x:c r="D7" s="7" t="n">
        <x:f>B7-C7</x:f>
        <x:v>5000</x:v>
      </x:c>
      <x:c r="E7" s="12" t="n">
        <x:v>100</x:v>
      </x:c>
      <x:c r="F7" s="14" t="n">
        <x:f>E7/10</x:f>
        <x:v>10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5000</x:v>
      </x:c>
      <x:c r="C9" s="7" t="n">
        <x:v>85000</x:v>
      </x:c>
      <x:c r="D9" s="7" t="n">
        <x:f>B9-C9</x:f>
        <x:v>-80000</x:v>
      </x:c>
      <x:c r="E9" s="12" t="n">
        <x:v>150</x:v>
      </x:c>
      <x:c r="F9" s="14" t="n">
        <x:f>E9/10</x:f>
        <x:v>15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7200</x:v>
      </x:c>
      <x:c r="D11" s="7" t="n">
        <x:f>B11-C11</x:f>
        <x:v>-7200</x:v>
      </x:c>
      <x:c r="E11" s="12" t="n">
        <x:v>16</x:v>
      </x:c>
      <x:c r="F11" s="14" t="n">
        <x:f>E11/10</x:f>
        <x:v>1.6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8300</x:v>
      </x:c>
      <x:c r="C13" s="7" t="n">
        <x:v>60000</x:v>
      </x:c>
      <x:c r="D13" s="7" t="n">
        <x:f>B13-C13</x:f>
        <x:v>-51700</x:v>
      </x:c>
      <x:c r="E13" s="12" t="n">
        <x:v>216</x:v>
      </x:c>
      <x:c r="F13" s="14" t="n">
        <x:f>E13/10</x:f>
        <x:v>21.6</x:v>
      </x:c>
    </x:row>
    <x:row r="14" ht="25" customHeight="1">
      <x:c r="A14" s="2" t="str">
        <x:v>2026-10-01_Night</x:v>
      </x:c>
      <x:c r="B14" s="7" t="n">
        <x:v>64400</x:v>
      </x:c>
      <x:c r="C14" s="7" t="n">
        <x:v>0</x:v>
      </x:c>
      <x:c r="D14" s="7" t="n">
        <x:f>B14-C14</x:f>
        <x:v>64400</x:v>
      </x:c>
      <x:c r="E14" s="12" t="n">
        <x:v>330</x:v>
      </x:c>
      <x:c r="F14" s="14" t="n">
        <x:f>E14/10</x:f>
        <x:v>33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15000</x:v>
      </x:c>
      <x:c r="C16" s="7" t="n">
        <x:v>0</x:v>
      </x:c>
      <x:c r="D16" s="7" t="n">
        <x:f>B16-C16</x:f>
        <x:v>15000</x:v>
      </x:c>
      <x:c r="E16" s="12" t="n">
        <x:v>83</x:v>
      </x:c>
      <x:c r="F16" s="14" t="n">
        <x:f>E16/10</x:f>
        <x:v>8.3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40000</x:v>
      </x:c>
      <x:c r="C18" s="7" t="n">
        <x:v>24000</x:v>
      </x:c>
      <x:c r="D18" s="7" t="n">
        <x:f>B18-C18</x:f>
        <x:v>16000</x:v>
      </x:c>
      <x:c r="E18" s="12" t="n">
        <x:v>130</x:v>
      </x:c>
      <x:c r="F18" s="14" t="n">
        <x:f>E18/10</x:f>
        <x:v>13</x:v>
      </x:c>
    </x:row>
    <x:row r="19" ht="25" customHeight="1">
      <x:c r="A19" s="2" t="str">
        <x:v>2026-10-08_Night</x:v>
      </x:c>
      <x:c r="B19" s="7" t="n">
        <x:v>0</x:v>
      </x:c>
      <x:c r="C19" s="7" t="n">
        <x:v>12000</x:v>
      </x:c>
      <x:c r="D19" s="7" t="n">
        <x:f>B19-C19</x:f>
        <x:v>-12000</x:v>
      </x:c>
      <x:c r="E19" s="12" t="n">
        <x:v>36</x:v>
      </x:c>
      <x:c r="F19" s="14" t="n">
        <x:f>E19/10</x:f>
        <x:v>3.6</x:v>
      </x:c>
    </x:row>
    <x:row r="20" ht="25" customHeight="1">
      <x:c r="A20" s="2" t="str">
        <x:v>2026-10-09_Night</x:v>
      </x:c>
      <x:c r="B20" s="7" t="n">
        <x:v>41300</x:v>
      </x:c>
      <x:c r="C20" s="7" t="n">
        <x:v>39600</x:v>
      </x:c>
      <x:c r="D20" s="7" t="n">
        <x:f>B20-C20</x:f>
        <x:v>1700</x:v>
      </x:c>
      <x:c r="E20" s="12" t="n">
        <x:v>166</x:v>
      </x:c>
      <x:c r="F20" s="14" t="n">
        <x:f>E20/10</x:f>
        <x:v>16.6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0</x:v>
      </x:c>
      <x:c r="C22" s="7" t="n">
        <x:v>0</x:v>
      </x:c>
      <x:c r="D22" s="7" t="n">
        <x:f>B22-C22</x:f>
        <x:v>0</x:v>
      </x:c>
      <x:c r="E22" s="12" t="n">
        <x:v>100</x:v>
      </x:c>
      <x:c r="F22" s="14" t="n">
        <x:f>E22/10</x:f>
        <x:v>10</x:v>
      </x:c>
    </x:row>
    <x:row r="23" ht="25" customHeight="1">
      <x:c r="A23" s="2" t="str">
        <x:v>2026-10-14_Night</x:v>
      </x:c>
      <x:c r="B23" s="7" t="n">
        <x:v>13300</x:v>
      </x:c>
      <x:c r="C23" s="7" t="n">
        <x:v>0</x:v>
      </x:c>
      <x:c r="D23" s="7" t="n">
        <x:f>B23-C23</x:f>
        <x:v>13300</x:v>
      </x:c>
      <x:c r="E23" s="12" t="n">
        <x:v>83</x:v>
      </x:c>
      <x:c r="F23" s="14" t="n">
        <x:f>E23/10</x:f>
        <x:v>8.3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13200</x:v>
      </x:c>
      <x:c r="C25" s="7" t="n">
        <x:v>0</x:v>
      </x:c>
      <x:c r="D25" s="7" t="n">
        <x:f>B25-C25</x:f>
        <x:v>13200</x:v>
      </x:c>
      <x:c r="E25" s="12" t="n">
        <x:v>83</x:v>
      </x:c>
      <x:c r="F25" s="14" t="n">
        <x:f>E25/10</x:f>
        <x:v>8.3</x:v>
      </x:c>
    </x:row>
    <x:row r="26" ht="25" customHeight="1">
      <x:c r="A26" s="2" t="str">
        <x:v>2026-10-19_Night</x:v>
      </x:c>
      <x:c r="B26" s="7" t="n">
        <x:v>3300</x:v>
      </x:c>
      <x:c r="C26" s="7" t="n">
        <x:v>0</x:v>
      </x:c>
      <x:c r="D26" s="7" t="n">
        <x:f>B26-C26</x:f>
        <x:v>3300</x:v>
      </x:c>
      <x:c r="E26" s="12" t="n">
        <x:v>133</x:v>
      </x:c>
      <x:c r="F26" s="14" t="n">
        <x:f>E26/10</x:f>
        <x:v>13.3</x:v>
      </x:c>
    </x:row>
    <x:row r="27" ht="25" customHeight="1">
      <x:c r="A27" s="2" t="str">
        <x:v>2026-10-20_Night</x:v>
      </x:c>
      <x:c r="B27" s="7" t="n">
        <x:v>30000</x:v>
      </x:c>
      <x:c r="C27" s="7" t="n">
        <x:v>14400</x:v>
      </x:c>
      <x:c r="D27" s="7" t="n">
        <x:f>B27-C27</x:f>
        <x:v>15600</x:v>
      </x:c>
      <x:c r="E27" s="12" t="n">
        <x:v>198</x:v>
      </x:c>
      <x:c r="F27" s="14" t="n">
        <x:f>E27/10</x:f>
        <x:v>19.8</x:v>
      </x:c>
    </x:row>
    <x:row r="28" ht="25" customHeight="1">
      <x:c r="A28" s="2" t="str">
        <x:v>2026-10-21_Night</x:v>
      </x:c>
      <x:c r="B28" s="7" t="n">
        <x:v>8300</x:v>
      </x:c>
      <x:c r="C28" s="7" t="n">
        <x:v>0</x:v>
      </x:c>
      <x:c r="D28" s="7" t="n">
        <x:f>B28-C28</x:f>
        <x:v>8300</x:v>
      </x:c>
      <x:c r="E28" s="12" t="n">
        <x:v>83</x:v>
      </x:c>
      <x:c r="F28" s="14" t="n">
        <x:f>E28/10</x:f>
        <x:v>8.3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8400</x:v>
      </x:c>
      <x:c r="C30" s="7" t="n">
        <x:v>11000</x:v>
      </x:c>
      <x:c r="D30" s="7" t="n">
        <x:f>B30-C30</x:f>
        <x:v>-2600</x:v>
      </x:c>
      <x:c r="E30" s="12" t="n">
        <x:v>141</x:v>
      </x:c>
      <x:c r="F30" s="14" t="n">
        <x:f>E30/10</x:f>
        <x:v>14.1</x:v>
      </x:c>
    </x:row>
    <x:row r="31" ht="25" customHeight="1">
      <x:c r="A31" s="2" t="str">
        <x:v>2026-10-26_Night</x:v>
      </x:c>
      <x:c r="B31" s="7" t="n">
        <x:v>0</x:v>
      </x:c>
      <x:c r="C31" s="7" t="n">
        <x:v>39600</x:v>
      </x:c>
      <x:c r="D31" s="7" t="n">
        <x:f>B31-C31</x:f>
        <x:v>-39600</x:v>
      </x:c>
      <x:c r="E31" s="12" t="n">
        <x:v>83</x:v>
      </x:c>
      <x:c r="F31" s="14" t="n">
        <x:f>E31/10</x:f>
        <x:v>8.3</x:v>
      </x:c>
    </x:row>
    <x:row r="32" ht="25" customHeight="1">
      <x:c r="A32" s="2" t="str">
        <x:v>2026-10-27_Night</x:v>
      </x:c>
      <x:c r="B32" s="7" t="n">
        <x:v>0</x:v>
      </x:c>
      <x:c r="C32" s="7" t="n">
        <x:v>60000</x:v>
      </x:c>
      <x:c r="D32" s="7" t="n">
        <x:f>B32-C32</x:f>
        <x:v>-60000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255500</x:v>
      </x:c>
      <x:c r="C33" s="11" t="n">
        <x:f>SUM(C6:C32)</x:f>
        <x:v>352800</x:v>
      </x:c>
      <x:c r="D33" s="11" t="n">
        <x:f>B33-C33</x:f>
        <x:v>-97300</x:v>
      </x:c>
      <x:c r="E33" s="13" t="n">
        <x:f>SUM(E6:E32)</x:f>
        <x:v>2181</x:v>
      </x:c>
      <x:c r="F33" s="15" t="n">
        <x:f>E33/10</x:f>
        <x:v>218.1</x:v>
      </x:c>
    </x:row>
  </x:sheetData>
  <x:mergeCells>
    <x:mergeCell ref="A2:F2"/>
    <x:mergeCell ref="A3:F3"/>
    <x:mergeCell ref="A4:F4"/>
  </x:mergeCells>
  <x:conditionalFormatting sqref="D6:D32">
    <x:cfRule type="cellIs" dxfId="5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ffc28ccfc864230"/>
  </x:tableParts>
</x:worksheet>
</file>

<file path=xl/worksheets/sheet62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NK225_P168_16　米国前の損益</x:v>
      </x:c>
      <x:c r="B2" s="2"/>
      <x:c r="C2" s="2"/>
      <x:c r="D2" s="2"/>
      <x:c r="E2" s="2"/>
      <x:c r="F2" s="2"/>
    </x:row>
    <x:row r="3" ht="38" customHeight="1">
      <x:c r="A3" s="5" t="str">
        <x:v>回収直後に方向と数量を再判断3回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11600</x:v>
      </x:c>
      <x:c r="C7" s="7" t="n">
        <x:v>0</x:v>
      </x:c>
      <x:c r="D7" s="7" t="n">
        <x:f>B7-C7</x:f>
        <x:v>11600</x:v>
      </x:c>
      <x:c r="E7" s="12" t="n">
        <x:v>155</x:v>
      </x:c>
      <x:c r="F7" s="14" t="n">
        <x:f>E7/10</x:f>
        <x:v>15.5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5000</x:v>
      </x:c>
      <x:c r="C9" s="7" t="n">
        <x:v>85000</x:v>
      </x:c>
      <x:c r="D9" s="7" t="n">
        <x:f>B9-C9</x:f>
        <x:v>-80000</x:v>
      </x:c>
      <x:c r="E9" s="12" t="n">
        <x:v>150</x:v>
      </x:c>
      <x:c r="F9" s="14" t="n">
        <x:f>E9/10</x:f>
        <x:v>15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7200</x:v>
      </x:c>
      <x:c r="D11" s="7" t="n">
        <x:f>B11-C11</x:f>
        <x:v>-7200</x:v>
      </x:c>
      <x:c r="E11" s="12" t="n">
        <x:v>16</x:v>
      </x:c>
      <x:c r="F11" s="14" t="n">
        <x:f>E11/10</x:f>
        <x:v>1.6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16700</x:v>
      </x:c>
      <x:c r="C13" s="7" t="n">
        <x:v>62200</x:v>
      </x:c>
      <x:c r="D13" s="7" t="n">
        <x:f>B13-C13</x:f>
        <x:v>-45500</x:v>
      </x:c>
      <x:c r="E13" s="12" t="n">
        <x:v>288</x:v>
      </x:c>
      <x:c r="F13" s="14" t="n">
        <x:f>E13/10</x:f>
        <x:v>28.8</x:v>
      </x:c>
    </x:row>
    <x:row r="14" ht="25" customHeight="1">
      <x:c r="A14" s="2" t="str">
        <x:v>2026-10-01_Night</x:v>
      </x:c>
      <x:c r="B14" s="7" t="n">
        <x:v>80800</x:v>
      </x:c>
      <x:c r="C14" s="7" t="n">
        <x:v>37800</x:v>
      </x:c>
      <x:c r="D14" s="7" t="n">
        <x:f>B14-C14</x:f>
        <x:v>43000</x:v>
      </x:c>
      <x:c r="E14" s="12" t="n">
        <x:v>422</x:v>
      </x:c>
      <x:c r="F14" s="14" t="n">
        <x:f>E14/10</x:f>
        <x:v>42.2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23800</x:v>
      </x:c>
      <x:c r="C16" s="7" t="n">
        <x:v>0</x:v>
      </x:c>
      <x:c r="D16" s="7" t="n">
        <x:f>B16-C16</x:f>
        <x:v>23800</x:v>
      </x:c>
      <x:c r="E16" s="12" t="n">
        <x:v>138</x:v>
      </x:c>
      <x:c r="F16" s="14" t="n">
        <x:f>E16/10</x:f>
        <x:v>13.8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56500</x:v>
      </x:c>
      <x:c r="C18" s="7" t="n">
        <x:v>24000</x:v>
      </x:c>
      <x:c r="D18" s="7" t="n">
        <x:f>B18-C18</x:f>
        <x:v>32500</x:v>
      </x:c>
      <x:c r="E18" s="12" t="n">
        <x:v>185</x:v>
      </x:c>
      <x:c r="F18" s="14" t="n">
        <x:f>E18/10</x:f>
        <x:v>18.5</x:v>
      </x:c>
    </x:row>
    <x:row r="19" ht="25" customHeight="1">
      <x:c r="A19" s="2" t="str">
        <x:v>2026-10-08_Night</x:v>
      </x:c>
      <x:c r="B19" s="7" t="n">
        <x:v>0</x:v>
      </x:c>
      <x:c r="C19" s="7" t="n">
        <x:v>14400</x:v>
      </x:c>
      <x:c r="D19" s="7" t="n">
        <x:f>B19-C19</x:f>
        <x:v>-14400</x:v>
      </x:c>
      <x:c r="E19" s="12" t="n">
        <x:v>42</x:v>
      </x:c>
      <x:c r="F19" s="14" t="n">
        <x:f>E19/10</x:f>
        <x:v>4.2</x:v>
      </x:c>
    </x:row>
    <x:row r="20" ht="25" customHeight="1">
      <x:c r="A20" s="2" t="str">
        <x:v>2026-10-09_Night</x:v>
      </x:c>
      <x:c r="B20" s="7" t="n">
        <x:v>51200</x:v>
      </x:c>
      <x:c r="C20" s="7" t="n">
        <x:v>39600</x:v>
      </x:c>
      <x:c r="D20" s="7" t="n">
        <x:f>B20-C20</x:f>
        <x:v>11600</x:v>
      </x:c>
      <x:c r="E20" s="12" t="n">
        <x:v>199</x:v>
      </x:c>
      <x:c r="F20" s="14" t="n">
        <x:f>E20/10</x:f>
        <x:v>19.9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3300</x:v>
      </x:c>
      <x:c r="C22" s="7" t="n">
        <x:v>26400</x:v>
      </x:c>
      <x:c r="D22" s="7" t="n">
        <x:f>B22-C22</x:f>
        <x:v>-23100</x:v>
      </x:c>
      <x:c r="E22" s="12" t="n">
        <x:v>155</x:v>
      </x:c>
      <x:c r="F22" s="14" t="n">
        <x:f>E22/10</x:f>
        <x:v>15.5</x:v>
      </x:c>
    </x:row>
    <x:row r="23" ht="25" customHeight="1">
      <x:c r="A23" s="2" t="str">
        <x:v>2026-10-14_Night</x:v>
      </x:c>
      <x:c r="B23" s="7" t="n">
        <x:v>13300</x:v>
      </x:c>
      <x:c r="C23" s="7" t="n">
        <x:v>24200</x:v>
      </x:c>
      <x:c r="D23" s="7" t="n">
        <x:f>B23-C23</x:f>
        <x:v>-10900</x:v>
      </x:c>
      <x:c r="E23" s="12" t="n">
        <x:v>127</x:v>
      </x:c>
      <x:c r="F23" s="14" t="n">
        <x:f>E23/10</x:f>
        <x:v>12.7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13200</x:v>
      </x:c>
      <x:c r="C25" s="7" t="n">
        <x:v>0</x:v>
      </x:c>
      <x:c r="D25" s="7" t="n">
        <x:f>B25-C25</x:f>
        <x:v>13200</x:v>
      </x:c>
      <x:c r="E25" s="12" t="n">
        <x:v>83</x:v>
      </x:c>
      <x:c r="F25" s="14" t="n">
        <x:f>E25/10</x:f>
        <x:v>8.3</x:v>
      </x:c>
    </x:row>
    <x:row r="26" ht="25" customHeight="1">
      <x:c r="A26" s="2" t="str">
        <x:v>2026-10-19_Night</x:v>
      </x:c>
      <x:c r="B26" s="7" t="n">
        <x:v>3300</x:v>
      </x:c>
      <x:c r="C26" s="7" t="n">
        <x:v>0</x:v>
      </x:c>
      <x:c r="D26" s="7" t="n">
        <x:f>B26-C26</x:f>
        <x:v>3300</x:v>
      </x:c>
      <x:c r="E26" s="12" t="n">
        <x:v>169</x:v>
      </x:c>
      <x:c r="F26" s="14" t="n">
        <x:f>E26/10</x:f>
        <x:v>16.9</x:v>
      </x:c>
    </x:row>
    <x:row r="27" ht="25" customHeight="1">
      <x:c r="A27" s="2" t="str">
        <x:v>2026-10-20_Night</x:v>
      </x:c>
      <x:c r="B27" s="7" t="n">
        <x:v>34400</x:v>
      </x:c>
      <x:c r="C27" s="7" t="n">
        <x:v>31200</x:v>
      </x:c>
      <x:c r="D27" s="7" t="n">
        <x:f>B27-C27</x:f>
        <x:v>3200</x:v>
      </x:c>
      <x:c r="E27" s="12" t="n">
        <x:v>278</x:v>
      </x:c>
      <x:c r="F27" s="14" t="n">
        <x:f>E27/10</x:f>
        <x:v>27.8</x:v>
      </x:c>
    </x:row>
    <x:row r="28" ht="25" customHeight="1">
      <x:c r="A28" s="2" t="str">
        <x:v>2026-10-21_Night</x:v>
      </x:c>
      <x:c r="B28" s="7" t="n">
        <x:v>12700</x:v>
      </x:c>
      <x:c r="C28" s="7" t="n">
        <x:v>16800</x:v>
      </x:c>
      <x:c r="D28" s="7" t="n">
        <x:f>B28-C28</x:f>
        <x:v>-4100</x:v>
      </x:c>
      <x:c r="E28" s="12" t="n">
        <x:v>119</x:v>
      </x:c>
      <x:c r="F28" s="14" t="n">
        <x:f>E28/10</x:f>
        <x:v>11.9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12800</x:v>
      </x:c>
      <x:c r="C30" s="7" t="n">
        <x:v>14600</x:v>
      </x:c>
      <x:c r="D30" s="7" t="n">
        <x:f>B30-C30</x:f>
        <x:v>-1800</x:v>
      </x:c>
      <x:c r="E30" s="12" t="n">
        <x:v>181</x:v>
      </x:c>
      <x:c r="F30" s="14" t="n">
        <x:f>E30/10</x:f>
        <x:v>18.1</x:v>
      </x:c>
    </x:row>
    <x:row r="31" ht="25" customHeight="1">
      <x:c r="A31" s="2" t="str">
        <x:v>2026-10-26_Night</x:v>
      </x:c>
      <x:c r="B31" s="7" t="n">
        <x:v>0</x:v>
      </x:c>
      <x:c r="C31" s="7" t="n">
        <x:v>39600</x:v>
      </x:c>
      <x:c r="D31" s="7" t="n">
        <x:f>B31-C31</x:f>
        <x:v>-39600</x:v>
      </x:c>
      <x:c r="E31" s="12" t="n">
        <x:v>83</x:v>
      </x:c>
      <x:c r="F31" s="14" t="n">
        <x:f>E31/10</x:f>
        <x:v>8.3</x:v>
      </x:c>
    </x:row>
    <x:row r="32" ht="25" customHeight="1">
      <x:c r="A32" s="2" t="str">
        <x:v>2026-10-27_Night</x:v>
      </x:c>
      <x:c r="B32" s="7" t="n">
        <x:v>0</x:v>
      </x:c>
      <x:c r="C32" s="7" t="n">
        <x:v>60000</x:v>
      </x:c>
      <x:c r="D32" s="7" t="n">
        <x:f>B32-C32</x:f>
        <x:v>-60000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338600</x:v>
      </x:c>
      <x:c r="C33" s="11" t="n">
        <x:f>SUM(C6:C32)</x:f>
        <x:v>483000</x:v>
      </x:c>
      <x:c r="D33" s="11" t="n">
        <x:f>B33-C33</x:f>
        <x:v>-144400</x:v>
      </x:c>
      <x:c r="E33" s="13" t="n">
        <x:f>SUM(E6:E32)</x:f>
        <x:v>2840</x:v>
      </x:c>
      <x:c r="F33" s="15" t="n">
        <x:f>E33/10</x:f>
        <x:v>284</x:v>
      </x:c>
    </x:row>
  </x:sheetData>
  <x:mergeCells>
    <x:mergeCell ref="A2:F2"/>
    <x:mergeCell ref="A3:F3"/>
    <x:mergeCell ref="A4:F4"/>
  </x:mergeCells>
  <x:conditionalFormatting sqref="D6:D32">
    <x:cfRule type="cellIs" dxfId="6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979c73b23524e06"/>
  </x:tableParts>
</x:worksheet>
</file>

<file path=xl/worksheets/sheet63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NK225_P168_17　米国前の損益</x:v>
      </x:c>
      <x:c r="B2" s="2"/>
      <x:c r="C2" s="2"/>
      <x:c r="D2" s="2"/>
      <x:c r="E2" s="2"/>
      <x:c r="F2" s="2"/>
    </x:row>
    <x:row r="3" ht="38" customHeight="1">
      <x:c r="A3" s="5" t="str">
        <x:v>利確起動も金額基準で再判断3回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11600</x:v>
      </x:c>
      <x:c r="C7" s="7" t="n">
        <x:v>24200</x:v>
      </x:c>
      <x:c r="D7" s="7" t="n">
        <x:f>B7-C7</x:f>
        <x:v>-12600</x:v>
      </x:c>
      <x:c r="E7" s="12" t="n">
        <x:v>155</x:v>
      </x:c>
      <x:c r="F7" s="14" t="n">
        <x:f>E7/10</x:f>
        <x:v>15.5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5000</x:v>
      </x:c>
      <x:c r="C9" s="7" t="n">
        <x:v>85000</x:v>
      </x:c>
      <x:c r="D9" s="7" t="n">
        <x:f>B9-C9</x:f>
        <x:v>-80000</x:v>
      </x:c>
      <x:c r="E9" s="12" t="n">
        <x:v>150</x:v>
      </x:c>
      <x:c r="F9" s="14" t="n">
        <x:f>E9/10</x:f>
        <x:v>15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1000</x:v>
      </x:c>
      <x:c r="C11" s="7" t="n">
        <x:v>7200</x:v>
      </x:c>
      <x:c r="D11" s="7" t="n">
        <x:f>B11-C11</x:f>
        <x:v>-6200</x:v>
      </x:c>
      <x:c r="E11" s="12" t="n">
        <x:v>16</x:v>
      </x:c>
      <x:c r="F11" s="14" t="n">
        <x:f>E11/10</x:f>
        <x:v>1.6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60000</x:v>
      </x:c>
      <x:c r="C13" s="7" t="n">
        <x:v>61400</x:v>
      </x:c>
      <x:c r="D13" s="7" t="n">
        <x:f>B13-C13</x:f>
        <x:v>-1400</x:v>
      </x:c>
      <x:c r="E13" s="12" t="n">
        <x:v>288</x:v>
      </x:c>
      <x:c r="F13" s="14" t="n">
        <x:f>E13/10</x:f>
        <x:v>28.8</x:v>
      </x:c>
    </x:row>
    <x:row r="14" ht="25" customHeight="1">
      <x:c r="A14" s="2" t="str">
        <x:v>2026-10-01_Night</x:v>
      </x:c>
      <x:c r="B14" s="7" t="n">
        <x:v>109500</x:v>
      </x:c>
      <x:c r="C14" s="7" t="n">
        <x:v>73500</x:v>
      </x:c>
      <x:c r="D14" s="7" t="n">
        <x:f>B14-C14</x:f>
        <x:v>36000</x:v>
      </x:c>
      <x:c r="E14" s="12" t="n">
        <x:v>401</x:v>
      </x:c>
      <x:c r="F14" s="14" t="n">
        <x:f>E14/10</x:f>
        <x:v>40.1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23800</x:v>
      </x:c>
      <x:c r="C16" s="7" t="n">
        <x:v>0</x:v>
      </x:c>
      <x:c r="D16" s="7" t="n">
        <x:f>B16-C16</x:f>
        <x:v>23800</x:v>
      </x:c>
      <x:c r="E16" s="12" t="n">
        <x:v>138</x:v>
      </x:c>
      <x:c r="F16" s="14" t="n">
        <x:f>E16/10</x:f>
        <x:v>13.8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58700</x:v>
      </x:c>
      <x:c r="C18" s="7" t="n">
        <x:v>12000</x:v>
      </x:c>
      <x:c r="D18" s="7" t="n">
        <x:f>B18-C18</x:f>
        <x:v>46700</x:v>
      </x:c>
      <x:c r="E18" s="12" t="n">
        <x:v>175</x:v>
      </x:c>
      <x:c r="F18" s="14" t="n">
        <x:f>E18/10</x:f>
        <x:v>17.5</x:v>
      </x:c>
    </x:row>
    <x:row r="19" ht="25" customHeight="1">
      <x:c r="A19" s="2" t="str">
        <x:v>2026-10-08_Night</x:v>
      </x:c>
      <x:c r="B19" s="7" t="n">
        <x:v>16400</x:v>
      </x:c>
      <x:c r="C19" s="7" t="n">
        <x:v>11400</x:v>
      </x:c>
      <x:c r="D19" s="7" t="n">
        <x:f>B19-C19</x:f>
        <x:v>5000</x:v>
      </x:c>
      <x:c r="E19" s="12" t="n">
        <x:v>42</x:v>
      </x:c>
      <x:c r="F19" s="14" t="n">
        <x:f>E19/10</x:f>
        <x:v>4.2</x:v>
      </x:c>
    </x:row>
    <x:row r="20" ht="25" customHeight="1">
      <x:c r="A20" s="2" t="str">
        <x:v>2026-10-09_Night</x:v>
      </x:c>
      <x:c r="B20" s="7" t="n">
        <x:v>51200</x:v>
      </x:c>
      <x:c r="C20" s="7" t="n">
        <x:v>39600</x:v>
      </x:c>
      <x:c r="D20" s="7" t="n">
        <x:f>B20-C20</x:f>
        <x:v>11600</x:v>
      </x:c>
      <x:c r="E20" s="12" t="n">
        <x:v>199</x:v>
      </x:c>
      <x:c r="F20" s="14" t="n">
        <x:f>E20/10</x:f>
        <x:v>19.9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12100</x:v>
      </x:c>
      <x:c r="C22" s="7" t="n">
        <x:v>0</x:v>
      </x:c>
      <x:c r="D22" s="7" t="n">
        <x:f>B22-C22</x:f>
        <x:v>12100</x:v>
      </x:c>
      <x:c r="E22" s="12" t="n">
        <x:v>155</x:v>
      </x:c>
      <x:c r="F22" s="14" t="n">
        <x:f>E22/10</x:f>
        <x:v>15.5</x:v>
      </x:c>
    </x:row>
    <x:row r="23" ht="25" customHeight="1">
      <x:c r="A23" s="2" t="str">
        <x:v>2026-10-14_Night</x:v>
      </x:c>
      <x:c r="B23" s="7" t="n">
        <x:v>14400</x:v>
      </x:c>
      <x:c r="C23" s="7" t="n">
        <x:v>0</x:v>
      </x:c>
      <x:c r="D23" s="7" t="n">
        <x:f>B23-C23</x:f>
        <x:v>14400</x:v>
      </x:c>
      <x:c r="E23" s="12" t="n">
        <x:v>119</x:v>
      </x:c>
      <x:c r="F23" s="14" t="n">
        <x:f>E23/10</x:f>
        <x:v>11.9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13200</x:v>
      </x:c>
      <x:c r="C25" s="7" t="n">
        <x:v>0</x:v>
      </x:c>
      <x:c r="D25" s="7" t="n">
        <x:f>B25-C25</x:f>
        <x:v>13200</x:v>
      </x:c>
      <x:c r="E25" s="12" t="n">
        <x:v>83</x:v>
      </x:c>
      <x:c r="F25" s="14" t="n">
        <x:f>E25/10</x:f>
        <x:v>8.3</x:v>
      </x:c>
    </x:row>
    <x:row r="26" ht="25" customHeight="1">
      <x:c r="A26" s="2" t="str">
        <x:v>2026-10-19_Night</x:v>
      </x:c>
      <x:c r="B26" s="7" t="n">
        <x:v>12500</x:v>
      </x:c>
      <x:c r="C26" s="7" t="n">
        <x:v>0</x:v>
      </x:c>
      <x:c r="D26" s="7" t="n">
        <x:f>B26-C26</x:f>
        <x:v>12500</x:v>
      </x:c>
      <x:c r="E26" s="12" t="n">
        <x:v>169</x:v>
      </x:c>
      <x:c r="F26" s="14" t="n">
        <x:f>E26/10</x:f>
        <x:v>16.9</x:v>
      </x:c>
    </x:row>
    <x:row r="27" ht="25" customHeight="1">
      <x:c r="A27" s="2" t="str">
        <x:v>2026-10-20_Night</x:v>
      </x:c>
      <x:c r="B27" s="7" t="n">
        <x:v>55400</x:v>
      </x:c>
      <x:c r="C27" s="7" t="n">
        <x:v>33600</x:v>
      </x:c>
      <x:c r="D27" s="7" t="n">
        <x:f>B27-C27</x:f>
        <x:v>21800</x:v>
      </x:c>
      <x:c r="E27" s="12" t="n">
        <x:v>296</x:v>
      </x:c>
      <x:c r="F27" s="14" t="n">
        <x:f>E27/10</x:f>
        <x:v>29.6</x:v>
      </x:c>
    </x:row>
    <x:row r="28" ht="25" customHeight="1">
      <x:c r="A28" s="2" t="str">
        <x:v>2026-10-21_Night</x:v>
      </x:c>
      <x:c r="B28" s="7" t="n">
        <x:v>12700</x:v>
      </x:c>
      <x:c r="C28" s="7" t="n">
        <x:v>16800</x:v>
      </x:c>
      <x:c r="D28" s="7" t="n">
        <x:f>B28-C28</x:f>
        <x:v>-4100</x:v>
      </x:c>
      <x:c r="E28" s="12" t="n">
        <x:v>119</x:v>
      </x:c>
      <x:c r="F28" s="14" t="n">
        <x:f>E28/10</x:f>
        <x:v>11.9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28200</x:v>
      </x:c>
      <x:c r="C30" s="7" t="n">
        <x:v>37400</x:v>
      </x:c>
      <x:c r="D30" s="7" t="n">
        <x:f>B30-C30</x:f>
        <x:v>-9200</x:v>
      </x:c>
      <x:c r="E30" s="12" t="n">
        <x:v>157</x:v>
      </x:c>
      <x:c r="F30" s="14" t="n">
        <x:f>E30/10</x:f>
        <x:v>15.7</x:v>
      </x:c>
    </x:row>
    <x:row r="31" ht="25" customHeight="1">
      <x:c r="A31" s="2" t="str">
        <x:v>2026-10-26_Night</x:v>
      </x:c>
      <x:c r="B31" s="7" t="n">
        <x:v>0</x:v>
      </x:c>
      <x:c r="C31" s="7" t="n">
        <x:v>39600</x:v>
      </x:c>
      <x:c r="D31" s="7" t="n">
        <x:f>B31-C31</x:f>
        <x:v>-39600</x:v>
      </x:c>
      <x:c r="E31" s="12" t="n">
        <x:v>83</x:v>
      </x:c>
      <x:c r="F31" s="14" t="n">
        <x:f>E31/10</x:f>
        <x:v>8.3</x:v>
      </x:c>
    </x:row>
    <x:row r="32" ht="25" customHeight="1">
      <x:c r="A32" s="2" t="str">
        <x:v>2026-10-27_Night</x:v>
      </x:c>
      <x:c r="B32" s="7" t="n">
        <x:v>0</x:v>
      </x:c>
      <x:c r="C32" s="7" t="n">
        <x:v>60000</x:v>
      </x:c>
      <x:c r="D32" s="7" t="n">
        <x:f>B32-C32</x:f>
        <x:v>-60000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485700</x:v>
      </x:c>
      <x:c r="C33" s="11" t="n">
        <x:f>SUM(C6:C32)</x:f>
        <x:v>501700</x:v>
      </x:c>
      <x:c r="D33" s="11" t="n">
        <x:f>B33-C33</x:f>
        <x:v>-16000</x:v>
      </x:c>
      <x:c r="E33" s="13" t="n">
        <x:f>SUM(E6:E32)</x:f>
        <x:v>2795</x:v>
      </x:c>
      <x:c r="F33" s="15" t="n">
        <x:f>E33/10</x:f>
        <x:v>279.5</x:v>
      </x:c>
    </x:row>
  </x:sheetData>
  <x:mergeCells>
    <x:mergeCell ref="A2:F2"/>
    <x:mergeCell ref="A3:F3"/>
    <x:mergeCell ref="A4:F4"/>
  </x:mergeCells>
  <x:conditionalFormatting sqref="D6:D32">
    <x:cfRule type="cellIs" dxfId="6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63a975f724b4720"/>
  </x:tableParts>
</x:worksheet>
</file>

<file path=xl/worksheets/sheet64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NK225_P168_18　米国前の損益</x:v>
      </x:c>
      <x:c r="B2" s="2"/>
      <x:c r="C2" s="2"/>
      <x:c r="D2" s="2"/>
      <x:c r="E2" s="2"/>
      <x:c r="F2" s="2"/>
    </x:row>
    <x:row r="3" ht="38" customHeight="1">
      <x:c r="A3" s="5" t="str">
        <x:v>20円順行後は最低10円利益の判断床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5000</x:v>
      </x:c>
      <x:c r="C7" s="7" t="n">
        <x:v>0</x:v>
      </x:c>
      <x:c r="D7" s="7" t="n">
        <x:f>B7-C7</x:f>
        <x:v>5000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10000</x:v>
      </x:c>
      <x:c r="C9" s="7" t="n">
        <x:v>0</x:v>
      </x:c>
      <x:c r="D9" s="7" t="n">
        <x:f>B9-C9</x:f>
        <x:v>10000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35000</x:v>
      </x:c>
      <x:c r="C13" s="7" t="n">
        <x:v>0</x:v>
      </x:c>
      <x:c r="D13" s="7" t="n">
        <x:f>B13-C13</x:f>
        <x:v>35000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34000</x:v>
      </x:c>
      <x:c r="C14" s="7" t="n">
        <x:v>0</x:v>
      </x:c>
      <x:c r="D14" s="7" t="n">
        <x:f>B14-C14</x:f>
        <x:v>34000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15000</x:v>
      </x:c>
      <x:c r="C16" s="7" t="n">
        <x:v>0</x:v>
      </x:c>
      <x:c r="D16" s="7" t="n">
        <x:f>B16-C16</x:f>
        <x:v>15000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11000</x:v>
      </x:c>
      <x:c r="C18" s="7" t="n">
        <x:v>5000</x:v>
      </x:c>
      <x:c r="D18" s="7" t="n">
        <x:f>B18-C18</x:f>
        <x:v>6000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1000</x:v>
      </x:c>
      <x:c r="C19" s="7" t="n">
        <x:v>0</x:v>
      </x:c>
      <x:c r="D19" s="7" t="n">
        <x:f>B19-C19</x:f>
        <x:v>1000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15000</x:v>
      </x:c>
      <x:c r="C20" s="7" t="n">
        <x:v>0</x:v>
      </x:c>
      <x:c r="D20" s="7" t="n">
        <x:f>B20-C20</x:f>
        <x:v>15000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10000</x:v>
      </x:c>
      <x:c r="C22" s="7" t="n">
        <x:v>0</x:v>
      </x:c>
      <x:c r="D22" s="7" t="n">
        <x:f>B22-C22</x:f>
        <x:v>10000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5000</x:v>
      </x:c>
      <x:c r="C23" s="7" t="n">
        <x:v>0</x:v>
      </x:c>
      <x:c r="D23" s="7" t="n">
        <x:f>B23-C23</x:f>
        <x:v>5000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5000</x:v>
      </x:c>
      <x:c r="C25" s="7" t="n">
        <x:v>0</x:v>
      </x:c>
      <x:c r="D25" s="7" t="n">
        <x:f>B25-C25</x:f>
        <x:v>5000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15000</x:v>
      </x:c>
      <x:c r="C26" s="7" t="n">
        <x:v>0</x:v>
      </x:c>
      <x:c r="D26" s="7" t="n">
        <x:f>B26-C26</x:f>
        <x:v>15000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17000</x:v>
      </x:c>
      <x:c r="C27" s="7" t="n">
        <x:v>0</x:v>
      </x:c>
      <x:c r="D27" s="7" t="n">
        <x:f>B27-C27</x:f>
        <x:v>17000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5000</x:v>
      </x:c>
      <x:c r="C28" s="7" t="n">
        <x:v>0</x:v>
      </x:c>
      <x:c r="D28" s="7" t="n">
        <x:f>B28-C28</x:f>
        <x:v>5000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12000</x:v>
      </x:c>
      <x:c r="C30" s="7" t="n">
        <x:v>5000</x:v>
      </x:c>
      <x:c r="D30" s="7" t="n">
        <x:f>B30-C30</x:f>
        <x:v>7000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5000</x:v>
      </x:c>
      <x:c r="C31" s="7" t="n">
        <x:v>0</x:v>
      </x:c>
      <x:c r="D31" s="7" t="n">
        <x:f>B31-C31</x:f>
        <x:v>5000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5000</x:v>
      </x:c>
      <x:c r="C32" s="7" t="n">
        <x:v>0</x:v>
      </x:c>
      <x:c r="D32" s="7" t="n">
        <x:f>B32-C32</x:f>
        <x:v>5000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205000</x:v>
      </x:c>
      <x:c r="C33" s="11" t="n">
        <x:f>SUM(C6:C32)</x:f>
        <x:v>10000</x:v>
      </x:c>
      <x:c r="D33" s="11" t="n">
        <x:f>B33-C33</x:f>
        <x:v>195000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6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f36ba8dd6374ee4"/>
  </x:tableParts>
</x:worksheet>
</file>

<file path=xl/worksheets/sheet65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NK225_P168_19　米国前の損益</x:v>
      </x:c>
      <x:c r="B2" s="2"/>
      <x:c r="C2" s="2"/>
      <x:c r="D2" s="2"/>
      <x:c r="E2" s="2"/>
      <x:c r="F2" s="2"/>
    </x:row>
    <x:row r="3" ht="38" customHeight="1">
      <x:c r="A3" s="5" t="str">
        <x:v>10円利益床と方向再判断3回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34200</x:v>
      </x:c>
      <x:c r="C7" s="7" t="n">
        <x:v>0</x:v>
      </x:c>
      <x:c r="D7" s="7" t="n">
        <x:f>B7-C7</x:f>
        <x:v>34200</x:v>
      </x:c>
      <x:c r="E7" s="12" t="n">
        <x:v>155</x:v>
      </x:c>
      <x:c r="F7" s="14" t="n">
        <x:f>E7/10</x:f>
        <x:v>15.5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5000</x:v>
      </x:c>
      <x:c r="C9" s="7" t="n">
        <x:v>85000</x:v>
      </x:c>
      <x:c r="D9" s="7" t="n">
        <x:f>B9-C9</x:f>
        <x:v>-80000</x:v>
      </x:c>
      <x:c r="E9" s="12" t="n">
        <x:v>150</x:v>
      </x:c>
      <x:c r="F9" s="14" t="n">
        <x:f>E9/10</x:f>
        <x:v>15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1000</x:v>
      </x:c>
      <x:c r="C11" s="7" t="n">
        <x:v>7200</x:v>
      </x:c>
      <x:c r="D11" s="7" t="n">
        <x:f>B11-C11</x:f>
        <x:v>-6200</x:v>
      </x:c>
      <x:c r="E11" s="12" t="n">
        <x:v>16</x:v>
      </x:c>
      <x:c r="F11" s="14" t="n">
        <x:f>E11/10</x:f>
        <x:v>1.6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25200</x:v>
      </x:c>
      <x:c r="C13" s="7" t="n">
        <x:v>60000</x:v>
      </x:c>
      <x:c r="D13" s="7" t="n">
        <x:f>B13-C13</x:f>
        <x:v>-34800</x:v>
      </x:c>
      <x:c r="E13" s="12" t="n">
        <x:v>307</x:v>
      </x:c>
      <x:c r="F13" s="14" t="n">
        <x:f>E13/10</x:f>
        <x:v>30.7</x:v>
      </x:c>
    </x:row>
    <x:row r="14" ht="25" customHeight="1">
      <x:c r="A14" s="2" t="str">
        <x:v>2026-10-01_Night</x:v>
      </x:c>
      <x:c r="B14" s="7" t="n">
        <x:v>59100</x:v>
      </x:c>
      <x:c r="C14" s="7" t="n">
        <x:v>84200</x:v>
      </x:c>
      <x:c r="D14" s="7" t="n">
        <x:f>B14-C14</x:f>
        <x:v>-25100</x:v>
      </x:c>
      <x:c r="E14" s="12" t="n">
        <x:v>433</x:v>
      </x:c>
      <x:c r="F14" s="14" t="n">
        <x:f>E14/10</x:f>
        <x:v>43.3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27100</x:v>
      </x:c>
      <x:c r="C16" s="7" t="n">
        <x:v>0</x:v>
      </x:c>
      <x:c r="D16" s="7" t="n">
        <x:f>B16-C16</x:f>
        <x:v>27100</x:v>
      </x:c>
      <x:c r="E16" s="12" t="n">
        <x:v>138</x:v>
      </x:c>
      <x:c r="F16" s="14" t="n">
        <x:f>E16/10</x:f>
        <x:v>13.8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11600</x:v>
      </x:c>
      <x:c r="C18" s="7" t="n">
        <x:v>67000</x:v>
      </x:c>
      <x:c r="D18" s="7" t="n">
        <x:f>B18-C18</x:f>
        <x:v>-55400</x:v>
      </x:c>
      <x:c r="E18" s="12" t="n">
        <x:v>126</x:v>
      </x:c>
      <x:c r="F18" s="14" t="n">
        <x:f>E18/10</x:f>
        <x:v>12.6</x:v>
      </x:c>
    </x:row>
    <x:row r="19" ht="25" customHeight="1">
      <x:c r="A19" s="2" t="str">
        <x:v>2026-10-08_Night</x:v>
      </x:c>
      <x:c r="B19" s="7" t="n">
        <x:v>3000</x:v>
      </x:c>
      <x:c r="C19" s="7" t="n">
        <x:v>14400</x:v>
      </x:c>
      <x:c r="D19" s="7" t="n">
        <x:f>B19-C19</x:f>
        <x:v>-11400</x:v>
      </x:c>
      <x:c r="E19" s="12" t="n">
        <x:v>42</x:v>
      </x:c>
      <x:c r="F19" s="14" t="n">
        <x:f>E19/10</x:f>
        <x:v>4.2</x:v>
      </x:c>
    </x:row>
    <x:row r="20" ht="25" customHeight="1">
      <x:c r="A20" s="2" t="str">
        <x:v>2026-10-09_Night</x:v>
      </x:c>
      <x:c r="B20" s="7" t="n">
        <x:v>33300</x:v>
      </x:c>
      <x:c r="C20" s="7" t="n">
        <x:v>39600</x:v>
      </x:c>
      <x:c r="D20" s="7" t="n">
        <x:f>B20-C20</x:f>
        <x:v>-6300</x:v>
      </x:c>
      <x:c r="E20" s="12" t="n">
        <x:v>266</x:v>
      </x:c>
      <x:c r="F20" s="14" t="n">
        <x:f>E20/10</x:f>
        <x:v>26.6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20200</x:v>
      </x:c>
      <x:c r="C22" s="7" t="n">
        <x:v>0</x:v>
      </x:c>
      <x:c r="D22" s="7" t="n">
        <x:f>B22-C22</x:f>
        <x:v>20200</x:v>
      </x:c>
      <x:c r="E22" s="12" t="n">
        <x:v>119</x:v>
      </x:c>
      <x:c r="F22" s="14" t="n">
        <x:f>E22/10</x:f>
        <x:v>11.9</x:v>
      </x:c>
    </x:row>
    <x:row r="23" ht="25" customHeight="1">
      <x:c r="A23" s="2" t="str">
        <x:v>2026-10-14_Night</x:v>
      </x:c>
      <x:c r="B23" s="7" t="n">
        <x:v>11900</x:v>
      </x:c>
      <x:c r="C23" s="7" t="n">
        <x:v>0</x:v>
      </x:c>
      <x:c r="D23" s="7" t="n">
        <x:f>B23-C23</x:f>
        <x:v>11900</x:v>
      </x:c>
      <x:c r="E23" s="12" t="n">
        <x:v>119</x:v>
      </x:c>
      <x:c r="F23" s="14" t="n">
        <x:f>E23/10</x:f>
        <x:v>11.9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8300</x:v>
      </x:c>
      <x:c r="C25" s="7" t="n">
        <x:v>0</x:v>
      </x:c>
      <x:c r="D25" s="7" t="n">
        <x:f>B25-C25</x:f>
        <x:v>8300</x:v>
      </x:c>
      <x:c r="E25" s="12" t="n">
        <x:v>83</x:v>
      </x:c>
      <x:c r="F25" s="14" t="n">
        <x:f>E25/10</x:f>
        <x:v>8.3</x:v>
      </x:c>
    </x:row>
    <x:row r="26" ht="25" customHeight="1">
      <x:c r="A26" s="2" t="str">
        <x:v>2026-10-19_Night</x:v>
      </x:c>
      <x:c r="B26" s="7" t="n">
        <x:v>21900</x:v>
      </x:c>
      <x:c r="C26" s="7" t="n">
        <x:v>0</x:v>
      </x:c>
      <x:c r="D26" s="7" t="n">
        <x:f>B26-C26</x:f>
        <x:v>21900</x:v>
      </x:c>
      <x:c r="E26" s="12" t="n">
        <x:v>169</x:v>
      </x:c>
      <x:c r="F26" s="14" t="n">
        <x:f>E26/10</x:f>
        <x:v>16.9</x:v>
      </x:c>
    </x:row>
    <x:row r="27" ht="25" customHeight="1">
      <x:c r="A27" s="2" t="str">
        <x:v>2026-10-20_Night</x:v>
      </x:c>
      <x:c r="B27" s="7" t="n">
        <x:v>53300</x:v>
      </x:c>
      <x:c r="C27" s="7" t="n">
        <x:v>16800</x:v>
      </x:c>
      <x:c r="D27" s="7" t="n">
        <x:f>B27-C27</x:f>
        <x:v>36500</x:v>
      </x:c>
      <x:c r="E27" s="12" t="n">
        <x:v>326</x:v>
      </x:c>
      <x:c r="F27" s="14" t="n">
        <x:f>E27/10</x:f>
        <x:v>32.6</x:v>
      </x:c>
    </x:row>
    <x:row r="28" ht="25" customHeight="1">
      <x:c r="A28" s="2" t="str">
        <x:v>2026-10-21_Night</x:v>
      </x:c>
      <x:c r="B28" s="7" t="n">
        <x:v>12700</x:v>
      </x:c>
      <x:c r="C28" s="7" t="n">
        <x:v>16800</x:v>
      </x:c>
      <x:c r="D28" s="7" t="n">
        <x:f>B28-C28</x:f>
        <x:v>-4100</x:v>
      </x:c>
      <x:c r="E28" s="12" t="n">
        <x:v>119</x:v>
      </x:c>
      <x:c r="F28" s="14" t="n">
        <x:f>E28/10</x:f>
        <x:v>11.9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29200</x:v>
      </x:c>
      <x:c r="C30" s="7" t="n">
        <x:v>21000</x:v>
      </x:c>
      <x:c r="D30" s="7" t="n">
        <x:f>B30-C30</x:f>
        <x:v>8200</x:v>
      </x:c>
      <x:c r="E30" s="12" t="n">
        <x:v>207</x:v>
      </x:c>
      <x:c r="F30" s="14" t="n">
        <x:f>E30/10</x:f>
        <x:v>20.7</x:v>
      </x:c>
    </x:row>
    <x:row r="31" ht="25" customHeight="1">
      <x:c r="A31" s="2" t="str">
        <x:v>2026-10-26_Night</x:v>
      </x:c>
      <x:c r="B31" s="7" t="n">
        <x:v>5000</x:v>
      </x:c>
      <x:c r="C31" s="7" t="n">
        <x:v>39600</x:v>
      </x:c>
      <x:c r="D31" s="7" t="n">
        <x:f>B31-C31</x:f>
        <x:v>-34600</x:v>
      </x:c>
      <x:c r="E31" s="12" t="n">
        <x:v>83</x:v>
      </x:c>
      <x:c r="F31" s="14" t="n">
        <x:f>E31/10</x:f>
        <x:v>8.3</x:v>
      </x:c>
    </x:row>
    <x:row r="32" ht="25" customHeight="1">
      <x:c r="A32" s="2" t="str">
        <x:v>2026-10-27_Night</x:v>
      </x:c>
      <x:c r="B32" s="7" t="n">
        <x:v>0</x:v>
      </x:c>
      <x:c r="C32" s="7" t="n">
        <x:v>60000</x:v>
      </x:c>
      <x:c r="D32" s="7" t="n">
        <x:f>B32-C32</x:f>
        <x:v>-60000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362000</x:v>
      </x:c>
      <x:c r="C33" s="11" t="n">
        <x:f>SUM(C6:C32)</x:f>
        <x:v>511600</x:v>
      </x:c>
      <x:c r="D33" s="11" t="n">
        <x:f>B33-C33</x:f>
        <x:v>-149600</x:v>
      </x:c>
      <x:c r="E33" s="13" t="n">
        <x:f>SUM(E6:E32)</x:f>
        <x:v>2908</x:v>
      </x:c>
      <x:c r="F33" s="15" t="n">
        <x:f>E33/10</x:f>
        <x:v>290.8</x:v>
      </x:c>
    </x:row>
  </x:sheetData>
  <x:mergeCells>
    <x:mergeCell ref="A2:F2"/>
    <x:mergeCell ref="A3:F3"/>
    <x:mergeCell ref="A4:F4"/>
  </x:mergeCells>
  <x:conditionalFormatting sqref="D6:D32">
    <x:cfRule type="cellIs" dxfId="6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6d79b10f63f4cc4"/>
  </x:tableParts>
</x:worksheet>
</file>

<file path=xl/worksheets/sheet66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NK225_P168_20　米国前の損益</x:v>
      </x:c>
      <x:c r="B2" s="2"/>
      <x:c r="C2" s="2"/>
      <x:c r="D2" s="2"/>
      <x:c r="E2" s="2"/>
      <x:c r="F2" s="2"/>
    </x:row>
    <x:row r="3" ht="38" customHeight="1">
      <x:c r="A3" s="5" t="str">
        <x:v>赤字の元返済だけ240円まで猶予して回収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0</x:v>
      </x:c>
      <x:c r="C7" s="7" t="n">
        <x:v>0</x:v>
      </x:c>
      <x:c r="D7" s="7" t="n">
        <x:f>B7-C7</x:f>
        <x:v>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5000</x:v>
      </x:c>
      <x:c r="C9" s="7" t="n">
        <x:v>0</x:v>
      </x:c>
      <x:c r="D9" s="7" t="n">
        <x:f>B9-C9</x:f>
        <x:v>5000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25000</x:v>
      </x:c>
      <x:c r="C13" s="7" t="n">
        <x:v>0</x:v>
      </x:c>
      <x:c r="D13" s="7" t="n">
        <x:f>B13-C13</x:f>
        <x:v>25000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49000</x:v>
      </x:c>
      <x:c r="C14" s="7" t="n">
        <x:v>0</x:v>
      </x:c>
      <x:c r="D14" s="7" t="n">
        <x:f>B14-C14</x:f>
        <x:v>49000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15000</x:v>
      </x:c>
      <x:c r="C16" s="7" t="n">
        <x:v>0</x:v>
      </x:c>
      <x:c r="D16" s="7" t="n">
        <x:f>B16-C16</x:f>
        <x:v>15000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20000</x:v>
      </x:c>
      <x:c r="C18" s="7" t="n">
        <x:v>23000</x:v>
      </x:c>
      <x:c r="D18" s="7" t="n">
        <x:f>B18-C18</x:f>
        <x:v>-3000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0</x:v>
      </x:c>
      <x:c r="C19" s="7" t="n">
        <x:v>0</x:v>
      </x:c>
      <x:c r="D19" s="7" t="n">
        <x:f>B19-C19</x:f>
        <x:v>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5000</x:v>
      </x:c>
      <x:c r="C20" s="7" t="n">
        <x:v>0</x:v>
      </x:c>
      <x:c r="D20" s="7" t="n">
        <x:f>B20-C20</x:f>
        <x:v>5000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0</x:v>
      </x:c>
      <x:c r="C22" s="7" t="n">
        <x:v>0</x:v>
      </x:c>
      <x:c r="D22" s="7" t="n">
        <x:f>B22-C22</x:f>
        <x:v>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15000</x:v>
      </x:c>
      <x:c r="C23" s="7" t="n">
        <x:v>0</x:v>
      </x:c>
      <x:c r="D23" s="7" t="n">
        <x:f>B23-C23</x:f>
        <x:v>15000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0</x:v>
      </x:c>
      <x:c r="C25" s="7" t="n">
        <x:v>0</x:v>
      </x:c>
      <x:c r="D25" s="7" t="n">
        <x:f>B25-C25</x:f>
        <x:v>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0</x:v>
      </x:c>
      <x:c r="C26" s="7" t="n">
        <x:v>0</x:v>
      </x:c>
      <x:c r="D26" s="7" t="n">
        <x:f>B26-C26</x:f>
        <x:v>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39000</x:v>
      </x:c>
      <x:c r="C27" s="7" t="n">
        <x:v>0</x:v>
      </x:c>
      <x:c r="D27" s="7" t="n">
        <x:f>B27-C27</x:f>
        <x:v>39000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5000</x:v>
      </x:c>
      <x:c r="C28" s="7" t="n">
        <x:v>0</x:v>
      </x:c>
      <x:c r="D28" s="7" t="n">
        <x:f>B28-C28</x:f>
        <x:v>5000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10000</x:v>
      </x:c>
      <x:c r="C30" s="7" t="n">
        <x:v>24000</x:v>
      </x:c>
      <x:c r="D30" s="7" t="n">
        <x:f>B30-C30</x:f>
        <x:v>-14000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0</x:v>
      </x:c>
      <x:c r="C31" s="7" t="n">
        <x:v>0</x:v>
      </x:c>
      <x:c r="D31" s="7" t="n">
        <x:f>B31-C31</x:f>
        <x:v>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0</x:v>
      </x:c>
      <x:c r="C32" s="7" t="n">
        <x:v>120000</x:v>
      </x:c>
      <x:c r="D32" s="7" t="n">
        <x:f>B32-C32</x:f>
        <x:v>-120000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188000</x:v>
      </x:c>
      <x:c r="C33" s="11" t="n">
        <x:f>SUM(C6:C32)</x:f>
        <x:v>167000</x:v>
      </x:c>
      <x:c r="D33" s="11" t="n">
        <x:f>B33-C33</x:f>
        <x:v>21000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6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199ac9f30b0470c"/>
  </x:tableParts>
</x:worksheet>
</file>

<file path=xl/worksheets/sheet67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NK225_P168_21　米国前の損益</x:v>
      </x:c>
      <x:c r="B2" s="2"/>
      <x:c r="C2" s="2"/>
      <x:c r="D2" s="2"/>
      <x:c r="E2" s="2"/>
      <x:c r="F2" s="2"/>
    </x:row>
    <x:row r="3" ht="38" customHeight="1">
      <x:c r="A3" s="5" t="str">
        <x:v>赤字の元返済だけ240円まで猶予する対照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15000</x:v>
      </x:c>
      <x:c r="C7" s="7" t="n">
        <x:v>0</x:v>
      </x:c>
      <x:c r="D7" s="7" t="n">
        <x:f>B7-C7</x:f>
        <x:v>15000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30000</x:v>
      </x:c>
      <x:c r="C9" s="7" t="n">
        <x:v>0</x:v>
      </x:c>
      <x:c r="D9" s="7" t="n">
        <x:f>B9-C9</x:f>
        <x:v>30000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60000</x:v>
      </x:c>
      <x:c r="C13" s="7" t="n">
        <x:v>0</x:v>
      </x:c>
      <x:c r="D13" s="7" t="n">
        <x:f>B13-C13</x:f>
        <x:v>60000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55000</x:v>
      </x:c>
      <x:c r="C14" s="7" t="n">
        <x:v>24000</x:v>
      </x:c>
      <x:c r="D14" s="7" t="n">
        <x:f>B14-C14</x:f>
        <x:v>31000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15000</x:v>
      </x:c>
      <x:c r="C16" s="7" t="n">
        <x:v>0</x:v>
      </x:c>
      <x:c r="D16" s="7" t="n">
        <x:f>B16-C16</x:f>
        <x:v>15000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20000</x:v>
      </x:c>
      <x:c r="C18" s="7" t="n">
        <x:v>23000</x:v>
      </x:c>
      <x:c r="D18" s="7" t="n">
        <x:f>B18-C18</x:f>
        <x:v>-3000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5000</x:v>
      </x:c>
      <x:c r="C19" s="7" t="n">
        <x:v>0</x:v>
      </x:c>
      <x:c r="D19" s="7" t="n">
        <x:f>B19-C19</x:f>
        <x:v>5000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40000</x:v>
      </x:c>
      <x:c r="C20" s="7" t="n">
        <x:v>0</x:v>
      </x:c>
      <x:c r="D20" s="7" t="n">
        <x:f>B20-C20</x:f>
        <x:v>40000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15000</x:v>
      </x:c>
      <x:c r="C22" s="7" t="n">
        <x:v>0</x:v>
      </x:c>
      <x:c r="D22" s="7" t="n">
        <x:f>B22-C22</x:f>
        <x:v>15000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15000</x:v>
      </x:c>
      <x:c r="C23" s="7" t="n">
        <x:v>0</x:v>
      </x:c>
      <x:c r="D23" s="7" t="n">
        <x:f>B23-C23</x:f>
        <x:v>15000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0</x:v>
      </x:c>
      <x:c r="C25" s="7" t="n">
        <x:v>20000</x:v>
      </x:c>
      <x:c r="D25" s="7" t="n">
        <x:f>B25-C25</x:f>
        <x:v>-20000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35000</x:v>
      </x:c>
      <x:c r="C26" s="7" t="n">
        <x:v>0</x:v>
      </x:c>
      <x:c r="D26" s="7" t="n">
        <x:f>B26-C26</x:f>
        <x:v>35000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57000</x:v>
      </x:c>
      <x:c r="C27" s="7" t="n">
        <x:v>0</x:v>
      </x:c>
      <x:c r="D27" s="7" t="n">
        <x:f>B27-C27</x:f>
        <x:v>57000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15000</x:v>
      </x:c>
      <x:c r="C28" s="7" t="n">
        <x:v>0</x:v>
      </x:c>
      <x:c r="D28" s="7" t="n">
        <x:f>B28-C28</x:f>
        <x:v>15000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20000</x:v>
      </x:c>
      <x:c r="C30" s="7" t="n">
        <x:v>24000</x:v>
      </x:c>
      <x:c r="D30" s="7" t="n">
        <x:f>B30-C30</x:f>
        <x:v>-4000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15000</x:v>
      </x:c>
      <x:c r="C31" s="7" t="n">
        <x:v>0</x:v>
      </x:c>
      <x:c r="D31" s="7" t="n">
        <x:f>B31-C31</x:f>
        <x:v>15000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0</x:v>
      </x:c>
      <x:c r="C32" s="7" t="n">
        <x:v>120000</x:v>
      </x:c>
      <x:c r="D32" s="7" t="n">
        <x:f>B32-C32</x:f>
        <x:v>-120000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412000</x:v>
      </x:c>
      <x:c r="C33" s="11" t="n">
        <x:f>SUM(C6:C32)</x:f>
        <x:v>211000</x:v>
      </x:c>
      <x:c r="D33" s="11" t="n">
        <x:f>B33-C33</x:f>
        <x:v>201000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6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abdb91963084592"/>
  </x:tableParts>
</x:worksheet>
</file>

<file path=xl/worksheets/sheet68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NK225_P168_22　米国前の損益</x:v>
      </x:c>
      <x:c r="B2" s="2"/>
      <x:c r="C2" s="2"/>
      <x:c r="D2" s="2"/>
      <x:c r="E2" s="2"/>
      <x:c r="F2" s="2"/>
    </x:row>
    <x:row r="3" ht="38" customHeight="1">
      <x:c r="A3" s="5" t="str">
        <x:v>元損切りを保ち回収後に方向再判断3回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11600</x:v>
      </x:c>
      <x:c r="C7" s="7" t="n">
        <x:v>0</x:v>
      </x:c>
      <x:c r="D7" s="7" t="n">
        <x:f>B7-C7</x:f>
        <x:v>11600</x:v>
      </x:c>
      <x:c r="E7" s="12" t="n">
        <x:v>155</x:v>
      </x:c>
      <x:c r="F7" s="14" t="n">
        <x:f>E7/10</x:f>
        <x:v>15.5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19000</x:v>
      </x:c>
      <x:c r="C9" s="7" t="n">
        <x:v>30000</x:v>
      </x:c>
      <x:c r="D9" s="7" t="n">
        <x:f>B9-C9</x:f>
        <x:v>-11000</x:v>
      </x:c>
      <x:c r="E9" s="12" t="n">
        <x:v>219</x:v>
      </x:c>
      <x:c r="F9" s="14" t="n">
        <x:f>E9/10</x:f>
        <x:v>21.9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36700</x:v>
      </x:c>
      <x:c r="C13" s="7" t="n">
        <x:v>2200</x:v>
      </x:c>
      <x:c r="D13" s="7" t="n">
        <x:f>B13-C13</x:f>
        <x:v>34500</x:v>
      </x:c>
      <x:c r="E13" s="12" t="n">
        <x:v>288</x:v>
      </x:c>
      <x:c r="F13" s="14" t="n">
        <x:f>E13/10</x:f>
        <x:v>28.8</x:v>
      </x:c>
    </x:row>
    <x:row r="14" ht="25" customHeight="1">
      <x:c r="A14" s="2" t="str">
        <x:v>2026-10-01_Night</x:v>
      </x:c>
      <x:c r="B14" s="7" t="n">
        <x:v>57500</x:v>
      </x:c>
      <x:c r="C14" s="7" t="n">
        <x:v>4800</x:v>
      </x:c>
      <x:c r="D14" s="7" t="n">
        <x:f>B14-C14</x:f>
        <x:v>52700</x:v>
      </x:c>
      <x:c r="E14" s="12" t="n">
        <x:v>311</x:v>
      </x:c>
      <x:c r="F14" s="14" t="n">
        <x:f>E14/10</x:f>
        <x:v>31.1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15000</x:v>
      </x:c>
      <x:c r="C16" s="7" t="n">
        <x:v>0</x:v>
      </x:c>
      <x:c r="D16" s="7" t="n">
        <x:f>B16-C16</x:f>
        <x:v>15000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20000</x:v>
      </x:c>
      <x:c r="C18" s="7" t="n">
        <x:v>5000</x:v>
      </x:c>
      <x:c r="D18" s="7" t="n">
        <x:f>B18-C18</x:f>
        <x:v>15000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0</x:v>
      </x:c>
      <x:c r="C19" s="7" t="n">
        <x:v>12000</x:v>
      </x:c>
      <x:c r="D19" s="7" t="n">
        <x:f>B19-C19</x:f>
        <x:v>-12000</x:v>
      </x:c>
      <x:c r="E19" s="12" t="n">
        <x:v>30</x:v>
      </x:c>
      <x:c r="F19" s="14" t="n">
        <x:f>E19/10</x:f>
        <x:v>3</x:v>
      </x:c>
    </x:row>
    <x:row r="20" ht="25" customHeight="1">
      <x:c r="A20" s="2" t="str">
        <x:v>2026-10-09_Night</x:v>
      </x:c>
      <x:c r="B20" s="7" t="n">
        <x:v>51200</x:v>
      </x:c>
      <x:c r="C20" s="7" t="n">
        <x:v>39600</x:v>
      </x:c>
      <x:c r="D20" s="7" t="n">
        <x:f>B20-C20</x:f>
        <x:v>11600</x:v>
      </x:c>
      <x:c r="E20" s="12" t="n">
        <x:v>199</x:v>
      </x:c>
      <x:c r="F20" s="14" t="n">
        <x:f>E20/10</x:f>
        <x:v>19.9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3300</x:v>
      </x:c>
      <x:c r="C22" s="7" t="n">
        <x:v>26400</x:v>
      </x:c>
      <x:c r="D22" s="7" t="n">
        <x:f>B22-C22</x:f>
        <x:v>-23100</x:v>
      </x:c>
      <x:c r="E22" s="12" t="n">
        <x:v>155</x:v>
      </x:c>
      <x:c r="F22" s="14" t="n">
        <x:f>E22/10</x:f>
        <x:v>15.5</x:v>
      </x:c>
    </x:row>
    <x:row r="23" ht="25" customHeight="1">
      <x:c r="A23" s="2" t="str">
        <x:v>2026-10-14_Night</x:v>
      </x:c>
      <x:c r="B23" s="7" t="n">
        <x:v>15000</x:v>
      </x:c>
      <x:c r="C23" s="7" t="n">
        <x:v>0</x:v>
      </x:c>
      <x:c r="D23" s="7" t="n">
        <x:f>B23-C23</x:f>
        <x:v>15000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13200</x:v>
      </x:c>
      <x:c r="C25" s="7" t="n">
        <x:v>0</x:v>
      </x:c>
      <x:c r="D25" s="7" t="n">
        <x:f>B25-C25</x:f>
        <x:v>13200</x:v>
      </x:c>
      <x:c r="E25" s="12" t="n">
        <x:v>83</x:v>
      </x:c>
      <x:c r="F25" s="14" t="n">
        <x:f>E25/10</x:f>
        <x:v>8.3</x:v>
      </x:c>
    </x:row>
    <x:row r="26" ht="25" customHeight="1">
      <x:c r="A26" s="2" t="str">
        <x:v>2026-10-19_Night</x:v>
      </x:c>
      <x:c r="B26" s="7" t="n">
        <x:v>3300</x:v>
      </x:c>
      <x:c r="C26" s="7" t="n">
        <x:v>0</x:v>
      </x:c>
      <x:c r="D26" s="7" t="n">
        <x:f>B26-C26</x:f>
        <x:v>3300</x:v>
      </x:c>
      <x:c r="E26" s="12" t="n">
        <x:v>169</x:v>
      </x:c>
      <x:c r="F26" s="14" t="n">
        <x:f>E26/10</x:f>
        <x:v>16.9</x:v>
      </x:c>
    </x:row>
    <x:row r="27" ht="25" customHeight="1">
      <x:c r="A27" s="2" t="str">
        <x:v>2026-10-20_Night</x:v>
      </x:c>
      <x:c r="B27" s="7" t="n">
        <x:v>41200</x:v>
      </x:c>
      <x:c r="C27" s="7" t="n">
        <x:v>7200</x:v>
      </x:c>
      <x:c r="D27" s="7" t="n">
        <x:f>B27-C27</x:f>
        <x:v>34000</x:v>
      </x:c>
      <x:c r="E27" s="12" t="n">
        <x:v>203</x:v>
      </x:c>
      <x:c r="F27" s="14" t="n">
        <x:f>E27/10</x:f>
        <x:v>20.3</x:v>
      </x:c>
    </x:row>
    <x:row r="28" ht="25" customHeight="1">
      <x:c r="A28" s="2" t="str">
        <x:v>2026-10-21_Night</x:v>
      </x:c>
      <x:c r="B28" s="7" t="n">
        <x:v>12700</x:v>
      </x:c>
      <x:c r="C28" s="7" t="n">
        <x:v>16800</x:v>
      </x:c>
      <x:c r="D28" s="7" t="n">
        <x:f>B28-C28</x:f>
        <x:v>-4100</x:v>
      </x:c>
      <x:c r="E28" s="12" t="n">
        <x:v>119</x:v>
      </x:c>
      <x:c r="F28" s="14" t="n">
        <x:f>E28/10</x:f>
        <x:v>11.9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14400</x:v>
      </x:c>
      <x:c r="C30" s="7" t="n">
        <x:v>5000</x:v>
      </x:c>
      <x:c r="D30" s="7" t="n">
        <x:f>B30-C30</x:f>
        <x:v>9400</x:v>
      </x:c>
      <x:c r="E30" s="12" t="n">
        <x:v>159</x:v>
      </x:c>
      <x:c r="F30" s="14" t="n">
        <x:f>E30/10</x:f>
        <x:v>15.9</x:v>
      </x:c>
    </x:row>
    <x:row r="31" ht="25" customHeight="1">
      <x:c r="A31" s="2" t="str">
        <x:v>2026-10-26_Night</x:v>
      </x:c>
      <x:c r="B31" s="7" t="n">
        <x:v>0</x:v>
      </x:c>
      <x:c r="C31" s="7" t="n">
        <x:v>39600</x:v>
      </x:c>
      <x:c r="D31" s="7" t="n">
        <x:f>B31-C31</x:f>
        <x:v>-39600</x:v>
      </x:c>
      <x:c r="E31" s="12" t="n">
        <x:v>83</x:v>
      </x:c>
      <x:c r="F31" s="14" t="n">
        <x:f>E31/10</x:f>
        <x:v>8.3</x:v>
      </x:c>
    </x:row>
    <x:row r="32" ht="25" customHeight="1">
      <x:c r="A32" s="2" t="str">
        <x:v>2026-10-27_Night</x:v>
      </x:c>
      <x:c r="B32" s="7" t="n">
        <x:v>77600</x:v>
      </x:c>
      <x:c r="C32" s="7" t="n">
        <x:v>15400</x:v>
      </x:c>
      <x:c r="D32" s="7" t="n">
        <x:f>B32-C32</x:f>
        <x:v>62200</x:v>
      </x:c>
      <x:c r="E32" s="12" t="n">
        <x:v>119</x:v>
      </x:c>
      <x:c r="F32" s="14" t="n">
        <x:f>E32/10</x:f>
        <x:v>11.9</x:v>
      </x:c>
    </x:row>
    <x:row r="33" ht="25" customHeight="1">
      <x:c r="A33" s="10" t="str">
        <x:v>合計</x:v>
      </x:c>
      <x:c r="B33" s="11" t="n">
        <x:f>SUM(B6:B32)</x:f>
        <x:v>391700</x:v>
      </x:c>
      <x:c r="C33" s="11" t="n">
        <x:f>SUM(C6:C32)</x:f>
        <x:v>204000</x:v>
      </x:c>
      <x:c r="D33" s="11" t="n">
        <x:f>B33-C33</x:f>
        <x:v>187700</x:v>
      </x:c>
      <x:c r="E33" s="13" t="n">
        <x:f>SUM(E6:E32)</x:f>
        <x:v>2472</x:v>
      </x:c>
      <x:c r="F33" s="15" t="n">
        <x:f>E33/10</x:f>
        <x:v>247.2</x:v>
      </x:c>
    </x:row>
  </x:sheetData>
  <x:mergeCells>
    <x:mergeCell ref="A2:F2"/>
    <x:mergeCell ref="A3:F3"/>
    <x:mergeCell ref="A4:F4"/>
  </x:mergeCells>
  <x:conditionalFormatting sqref="D6:D32">
    <x:cfRule type="cellIs" dxfId="6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f820c581b145bc"/>
  </x:tableParts>
</x:worksheet>
</file>

<file path=xl/worksheets/sheet69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NK225_P168_23　米国前の損益</x:v>
      </x:c>
      <x:c r="B2" s="2"/>
      <x:c r="C2" s="2"/>
      <x:c r="D2" s="2"/>
      <x:c r="E2" s="2"/>
      <x:c r="F2" s="2"/>
    </x:row>
    <x:row r="3" ht="38" customHeight="1">
      <x:c r="A3" s="5" t="str">
        <x:v>固定20円追尾で方向再判断3回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11600</x:v>
      </x:c>
      <x:c r="C7" s="7" t="n">
        <x:v>0</x:v>
      </x:c>
      <x:c r="D7" s="7" t="n">
        <x:f>B7-C7</x:f>
        <x:v>11600</x:v>
      </x:c>
      <x:c r="E7" s="12" t="n">
        <x:v>166</x:v>
      </x:c>
      <x:c r="F7" s="14" t="n">
        <x:f>E7/10</x:f>
        <x:v>16.6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5000</x:v>
      </x:c>
      <x:c r="C9" s="7" t="n">
        <x:v>85000</x:v>
      </x:c>
      <x:c r="D9" s="7" t="n">
        <x:f>B9-C9</x:f>
        <x:v>-80000</x:v>
      </x:c>
      <x:c r="E9" s="12" t="n">
        <x:v>150</x:v>
      </x:c>
      <x:c r="F9" s="14" t="n">
        <x:f>E9/10</x:f>
        <x:v>15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7200</x:v>
      </x:c>
      <x:c r="D11" s="7" t="n">
        <x:f>B11-C11</x:f>
        <x:v>-7200</x:v>
      </x:c>
      <x:c r="E11" s="12" t="n">
        <x:v>16</x:v>
      </x:c>
      <x:c r="F11" s="14" t="n">
        <x:f>E11/10</x:f>
        <x:v>1.6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19900</x:v>
      </x:c>
      <x:c r="C13" s="7" t="n">
        <x:v>60000</x:v>
      </x:c>
      <x:c r="D13" s="7" t="n">
        <x:f>B13-C13</x:f>
        <x:v>-40100</x:v>
      </x:c>
      <x:c r="E13" s="12" t="n">
        <x:v>288</x:v>
      </x:c>
      <x:c r="F13" s="14" t="n">
        <x:f>E13/10</x:f>
        <x:v>28.8</x:v>
      </x:c>
    </x:row>
    <x:row r="14" ht="25" customHeight="1">
      <x:c r="A14" s="2" t="str">
        <x:v>2026-10-01_Night</x:v>
      </x:c>
      <x:c r="B14" s="7" t="n">
        <x:v>84300</x:v>
      </x:c>
      <x:c r="C14" s="7" t="n">
        <x:v>37400</x:v>
      </x:c>
      <x:c r="D14" s="7" t="n">
        <x:f>B14-C14</x:f>
        <x:v>46900</x:v>
      </x:c>
      <x:c r="E14" s="12" t="n">
        <x:v>437</x:v>
      </x:c>
      <x:c r="F14" s="14" t="n">
        <x:f>E14/10</x:f>
        <x:v>43.7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34800</x:v>
      </x:c>
      <x:c r="C16" s="7" t="n">
        <x:v>0</x:v>
      </x:c>
      <x:c r="D16" s="7" t="n">
        <x:f>B16-C16</x:f>
        <x:v>34800</x:v>
      </x:c>
      <x:c r="E16" s="12" t="n">
        <x:v>149</x:v>
      </x:c>
      <x:c r="F16" s="14" t="n">
        <x:f>E16/10</x:f>
        <x:v>14.9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64200</x:v>
      </x:c>
      <x:c r="C18" s="7" t="n">
        <x:v>24000</x:v>
      </x:c>
      <x:c r="D18" s="7" t="n">
        <x:f>B18-C18</x:f>
        <x:v>40200</x:v>
      </x:c>
      <x:c r="E18" s="12" t="n">
        <x:v>185</x:v>
      </x:c>
      <x:c r="F18" s="14" t="n">
        <x:f>E18/10</x:f>
        <x:v>18.5</x:v>
      </x:c>
    </x:row>
    <x:row r="19" ht="25" customHeight="1">
      <x:c r="A19" s="2" t="str">
        <x:v>2026-10-08_Night</x:v>
      </x:c>
      <x:c r="B19" s="7" t="n">
        <x:v>0</x:v>
      </x:c>
      <x:c r="C19" s="7" t="n">
        <x:v>14400</x:v>
      </x:c>
      <x:c r="D19" s="7" t="n">
        <x:f>B19-C19</x:f>
        <x:v>-14400</x:v>
      </x:c>
      <x:c r="E19" s="12" t="n">
        <x:v>42</x:v>
      </x:c>
      <x:c r="F19" s="14" t="n">
        <x:f>E19/10</x:f>
        <x:v>4.2</x:v>
      </x:c>
    </x:row>
    <x:row r="20" ht="25" customHeight="1">
      <x:c r="A20" s="2" t="str">
        <x:v>2026-10-09_Night</x:v>
      </x:c>
      <x:c r="B20" s="7" t="n">
        <x:v>54500</x:v>
      </x:c>
      <x:c r="C20" s="7" t="n">
        <x:v>39600</x:v>
      </x:c>
      <x:c r="D20" s="7" t="n">
        <x:f>B20-C20</x:f>
        <x:v>14900</x:v>
      </x:c>
      <x:c r="E20" s="12" t="n">
        <x:v>199</x:v>
      </x:c>
      <x:c r="F20" s="14" t="n">
        <x:f>E20/10</x:f>
        <x:v>19.9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3300</x:v>
      </x:c>
      <x:c r="C22" s="7" t="n">
        <x:v>26400</x:v>
      </x:c>
      <x:c r="D22" s="7" t="n">
        <x:f>B22-C22</x:f>
        <x:v>-23100</x:v>
      </x:c>
      <x:c r="E22" s="12" t="n">
        <x:v>155</x:v>
      </x:c>
      <x:c r="F22" s="14" t="n">
        <x:f>E22/10</x:f>
        <x:v>15.5</x:v>
      </x:c>
    </x:row>
    <x:row r="23" ht="25" customHeight="1">
      <x:c r="A23" s="2" t="str">
        <x:v>2026-10-14_Night</x:v>
      </x:c>
      <x:c r="B23" s="7" t="n">
        <x:v>13300</x:v>
      </x:c>
      <x:c r="C23" s="7" t="n">
        <x:v>24200</x:v>
      </x:c>
      <x:c r="D23" s="7" t="n">
        <x:f>B23-C23</x:f>
        <x:v>-10900</x:v>
      </x:c>
      <x:c r="E23" s="12" t="n">
        <x:v>127</x:v>
      </x:c>
      <x:c r="F23" s="14" t="n">
        <x:f>E23/10</x:f>
        <x:v>12.7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3300</x:v>
      </x:c>
      <x:c r="C25" s="7" t="n">
        <x:v>0</x:v>
      </x:c>
      <x:c r="D25" s="7" t="n">
        <x:f>B25-C25</x:f>
        <x:v>3300</x:v>
      </x:c>
      <x:c r="E25" s="12" t="n">
        <x:v>83</x:v>
      </x:c>
      <x:c r="F25" s="14" t="n">
        <x:f>E25/10</x:f>
        <x:v>8.3</x:v>
      </x:c>
    </x:row>
    <x:row r="26" ht="25" customHeight="1">
      <x:c r="A26" s="2" t="str">
        <x:v>2026-10-19_Night</x:v>
      </x:c>
      <x:c r="B26" s="7" t="n">
        <x:v>9700</x:v>
      </x:c>
      <x:c r="C26" s="7" t="n">
        <x:v>0</x:v>
      </x:c>
      <x:c r="D26" s="7" t="n">
        <x:f>B26-C26</x:f>
        <x:v>9700</x:v>
      </x:c>
      <x:c r="E26" s="12" t="n">
        <x:v>169</x:v>
      </x:c>
      <x:c r="F26" s="14" t="n">
        <x:f>E26/10</x:f>
        <x:v>16.9</x:v>
      </x:c>
    </x:row>
    <x:row r="27" ht="25" customHeight="1">
      <x:c r="A27" s="2" t="str">
        <x:v>2026-10-20_Night</x:v>
      </x:c>
      <x:c r="B27" s="7" t="n">
        <x:v>61800</x:v>
      </x:c>
      <x:c r="C27" s="7" t="n">
        <x:v>4800</x:v>
      </x:c>
      <x:c r="D27" s="7" t="n">
        <x:f>B27-C27</x:f>
        <x:v>57000</x:v>
      </x:c>
      <x:c r="E27" s="12" t="n">
        <x:v>286</x:v>
      </x:c>
      <x:c r="F27" s="14" t="n">
        <x:f>E27/10</x:f>
        <x:v>28.6</x:v>
      </x:c>
    </x:row>
    <x:row r="28" ht="25" customHeight="1">
      <x:c r="A28" s="2" t="str">
        <x:v>2026-10-21_Night</x:v>
      </x:c>
      <x:c r="B28" s="7" t="n">
        <x:v>12700</x:v>
      </x:c>
      <x:c r="C28" s="7" t="n">
        <x:v>0</x:v>
      </x:c>
      <x:c r="D28" s="7" t="n">
        <x:f>B28-C28</x:f>
        <x:v>12700</x:v>
      </x:c>
      <x:c r="E28" s="12" t="n">
        <x:v>119</x:v>
      </x:c>
      <x:c r="F28" s="14" t="n">
        <x:f>E28/10</x:f>
        <x:v>11.9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23600</x:v>
      </x:c>
      <x:c r="C30" s="7" t="n">
        <x:v>14600</x:v>
      </x:c>
      <x:c r="D30" s="7" t="n">
        <x:f>B30-C30</x:f>
        <x:v>9000</x:v>
      </x:c>
      <x:c r="E30" s="12" t="n">
        <x:v>185</x:v>
      </x:c>
      <x:c r="F30" s="14" t="n">
        <x:f>E30/10</x:f>
        <x:v>18.5</x:v>
      </x:c>
    </x:row>
    <x:row r="31" ht="25" customHeight="1">
      <x:c r="A31" s="2" t="str">
        <x:v>2026-10-26_Night</x:v>
      </x:c>
      <x:c r="B31" s="7" t="n">
        <x:v>0</x:v>
      </x:c>
      <x:c r="C31" s="7" t="n">
        <x:v>39600</x:v>
      </x:c>
      <x:c r="D31" s="7" t="n">
        <x:f>B31-C31</x:f>
        <x:v>-39600</x:v>
      </x:c>
      <x:c r="E31" s="12" t="n">
        <x:v>83</x:v>
      </x:c>
      <x:c r="F31" s="14" t="n">
        <x:f>E31/10</x:f>
        <x:v>8.3</x:v>
      </x:c>
    </x:row>
    <x:row r="32" ht="25" customHeight="1">
      <x:c r="A32" s="2" t="str">
        <x:v>2026-10-27_Night</x:v>
      </x:c>
      <x:c r="B32" s="7" t="n">
        <x:v>0</x:v>
      </x:c>
      <x:c r="C32" s="7" t="n">
        <x:v>60000</x:v>
      </x:c>
      <x:c r="D32" s="7" t="n">
        <x:f>B32-C32</x:f>
        <x:v>-60000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402000</x:v>
      </x:c>
      <x:c r="C33" s="11" t="n">
        <x:f>SUM(C6:C32)</x:f>
        <x:v>437200</x:v>
      </x:c>
      <x:c r="D33" s="11" t="n">
        <x:f>B33-C33</x:f>
        <x:v>-35200</x:v>
      </x:c>
      <x:c r="E33" s="13" t="n">
        <x:f>SUM(E6:E32)</x:f>
        <x:v>2889</x:v>
      </x:c>
      <x:c r="F33" s="15" t="n">
        <x:f>E33/10</x:f>
        <x:v>288.9</x:v>
      </x:c>
    </x:row>
  </x:sheetData>
  <x:mergeCells>
    <x:mergeCell ref="A2:F2"/>
    <x:mergeCell ref="A3:F3"/>
    <x:mergeCell ref="A4:F4"/>
  </x:mergeCells>
  <x:conditionalFormatting sqref="D6:D32">
    <x:cfRule type="cellIs" dxfId="6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47b2d57a5e491d"/>
  </x:tableParts>
</x:worksheet>
</file>

<file path=xl/worksheets/sheet70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NK225_P168_24　米国前の損益</x:v>
      </x:c>
      <x:c r="B2" s="2"/>
      <x:c r="C2" s="2"/>
      <x:c r="D2" s="2"/>
      <x:c r="E2" s="2"/>
      <x:c r="F2" s="2"/>
    </x:row>
    <x:row r="3" ht="38" customHeight="1">
      <x:c r="A3" s="5" t="str">
        <x:v>8割回収後の残玉追尾と方向再判断3回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9900</x:v>
      </x:c>
      <x:c r="C7" s="7" t="n">
        <x:v>1200</x:v>
      </x:c>
      <x:c r="D7" s="7" t="n">
        <x:f>B7-C7</x:f>
        <x:v>8700</x:v>
      </x:c>
      <x:c r="E7" s="12" t="n">
        <x:v>62</x:v>
      </x:c>
      <x:c r="F7" s="14" t="n">
        <x:f>E7/10</x:f>
        <x:v>6.2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9000</x:v>
      </x:c>
      <x:c r="C9" s="7" t="n">
        <x:v>61000</x:v>
      </x:c>
      <x:c r="D9" s="7" t="n">
        <x:f>B9-C9</x:f>
        <x:v>-52000</x:v>
      </x:c>
      <x:c r="E9" s="12" t="n">
        <x:v>110</x:v>
      </x:c>
      <x:c r="F9" s="14" t="n">
        <x:f>E9/10</x:f>
        <x:v>11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1600</x:v>
      </x:c>
      <x:c r="C11" s="7" t="n">
        <x:v>1200</x:v>
      </x:c>
      <x:c r="D11" s="7" t="n">
        <x:f>B11-C11</x:f>
        <x:v>400</x:v>
      </x:c>
      <x:c r="E11" s="12" t="n">
        <x:v>11</x:v>
      </x:c>
      <x:c r="F11" s="14" t="n">
        <x:f>E11/10</x:f>
        <x:v>1.1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11700</x:v>
      </x:c>
      <x:c r="C13" s="7" t="n">
        <x:v>60100</x:v>
      </x:c>
      <x:c r="D13" s="7" t="n">
        <x:f>B13-C13</x:f>
        <x:v>-48400</x:v>
      </x:c>
      <x:c r="E13" s="12" t="n">
        <x:v>166</x:v>
      </x:c>
      <x:c r="F13" s="14" t="n">
        <x:f>E13/10</x:f>
        <x:v>16.6</x:v>
      </x:c>
    </x:row>
    <x:row r="14" ht="25" customHeight="1">
      <x:c r="A14" s="2" t="str">
        <x:v>2026-10-01_Night</x:v>
      </x:c>
      <x:c r="B14" s="7" t="n">
        <x:v>46600</x:v>
      </x:c>
      <x:c r="C14" s="7" t="n">
        <x:v>3500</x:v>
      </x:c>
      <x:c r="D14" s="7" t="n">
        <x:f>B14-C14</x:f>
        <x:v>43100</x:v>
      </x:c>
      <x:c r="E14" s="12" t="n">
        <x:v>248</x:v>
      </x:c>
      <x:c r="F14" s="14" t="n">
        <x:f>E14/10</x:f>
        <x:v>24.8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14800</x:v>
      </x:c>
      <x:c r="C16" s="7" t="n">
        <x:v>0</x:v>
      </x:c>
      <x:c r="D16" s="7" t="n">
        <x:f>B16-C16</x:f>
        <x:v>14800</x:v>
      </x:c>
      <x:c r="E16" s="12" t="n">
        <x:v>59</x:v>
      </x:c>
      <x:c r="F16" s="14" t="n">
        <x:f>E16/10</x:f>
        <x:v>5.9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11700</x:v>
      </x:c>
      <x:c r="C18" s="7" t="n">
        <x:v>14500</x:v>
      </x:c>
      <x:c r="D18" s="7" t="n">
        <x:f>B18-C18</x:f>
        <x:v>-2800</x:v>
      </x:c>
      <x:c r="E18" s="12" t="n">
        <x:v>84</x:v>
      </x:c>
      <x:c r="F18" s="14" t="n">
        <x:f>E18/10</x:f>
        <x:v>8.4</x:v>
      </x:c>
    </x:row>
    <x:row r="19" ht="25" customHeight="1">
      <x:c r="A19" s="2" t="str">
        <x:v>2026-10-08_Night</x:v>
      </x:c>
      <x:c r="B19" s="7" t="n">
        <x:v>3200</x:v>
      </x:c>
      <x:c r="C19" s="7" t="n">
        <x:v>2400</x:v>
      </x:c>
      <x:c r="D19" s="7" t="n">
        <x:f>B19-C19</x:f>
        <x:v>800</x:v>
      </x:c>
      <x:c r="E19" s="12" t="n">
        <x:v>23</x:v>
      </x:c>
      <x:c r="F19" s="14" t="n">
        <x:f>E19/10</x:f>
        <x:v>2.3</x:v>
      </x:c>
    </x:row>
    <x:row r="20" ht="25" customHeight="1">
      <x:c r="A20" s="2" t="str">
        <x:v>2026-10-09_Night</x:v>
      </x:c>
      <x:c r="B20" s="7" t="n">
        <x:v>20000</x:v>
      </x:c>
      <x:c r="C20" s="7" t="n">
        <x:v>8000</x:v>
      </x:c>
      <x:c r="D20" s="7" t="n">
        <x:f>B20-C20</x:f>
        <x:v>12000</x:v>
      </x:c>
      <x:c r="E20" s="12" t="n">
        <x:v>113</x:v>
      </x:c>
      <x:c r="F20" s="14" t="n">
        <x:f>E20/10</x:f>
        <x:v>11.3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9700</x:v>
      </x:c>
      <x:c r="C22" s="7" t="n">
        <x:v>0</x:v>
      </x:c>
      <x:c r="D22" s="7" t="n">
        <x:f>B22-C22</x:f>
        <x:v>9700</x:v>
      </x:c>
      <x:c r="E22" s="12" t="n">
        <x:v>62</x:v>
      </x:c>
      <x:c r="F22" s="14" t="n">
        <x:f>E22/10</x:f>
        <x:v>6.2</x:v>
      </x:c>
    </x:row>
    <x:row r="23" ht="25" customHeight="1">
      <x:c r="A23" s="2" t="str">
        <x:v>2026-10-14_Night</x:v>
      </x:c>
      <x:c r="B23" s="7" t="n">
        <x:v>9900</x:v>
      </x:c>
      <x:c r="C23" s="7" t="n">
        <x:v>0</x:v>
      </x:c>
      <x:c r="D23" s="7" t="n">
        <x:f>B23-C23</x:f>
        <x:v>9900</x:v>
      </x:c>
      <x:c r="E23" s="12" t="n">
        <x:v>58</x:v>
      </x:c>
      <x:c r="F23" s="14" t="n">
        <x:f>E23/10</x:f>
        <x:v>5.8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9600</x:v>
      </x:c>
      <x:c r="C25" s="7" t="n">
        <x:v>0</x:v>
      </x:c>
      <x:c r="D25" s="7" t="n">
        <x:f>B25-C25</x:f>
        <x:v>9600</x:v>
      </x:c>
      <x:c r="E25" s="12" t="n">
        <x:v>56</x:v>
      </x:c>
      <x:c r="F25" s="14" t="n">
        <x:f>E25/10</x:f>
        <x:v>5.6</x:v>
      </x:c>
    </x:row>
    <x:row r="26" ht="25" customHeight="1">
      <x:c r="A26" s="2" t="str">
        <x:v>2026-10-19_Night</x:v>
      </x:c>
      <x:c r="B26" s="7" t="n">
        <x:v>13300</x:v>
      </x:c>
      <x:c r="C26" s="7" t="n">
        <x:v>0</x:v>
      </x:c>
      <x:c r="D26" s="7" t="n">
        <x:f>B26-C26</x:f>
        <x:v>13300</x:v>
      </x:c>
      <x:c r="E26" s="12" t="n">
        <x:v>108</x:v>
      </x:c>
      <x:c r="F26" s="14" t="n">
        <x:f>E26/10</x:f>
        <x:v>10.8</x:v>
      </x:c>
    </x:row>
    <x:row r="27" ht="25" customHeight="1">
      <x:c r="A27" s="2" t="str">
        <x:v>2026-10-20_Night</x:v>
      </x:c>
      <x:c r="B27" s="7" t="n">
        <x:v>24900</x:v>
      </x:c>
      <x:c r="C27" s="7" t="n">
        <x:v>3600</x:v>
      </x:c>
      <x:c r="D27" s="7" t="n">
        <x:f>B27-C27</x:f>
        <x:v>21300</x:v>
      </x:c>
      <x:c r="E27" s="12" t="n">
        <x:v>137</x:v>
      </x:c>
      <x:c r="F27" s="14" t="n">
        <x:f>E27/10</x:f>
        <x:v>13.7</x:v>
      </x:c>
    </x:row>
    <x:row r="28" ht="25" customHeight="1">
      <x:c r="A28" s="2" t="str">
        <x:v>2026-10-21_Night</x:v>
      </x:c>
      <x:c r="B28" s="7" t="n">
        <x:v>9600</x:v>
      </x:c>
      <x:c r="C28" s="7" t="n">
        <x:v>0</x:v>
      </x:c>
      <x:c r="D28" s="7" t="n">
        <x:f>B28-C28</x:f>
        <x:v>9600</x:v>
      </x:c>
      <x:c r="E28" s="12" t="n">
        <x:v>58</x:v>
      </x:c>
      <x:c r="F28" s="14" t="n">
        <x:f>E28/10</x:f>
        <x:v>5.8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13000</x:v>
      </x:c>
      <x:c r="C30" s="7" t="n">
        <x:v>12200</x:v>
      </x:c>
      <x:c r="D30" s="7" t="n">
        <x:f>B30-C30</x:f>
        <x:v>800</x:v>
      </x:c>
      <x:c r="E30" s="12" t="n">
        <x:v>100</x:v>
      </x:c>
      <x:c r="F30" s="14" t="n">
        <x:f>E30/10</x:f>
        <x:v>10</x:v>
      </x:c>
    </x:row>
    <x:row r="31" ht="25" customHeight="1">
      <x:c r="A31" s="2" t="str">
        <x:v>2026-10-26_Night</x:v>
      </x:c>
      <x:c r="B31" s="7" t="n">
        <x:v>8000</x:v>
      </x:c>
      <x:c r="C31" s="7" t="n">
        <x:v>7200</x:v>
      </x:c>
      <x:c r="D31" s="7" t="n">
        <x:f>B31-C31</x:f>
        <x:v>800</x:v>
      </x:c>
      <x:c r="E31" s="12" t="n">
        <x:v>56</x:v>
      </x:c>
      <x:c r="F31" s="14" t="n">
        <x:f>E31/10</x:f>
        <x:v>5.6</x:v>
      </x:c>
    </x:row>
    <x:row r="32" ht="25" customHeight="1">
      <x:c r="A32" s="2" t="str">
        <x:v>2026-10-27_Night</x:v>
      </x:c>
      <x:c r="B32" s="7" t="n">
        <x:v>0</x:v>
      </x:c>
      <x:c r="C32" s="7" t="n">
        <x:v>60000</x:v>
      </x:c>
      <x:c r="D32" s="7" t="n">
        <x:f>B32-C32</x:f>
        <x:v>-60000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226500</x:v>
      </x:c>
      <x:c r="C33" s="11" t="n">
        <x:f>SUM(C6:C32)</x:f>
        <x:v>234900</x:v>
      </x:c>
      <x:c r="D33" s="11" t="n">
        <x:f>B33-C33</x:f>
        <x:v>-8400</x:v>
      </x:c>
      <x:c r="E33" s="13" t="n">
        <x:f>SUM(E6:E32)</x:f>
        <x:v>1561</x:v>
      </x:c>
      <x:c r="F33" s="15" t="n">
        <x:f>E33/10</x:f>
        <x:v>156.1</x:v>
      </x:c>
    </x:row>
  </x:sheetData>
  <x:mergeCells>
    <x:mergeCell ref="A2:F2"/>
    <x:mergeCell ref="A3:F3"/>
    <x:mergeCell ref="A4:F4"/>
  </x:mergeCells>
  <x:conditionalFormatting sqref="D6:D32">
    <x:cfRule type="cellIs" dxfId="6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ff13545746c43a4"/>
  </x:tableParts>
</x:worksheet>
</file>

<file path=xl/worksheets/sheet71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NK225_P168_25　米国前の損益</x:v>
      </x:c>
      <x:c r="B2" s="2"/>
      <x:c r="C2" s="2"/>
      <x:c r="D2" s="2"/>
      <x:c r="E2" s="2"/>
      <x:c r="F2" s="2"/>
    </x:row>
    <x:row r="3" ht="38" customHeight="1">
      <x:c r="A3" s="5" t="str">
        <x:v>240円損切りと方向再判断3回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11600</x:v>
      </x:c>
      <x:c r="C7" s="7" t="n">
        <x:v>0</x:v>
      </x:c>
      <x:c r="D7" s="7" t="n">
        <x:f>B7-C7</x:f>
        <x:v>11600</x:v>
      </x:c>
      <x:c r="E7" s="12" t="n">
        <x:v>155</x:v>
      </x:c>
      <x:c r="F7" s="14" t="n">
        <x:f>E7/10</x:f>
        <x:v>15.5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19000</x:v>
      </x:c>
      <x:c r="C9" s="7" t="n">
        <x:v>30000</x:v>
      </x:c>
      <x:c r="D9" s="7" t="n">
        <x:f>B9-C9</x:f>
        <x:v>-11000</x:v>
      </x:c>
      <x:c r="E9" s="12" t="n">
        <x:v>219</x:v>
      </x:c>
      <x:c r="F9" s="14" t="n">
        <x:f>E9/10</x:f>
        <x:v>21.9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13200</x:v>
      </x:c>
      <x:c r="D11" s="7" t="n">
        <x:f>B11-C11</x:f>
        <x:v>-13200</x:v>
      </x:c>
      <x:c r="E11" s="12" t="n">
        <x:v>16</x:v>
      </x:c>
      <x:c r="F11" s="14" t="n">
        <x:f>E11/10</x:f>
        <x:v>1.6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21700</x:v>
      </x:c>
      <x:c r="C13" s="7" t="n">
        <x:v>84700</x:v>
      </x:c>
      <x:c r="D13" s="7" t="n">
        <x:f>B13-C13</x:f>
        <x:v>-63000</x:v>
      </x:c>
      <x:c r="E13" s="12" t="n">
        <x:v>321</x:v>
      </x:c>
      <x:c r="F13" s="14" t="n">
        <x:f>E13/10</x:f>
        <x:v>32.1</x:v>
      </x:c>
    </x:row>
    <x:row r="14" ht="25" customHeight="1">
      <x:c r="A14" s="2" t="str">
        <x:v>2026-10-01_Night</x:v>
      </x:c>
      <x:c r="B14" s="7" t="n">
        <x:v>80800</x:v>
      </x:c>
      <x:c r="C14" s="7" t="n">
        <x:v>79000</x:v>
      </x:c>
      <x:c r="D14" s="7" t="n">
        <x:f>B14-C14</x:f>
        <x:v>1800</x:v>
      </x:c>
      <x:c r="E14" s="12" t="n">
        <x:v>422</x:v>
      </x:c>
      <x:c r="F14" s="14" t="n">
        <x:f>E14/10</x:f>
        <x:v>42.2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23800</x:v>
      </x:c>
      <x:c r="C16" s="7" t="n">
        <x:v>0</x:v>
      </x:c>
      <x:c r="D16" s="7" t="n">
        <x:f>B16-C16</x:f>
        <x:v>23800</x:v>
      </x:c>
      <x:c r="E16" s="12" t="n">
        <x:v>138</x:v>
      </x:c>
      <x:c r="F16" s="14" t="n">
        <x:f>E16/10</x:f>
        <x:v>13.8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56500</x:v>
      </x:c>
      <x:c r="C18" s="7" t="n">
        <x:v>46000</x:v>
      </x:c>
      <x:c r="D18" s="7" t="n">
        <x:f>B18-C18</x:f>
        <x:v>10500</x:v>
      </x:c>
      <x:c r="E18" s="12" t="n">
        <x:v>185</x:v>
      </x:c>
      <x:c r="F18" s="14" t="n">
        <x:f>E18/10</x:f>
        <x:v>18.5</x:v>
      </x:c>
    </x:row>
    <x:row r="19" ht="25" customHeight="1">
      <x:c r="A19" s="2" t="str">
        <x:v>2026-10-08_Night</x:v>
      </x:c>
      <x:c r="B19" s="7" t="n">
        <x:v>0</x:v>
      </x:c>
      <x:c r="C19" s="7" t="n">
        <x:v>28800</x:v>
      </x:c>
      <x:c r="D19" s="7" t="n">
        <x:f>B19-C19</x:f>
        <x:v>-28800</x:v>
      </x:c>
      <x:c r="E19" s="12" t="n">
        <x:v>42</x:v>
      </x:c>
      <x:c r="F19" s="14" t="n">
        <x:f>E19/10</x:f>
        <x:v>4.2</x:v>
      </x:c>
    </x:row>
    <x:row r="20" ht="25" customHeight="1">
      <x:c r="A20" s="2" t="str">
        <x:v>2026-10-09_Night</x:v>
      </x:c>
      <x:c r="B20" s="7" t="n">
        <x:v>51200</x:v>
      </x:c>
      <x:c r="C20" s="7" t="n">
        <x:v>79200</x:v>
      </x:c>
      <x:c r="D20" s="7" t="n">
        <x:f>B20-C20</x:f>
        <x:v>-28000</x:v>
      </x:c>
      <x:c r="E20" s="12" t="n">
        <x:v>199</x:v>
      </x:c>
      <x:c r="F20" s="14" t="n">
        <x:f>E20/10</x:f>
        <x:v>19.9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3300</x:v>
      </x:c>
      <x:c r="C22" s="7" t="n">
        <x:v>52800</x:v>
      </x:c>
      <x:c r="D22" s="7" t="n">
        <x:f>B22-C22</x:f>
        <x:v>-49500</x:v>
      </x:c>
      <x:c r="E22" s="12" t="n">
        <x:v>155</x:v>
      </x:c>
      <x:c r="F22" s="14" t="n">
        <x:f>E22/10</x:f>
        <x:v>15.5</x:v>
      </x:c>
    </x:row>
    <x:row r="23" ht="25" customHeight="1">
      <x:c r="A23" s="2" t="str">
        <x:v>2026-10-14_Night</x:v>
      </x:c>
      <x:c r="B23" s="7" t="n">
        <x:v>19900</x:v>
      </x:c>
      <x:c r="C23" s="7" t="n">
        <x:v>0</x:v>
      </x:c>
      <x:c r="D23" s="7" t="n">
        <x:f>B23-C23</x:f>
        <x:v>19900</x:v>
      </x:c>
      <x:c r="E23" s="12" t="n">
        <x:v>127</x:v>
      </x:c>
      <x:c r="F23" s="14" t="n">
        <x:f>E23/10</x:f>
        <x:v>12.7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13200</x:v>
      </x:c>
      <x:c r="C25" s="7" t="n">
        <x:v>0</x:v>
      </x:c>
      <x:c r="D25" s="7" t="n">
        <x:f>B25-C25</x:f>
        <x:v>13200</x:v>
      </x:c>
      <x:c r="E25" s="12" t="n">
        <x:v>83</x:v>
      </x:c>
      <x:c r="F25" s="14" t="n">
        <x:f>E25/10</x:f>
        <x:v>8.3</x:v>
      </x:c>
    </x:row>
    <x:row r="26" ht="25" customHeight="1">
      <x:c r="A26" s="2" t="str">
        <x:v>2026-10-19_Night</x:v>
      </x:c>
      <x:c r="B26" s="7" t="n">
        <x:v>3300</x:v>
      </x:c>
      <x:c r="C26" s="7" t="n">
        <x:v>0</x:v>
      </x:c>
      <x:c r="D26" s="7" t="n">
        <x:f>B26-C26</x:f>
        <x:v>3300</x:v>
      </x:c>
      <x:c r="E26" s="12" t="n">
        <x:v>169</x:v>
      </x:c>
      <x:c r="F26" s="14" t="n">
        <x:f>E26/10</x:f>
        <x:v>16.9</x:v>
      </x:c>
    </x:row>
    <x:row r="27" ht="25" customHeight="1">
      <x:c r="A27" s="2" t="str">
        <x:v>2026-10-20_Night</x:v>
      </x:c>
      <x:c r="B27" s="7" t="n">
        <x:v>34400</x:v>
      </x:c>
      <x:c r="C27" s="7" t="n">
        <x:v>28200</x:v>
      </x:c>
      <x:c r="D27" s="7" t="n">
        <x:f>B27-C27</x:f>
        <x:v>6200</x:v>
      </x:c>
      <x:c r="E27" s="12" t="n">
        <x:v>278</x:v>
      </x:c>
      <x:c r="F27" s="14" t="n">
        <x:f>E27/10</x:f>
        <x:v>27.8</x:v>
      </x:c>
    </x:row>
    <x:row r="28" ht="25" customHeight="1">
      <x:c r="A28" s="2" t="str">
        <x:v>2026-10-21_Night</x:v>
      </x:c>
      <x:c r="B28" s="7" t="n">
        <x:v>12700</x:v>
      </x:c>
      <x:c r="C28" s="7" t="n">
        <x:v>33600</x:v>
      </x:c>
      <x:c r="D28" s="7" t="n">
        <x:f>B28-C28</x:f>
        <x:v>-20900</x:v>
      </x:c>
      <x:c r="E28" s="12" t="n">
        <x:v>119</x:v>
      </x:c>
      <x:c r="F28" s="14" t="n">
        <x:f>E28/10</x:f>
        <x:v>11.9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12800</x:v>
      </x:c>
      <x:c r="C30" s="7" t="n">
        <x:v>27600</x:v>
      </x:c>
      <x:c r="D30" s="7" t="n">
        <x:f>B30-C30</x:f>
        <x:v>-14800</x:v>
      </x:c>
      <x:c r="E30" s="12" t="n">
        <x:v>181</x:v>
      </x:c>
      <x:c r="F30" s="14" t="n">
        <x:f>E30/10</x:f>
        <x:v>18.1</x:v>
      </x:c>
    </x:row>
    <x:row r="31" ht="25" customHeight="1">
      <x:c r="A31" s="2" t="str">
        <x:v>2026-10-26_Night</x:v>
      </x:c>
      <x:c r="B31" s="7" t="n">
        <x:v>0</x:v>
      </x:c>
      <x:c r="C31" s="7" t="n">
        <x:v>0</x:v>
      </x:c>
      <x:c r="D31" s="7" t="n">
        <x:f>B31-C31</x:f>
        <x:v>0</x:v>
      </x:c>
      <x:c r="E31" s="12" t="n">
        <x:v>83</x:v>
      </x:c>
      <x:c r="F31" s="14" t="n">
        <x:f>E31/10</x:f>
        <x:v>8.3</x:v>
      </x:c>
    </x:row>
    <x:row r="32" ht="25" customHeight="1">
      <x:c r="A32" s="2" t="str">
        <x:v>2026-10-27_Night</x:v>
      </x:c>
      <x:c r="B32" s="7" t="n">
        <x:v>0</x:v>
      </x:c>
      <x:c r="C32" s="7" t="n">
        <x:v>120000</x:v>
      </x:c>
      <x:c r="D32" s="7" t="n">
        <x:f>B32-C32</x:f>
        <x:v>-120000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364200</x:v>
      </x:c>
      <x:c r="C33" s="11" t="n">
        <x:f>SUM(C6:C32)</x:f>
        <x:v>623100</x:v>
      </x:c>
      <x:c r="D33" s="11" t="n">
        <x:f>B33-C33</x:f>
        <x:v>-258900</x:v>
      </x:c>
      <x:c r="E33" s="13" t="n">
        <x:f>SUM(E6:E32)</x:f>
        <x:v>2942</x:v>
      </x:c>
      <x:c r="F33" s="15" t="n">
        <x:f>E33/10</x:f>
        <x:v>294.2</x:v>
      </x:c>
    </x:row>
  </x:sheetData>
  <x:mergeCells>
    <x:mergeCell ref="A2:F2"/>
    <x:mergeCell ref="A3:F3"/>
    <x:mergeCell ref="A4:F4"/>
  </x:mergeCells>
  <x:conditionalFormatting sqref="D6:D32">
    <x:cfRule type="cellIs" dxfId="6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c520b809be4e38"/>
  </x:tableParts>
</x:worksheet>
</file>

<file path=xl/worksheets/sheet72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NK225_P168_26　米国前の損益</x:v>
      </x:c>
      <x:c r="B2" s="2"/>
      <x:c r="C2" s="2"/>
      <x:c r="D2" s="2"/>
      <x:c r="E2" s="2"/>
      <x:c r="F2" s="2"/>
    </x:row>
    <x:row r="3" ht="38" customHeight="1">
      <x:c r="A3" s="5" t="str">
        <x:v>中値20円逆行を経た玉だけ早期回収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0</x:v>
      </x:c>
      <x:c r="C7" s="7" t="n">
        <x:v>0</x:v>
      </x:c>
      <x:c r="D7" s="7" t="n">
        <x:f>B7-C7</x:f>
        <x:v>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15000</x:v>
      </x:c>
      <x:c r="C9" s="7" t="n">
        <x:v>0</x:v>
      </x:c>
      <x:c r="D9" s="7" t="n">
        <x:f>B9-C9</x:f>
        <x:v>15000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35000</x:v>
      </x:c>
      <x:c r="C13" s="7" t="n">
        <x:v>0</x:v>
      </x:c>
      <x:c r="D13" s="7" t="n">
        <x:f>B13-C13</x:f>
        <x:v>35000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51000</x:v>
      </x:c>
      <x:c r="C14" s="7" t="n">
        <x:v>0</x:v>
      </x:c>
      <x:c r="D14" s="7" t="n">
        <x:f>B14-C14</x:f>
        <x:v>51000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15000</x:v>
      </x:c>
      <x:c r="C16" s="7" t="n">
        <x:v>0</x:v>
      </x:c>
      <x:c r="D16" s="7" t="n">
        <x:f>B16-C16</x:f>
        <x:v>15000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20000</x:v>
      </x:c>
      <x:c r="C18" s="7" t="n">
        <x:v>5000</x:v>
      </x:c>
      <x:c r="D18" s="7" t="n">
        <x:f>B18-C18</x:f>
        <x:v>15000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5000</x:v>
      </x:c>
      <x:c r="C19" s="7" t="n">
        <x:v>0</x:v>
      </x:c>
      <x:c r="D19" s="7" t="n">
        <x:f>B19-C19</x:f>
        <x:v>5000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20000</x:v>
      </x:c>
      <x:c r="C20" s="7" t="n">
        <x:v>0</x:v>
      </x:c>
      <x:c r="D20" s="7" t="n">
        <x:f>B20-C20</x:f>
        <x:v>20000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0</x:v>
      </x:c>
      <x:c r="C22" s="7" t="n">
        <x:v>0</x:v>
      </x:c>
      <x:c r="D22" s="7" t="n">
        <x:f>B22-C22</x:f>
        <x:v>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15000</x:v>
      </x:c>
      <x:c r="C23" s="7" t="n">
        <x:v>0</x:v>
      </x:c>
      <x:c r="D23" s="7" t="n">
        <x:f>B23-C23</x:f>
        <x:v>15000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0</x:v>
      </x:c>
      <x:c r="C25" s="7" t="n">
        <x:v>0</x:v>
      </x:c>
      <x:c r="D25" s="7" t="n">
        <x:f>B25-C25</x:f>
        <x:v>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0</x:v>
      </x:c>
      <x:c r="C26" s="7" t="n">
        <x:v>0</x:v>
      </x:c>
      <x:c r="D26" s="7" t="n">
        <x:f>B26-C26</x:f>
        <x:v>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41000</x:v>
      </x:c>
      <x:c r="C27" s="7" t="n">
        <x:v>0</x:v>
      </x:c>
      <x:c r="D27" s="7" t="n">
        <x:f>B27-C27</x:f>
        <x:v>41000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15000</x:v>
      </x:c>
      <x:c r="C28" s="7" t="n">
        <x:v>0</x:v>
      </x:c>
      <x:c r="D28" s="7" t="n">
        <x:f>B28-C28</x:f>
        <x:v>15000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10000</x:v>
      </x:c>
      <x:c r="C30" s="7" t="n">
        <x:v>5000</x:v>
      </x:c>
      <x:c r="D30" s="7" t="n">
        <x:f>B30-C30</x:f>
        <x:v>5000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5000</x:v>
      </x:c>
      <x:c r="C31" s="7" t="n">
        <x:v>0</x:v>
      </x:c>
      <x:c r="D31" s="7" t="n">
        <x:f>B31-C31</x:f>
        <x:v>5000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5000</x:v>
      </x:c>
      <x:c r="C32" s="7" t="n">
        <x:v>0</x:v>
      </x:c>
      <x:c r="D32" s="7" t="n">
        <x:f>B32-C32</x:f>
        <x:v>5000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252000</x:v>
      </x:c>
      <x:c r="C33" s="11" t="n">
        <x:f>SUM(C6:C32)</x:f>
        <x:v>10000</x:v>
      </x:c>
      <x:c r="D33" s="11" t="n">
        <x:f>B33-C33</x:f>
        <x:v>242000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7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849acbd0074403a"/>
  </x:tableParts>
</x:worksheet>
</file>

<file path=xl/worksheets/sheet73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NK225_P168_27　米国前の損益</x:v>
      </x:c>
      <x:c r="B2" s="2"/>
      <x:c r="C2" s="2"/>
      <x:c r="D2" s="2"/>
      <x:c r="E2" s="2"/>
      <x:c r="F2" s="2"/>
    </x:row>
    <x:row r="3" ht="38" customHeight="1">
      <x:c r="A3" s="5" t="str">
        <x:v>逆行後の回収・240円猶予・方向再判断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11600</x:v>
      </x:c>
      <x:c r="C7" s="7" t="n">
        <x:v>0</x:v>
      </x:c>
      <x:c r="D7" s="7" t="n">
        <x:f>B7-C7</x:f>
        <x:v>11600</x:v>
      </x:c>
      <x:c r="E7" s="12" t="n">
        <x:v>155</x:v>
      </x:c>
      <x:c r="F7" s="14" t="n">
        <x:f>E7/10</x:f>
        <x:v>15.5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18300</x:v>
      </x:c>
      <x:c r="C9" s="7" t="n">
        <x:v>22000</x:v>
      </x:c>
      <x:c r="D9" s="7" t="n">
        <x:f>B9-C9</x:f>
        <x:v>-3700</x:v>
      </x:c>
      <x:c r="E9" s="12" t="n">
        <x:v>155</x:v>
      </x:c>
      <x:c r="F9" s="14" t="n">
        <x:f>E9/10</x:f>
        <x:v>15.5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44800</x:v>
      </x:c>
      <x:c r="C13" s="7" t="n">
        <x:v>2200</x:v>
      </x:c>
      <x:c r="D13" s="7" t="n">
        <x:f>B13-C13</x:f>
        <x:v>42600</x:v>
      </x:c>
      <x:c r="E13" s="12" t="n">
        <x:v>219</x:v>
      </x:c>
      <x:c r="F13" s="14" t="n">
        <x:f>E13/10</x:f>
        <x:v>21.9</x:v>
      </x:c>
    </x:row>
    <x:row r="14" ht="25" customHeight="1">
      <x:c r="A14" s="2" t="str">
        <x:v>2026-10-01_Night</x:v>
      </x:c>
      <x:c r="B14" s="7" t="n">
        <x:v>84500</x:v>
      </x:c>
      <x:c r="C14" s="7" t="n">
        <x:v>9200</x:v>
      </x:c>
      <x:c r="D14" s="7" t="n">
        <x:f>B14-C14</x:f>
        <x:v>75300</x:v>
      </x:c>
      <x:c r="E14" s="12" t="n">
        <x:v>285</x:v>
      </x:c>
      <x:c r="F14" s="14" t="n">
        <x:f>E14/10</x:f>
        <x:v>28.5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15000</x:v>
      </x:c>
      <x:c r="C16" s="7" t="n">
        <x:v>0</x:v>
      </x:c>
      <x:c r="D16" s="7" t="n">
        <x:f>B16-C16</x:f>
        <x:v>15000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20000</x:v>
      </x:c>
      <x:c r="C18" s="7" t="n">
        <x:v>23000</x:v>
      </x:c>
      <x:c r="D18" s="7" t="n">
        <x:f>B18-C18</x:f>
        <x:v>-3000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5000</x:v>
      </x:c>
      <x:c r="C19" s="7" t="n">
        <x:v>0</x:v>
      </x:c>
      <x:c r="D19" s="7" t="n">
        <x:f>B19-C19</x:f>
        <x:v>5000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66200</x:v>
      </x:c>
      <x:c r="C20" s="7" t="n">
        <x:v>0</x:v>
      </x:c>
      <x:c r="D20" s="7" t="n">
        <x:f>B20-C20</x:f>
        <x:v>66200</x:v>
      </x:c>
      <x:c r="E20" s="12" t="n">
        <x:v>166</x:v>
      </x:c>
      <x:c r="F20" s="14" t="n">
        <x:f>E20/10</x:f>
        <x:v>16.6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55600</x:v>
      </x:c>
      <x:c r="C22" s="7" t="n">
        <x:v>0</x:v>
      </x:c>
      <x:c r="D22" s="7" t="n">
        <x:f>B22-C22</x:f>
        <x:v>55600</x:v>
      </x:c>
      <x:c r="E22" s="12" t="n">
        <x:v>155</x:v>
      </x:c>
      <x:c r="F22" s="14" t="n">
        <x:f>E22/10</x:f>
        <x:v>15.5</x:v>
      </x:c>
    </x:row>
    <x:row r="23" ht="25" customHeight="1">
      <x:c r="A23" s="2" t="str">
        <x:v>2026-10-14_Night</x:v>
      </x:c>
      <x:c r="B23" s="7" t="n">
        <x:v>15000</x:v>
      </x:c>
      <x:c r="C23" s="7" t="n">
        <x:v>0</x:v>
      </x:c>
      <x:c r="D23" s="7" t="n">
        <x:f>B23-C23</x:f>
        <x:v>15000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6600</x:v>
      </x:c>
      <x:c r="C25" s="7" t="n">
        <x:v>0</x:v>
      </x:c>
      <x:c r="D25" s="7" t="n">
        <x:f>B25-C25</x:f>
        <x:v>6600</x:v>
      </x:c>
      <x:c r="E25" s="12" t="n">
        <x:v>83</x:v>
      </x:c>
      <x:c r="F25" s="14" t="n">
        <x:f>E25/10</x:f>
        <x:v>8.3</x:v>
      </x:c>
    </x:row>
    <x:row r="26" ht="25" customHeight="1">
      <x:c r="A26" s="2" t="str">
        <x:v>2026-10-19_Night</x:v>
      </x:c>
      <x:c r="B26" s="7" t="n">
        <x:v>3300</x:v>
      </x:c>
      <x:c r="C26" s="7" t="n">
        <x:v>0</x:v>
      </x:c>
      <x:c r="D26" s="7" t="n">
        <x:f>B26-C26</x:f>
        <x:v>3300</x:v>
      </x:c>
      <x:c r="E26" s="12" t="n">
        <x:v>169</x:v>
      </x:c>
      <x:c r="F26" s="14" t="n">
        <x:f>E26/10</x:f>
        <x:v>16.9</x:v>
      </x:c>
    </x:row>
    <x:row r="27" ht="25" customHeight="1">
      <x:c r="A27" s="2" t="str">
        <x:v>2026-10-20_Night</x:v>
      </x:c>
      <x:c r="B27" s="7" t="n">
        <x:v>45600</x:v>
      </x:c>
      <x:c r="C27" s="7" t="n">
        <x:v>27800</x:v>
      </x:c>
      <x:c r="D27" s="7" t="n">
        <x:f>B27-C27</x:f>
        <x:v>17800</x:v>
      </x:c>
      <x:c r="E27" s="12" t="n">
        <x:v>195</x:v>
      </x:c>
      <x:c r="F27" s="14" t="n">
        <x:f>E27/10</x:f>
        <x:v>19.5</x:v>
      </x:c>
    </x:row>
    <x:row r="28" ht="25" customHeight="1">
      <x:c r="A28" s="2" t="str">
        <x:v>2026-10-21_Night</x:v>
      </x:c>
      <x:c r="B28" s="7" t="n">
        <x:v>15000</x:v>
      </x:c>
      <x:c r="C28" s="7" t="n">
        <x:v>0</x:v>
      </x:c>
      <x:c r="D28" s="7" t="n">
        <x:f>B28-C28</x:f>
        <x:v>15000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132100</x:v>
      </x:c>
      <x:c r="C30" s="7" t="n">
        <x:v>24000</x:v>
      </x:c>
      <x:c r="D30" s="7" t="n">
        <x:f>B30-C30</x:f>
        <x:v>108100</x:v>
      </x:c>
      <x:c r="E30" s="12" t="n">
        <x:v>173</x:v>
      </x:c>
      <x:c r="F30" s="14" t="n">
        <x:f>E30/10</x:f>
        <x:v>17.3</x:v>
      </x:c>
    </x:row>
    <x:row r="31" ht="25" customHeight="1">
      <x:c r="A31" s="2" t="str">
        <x:v>2026-10-26_Night</x:v>
      </x:c>
      <x:c r="B31" s="7" t="n">
        <x:v>21400</x:v>
      </x:c>
      <x:c r="C31" s="7" t="n">
        <x:v>0</x:v>
      </x:c>
      <x:c r="D31" s="7" t="n">
        <x:f>B31-C31</x:f>
        <x:v>21400</x:v>
      </x:c>
      <x:c r="E31" s="12" t="n">
        <x:v>119</x:v>
      </x:c>
      <x:c r="F31" s="14" t="n">
        <x:f>E31/10</x:f>
        <x:v>11.9</x:v>
      </x:c>
    </x:row>
    <x:row r="32" ht="25" customHeight="1">
      <x:c r="A32" s="2" t="str">
        <x:v>2026-10-27_Night</x:v>
      </x:c>
      <x:c r="B32" s="7" t="n">
        <x:v>0</x:v>
      </x:c>
      <x:c r="C32" s="7" t="n">
        <x:v>120000</x:v>
      </x:c>
      <x:c r="D32" s="7" t="n">
        <x:f>B32-C32</x:f>
        <x:v>-120000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560000</x:v>
      </x:c>
      <x:c r="C33" s="11" t="n">
        <x:f>SUM(C6:C32)</x:f>
        <x:v>228200</x:v>
      </x:c>
      <x:c r="D33" s="11" t="n">
        <x:f>B33-C33</x:f>
        <x:v>331800</x:v>
      </x:c>
      <x:c r="E33" s="13" t="n">
        <x:f>SUM(E6:E32)</x:f>
        <x:v>2174</x:v>
      </x:c>
      <x:c r="F33" s="15" t="n">
        <x:f>E33/10</x:f>
        <x:v>217.4</x:v>
      </x:c>
    </x:row>
  </x:sheetData>
  <x:mergeCells>
    <x:mergeCell ref="A2:F2"/>
    <x:mergeCell ref="A3:F3"/>
    <x:mergeCell ref="A4:F4"/>
  </x:mergeCells>
  <x:conditionalFormatting sqref="D6:D32">
    <x:cfRule type="cellIs" dxfId="7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4a8b5c1766a4d2d"/>
  </x:tableParts>
</x:worksheet>
</file>

<file path=xl/worksheets/sheet74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NK225_P168B_01　米国前の損益</x:v>
      </x:c>
      <x:c r="B2" s="2"/>
      <x:c r="C2" s="2"/>
      <x:c r="D2" s="2"/>
      <x:c r="E2" s="2"/>
      <x:c r="F2" s="2"/>
    </x:row>
    <x:row r="3" ht="38" customHeight="1">
      <x:c r="A3" s="5" t="str">
        <x:v>20円順行後は10円利益の床だけを維持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5000</x:v>
      </x:c>
      <x:c r="C7" s="7" t="n">
        <x:v>0</x:v>
      </x:c>
      <x:c r="D7" s="7" t="n">
        <x:f>B7-C7</x:f>
        <x:v>5000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10000</x:v>
      </x:c>
      <x:c r="C9" s="7" t="n">
        <x:v>0</x:v>
      </x:c>
      <x:c r="D9" s="7" t="n">
        <x:f>B9-C9</x:f>
        <x:v>10000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35000</x:v>
      </x:c>
      <x:c r="C13" s="7" t="n">
        <x:v>0</x:v>
      </x:c>
      <x:c r="D13" s="7" t="n">
        <x:f>B13-C13</x:f>
        <x:v>35000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34000</x:v>
      </x:c>
      <x:c r="C14" s="7" t="n">
        <x:v>0</x:v>
      </x:c>
      <x:c r="D14" s="7" t="n">
        <x:f>B14-C14</x:f>
        <x:v>34000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15000</x:v>
      </x:c>
      <x:c r="C16" s="7" t="n">
        <x:v>0</x:v>
      </x:c>
      <x:c r="D16" s="7" t="n">
        <x:f>B16-C16</x:f>
        <x:v>15000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11000</x:v>
      </x:c>
      <x:c r="C18" s="7" t="n">
        <x:v>5000</x:v>
      </x:c>
      <x:c r="D18" s="7" t="n">
        <x:f>B18-C18</x:f>
        <x:v>6000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1000</x:v>
      </x:c>
      <x:c r="C19" s="7" t="n">
        <x:v>0</x:v>
      </x:c>
      <x:c r="D19" s="7" t="n">
        <x:f>B19-C19</x:f>
        <x:v>1000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15000</x:v>
      </x:c>
      <x:c r="C20" s="7" t="n">
        <x:v>0</x:v>
      </x:c>
      <x:c r="D20" s="7" t="n">
        <x:f>B20-C20</x:f>
        <x:v>15000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10000</x:v>
      </x:c>
      <x:c r="C22" s="7" t="n">
        <x:v>0</x:v>
      </x:c>
      <x:c r="D22" s="7" t="n">
        <x:f>B22-C22</x:f>
        <x:v>10000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5000</x:v>
      </x:c>
      <x:c r="C23" s="7" t="n">
        <x:v>0</x:v>
      </x:c>
      <x:c r="D23" s="7" t="n">
        <x:f>B23-C23</x:f>
        <x:v>5000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5000</x:v>
      </x:c>
      <x:c r="C25" s="7" t="n">
        <x:v>0</x:v>
      </x:c>
      <x:c r="D25" s="7" t="n">
        <x:f>B25-C25</x:f>
        <x:v>5000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15000</x:v>
      </x:c>
      <x:c r="C26" s="7" t="n">
        <x:v>0</x:v>
      </x:c>
      <x:c r="D26" s="7" t="n">
        <x:f>B26-C26</x:f>
        <x:v>15000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17000</x:v>
      </x:c>
      <x:c r="C27" s="7" t="n">
        <x:v>0</x:v>
      </x:c>
      <x:c r="D27" s="7" t="n">
        <x:f>B27-C27</x:f>
        <x:v>17000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5000</x:v>
      </x:c>
      <x:c r="C28" s="7" t="n">
        <x:v>0</x:v>
      </x:c>
      <x:c r="D28" s="7" t="n">
        <x:f>B28-C28</x:f>
        <x:v>5000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12000</x:v>
      </x:c>
      <x:c r="C30" s="7" t="n">
        <x:v>5000</x:v>
      </x:c>
      <x:c r="D30" s="7" t="n">
        <x:f>B30-C30</x:f>
        <x:v>7000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5000</x:v>
      </x:c>
      <x:c r="C31" s="7" t="n">
        <x:v>0</x:v>
      </x:c>
      <x:c r="D31" s="7" t="n">
        <x:f>B31-C31</x:f>
        <x:v>5000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5000</x:v>
      </x:c>
      <x:c r="C32" s="7" t="n">
        <x:v>0</x:v>
      </x:c>
      <x:c r="D32" s="7" t="n">
        <x:f>B32-C32</x:f>
        <x:v>5000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205000</x:v>
      </x:c>
      <x:c r="C33" s="11" t="n">
        <x:f>SUM(C6:C32)</x:f>
        <x:v>10000</x:v>
      </x:c>
      <x:c r="D33" s="11" t="n">
        <x:f>B33-C33</x:f>
        <x:v>195000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7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cf320b5f84409a"/>
  </x:tableParts>
</x:worksheet>
</file>

<file path=xl/worksheets/sheet75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NK225_P168B_02　米国前の損益</x:v>
      </x:c>
      <x:c r="B2" s="2"/>
      <x:c r="C2" s="2"/>
      <x:c r="D2" s="2"/>
      <x:c r="E2" s="2"/>
      <x:c r="F2" s="2"/>
    </x:row>
    <x:row r="3" ht="38" customHeight="1">
      <x:c r="A3" s="5" t="str">
        <x:v>20円から最高利益の半分を守る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5000</x:v>
      </x:c>
      <x:c r="C7" s="7" t="n">
        <x:v>0</x:v>
      </x:c>
      <x:c r="D7" s="7" t="n">
        <x:f>B7-C7</x:f>
        <x:v>5000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10000</x:v>
      </x:c>
      <x:c r="C9" s="7" t="n">
        <x:v>0</x:v>
      </x:c>
      <x:c r="D9" s="7" t="n">
        <x:f>B9-C9</x:f>
        <x:v>10000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35000</x:v>
      </x:c>
      <x:c r="C13" s="7" t="n">
        <x:v>0</x:v>
      </x:c>
      <x:c r="D13" s="7" t="n">
        <x:f>B13-C13</x:f>
        <x:v>35000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34000</x:v>
      </x:c>
      <x:c r="C14" s="7" t="n">
        <x:v>0</x:v>
      </x:c>
      <x:c r="D14" s="7" t="n">
        <x:f>B14-C14</x:f>
        <x:v>34000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15000</x:v>
      </x:c>
      <x:c r="C16" s="7" t="n">
        <x:v>0</x:v>
      </x:c>
      <x:c r="D16" s="7" t="n">
        <x:f>B16-C16</x:f>
        <x:v>15000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11000</x:v>
      </x:c>
      <x:c r="C18" s="7" t="n">
        <x:v>5000</x:v>
      </x:c>
      <x:c r="D18" s="7" t="n">
        <x:f>B18-C18</x:f>
        <x:v>6000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1000</x:v>
      </x:c>
      <x:c r="C19" s="7" t="n">
        <x:v>0</x:v>
      </x:c>
      <x:c r="D19" s="7" t="n">
        <x:f>B19-C19</x:f>
        <x:v>1000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15000</x:v>
      </x:c>
      <x:c r="C20" s="7" t="n">
        <x:v>0</x:v>
      </x:c>
      <x:c r="D20" s="7" t="n">
        <x:f>B20-C20</x:f>
        <x:v>15000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10000</x:v>
      </x:c>
      <x:c r="C22" s="7" t="n">
        <x:v>0</x:v>
      </x:c>
      <x:c r="D22" s="7" t="n">
        <x:f>B22-C22</x:f>
        <x:v>10000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5000</x:v>
      </x:c>
      <x:c r="C23" s="7" t="n">
        <x:v>0</x:v>
      </x:c>
      <x:c r="D23" s="7" t="n">
        <x:f>B23-C23</x:f>
        <x:v>5000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5000</x:v>
      </x:c>
      <x:c r="C25" s="7" t="n">
        <x:v>0</x:v>
      </x:c>
      <x:c r="D25" s="7" t="n">
        <x:f>B25-C25</x:f>
        <x:v>5000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15000</x:v>
      </x:c>
      <x:c r="C26" s="7" t="n">
        <x:v>0</x:v>
      </x:c>
      <x:c r="D26" s="7" t="n">
        <x:f>B26-C26</x:f>
        <x:v>15000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17000</x:v>
      </x:c>
      <x:c r="C27" s="7" t="n">
        <x:v>0</x:v>
      </x:c>
      <x:c r="D27" s="7" t="n">
        <x:f>B27-C27</x:f>
        <x:v>17000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5000</x:v>
      </x:c>
      <x:c r="C28" s="7" t="n">
        <x:v>0</x:v>
      </x:c>
      <x:c r="D28" s="7" t="n">
        <x:f>B28-C28</x:f>
        <x:v>5000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12000</x:v>
      </x:c>
      <x:c r="C30" s="7" t="n">
        <x:v>5000</x:v>
      </x:c>
      <x:c r="D30" s="7" t="n">
        <x:f>B30-C30</x:f>
        <x:v>7000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5000</x:v>
      </x:c>
      <x:c r="C31" s="7" t="n">
        <x:v>0</x:v>
      </x:c>
      <x:c r="D31" s="7" t="n">
        <x:f>B31-C31</x:f>
        <x:v>5000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5000</x:v>
      </x:c>
      <x:c r="C32" s="7" t="n">
        <x:v>0</x:v>
      </x:c>
      <x:c r="D32" s="7" t="n">
        <x:f>B32-C32</x:f>
        <x:v>5000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205000</x:v>
      </x:c>
      <x:c r="C33" s="11" t="n">
        <x:f>SUM(C6:C32)</x:f>
        <x:v>10000</x:v>
      </x:c>
      <x:c r="D33" s="11" t="n">
        <x:f>B33-C33</x:f>
        <x:v>195000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7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c522e446404157"/>
  </x:tableParts>
</x:worksheet>
</file>

<file path=xl/worksheets/sheet76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NK225_P168B_03　米国前の損益</x:v>
      </x:c>
      <x:c r="B2" s="2"/>
      <x:c r="C2" s="2"/>
      <x:c r="D2" s="2"/>
      <x:c r="E2" s="2"/>
      <x:c r="F2" s="2"/>
    </x:row>
    <x:row r="3" ht="38" customHeight="1">
      <x:c r="A3" s="5" t="str">
        <x:v>20円から最高利益の75%を守る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5000</x:v>
      </x:c>
      <x:c r="C7" s="7" t="n">
        <x:v>0</x:v>
      </x:c>
      <x:c r="D7" s="7" t="n">
        <x:f>B7-C7</x:f>
        <x:v>5000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10000</x:v>
      </x:c>
      <x:c r="C9" s="7" t="n">
        <x:v>0</x:v>
      </x:c>
      <x:c r="D9" s="7" t="n">
        <x:f>B9-C9</x:f>
        <x:v>10000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35000</x:v>
      </x:c>
      <x:c r="C13" s="7" t="n">
        <x:v>0</x:v>
      </x:c>
      <x:c r="D13" s="7" t="n">
        <x:f>B13-C13</x:f>
        <x:v>35000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24000</x:v>
      </x:c>
      <x:c r="C14" s="7" t="n">
        <x:v>0</x:v>
      </x:c>
      <x:c r="D14" s="7" t="n">
        <x:f>B14-C14</x:f>
        <x:v>24000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10000</x:v>
      </x:c>
      <x:c r="C16" s="7" t="n">
        <x:v>0</x:v>
      </x:c>
      <x:c r="D16" s="7" t="n">
        <x:f>B16-C16</x:f>
        <x:v>10000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11000</x:v>
      </x:c>
      <x:c r="C18" s="7" t="n">
        <x:v>5000</x:v>
      </x:c>
      <x:c r="D18" s="7" t="n">
        <x:f>B18-C18</x:f>
        <x:v>6000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1000</x:v>
      </x:c>
      <x:c r="C19" s="7" t="n">
        <x:v>0</x:v>
      </x:c>
      <x:c r="D19" s="7" t="n">
        <x:f>B19-C19</x:f>
        <x:v>1000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15000</x:v>
      </x:c>
      <x:c r="C20" s="7" t="n">
        <x:v>0</x:v>
      </x:c>
      <x:c r="D20" s="7" t="n">
        <x:f>B20-C20</x:f>
        <x:v>15000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10000</x:v>
      </x:c>
      <x:c r="C22" s="7" t="n">
        <x:v>0</x:v>
      </x:c>
      <x:c r="D22" s="7" t="n">
        <x:f>B22-C22</x:f>
        <x:v>10000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5000</x:v>
      </x:c>
      <x:c r="C23" s="7" t="n">
        <x:v>0</x:v>
      </x:c>
      <x:c r="D23" s="7" t="n">
        <x:f>B23-C23</x:f>
        <x:v>5000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5000</x:v>
      </x:c>
      <x:c r="C25" s="7" t="n">
        <x:v>0</x:v>
      </x:c>
      <x:c r="D25" s="7" t="n">
        <x:f>B25-C25</x:f>
        <x:v>5000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15000</x:v>
      </x:c>
      <x:c r="C26" s="7" t="n">
        <x:v>0</x:v>
      </x:c>
      <x:c r="D26" s="7" t="n">
        <x:f>B26-C26</x:f>
        <x:v>15000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17000</x:v>
      </x:c>
      <x:c r="C27" s="7" t="n">
        <x:v>0</x:v>
      </x:c>
      <x:c r="D27" s="7" t="n">
        <x:f>B27-C27</x:f>
        <x:v>17000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10000</x:v>
      </x:c>
      <x:c r="C28" s="7" t="n">
        <x:v>0</x:v>
      </x:c>
      <x:c r="D28" s="7" t="n">
        <x:f>B28-C28</x:f>
        <x:v>10000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13000</x:v>
      </x:c>
      <x:c r="C30" s="7" t="n">
        <x:v>5000</x:v>
      </x:c>
      <x:c r="D30" s="7" t="n">
        <x:f>B30-C30</x:f>
        <x:v>8000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5000</x:v>
      </x:c>
      <x:c r="C31" s="7" t="n">
        <x:v>0</x:v>
      </x:c>
      <x:c r="D31" s="7" t="n">
        <x:f>B31-C31</x:f>
        <x:v>5000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5000</x:v>
      </x:c>
      <x:c r="C32" s="7" t="n">
        <x:v>0</x:v>
      </x:c>
      <x:c r="D32" s="7" t="n">
        <x:f>B32-C32</x:f>
        <x:v>5000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196000</x:v>
      </x:c>
      <x:c r="C33" s="11" t="n">
        <x:f>SUM(C6:C32)</x:f>
        <x:v>10000</x:v>
      </x:c>
      <x:c r="D33" s="11" t="n">
        <x:f>B33-C33</x:f>
        <x:v>186000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7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7b674a585894d69"/>
  </x:tableParts>
</x:worksheet>
</file>

<file path=xl/worksheets/sheet77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NK225_P168B_04　米国前の損益</x:v>
      </x:c>
      <x:c r="B2" s="2"/>
      <x:c r="C2" s="2"/>
      <x:c r="D2" s="2"/>
      <x:c r="E2" s="2"/>
      <x:c r="F2" s="2"/>
    </x:row>
    <x:row r="3" ht="38" customHeight="1">
      <x:c r="A3" s="5" t="str">
        <x:v>大枚数ほど最高利益の保護割合を上げる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5000</x:v>
      </x:c>
      <x:c r="C7" s="7" t="n">
        <x:v>0</x:v>
      </x:c>
      <x:c r="D7" s="7" t="n">
        <x:f>B7-C7</x:f>
        <x:v>5000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10000</x:v>
      </x:c>
      <x:c r="C9" s="7" t="n">
        <x:v>0</x:v>
      </x:c>
      <x:c r="D9" s="7" t="n">
        <x:f>B9-C9</x:f>
        <x:v>10000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35000</x:v>
      </x:c>
      <x:c r="C13" s="7" t="n">
        <x:v>0</x:v>
      </x:c>
      <x:c r="D13" s="7" t="n">
        <x:f>B13-C13</x:f>
        <x:v>35000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34000</x:v>
      </x:c>
      <x:c r="C14" s="7" t="n">
        <x:v>0</x:v>
      </x:c>
      <x:c r="D14" s="7" t="n">
        <x:f>B14-C14</x:f>
        <x:v>34000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15000</x:v>
      </x:c>
      <x:c r="C16" s="7" t="n">
        <x:v>0</x:v>
      </x:c>
      <x:c r="D16" s="7" t="n">
        <x:f>B16-C16</x:f>
        <x:v>15000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11000</x:v>
      </x:c>
      <x:c r="C18" s="7" t="n">
        <x:v>5000</x:v>
      </x:c>
      <x:c r="D18" s="7" t="n">
        <x:f>B18-C18</x:f>
        <x:v>6000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1000</x:v>
      </x:c>
      <x:c r="C19" s="7" t="n">
        <x:v>0</x:v>
      </x:c>
      <x:c r="D19" s="7" t="n">
        <x:f>B19-C19</x:f>
        <x:v>1000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15000</x:v>
      </x:c>
      <x:c r="C20" s="7" t="n">
        <x:v>0</x:v>
      </x:c>
      <x:c r="D20" s="7" t="n">
        <x:f>B20-C20</x:f>
        <x:v>15000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10000</x:v>
      </x:c>
      <x:c r="C22" s="7" t="n">
        <x:v>0</x:v>
      </x:c>
      <x:c r="D22" s="7" t="n">
        <x:f>B22-C22</x:f>
        <x:v>10000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5000</x:v>
      </x:c>
      <x:c r="C23" s="7" t="n">
        <x:v>0</x:v>
      </x:c>
      <x:c r="D23" s="7" t="n">
        <x:f>B23-C23</x:f>
        <x:v>5000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5000</x:v>
      </x:c>
      <x:c r="C25" s="7" t="n">
        <x:v>0</x:v>
      </x:c>
      <x:c r="D25" s="7" t="n">
        <x:f>B25-C25</x:f>
        <x:v>5000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15000</x:v>
      </x:c>
      <x:c r="C26" s="7" t="n">
        <x:v>0</x:v>
      </x:c>
      <x:c r="D26" s="7" t="n">
        <x:f>B26-C26</x:f>
        <x:v>15000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17000</x:v>
      </x:c>
      <x:c r="C27" s="7" t="n">
        <x:v>0</x:v>
      </x:c>
      <x:c r="D27" s="7" t="n">
        <x:f>B27-C27</x:f>
        <x:v>17000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5000</x:v>
      </x:c>
      <x:c r="C28" s="7" t="n">
        <x:v>0</x:v>
      </x:c>
      <x:c r="D28" s="7" t="n">
        <x:f>B28-C28</x:f>
        <x:v>5000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12000</x:v>
      </x:c>
      <x:c r="C30" s="7" t="n">
        <x:v>5000</x:v>
      </x:c>
      <x:c r="D30" s="7" t="n">
        <x:f>B30-C30</x:f>
        <x:v>7000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5000</x:v>
      </x:c>
      <x:c r="C31" s="7" t="n">
        <x:v>0</x:v>
      </x:c>
      <x:c r="D31" s="7" t="n">
        <x:f>B31-C31</x:f>
        <x:v>5000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5000</x:v>
      </x:c>
      <x:c r="C32" s="7" t="n">
        <x:v>0</x:v>
      </x:c>
      <x:c r="D32" s="7" t="n">
        <x:f>B32-C32</x:f>
        <x:v>5000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205000</x:v>
      </x:c>
      <x:c r="C33" s="11" t="n">
        <x:f>SUM(C6:C32)</x:f>
        <x:v>10000</x:v>
      </x:c>
      <x:c r="D33" s="11" t="n">
        <x:f>B33-C33</x:f>
        <x:v>195000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7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430a2412b4f41d3"/>
  </x:tableParts>
</x:worksheet>
</file>

<file path=xl/worksheets/sheet78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NK225_P168B_05　米国前の損益</x:v>
      </x:c>
      <x:c r="B2" s="2"/>
      <x:c r="C2" s="2"/>
      <x:c r="D2" s="2"/>
      <x:c r="E2" s="2"/>
      <x:c r="F2" s="2"/>
    </x:row>
    <x:row r="3" ht="38" customHeight="1">
      <x:c r="A3" s="5" t="str">
        <x:v>半量を20円で回収し残りは10円床で伸ばす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7500</x:v>
      </x:c>
      <x:c r="C7" s="7" t="n">
        <x:v>0</x:v>
      </x:c>
      <x:c r="D7" s="7" t="n">
        <x:f>B7-C7</x:f>
        <x:v>7500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12500</x:v>
      </x:c>
      <x:c r="C9" s="7" t="n">
        <x:v>0</x:v>
      </x:c>
      <x:c r="D9" s="7" t="n">
        <x:f>B9-C9</x:f>
        <x:v>12500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27500</x:v>
      </x:c>
      <x:c r="C13" s="7" t="n">
        <x:v>0</x:v>
      </x:c>
      <x:c r="D13" s="7" t="n">
        <x:f>B13-C13</x:f>
        <x:v>27500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36000</x:v>
      </x:c>
      <x:c r="C14" s="7" t="n">
        <x:v>0</x:v>
      </x:c>
      <x:c r="D14" s="7" t="n">
        <x:f>B14-C14</x:f>
        <x:v>36000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12500</x:v>
      </x:c>
      <x:c r="C16" s="7" t="n">
        <x:v>0</x:v>
      </x:c>
      <x:c r="D16" s="7" t="n">
        <x:f>B16-C16</x:f>
        <x:v>12500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11500</x:v>
      </x:c>
      <x:c r="C18" s="7" t="n">
        <x:v>5000</x:v>
      </x:c>
      <x:c r="D18" s="7" t="n">
        <x:f>B18-C18</x:f>
        <x:v>6500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1500</x:v>
      </x:c>
      <x:c r="C19" s="7" t="n">
        <x:v>0</x:v>
      </x:c>
      <x:c r="D19" s="7" t="n">
        <x:f>B19-C19</x:f>
        <x:v>1500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17500</x:v>
      </x:c>
      <x:c r="C20" s="7" t="n">
        <x:v>0</x:v>
      </x:c>
      <x:c r="D20" s="7" t="n">
        <x:f>B20-C20</x:f>
        <x:v>17500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10000</x:v>
      </x:c>
      <x:c r="C22" s="7" t="n">
        <x:v>0</x:v>
      </x:c>
      <x:c r="D22" s="7" t="n">
        <x:f>B22-C22</x:f>
        <x:v>10000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7500</x:v>
      </x:c>
      <x:c r="C23" s="7" t="n">
        <x:v>0</x:v>
      </x:c>
      <x:c r="D23" s="7" t="n">
        <x:f>B23-C23</x:f>
        <x:v>7500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7500</x:v>
      </x:c>
      <x:c r="C25" s="7" t="n">
        <x:v>0</x:v>
      </x:c>
      <x:c r="D25" s="7" t="n">
        <x:f>B25-C25</x:f>
        <x:v>7500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15000</x:v>
      </x:c>
      <x:c r="C26" s="7" t="n">
        <x:v>0</x:v>
      </x:c>
      <x:c r="D26" s="7" t="n">
        <x:f>B26-C26</x:f>
        <x:v>15000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20500</x:v>
      </x:c>
      <x:c r="C27" s="7" t="n">
        <x:v>0</x:v>
      </x:c>
      <x:c r="D27" s="7" t="n">
        <x:f>B27-C27</x:f>
        <x:v>20500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7500</x:v>
      </x:c>
      <x:c r="C28" s="7" t="n">
        <x:v>0</x:v>
      </x:c>
      <x:c r="D28" s="7" t="n">
        <x:f>B28-C28</x:f>
        <x:v>7500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13000</x:v>
      </x:c>
      <x:c r="C30" s="7" t="n">
        <x:v>5000</x:v>
      </x:c>
      <x:c r="D30" s="7" t="n">
        <x:f>B30-C30</x:f>
        <x:v>8000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7500</x:v>
      </x:c>
      <x:c r="C31" s="7" t="n">
        <x:v>0</x:v>
      </x:c>
      <x:c r="D31" s="7" t="n">
        <x:f>B31-C31</x:f>
        <x:v>7500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7500</x:v>
      </x:c>
      <x:c r="C32" s="7" t="n">
        <x:v>0</x:v>
      </x:c>
      <x:c r="D32" s="7" t="n">
        <x:f>B32-C32</x:f>
        <x:v>7500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222500</x:v>
      </x:c>
      <x:c r="C33" s="11" t="n">
        <x:f>SUM(C6:C32)</x:f>
        <x:v>10000</x:v>
      </x:c>
      <x:c r="D33" s="11" t="n">
        <x:f>B33-C33</x:f>
        <x:v>212500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7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4e8dcf41334216"/>
  </x:tableParts>
</x:worksheet>
</file>

<file path=xl/worksheets/sheet79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NK225_P168B_06　米国前の損益</x:v>
      </x:c>
      <x:c r="B2" s="2"/>
      <x:c r="C2" s="2"/>
      <x:c r="D2" s="2"/>
      <x:c r="E2" s="2"/>
      <x:c r="F2" s="2"/>
    </x:row>
    <x:row r="3" ht="38" customHeight="1">
      <x:c r="A3" s="5" t="str">
        <x:v>8割を20円で回収し残りは10円床で伸ばす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9000</x:v>
      </x:c>
      <x:c r="C7" s="7" t="n">
        <x:v>0</x:v>
      </x:c>
      <x:c r="D7" s="7" t="n">
        <x:f>B7-C7</x:f>
        <x:v>9000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14000</x:v>
      </x:c>
      <x:c r="C9" s="7" t="n">
        <x:v>0</x:v>
      </x:c>
      <x:c r="D9" s="7" t="n">
        <x:f>B9-C9</x:f>
        <x:v>14000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23000</x:v>
      </x:c>
      <x:c r="C13" s="7" t="n">
        <x:v>0</x:v>
      </x:c>
      <x:c r="D13" s="7" t="n">
        <x:f>B13-C13</x:f>
        <x:v>23000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37200</x:v>
      </x:c>
      <x:c r="C14" s="7" t="n">
        <x:v>0</x:v>
      </x:c>
      <x:c r="D14" s="7" t="n">
        <x:f>B14-C14</x:f>
        <x:v>37200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11000</x:v>
      </x:c>
      <x:c r="C16" s="7" t="n">
        <x:v>0</x:v>
      </x:c>
      <x:c r="D16" s="7" t="n">
        <x:f>B16-C16</x:f>
        <x:v>11000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11800</x:v>
      </x:c>
      <x:c r="C18" s="7" t="n">
        <x:v>5000</x:v>
      </x:c>
      <x:c r="D18" s="7" t="n">
        <x:f>B18-C18</x:f>
        <x:v>6800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1800</x:v>
      </x:c>
      <x:c r="C19" s="7" t="n">
        <x:v>0</x:v>
      </x:c>
      <x:c r="D19" s="7" t="n">
        <x:f>B19-C19</x:f>
        <x:v>1800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19000</x:v>
      </x:c>
      <x:c r="C20" s="7" t="n">
        <x:v>0</x:v>
      </x:c>
      <x:c r="D20" s="7" t="n">
        <x:f>B20-C20</x:f>
        <x:v>19000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10000</x:v>
      </x:c>
      <x:c r="C22" s="7" t="n">
        <x:v>0</x:v>
      </x:c>
      <x:c r="D22" s="7" t="n">
        <x:f>B22-C22</x:f>
        <x:v>10000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9000</x:v>
      </x:c>
      <x:c r="C23" s="7" t="n">
        <x:v>0</x:v>
      </x:c>
      <x:c r="D23" s="7" t="n">
        <x:f>B23-C23</x:f>
        <x:v>9000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9000</x:v>
      </x:c>
      <x:c r="C25" s="7" t="n">
        <x:v>0</x:v>
      </x:c>
      <x:c r="D25" s="7" t="n">
        <x:f>B25-C25</x:f>
        <x:v>9000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15000</x:v>
      </x:c>
      <x:c r="C26" s="7" t="n">
        <x:v>0</x:v>
      </x:c>
      <x:c r="D26" s="7" t="n">
        <x:f>B26-C26</x:f>
        <x:v>15000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22600</x:v>
      </x:c>
      <x:c r="C27" s="7" t="n">
        <x:v>0</x:v>
      </x:c>
      <x:c r="D27" s="7" t="n">
        <x:f>B27-C27</x:f>
        <x:v>22600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9000</x:v>
      </x:c>
      <x:c r="C28" s="7" t="n">
        <x:v>0</x:v>
      </x:c>
      <x:c r="D28" s="7" t="n">
        <x:f>B28-C28</x:f>
        <x:v>9000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13600</x:v>
      </x:c>
      <x:c r="C30" s="7" t="n">
        <x:v>5000</x:v>
      </x:c>
      <x:c r="D30" s="7" t="n">
        <x:f>B30-C30</x:f>
        <x:v>8600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9000</x:v>
      </x:c>
      <x:c r="C31" s="7" t="n">
        <x:v>0</x:v>
      </x:c>
      <x:c r="D31" s="7" t="n">
        <x:f>B31-C31</x:f>
        <x:v>9000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9000</x:v>
      </x:c>
      <x:c r="C32" s="7" t="n">
        <x:v>0</x:v>
      </x:c>
      <x:c r="D32" s="7" t="n">
        <x:f>B32-C32</x:f>
        <x:v>9000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233000</x:v>
      </x:c>
      <x:c r="C33" s="11" t="n">
        <x:f>SUM(C6:C32)</x:f>
        <x:v>10000</x:v>
      </x:c>
      <x:c r="D33" s="11" t="n">
        <x:f>B33-C33</x:f>
        <x:v>223000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7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67c0be036424a4f"/>
  </x:tableParts>
</x:worksheet>
</file>

<file path=xl/worksheets/sheet80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NK225_P168B_07　米国前の損益</x:v>
      </x:c>
      <x:c r="B2" s="2"/>
      <x:c r="C2" s="2"/>
      <x:c r="D2" s="2"/>
      <x:c r="E2" s="2"/>
      <x:c r="F2" s="2"/>
    </x:row>
    <x:row r="3" ht="38" customHeight="1">
      <x:c r="A3" s="5" t="str">
        <x:v>半量20円回収・残りは最高利益の半分を守る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7500</x:v>
      </x:c>
      <x:c r="C7" s="7" t="n">
        <x:v>0</x:v>
      </x:c>
      <x:c r="D7" s="7" t="n">
        <x:f>B7-C7</x:f>
        <x:v>7500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12500</x:v>
      </x:c>
      <x:c r="C9" s="7" t="n">
        <x:v>0</x:v>
      </x:c>
      <x:c r="D9" s="7" t="n">
        <x:f>B9-C9</x:f>
        <x:v>12500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27500</x:v>
      </x:c>
      <x:c r="C13" s="7" t="n">
        <x:v>0</x:v>
      </x:c>
      <x:c r="D13" s="7" t="n">
        <x:f>B13-C13</x:f>
        <x:v>27500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36000</x:v>
      </x:c>
      <x:c r="C14" s="7" t="n">
        <x:v>0</x:v>
      </x:c>
      <x:c r="D14" s="7" t="n">
        <x:f>B14-C14</x:f>
        <x:v>36000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12500</x:v>
      </x:c>
      <x:c r="C16" s="7" t="n">
        <x:v>0</x:v>
      </x:c>
      <x:c r="D16" s="7" t="n">
        <x:f>B16-C16</x:f>
        <x:v>12500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11500</x:v>
      </x:c>
      <x:c r="C18" s="7" t="n">
        <x:v>5000</x:v>
      </x:c>
      <x:c r="D18" s="7" t="n">
        <x:f>B18-C18</x:f>
        <x:v>6500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1500</x:v>
      </x:c>
      <x:c r="C19" s="7" t="n">
        <x:v>0</x:v>
      </x:c>
      <x:c r="D19" s="7" t="n">
        <x:f>B19-C19</x:f>
        <x:v>1500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17500</x:v>
      </x:c>
      <x:c r="C20" s="7" t="n">
        <x:v>0</x:v>
      </x:c>
      <x:c r="D20" s="7" t="n">
        <x:f>B20-C20</x:f>
        <x:v>17500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10000</x:v>
      </x:c>
      <x:c r="C22" s="7" t="n">
        <x:v>0</x:v>
      </x:c>
      <x:c r="D22" s="7" t="n">
        <x:f>B22-C22</x:f>
        <x:v>10000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7500</x:v>
      </x:c>
      <x:c r="C23" s="7" t="n">
        <x:v>0</x:v>
      </x:c>
      <x:c r="D23" s="7" t="n">
        <x:f>B23-C23</x:f>
        <x:v>7500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7500</x:v>
      </x:c>
      <x:c r="C25" s="7" t="n">
        <x:v>0</x:v>
      </x:c>
      <x:c r="D25" s="7" t="n">
        <x:f>B25-C25</x:f>
        <x:v>7500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15000</x:v>
      </x:c>
      <x:c r="C26" s="7" t="n">
        <x:v>0</x:v>
      </x:c>
      <x:c r="D26" s="7" t="n">
        <x:f>B26-C26</x:f>
        <x:v>15000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20500</x:v>
      </x:c>
      <x:c r="C27" s="7" t="n">
        <x:v>0</x:v>
      </x:c>
      <x:c r="D27" s="7" t="n">
        <x:f>B27-C27</x:f>
        <x:v>20500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7500</x:v>
      </x:c>
      <x:c r="C28" s="7" t="n">
        <x:v>0</x:v>
      </x:c>
      <x:c r="D28" s="7" t="n">
        <x:f>B28-C28</x:f>
        <x:v>7500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13000</x:v>
      </x:c>
      <x:c r="C30" s="7" t="n">
        <x:v>5000</x:v>
      </x:c>
      <x:c r="D30" s="7" t="n">
        <x:f>B30-C30</x:f>
        <x:v>8000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7500</x:v>
      </x:c>
      <x:c r="C31" s="7" t="n">
        <x:v>0</x:v>
      </x:c>
      <x:c r="D31" s="7" t="n">
        <x:f>B31-C31</x:f>
        <x:v>7500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7500</x:v>
      </x:c>
      <x:c r="C32" s="7" t="n">
        <x:v>0</x:v>
      </x:c>
      <x:c r="D32" s="7" t="n">
        <x:f>B32-C32</x:f>
        <x:v>7500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222500</x:v>
      </x:c>
      <x:c r="C33" s="11" t="n">
        <x:f>SUM(C6:C32)</x:f>
        <x:v>10000</x:v>
      </x:c>
      <x:c r="D33" s="11" t="n">
        <x:f>B33-C33</x:f>
        <x:v>212500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7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69e27b486c741ca"/>
  </x:tableParts>
</x:worksheet>
</file>

<file path=xl/worksheets/sheet81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NK225_P168B_08　米国前の損益</x:v>
      </x:c>
      <x:c r="B2" s="2"/>
      <x:c r="C2" s="2"/>
      <x:c r="D2" s="2"/>
      <x:c r="E2" s="2"/>
      <x:c r="F2" s="2"/>
    </x:row>
    <x:row r="3" ht="38" customHeight="1">
      <x:c r="A3" s="5" t="str">
        <x:v>8割20円回収・残りは最高利益の半分を守る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9000</x:v>
      </x:c>
      <x:c r="C7" s="7" t="n">
        <x:v>0</x:v>
      </x:c>
      <x:c r="D7" s="7" t="n">
        <x:f>B7-C7</x:f>
        <x:v>9000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14000</x:v>
      </x:c>
      <x:c r="C9" s="7" t="n">
        <x:v>0</x:v>
      </x:c>
      <x:c r="D9" s="7" t="n">
        <x:f>B9-C9</x:f>
        <x:v>14000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23000</x:v>
      </x:c>
      <x:c r="C13" s="7" t="n">
        <x:v>0</x:v>
      </x:c>
      <x:c r="D13" s="7" t="n">
        <x:f>B13-C13</x:f>
        <x:v>23000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37200</x:v>
      </x:c>
      <x:c r="C14" s="7" t="n">
        <x:v>0</x:v>
      </x:c>
      <x:c r="D14" s="7" t="n">
        <x:f>B14-C14</x:f>
        <x:v>37200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11000</x:v>
      </x:c>
      <x:c r="C16" s="7" t="n">
        <x:v>0</x:v>
      </x:c>
      <x:c r="D16" s="7" t="n">
        <x:f>B16-C16</x:f>
        <x:v>11000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11800</x:v>
      </x:c>
      <x:c r="C18" s="7" t="n">
        <x:v>5000</x:v>
      </x:c>
      <x:c r="D18" s="7" t="n">
        <x:f>B18-C18</x:f>
        <x:v>6800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1800</x:v>
      </x:c>
      <x:c r="C19" s="7" t="n">
        <x:v>0</x:v>
      </x:c>
      <x:c r="D19" s="7" t="n">
        <x:f>B19-C19</x:f>
        <x:v>1800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19000</x:v>
      </x:c>
      <x:c r="C20" s="7" t="n">
        <x:v>0</x:v>
      </x:c>
      <x:c r="D20" s="7" t="n">
        <x:f>B20-C20</x:f>
        <x:v>19000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10000</x:v>
      </x:c>
      <x:c r="C22" s="7" t="n">
        <x:v>0</x:v>
      </x:c>
      <x:c r="D22" s="7" t="n">
        <x:f>B22-C22</x:f>
        <x:v>10000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9000</x:v>
      </x:c>
      <x:c r="C23" s="7" t="n">
        <x:v>0</x:v>
      </x:c>
      <x:c r="D23" s="7" t="n">
        <x:f>B23-C23</x:f>
        <x:v>9000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9000</x:v>
      </x:c>
      <x:c r="C25" s="7" t="n">
        <x:v>0</x:v>
      </x:c>
      <x:c r="D25" s="7" t="n">
        <x:f>B25-C25</x:f>
        <x:v>9000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15000</x:v>
      </x:c>
      <x:c r="C26" s="7" t="n">
        <x:v>0</x:v>
      </x:c>
      <x:c r="D26" s="7" t="n">
        <x:f>B26-C26</x:f>
        <x:v>15000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22600</x:v>
      </x:c>
      <x:c r="C27" s="7" t="n">
        <x:v>0</x:v>
      </x:c>
      <x:c r="D27" s="7" t="n">
        <x:f>B27-C27</x:f>
        <x:v>22600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9000</x:v>
      </x:c>
      <x:c r="C28" s="7" t="n">
        <x:v>0</x:v>
      </x:c>
      <x:c r="D28" s="7" t="n">
        <x:f>B28-C28</x:f>
        <x:v>9000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13600</x:v>
      </x:c>
      <x:c r="C30" s="7" t="n">
        <x:v>5000</x:v>
      </x:c>
      <x:c r="D30" s="7" t="n">
        <x:f>B30-C30</x:f>
        <x:v>8600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9000</x:v>
      </x:c>
      <x:c r="C31" s="7" t="n">
        <x:v>0</x:v>
      </x:c>
      <x:c r="D31" s="7" t="n">
        <x:f>B31-C31</x:f>
        <x:v>9000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9000</x:v>
      </x:c>
      <x:c r="C32" s="7" t="n">
        <x:v>0</x:v>
      </x:c>
      <x:c r="D32" s="7" t="n">
        <x:f>B32-C32</x:f>
        <x:v>9000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233000</x:v>
      </x:c>
      <x:c r="C33" s="11" t="n">
        <x:f>SUM(C6:C32)</x:f>
        <x:v>10000</x:v>
      </x:c>
      <x:c r="D33" s="11" t="n">
        <x:f>B33-C33</x:f>
        <x:v>223000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7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d26a8181684b09"/>
  </x:tableParts>
</x:worksheet>
</file>

<file path=xl/worksheets/sheet82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NK225_P168B_09　米国前の損益</x:v>
      </x:c>
      <x:c r="B2" s="2"/>
      <x:c r="C2" s="2"/>
      <x:c r="D2" s="2"/>
      <x:c r="E2" s="2"/>
      <x:c r="F2" s="2"/>
    </x:row>
    <x:row r="3" ht="38" customHeight="1">
      <x:c r="A3" s="5" t="str">
        <x:v>実逆行を経た玉の10円利益床・240円猶予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5000</x:v>
      </x:c>
      <x:c r="C7" s="7" t="n">
        <x:v>0</x:v>
      </x:c>
      <x:c r="D7" s="7" t="n">
        <x:f>B7-C7</x:f>
        <x:v>5000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20000</x:v>
      </x:c>
      <x:c r="C9" s="7" t="n">
        <x:v>0</x:v>
      </x:c>
      <x:c r="D9" s="7" t="n">
        <x:f>B9-C9</x:f>
        <x:v>20000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45000</x:v>
      </x:c>
      <x:c r="C13" s="7" t="n">
        <x:v>0</x:v>
      </x:c>
      <x:c r="D13" s="7" t="n">
        <x:f>B13-C13</x:f>
        <x:v>45000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36000</x:v>
      </x:c>
      <x:c r="C14" s="7" t="n">
        <x:v>0</x:v>
      </x:c>
      <x:c r="D14" s="7" t="n">
        <x:f>B14-C14</x:f>
        <x:v>36000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15000</x:v>
      </x:c>
      <x:c r="C16" s="7" t="n">
        <x:v>0</x:v>
      </x:c>
      <x:c r="D16" s="7" t="n">
        <x:f>B16-C16</x:f>
        <x:v>15000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10000</x:v>
      </x:c>
      <x:c r="C18" s="7" t="n">
        <x:v>23000</x:v>
      </x:c>
      <x:c r="D18" s="7" t="n">
        <x:f>B18-C18</x:f>
        <x:v>-13000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5000</x:v>
      </x:c>
      <x:c r="C19" s="7" t="n">
        <x:v>0</x:v>
      </x:c>
      <x:c r="D19" s="7" t="n">
        <x:f>B19-C19</x:f>
        <x:v>5000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30000</x:v>
      </x:c>
      <x:c r="C20" s="7" t="n">
        <x:v>0</x:v>
      </x:c>
      <x:c r="D20" s="7" t="n">
        <x:f>B20-C20</x:f>
        <x:v>30000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10000</x:v>
      </x:c>
      <x:c r="C22" s="7" t="n">
        <x:v>0</x:v>
      </x:c>
      <x:c r="D22" s="7" t="n">
        <x:f>B22-C22</x:f>
        <x:v>10000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15000</x:v>
      </x:c>
      <x:c r="C23" s="7" t="n">
        <x:v>0</x:v>
      </x:c>
      <x:c r="D23" s="7" t="n">
        <x:f>B23-C23</x:f>
        <x:v>15000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5000</x:v>
      </x:c>
      <x:c r="C25" s="7" t="n">
        <x:v>0</x:v>
      </x:c>
      <x:c r="D25" s="7" t="n">
        <x:f>B25-C25</x:f>
        <x:v>5000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15000</x:v>
      </x:c>
      <x:c r="C26" s="7" t="n">
        <x:v>0</x:v>
      </x:c>
      <x:c r="D26" s="7" t="n">
        <x:f>B26-C26</x:f>
        <x:v>15000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45000</x:v>
      </x:c>
      <x:c r="C27" s="7" t="n">
        <x:v>0</x:v>
      </x:c>
      <x:c r="D27" s="7" t="n">
        <x:f>B27-C27</x:f>
        <x:v>45000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15000</x:v>
      </x:c>
      <x:c r="C28" s="7" t="n">
        <x:v>0</x:v>
      </x:c>
      <x:c r="D28" s="7" t="n">
        <x:f>B28-C28</x:f>
        <x:v>15000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10000</x:v>
      </x:c>
      <x:c r="C30" s="7" t="n">
        <x:v>24000</x:v>
      </x:c>
      <x:c r="D30" s="7" t="n">
        <x:f>B30-C30</x:f>
        <x:v>-14000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5000</x:v>
      </x:c>
      <x:c r="C31" s="7" t="n">
        <x:v>0</x:v>
      </x:c>
      <x:c r="D31" s="7" t="n">
        <x:f>B31-C31</x:f>
        <x:v>5000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0</x:v>
      </x:c>
      <x:c r="C32" s="7" t="n">
        <x:v>120000</x:v>
      </x:c>
      <x:c r="D32" s="7" t="n">
        <x:f>B32-C32</x:f>
        <x:v>-120000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286000</x:v>
      </x:c>
      <x:c r="C33" s="11" t="n">
        <x:f>SUM(C6:C32)</x:f>
        <x:v>167000</x:v>
      </x:c>
      <x:c r="D33" s="11" t="n">
        <x:f>B33-C33</x:f>
        <x:v>119000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8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c81ae3c951a4541"/>
  </x:tableParts>
</x:worksheet>
</file>

<file path=xl/worksheets/sheet83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NK225_P168B_10　米国前の損益</x:v>
      </x:c>
      <x:c r="B2" s="2"/>
      <x:c r="C2" s="2"/>
      <x:c r="D2" s="2"/>
      <x:c r="E2" s="2"/>
      <x:c r="F2" s="2"/>
    </x:row>
    <x:row r="3" ht="38" customHeight="1">
      <x:c r="A3" s="5" t="str">
        <x:v>240円まで猶予し10円利益を直接回収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5000</x:v>
      </x:c>
      <x:c r="C7" s="7" t="n">
        <x:v>0</x:v>
      </x:c>
      <x:c r="D7" s="7" t="n">
        <x:f>B7-C7</x:f>
        <x:v>5000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5000</x:v>
      </x:c>
      <x:c r="C9" s="7" t="n">
        <x:v>0</x:v>
      </x:c>
      <x:c r="D9" s="7" t="n">
        <x:f>B9-C9</x:f>
        <x:v>5000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1000</x:v>
      </x:c>
      <x:c r="C11" s="7" t="n">
        <x:v>0</x:v>
      </x:c>
      <x:c r="D11" s="7" t="n">
        <x:f>B11-C11</x:f>
        <x:v>1000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15000</x:v>
      </x:c>
      <x:c r="C13" s="7" t="n">
        <x:v>0</x:v>
      </x:c>
      <x:c r="D13" s="7" t="n">
        <x:f>B13-C13</x:f>
        <x:v>15000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20000</x:v>
      </x:c>
      <x:c r="C14" s="7" t="n">
        <x:v>0</x:v>
      </x:c>
      <x:c r="D14" s="7" t="n">
        <x:f>B14-C14</x:f>
        <x:v>20000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5000</x:v>
      </x:c>
      <x:c r="C16" s="7" t="n">
        <x:v>0</x:v>
      </x:c>
      <x:c r="D16" s="7" t="n">
        <x:f>B16-C16</x:f>
        <x:v>5000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6000</x:v>
      </x:c>
      <x:c r="C18" s="7" t="n">
        <x:v>23000</x:v>
      </x:c>
      <x:c r="D18" s="7" t="n">
        <x:f>B18-C18</x:f>
        <x:v>-17000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1000</x:v>
      </x:c>
      <x:c r="C19" s="7" t="n">
        <x:v>0</x:v>
      </x:c>
      <x:c r="D19" s="7" t="n">
        <x:f>B19-C19</x:f>
        <x:v>1000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5000</x:v>
      </x:c>
      <x:c r="C20" s="7" t="n">
        <x:v>0</x:v>
      </x:c>
      <x:c r="D20" s="7" t="n">
        <x:f>B20-C20</x:f>
        <x:v>5000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5000</x:v>
      </x:c>
      <x:c r="C22" s="7" t="n">
        <x:v>0</x:v>
      </x:c>
      <x:c r="D22" s="7" t="n">
        <x:f>B22-C22</x:f>
        <x:v>5000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5000</x:v>
      </x:c>
      <x:c r="C23" s="7" t="n">
        <x:v>0</x:v>
      </x:c>
      <x:c r="D23" s="7" t="n">
        <x:f>B23-C23</x:f>
        <x:v>5000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5000</x:v>
      </x:c>
      <x:c r="C25" s="7" t="n">
        <x:v>0</x:v>
      </x:c>
      <x:c r="D25" s="7" t="n">
        <x:f>B25-C25</x:f>
        <x:v>5000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0</x:v>
      </x:c>
      <x:c r="C26" s="7" t="n">
        <x:v>0</x:v>
      </x:c>
      <x:c r="D26" s="7" t="n">
        <x:f>B26-C26</x:f>
        <x:v>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12000</x:v>
      </x:c>
      <x:c r="C27" s="7" t="n">
        <x:v>0</x:v>
      </x:c>
      <x:c r="D27" s="7" t="n">
        <x:f>B27-C27</x:f>
        <x:v>12000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5000</x:v>
      </x:c>
      <x:c r="C28" s="7" t="n">
        <x:v>0</x:v>
      </x:c>
      <x:c r="D28" s="7" t="n">
        <x:f>B28-C28</x:f>
        <x:v>5000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7000</x:v>
      </x:c>
      <x:c r="C30" s="7" t="n">
        <x:v>24000</x:v>
      </x:c>
      <x:c r="D30" s="7" t="n">
        <x:f>B30-C30</x:f>
        <x:v>-17000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0</x:v>
      </x:c>
      <x:c r="C31" s="7" t="n">
        <x:v>0</x:v>
      </x:c>
      <x:c r="D31" s="7" t="n">
        <x:f>B31-C31</x:f>
        <x:v>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0</x:v>
      </x:c>
      <x:c r="C32" s="7" t="n">
        <x:v>120000</x:v>
      </x:c>
      <x:c r="D32" s="7" t="n">
        <x:f>B32-C32</x:f>
        <x:v>-120000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102000</x:v>
      </x:c>
      <x:c r="C33" s="11" t="n">
        <x:f>SUM(C6:C32)</x:f>
        <x:v>167000</x:v>
      </x:c>
      <x:c r="D33" s="11" t="n">
        <x:f>B33-C33</x:f>
        <x:v>-65000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8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628e0dfdb3443fc"/>
  </x:tableParts>
</x:worksheet>
</file>

<file path=xl/worksheets/sheet84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NK225_P168B_11　米国前の損益</x:v>
      </x:c>
      <x:c r="B2" s="2"/>
      <x:c r="C2" s="2"/>
      <x:c r="D2" s="2"/>
      <x:c r="E2" s="2"/>
      <x:c r="F2" s="2"/>
    </x:row>
    <x:row r="3" ht="38" customHeight="1">
      <x:c r="A3" s="5" t="str">
        <x:v>240円まで猶予し20円利益を直接回収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10000</x:v>
      </x:c>
      <x:c r="C7" s="7" t="n">
        <x:v>0</x:v>
      </x:c>
      <x:c r="D7" s="7" t="n">
        <x:f>B7-C7</x:f>
        <x:v>10000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15000</x:v>
      </x:c>
      <x:c r="C9" s="7" t="n">
        <x:v>0</x:v>
      </x:c>
      <x:c r="D9" s="7" t="n">
        <x:f>B9-C9</x:f>
        <x:v>15000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20000</x:v>
      </x:c>
      <x:c r="C13" s="7" t="n">
        <x:v>0</x:v>
      </x:c>
      <x:c r="D13" s="7" t="n">
        <x:f>B13-C13</x:f>
        <x:v>20000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38000</x:v>
      </x:c>
      <x:c r="C14" s="7" t="n">
        <x:v>0</x:v>
      </x:c>
      <x:c r="D14" s="7" t="n">
        <x:f>B14-C14</x:f>
        <x:v>38000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10000</x:v>
      </x:c>
      <x:c r="C16" s="7" t="n">
        <x:v>0</x:v>
      </x:c>
      <x:c r="D16" s="7" t="n">
        <x:f>B16-C16</x:f>
        <x:v>10000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12000</x:v>
      </x:c>
      <x:c r="C18" s="7" t="n">
        <x:v>23000</x:v>
      </x:c>
      <x:c r="D18" s="7" t="n">
        <x:f>B18-C18</x:f>
        <x:v>-11000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2000</x:v>
      </x:c>
      <x:c r="C19" s="7" t="n">
        <x:v>0</x:v>
      </x:c>
      <x:c r="D19" s="7" t="n">
        <x:f>B19-C19</x:f>
        <x:v>2000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20000</x:v>
      </x:c>
      <x:c r="C20" s="7" t="n">
        <x:v>0</x:v>
      </x:c>
      <x:c r="D20" s="7" t="n">
        <x:f>B20-C20</x:f>
        <x:v>20000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10000</x:v>
      </x:c>
      <x:c r="C22" s="7" t="n">
        <x:v>0</x:v>
      </x:c>
      <x:c r="D22" s="7" t="n">
        <x:f>B22-C22</x:f>
        <x:v>10000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10000</x:v>
      </x:c>
      <x:c r="C23" s="7" t="n">
        <x:v>0</x:v>
      </x:c>
      <x:c r="D23" s="7" t="n">
        <x:f>B23-C23</x:f>
        <x:v>10000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10000</x:v>
      </x:c>
      <x:c r="C25" s="7" t="n">
        <x:v>0</x:v>
      </x:c>
      <x:c r="D25" s="7" t="n">
        <x:f>B25-C25</x:f>
        <x:v>10000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15000</x:v>
      </x:c>
      <x:c r="C26" s="7" t="n">
        <x:v>0</x:v>
      </x:c>
      <x:c r="D26" s="7" t="n">
        <x:f>B26-C26</x:f>
        <x:v>15000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24000</x:v>
      </x:c>
      <x:c r="C27" s="7" t="n">
        <x:v>0</x:v>
      </x:c>
      <x:c r="D27" s="7" t="n">
        <x:f>B27-C27</x:f>
        <x:v>24000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10000</x:v>
      </x:c>
      <x:c r="C28" s="7" t="n">
        <x:v>0</x:v>
      </x:c>
      <x:c r="D28" s="7" t="n">
        <x:f>B28-C28</x:f>
        <x:v>10000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14000</x:v>
      </x:c>
      <x:c r="C30" s="7" t="n">
        <x:v>24000</x:v>
      </x:c>
      <x:c r="D30" s="7" t="n">
        <x:f>B30-C30</x:f>
        <x:v>-10000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10000</x:v>
      </x:c>
      <x:c r="C31" s="7" t="n">
        <x:v>0</x:v>
      </x:c>
      <x:c r="D31" s="7" t="n">
        <x:f>B31-C31</x:f>
        <x:v>10000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0</x:v>
      </x:c>
      <x:c r="C32" s="7" t="n">
        <x:v>120000</x:v>
      </x:c>
      <x:c r="D32" s="7" t="n">
        <x:f>B32-C32</x:f>
        <x:v>-120000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230000</x:v>
      </x:c>
      <x:c r="C33" s="11" t="n">
        <x:f>SUM(C6:C32)</x:f>
        <x:v>167000</x:v>
      </x:c>
      <x:c r="D33" s="11" t="n">
        <x:f>B33-C33</x:f>
        <x:v>63000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8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5c8c83e3134608"/>
  </x:tableParts>
</x:worksheet>
</file>

<file path=xl/worksheets/sheet85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NK225_P168B_12　米国前の損益</x:v>
      </x:c>
      <x:c r="B2" s="2"/>
      <x:c r="C2" s="2"/>
      <x:c r="D2" s="2"/>
      <x:c r="E2" s="2"/>
      <x:c r="F2" s="2"/>
    </x:row>
    <x:row r="3" ht="38" customHeight="1">
      <x:c r="A3" s="5" t="str">
        <x:v>240円猶予・大枚数ほど浅い金額基準の直接回収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10000</x:v>
      </x:c>
      <x:c r="C7" s="7" t="n">
        <x:v>0</x:v>
      </x:c>
      <x:c r="D7" s="7" t="n">
        <x:f>B7-C7</x:f>
        <x:v>10000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15000</x:v>
      </x:c>
      <x:c r="C9" s="7" t="n">
        <x:v>0</x:v>
      </x:c>
      <x:c r="D9" s="7" t="n">
        <x:f>B9-C9</x:f>
        <x:v>15000</x:v>
      </x:c>
      <x:c r="E9" s="12" t="n">
        <x:v>100</x:v>
      </x:c>
      <x:c r="F9" s="14" t="n">
        <x:f>E9/10</x:f>
        <x:v>10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20000</x:v>
      </x:c>
      <x:c r="C13" s="7" t="n">
        <x:v>0</x:v>
      </x:c>
      <x:c r="D13" s="7" t="n">
        <x:f>B13-C13</x:f>
        <x:v>20000</x:v>
      </x:c>
      <x:c r="E13" s="12" t="n">
        <x:v>150</x:v>
      </x:c>
      <x:c r="F13" s="14" t="n">
        <x:f>E13/10</x:f>
        <x:v>15</x:v>
      </x:c>
    </x:row>
    <x:row r="14" ht="25" customHeight="1">
      <x:c r="A14" s="2" t="str">
        <x:v>2026-10-01_Night</x:v>
      </x:c>
      <x:c r="B14" s="7" t="n">
        <x:v>43000</x:v>
      </x:c>
      <x:c r="C14" s="7" t="n">
        <x:v>0</x:v>
      </x:c>
      <x:c r="D14" s="7" t="n">
        <x:f>B14-C14</x:f>
        <x:v>43000</x:v>
      </x:c>
      <x:c r="E14" s="12" t="n">
        <x:v>220</x:v>
      </x:c>
      <x:c r="F14" s="14" t="n">
        <x:f>E14/10</x:f>
        <x:v>22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10000</x:v>
      </x:c>
      <x:c r="C16" s="7" t="n">
        <x:v>0</x:v>
      </x:c>
      <x:c r="D16" s="7" t="n">
        <x:f>B16-C16</x:f>
        <x:v>10000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10000</x:v>
      </x:c>
      <x:c r="C18" s="7" t="n">
        <x:v>23000</x:v>
      </x:c>
      <x:c r="D18" s="7" t="n">
        <x:f>B18-C18</x:f>
        <x:v>-13000</x:v>
      </x:c>
      <x:c r="E18" s="12" t="n">
        <x:v>70</x:v>
      </x:c>
      <x:c r="F18" s="14" t="n">
        <x:f>E18/10</x:f>
        <x:v>7</x:v>
      </x:c>
    </x:row>
    <x:row r="19" ht="25" customHeight="1">
      <x:c r="A19" s="2" t="str">
        <x:v>2026-10-08_Night</x:v>
      </x:c>
      <x:c r="B19" s="7" t="n">
        <x:v>4000</x:v>
      </x:c>
      <x:c r="C19" s="7" t="n">
        <x:v>0</x:v>
      </x:c>
      <x:c r="D19" s="7" t="n">
        <x:f>B19-C19</x:f>
        <x:v>4000</x:v>
      </x:c>
      <x:c r="E19" s="12" t="n">
        <x:v>20</x:v>
      </x:c>
      <x:c r="F19" s="14" t="n">
        <x:f>E19/10</x:f>
        <x:v>2</x:v>
      </x:c>
    </x:row>
    <x:row r="20" ht="25" customHeight="1">
      <x:c r="A20" s="2" t="str">
        <x:v>2026-10-09_Night</x:v>
      </x:c>
      <x:c r="B20" s="7" t="n">
        <x:v>20000</x:v>
      </x:c>
      <x:c r="C20" s="7" t="n">
        <x:v>0</x:v>
      </x:c>
      <x:c r="D20" s="7" t="n">
        <x:f>B20-C20</x:f>
        <x:v>20000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10000</x:v>
      </x:c>
      <x:c r="C22" s="7" t="n">
        <x:v>0</x:v>
      </x:c>
      <x:c r="D22" s="7" t="n">
        <x:f>B22-C22</x:f>
        <x:v>10000</x:v>
      </x:c>
      <x:c r="E22" s="12" t="n">
        <x:v>50</x:v>
      </x:c>
      <x:c r="F22" s="14" t="n">
        <x:f>E22/10</x:f>
        <x:v>5</x:v>
      </x:c>
    </x:row>
    <x:row r="23" ht="25" customHeight="1">
      <x:c r="A23" s="2" t="str">
        <x:v>2026-10-14_Night</x:v>
      </x:c>
      <x:c r="B23" s="7" t="n">
        <x:v>10000</x:v>
      </x:c>
      <x:c r="C23" s="7" t="n">
        <x:v>0</x:v>
      </x:c>
      <x:c r="D23" s="7" t="n">
        <x:f>B23-C23</x:f>
        <x:v>10000</x:v>
      </x:c>
      <x:c r="E23" s="12" t="n">
        <x:v>50</x:v>
      </x:c>
      <x:c r="F23" s="14" t="n">
        <x:f>E23/10</x:f>
        <x:v>5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10000</x:v>
      </x:c>
      <x:c r="C25" s="7" t="n">
        <x:v>0</x:v>
      </x:c>
      <x:c r="D25" s="7" t="n">
        <x:f>B25-C25</x:f>
        <x:v>10000</x:v>
      </x:c>
      <x:c r="E25" s="12" t="n">
        <x:v>50</x:v>
      </x:c>
      <x:c r="F25" s="14" t="n">
        <x:f>E25/10</x:f>
        <x:v>5</x:v>
      </x:c>
    </x:row>
    <x:row r="26" ht="25" customHeight="1">
      <x:c r="A26" s="2" t="str">
        <x:v>2026-10-19_Night</x:v>
      </x:c>
      <x:c r="B26" s="7" t="n">
        <x:v>15000</x:v>
      </x:c>
      <x:c r="C26" s="7" t="n">
        <x:v>0</x:v>
      </x:c>
      <x:c r="D26" s="7" t="n">
        <x:f>B26-C26</x:f>
        <x:v>15000</x:v>
      </x:c>
      <x:c r="E26" s="12" t="n">
        <x:v>100</x:v>
      </x:c>
      <x:c r="F26" s="14" t="n">
        <x:f>E26/10</x:f>
        <x:v>10</x:v>
      </x:c>
    </x:row>
    <x:row r="27" ht="25" customHeight="1">
      <x:c r="A27" s="2" t="str">
        <x:v>2026-10-20_Night</x:v>
      </x:c>
      <x:c r="B27" s="7" t="n">
        <x:v>26000</x:v>
      </x:c>
      <x:c r="C27" s="7" t="n">
        <x:v>0</x:v>
      </x:c>
      <x:c r="D27" s="7" t="n">
        <x:f>B27-C27</x:f>
        <x:v>26000</x:v>
      </x:c>
      <x:c r="E27" s="12" t="n">
        <x:v>120</x:v>
      </x:c>
      <x:c r="F27" s="14" t="n">
        <x:f>E27/10</x:f>
        <x:v>12</x:v>
      </x:c>
    </x:row>
    <x:row r="28" ht="25" customHeight="1">
      <x:c r="A28" s="2" t="str">
        <x:v>2026-10-21_Night</x:v>
      </x:c>
      <x:c r="B28" s="7" t="n">
        <x:v>10000</x:v>
      </x:c>
      <x:c r="C28" s="7" t="n">
        <x:v>0</x:v>
      </x:c>
      <x:c r="D28" s="7" t="n">
        <x:f>B28-C28</x:f>
        <x:v>10000</x:v>
      </x:c>
      <x:c r="E28" s="12" t="n">
        <x:v>50</x:v>
      </x:c>
      <x:c r="F28" s="14" t="n">
        <x:f>E28/10</x:f>
        <x:v>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14000</x:v>
      </x:c>
      <x:c r="C30" s="7" t="n">
        <x:v>24000</x:v>
      </x:c>
      <x:c r="D30" s="7" t="n">
        <x:f>B30-C30</x:f>
        <x:v>-10000</x:v>
      </x:c>
      <x:c r="E30" s="12" t="n">
        <x:v>90</x:v>
      </x:c>
      <x:c r="F30" s="14" t="n">
        <x:f>E30/10</x:f>
        <x:v>9</x:v>
      </x:c>
    </x:row>
    <x:row r="31" ht="25" customHeight="1">
      <x:c r="A31" s="2" t="str">
        <x:v>2026-10-26_Night</x:v>
      </x:c>
      <x:c r="B31" s="7" t="n">
        <x:v>10000</x:v>
      </x:c>
      <x:c r="C31" s="7" t="n">
        <x:v>0</x:v>
      </x:c>
      <x:c r="D31" s="7" t="n">
        <x:f>B31-C31</x:f>
        <x:v>10000</x:v>
      </x:c>
      <x:c r="E31" s="12" t="n">
        <x:v>50</x:v>
      </x:c>
      <x:c r="F31" s="14" t="n">
        <x:f>E31/10</x:f>
        <x:v>5</x:v>
      </x:c>
    </x:row>
    <x:row r="32" ht="25" customHeight="1">
      <x:c r="A32" s="2" t="str">
        <x:v>2026-10-27_Night</x:v>
      </x:c>
      <x:c r="B32" s="7" t="n">
        <x:v>0</x:v>
      </x:c>
      <x:c r="C32" s="7" t="n">
        <x:v>120000</x:v>
      </x:c>
      <x:c r="D32" s="7" t="n">
        <x:f>B32-C32</x:f>
        <x:v>-120000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237000</x:v>
      </x:c>
      <x:c r="C33" s="11" t="n">
        <x:f>SUM(C6:C32)</x:f>
        <x:v>167000</x:v>
      </x:c>
      <x:c r="D33" s="11" t="n">
        <x:f>B33-C33</x:f>
        <x:v>70000</x:v>
      </x:c>
      <x:c r="E33" s="13" t="n">
        <x:f>SUM(E6:E32)</x:f>
        <x:v>1380</x:v>
      </x:c>
      <x:c r="F33" s="15" t="n">
        <x:f>E33/10</x:f>
        <x:v>138</x:v>
      </x:c>
    </x:row>
  </x:sheetData>
  <x:mergeCells>
    <x:mergeCell ref="A2:F2"/>
    <x:mergeCell ref="A3:F3"/>
    <x:mergeCell ref="A4:F4"/>
  </x:mergeCells>
  <x:conditionalFormatting sqref="D6:D32">
    <x:cfRule type="cellIs" dxfId="8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d2b8240d74543ba"/>
  </x:tableParts>
</x:worksheet>
</file>

<file path=xl/worksheets/sheet86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NK225_P168B_13　米国前の損益</x:v>
      </x:c>
      <x:c r="B2" s="2"/>
      <x:c r="C2" s="2"/>
      <x:c r="D2" s="2"/>
      <x:c r="E2" s="2"/>
      <x:c r="F2" s="2"/>
    </x:row>
    <x:row r="3" ht="38" customHeight="1">
      <x:c r="A3" s="5" t="str">
        <x:v>20円直接回収後は直近方向を確認し再参加・損失50円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10000</x:v>
      </x:c>
      <x:c r="C7" s="7" t="n">
        <x:v>25000</x:v>
      </x:c>
      <x:c r="D7" s="7" t="n">
        <x:f>B7-C7</x:f>
        <x:v>-15000</x:v>
      </x:c>
      <x:c r="E7" s="12" t="n">
        <x:v>100</x:v>
      </x:c>
      <x:c r="F7" s="14" t="n">
        <x:f>E7/10</x:f>
        <x:v>10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22700</x:v>
      </x:c>
      <x:c r="C9" s="7" t="n">
        <x:v>20000</x:v>
      </x:c>
      <x:c r="D9" s="7" t="n">
        <x:f>B9-C9</x:f>
        <x:v>2700</x:v>
      </x:c>
      <x:c r="E9" s="12" t="n">
        <x:v>227</x:v>
      </x:c>
      <x:c r="F9" s="14" t="n">
        <x:f>E9/10</x:f>
        <x:v>22.7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26600</x:v>
      </x:c>
      <x:c r="C13" s="7" t="n">
        <x:v>58000</x:v>
      </x:c>
      <x:c r="D13" s="7" t="n">
        <x:f>B13-C13</x:f>
        <x:v>-31400</x:v>
      </x:c>
      <x:c r="E13" s="12" t="n">
        <x:v>299</x:v>
      </x:c>
      <x:c r="F13" s="14" t="n">
        <x:f>E13/10</x:f>
        <x:v>29.9</x:v>
      </x:c>
    </x:row>
    <x:row r="14" ht="25" customHeight="1">
      <x:c r="A14" s="2" t="str">
        <x:v>2026-10-01_Night</x:v>
      </x:c>
      <x:c r="B14" s="7" t="n">
        <x:v>45600</x:v>
      </x:c>
      <x:c r="C14" s="7" t="n">
        <x:v>43200</x:v>
      </x:c>
      <x:c r="D14" s="7" t="n">
        <x:f>B14-C14</x:f>
        <x:v>2400</x:v>
      </x:c>
      <x:c r="E14" s="12" t="n">
        <x:v>342</x:v>
      </x:c>
      <x:c r="F14" s="14" t="n">
        <x:f>E14/10</x:f>
        <x:v>34.2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20000</x:v>
      </x:c>
      <x:c r="C16" s="7" t="n">
        <x:v>40000</x:v>
      </x:c>
      <x:c r="D16" s="7" t="n">
        <x:f>B16-C16</x:f>
        <x:v>-20000</x:v>
      </x:c>
      <x:c r="E16" s="12" t="n">
        <x:v>150</x:v>
      </x:c>
      <x:c r="F16" s="14" t="n">
        <x:f>E16/10</x:f>
        <x:v>15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12000</x:v>
      </x:c>
      <x:c r="C18" s="7" t="n">
        <x:v>53000</x:v>
      </x:c>
      <x:c r="D18" s="7" t="n">
        <x:f>B18-C18</x:f>
        <x:v>-41000</x:v>
      </x:c>
      <x:c r="E18" s="12" t="n">
        <x:v>130</x:v>
      </x:c>
      <x:c r="F18" s="14" t="n">
        <x:f>E18/10</x:f>
        <x:v>13</x:v>
      </x:c>
    </x:row>
    <x:row r="19" ht="25" customHeight="1">
      <x:c r="A19" s="2" t="str">
        <x:v>2026-10-08_Night</x:v>
      </x:c>
      <x:c r="B19" s="7" t="n">
        <x:v>2000</x:v>
      </x:c>
      <x:c r="C19" s="7" t="n">
        <x:v>5000</x:v>
      </x:c>
      <x:c r="D19" s="7" t="n">
        <x:f>B19-C19</x:f>
        <x:v>-3000</x:v>
      </x:c>
      <x:c r="E19" s="12" t="n">
        <x:v>30</x:v>
      </x:c>
      <x:c r="F19" s="14" t="n">
        <x:f>E19/10</x:f>
        <x:v>3</x:v>
      </x:c>
    </x:row>
    <x:row r="20" ht="25" customHeight="1">
      <x:c r="A20" s="2" t="str">
        <x:v>2026-10-09_Night</x:v>
      </x:c>
      <x:c r="B20" s="7" t="n">
        <x:v>20000</x:v>
      </x:c>
      <x:c r="C20" s="7" t="n">
        <x:v>41500</x:v>
      </x:c>
      <x:c r="D20" s="7" t="n">
        <x:f>B20-C20</x:f>
        <x:v>-21500</x:v>
      </x:c>
      <x:c r="E20" s="12" t="n">
        <x:v>183</x:v>
      </x:c>
      <x:c r="F20" s="14" t="n">
        <x:f>E20/10</x:f>
        <x:v>18.3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21000</x:v>
      </x:c>
      <x:c r="C22" s="7" t="n">
        <x:v>7000</x:v>
      </x:c>
      <x:c r="D22" s="7" t="n">
        <x:f>B22-C22</x:f>
        <x:v>14000</x:v>
      </x:c>
      <x:c r="E22" s="12" t="n">
        <x:v>119</x:v>
      </x:c>
      <x:c r="F22" s="14" t="n">
        <x:f>E22/10</x:f>
        <x:v>11.9</x:v>
      </x:c>
    </x:row>
    <x:row r="23" ht="25" customHeight="1">
      <x:c r="A23" s="2" t="str">
        <x:v>2026-10-14_Night</x:v>
      </x:c>
      <x:c r="B23" s="7" t="n">
        <x:v>18800</x:v>
      </x:c>
      <x:c r="C23" s="7" t="n">
        <x:v>7000</x:v>
      </x:c>
      <x:c r="D23" s="7" t="n">
        <x:f>B23-C23</x:f>
        <x:v>11800</x:v>
      </x:c>
      <x:c r="E23" s="12" t="n">
        <x:v>119</x:v>
      </x:c>
      <x:c r="F23" s="14" t="n">
        <x:f>E23/10</x:f>
        <x:v>11.9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16600</x:v>
      </x:c>
      <x:c r="C25" s="7" t="n">
        <x:v>0</x:v>
      </x:c>
      <x:c r="D25" s="7" t="n">
        <x:f>B25-C25</x:f>
        <x:v>16600</x:v>
      </x:c>
      <x:c r="E25" s="12" t="n">
        <x:v>83</x:v>
      </x:c>
      <x:c r="F25" s="14" t="n">
        <x:f>E25/10</x:f>
        <x:v>8.3</x:v>
      </x:c>
    </x:row>
    <x:row r="26" ht="25" customHeight="1">
      <x:c r="A26" s="2" t="str">
        <x:v>2026-10-19_Night</x:v>
      </x:c>
      <x:c r="B26" s="7" t="n">
        <x:v>15000</x:v>
      </x:c>
      <x:c r="C26" s="7" t="n">
        <x:v>16500</x:v>
      </x:c>
      <x:c r="D26" s="7" t="n">
        <x:f>B26-C26</x:f>
        <x:v>-1500</x:v>
      </x:c>
      <x:c r="E26" s="12" t="n">
        <x:v>133</x:v>
      </x:c>
      <x:c r="F26" s="14" t="n">
        <x:f>E26/10</x:f>
        <x:v>13.3</x:v>
      </x:c>
    </x:row>
    <x:row r="27" ht="25" customHeight="1">
      <x:c r="A27" s="2" t="str">
        <x:v>2026-10-20_Night</x:v>
      </x:c>
      <x:c r="B27" s="7" t="n">
        <x:v>46600</x:v>
      </x:c>
      <x:c r="C27" s="7" t="n">
        <x:v>36000</x:v>
      </x:c>
      <x:c r="D27" s="7" t="n">
        <x:f>B27-C27</x:f>
        <x:v>10600</x:v>
      </x:c>
      <x:c r="E27" s="12" t="n">
        <x:v>315</x:v>
      </x:c>
      <x:c r="F27" s="14" t="n">
        <x:f>E27/10</x:f>
        <x:v>31.5</x:v>
      </x:c>
    </x:row>
    <x:row r="28" ht="25" customHeight="1">
      <x:c r="A28" s="2" t="str">
        <x:v>2026-10-21_Night</x:v>
      </x:c>
      <x:c r="B28" s="7" t="n">
        <x:v>16600</x:v>
      </x:c>
      <x:c r="C28" s="7" t="n">
        <x:v>16500</x:v>
      </x:c>
      <x:c r="D28" s="7" t="n">
        <x:f>B28-C28</x:f>
        <x:v>100</x:v>
      </x:c>
      <x:c r="E28" s="12" t="n">
        <x:v>116</x:v>
      </x:c>
      <x:c r="F28" s="14" t="n">
        <x:f>E28/10</x:f>
        <x:v>11.6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14000</x:v>
      </x:c>
      <x:c r="C30" s="7" t="n">
        <x:v>59000</x:v>
      </x:c>
      <x:c r="D30" s="7" t="n">
        <x:f>B30-C30</x:f>
        <x:v>-45000</x:v>
      </x:c>
      <x:c r="E30" s="12" t="n">
        <x:v>160</x:v>
      </x:c>
      <x:c r="F30" s="14" t="n">
        <x:f>E30/10</x:f>
        <x:v>16</x:v>
      </x:c>
    </x:row>
    <x:row r="31" ht="25" customHeight="1">
      <x:c r="A31" s="2" t="str">
        <x:v>2026-10-26_Night</x:v>
      </x:c>
      <x:c r="B31" s="7" t="n">
        <x:v>10000</x:v>
      </x:c>
      <x:c r="C31" s="7" t="n">
        <x:v>16500</x:v>
      </x:c>
      <x:c r="D31" s="7" t="n">
        <x:f>B31-C31</x:f>
        <x:v>-6500</x:v>
      </x:c>
      <x:c r="E31" s="12" t="n">
        <x:v>83</x:v>
      </x:c>
      <x:c r="F31" s="14" t="n">
        <x:f>E31/10</x:f>
        <x:v>8.3</x:v>
      </x:c>
    </x:row>
    <x:row r="32" ht="25" customHeight="1">
      <x:c r="A32" s="2" t="str">
        <x:v>2026-10-27_Night</x:v>
      </x:c>
      <x:c r="B32" s="7" t="n">
        <x:v>0</x:v>
      </x:c>
      <x:c r="C32" s="7" t="n">
        <x:v>120000</x:v>
      </x:c>
      <x:c r="D32" s="7" t="n">
        <x:f>B32-C32</x:f>
        <x:v>-120000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317500</x:v>
      </x:c>
      <x:c r="C33" s="11" t="n">
        <x:f>SUM(C6:C32)</x:f>
        <x:v>564200</x:v>
      </x:c>
      <x:c r="D33" s="11" t="n">
        <x:f>B33-C33</x:f>
        <x:v>-246700</x:v>
      </x:c>
      <x:c r="E33" s="13" t="n">
        <x:f>SUM(E6:E32)</x:f>
        <x:v>2649</x:v>
      </x:c>
      <x:c r="F33" s="15" t="n">
        <x:f>E33/10</x:f>
        <x:v>264.9</x:v>
      </x:c>
    </x:row>
  </x:sheetData>
  <x:mergeCells>
    <x:mergeCell ref="A2:F2"/>
    <x:mergeCell ref="A3:F3"/>
    <x:mergeCell ref="A4:F4"/>
  </x:mergeCells>
  <x:conditionalFormatting sqref="D6:D32">
    <x:cfRule type="cellIs" dxfId="8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53ae79b224f49c9"/>
  </x:tableParts>
</x:worksheet>
</file>

<file path=xl/worksheets/sheet87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NK225_P168B_14　米国前の損益</x:v>
      </x:c>
      <x:c r="B2" s="2"/>
      <x:c r="C2" s="2"/>
      <x:c r="D2" s="2"/>
      <x:c r="E2" s="2"/>
      <x:c r="F2" s="2"/>
    </x:row>
    <x:row r="3" ht="38" customHeight="1">
      <x:c r="A3" s="5" t="str">
        <x:v>8割回収と割合床・直近方向の再参加・損失50円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9000</x:v>
      </x:c>
      <x:c r="C7" s="7" t="n">
        <x:v>5000</x:v>
      </x:c>
      <x:c r="D7" s="7" t="n">
        <x:f>B7-C7</x:f>
        <x:v>4000</x:v>
      </x:c>
      <x:c r="E7" s="12" t="n">
        <x:v>60</x:v>
      </x:c>
      <x:c r="F7" s="14" t="n">
        <x:f>E7/10</x:f>
        <x:v>6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14800</x:v>
      </x:c>
      <x:c r="C9" s="7" t="n">
        <x:v>4000</x:v>
      </x:c>
      <x:c r="D9" s="7" t="n">
        <x:f>B9-C9</x:f>
        <x:v>10800</x:v>
      </x:c>
      <x:c r="E9" s="12" t="n">
        <x:v>118</x:v>
      </x:c>
      <x:c r="F9" s="14" t="n">
        <x:f>E9/10</x:f>
        <x:v>11.8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24000</x:v>
      </x:c>
      <x:c r="C13" s="7" t="n">
        <x:v>4400</x:v>
      </x:c>
      <x:c r="D13" s="7" t="n">
        <x:f>B13-C13</x:f>
        <x:v>19600</x:v>
      </x:c>
      <x:c r="E13" s="12" t="n">
        <x:v>164</x:v>
      </x:c>
      <x:c r="F13" s="14" t="n">
        <x:f>E13/10</x:f>
        <x:v>16.4</x:v>
      </x:c>
    </x:row>
    <x:row r="14" ht="25" customHeight="1">
      <x:c r="A14" s="2" t="str">
        <x:v>2026-10-01_Night</x:v>
      </x:c>
      <x:c r="B14" s="7" t="n">
        <x:v>38600</x:v>
      </x:c>
      <x:c r="C14" s="7" t="n">
        <x:v>4500</x:v>
      </x:c>
      <x:c r="D14" s="7" t="n">
        <x:f>B14-C14</x:f>
        <x:v>34100</x:v>
      </x:c>
      <x:c r="E14" s="12" t="n">
        <x:v>238</x:v>
      </x:c>
      <x:c r="F14" s="14" t="n">
        <x:f>E14/10</x:f>
        <x:v>23.8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11000</x:v>
      </x:c>
      <x:c r="C16" s="7" t="n">
        <x:v>0</x:v>
      </x:c>
      <x:c r="D16" s="7" t="n">
        <x:f>B16-C16</x:f>
        <x:v>11000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11800</x:v>
      </x:c>
      <x:c r="C18" s="7" t="n">
        <x:v>29000</x:v>
      </x:c>
      <x:c r="D18" s="7" t="n">
        <x:f>B18-C18</x:f>
        <x:v>-17200</x:v>
      </x:c>
      <x:c r="E18" s="12" t="n">
        <x:v>82</x:v>
      </x:c>
      <x:c r="F18" s="14" t="n">
        <x:f>E18/10</x:f>
        <x:v>8.2</x:v>
      </x:c>
    </x:row>
    <x:row r="19" ht="25" customHeight="1">
      <x:c r="A19" s="2" t="str">
        <x:v>2026-10-08_Night</x:v>
      </x:c>
      <x:c r="B19" s="7" t="n">
        <x:v>1800</x:v>
      </x:c>
      <x:c r="C19" s="7" t="n">
        <x:v>1000</x:v>
      </x:c>
      <x:c r="D19" s="7" t="n">
        <x:f>B19-C19</x:f>
        <x:v>800</x:v>
      </x:c>
      <x:c r="E19" s="12" t="n">
        <x:v>22</x:v>
      </x:c>
      <x:c r="F19" s="14" t="n">
        <x:f>E19/10</x:f>
        <x:v>2.2</x:v>
      </x:c>
    </x:row>
    <x:row r="20" ht="25" customHeight="1">
      <x:c r="A20" s="2" t="str">
        <x:v>2026-10-09_Night</x:v>
      </x:c>
      <x:c r="B20" s="7" t="n">
        <x:v>19000</x:v>
      </x:c>
      <x:c r="C20" s="7" t="n">
        <x:v>8000</x:v>
      </x:c>
      <x:c r="D20" s="7" t="n">
        <x:f>B20-C20</x:f>
        <x:v>11000</x:v>
      </x:c>
      <x:c r="E20" s="12" t="n">
        <x:v>116</x:v>
      </x:c>
      <x:c r="F20" s="14" t="n">
        <x:f>E20/10</x:f>
        <x:v>11.6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11300</x:v>
      </x:c>
      <x:c r="C22" s="7" t="n">
        <x:v>500</x:v>
      </x:c>
      <x:c r="D22" s="7" t="n">
        <x:f>B22-C22</x:f>
        <x:v>10800</x:v>
      </x:c>
      <x:c r="E22" s="12" t="n">
        <x:v>58</x:v>
      </x:c>
      <x:c r="F22" s="14" t="n">
        <x:f>E22/10</x:f>
        <x:v>5.8</x:v>
      </x:c>
    </x:row>
    <x:row r="23" ht="25" customHeight="1">
      <x:c r="A23" s="2" t="str">
        <x:v>2026-10-14_Night</x:v>
      </x:c>
      <x:c r="B23" s="7" t="n">
        <x:v>10100</x:v>
      </x:c>
      <x:c r="C23" s="7" t="n">
        <x:v>500</x:v>
      </x:c>
      <x:c r="D23" s="7" t="n">
        <x:f>B23-C23</x:f>
        <x:v>9600</x:v>
      </x:c>
      <x:c r="E23" s="12" t="n">
        <x:v>58</x:v>
      </x:c>
      <x:c r="F23" s="14" t="n">
        <x:f>E23/10</x:f>
        <x:v>5.8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10000</x:v>
      </x:c>
      <x:c r="C25" s="7" t="n">
        <x:v>0</x:v>
      </x:c>
      <x:c r="D25" s="7" t="n">
        <x:f>B25-C25</x:f>
        <x:v>10000</x:v>
      </x:c>
      <x:c r="E25" s="12" t="n">
        <x:v>56</x:v>
      </x:c>
      <x:c r="F25" s="14" t="n">
        <x:f>E25/10</x:f>
        <x:v>5.6</x:v>
      </x:c>
    </x:row>
    <x:row r="26" ht="25" customHeight="1">
      <x:c r="A26" s="2" t="str">
        <x:v>2026-10-19_Night</x:v>
      </x:c>
      <x:c r="B26" s="7" t="n">
        <x:v>15000</x:v>
      </x:c>
      <x:c r="C26" s="7" t="n">
        <x:v>3000</x:v>
      </x:c>
      <x:c r="D26" s="7" t="n">
        <x:f>B26-C26</x:f>
        <x:v>12000</x:v>
      </x:c>
      <x:c r="E26" s="12" t="n">
        <x:v>106</x:v>
      </x:c>
      <x:c r="F26" s="14" t="n">
        <x:f>E26/10</x:f>
        <x:v>10.6</x:v>
      </x:c>
    </x:row>
    <x:row r="27" ht="25" customHeight="1">
      <x:c r="A27" s="2" t="str">
        <x:v>2026-10-20_Night</x:v>
      </x:c>
      <x:c r="B27" s="7" t="n">
        <x:v>26700</x:v>
      </x:c>
      <x:c r="C27" s="7" t="n">
        <x:v>2500</x:v>
      </x:c>
      <x:c r="D27" s="7" t="n">
        <x:f>B27-C27</x:f>
        <x:v>24200</x:v>
      </x:c>
      <x:c r="E27" s="12" t="n">
        <x:v>145</x:v>
      </x:c>
      <x:c r="F27" s="14" t="n">
        <x:f>E27/10</x:f>
        <x:v>14.5</x:v>
      </x:c>
    </x:row>
    <x:row r="28" ht="25" customHeight="1">
      <x:c r="A28" s="2" t="str">
        <x:v>2026-10-21_Night</x:v>
      </x:c>
      <x:c r="B28" s="7" t="n">
        <x:v>9000</x:v>
      </x:c>
      <x:c r="C28" s="7" t="n">
        <x:v>3000</x:v>
      </x:c>
      <x:c r="D28" s="7" t="n">
        <x:f>B28-C28</x:f>
        <x:v>6000</x:v>
      </x:c>
      <x:c r="E28" s="12" t="n">
        <x:v>56</x:v>
      </x:c>
      <x:c r="F28" s="14" t="n">
        <x:f>E28/10</x:f>
        <x:v>5.6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13600</x:v>
      </x:c>
      <x:c r="C30" s="7" t="n">
        <x:v>30000</x:v>
      </x:c>
      <x:c r="D30" s="7" t="n">
        <x:f>B30-C30</x:f>
        <x:v>-16400</x:v>
      </x:c>
      <x:c r="E30" s="12" t="n">
        <x:v>102</x:v>
      </x:c>
      <x:c r="F30" s="14" t="n">
        <x:f>E30/10</x:f>
        <x:v>10.2</x:v>
      </x:c>
    </x:row>
    <x:row r="31" ht="25" customHeight="1">
      <x:c r="A31" s="2" t="str">
        <x:v>2026-10-26_Night</x:v>
      </x:c>
      <x:c r="B31" s="7" t="n">
        <x:v>10600</x:v>
      </x:c>
      <x:c r="C31" s="7" t="n">
        <x:v>500</x:v>
      </x:c>
      <x:c r="D31" s="7" t="n">
        <x:f>B31-C31</x:f>
        <x:v>10100</x:v>
      </x:c>
      <x:c r="E31" s="12" t="n">
        <x:v>58</x:v>
      </x:c>
      <x:c r="F31" s="14" t="n">
        <x:f>E31/10</x:f>
        <x:v>5.8</x:v>
      </x:c>
    </x:row>
    <x:row r="32" ht="25" customHeight="1">
      <x:c r="A32" s="2" t="str">
        <x:v>2026-10-27_Night</x:v>
      </x:c>
      <x:c r="B32" s="7" t="n">
        <x:v>0</x:v>
      </x:c>
      <x:c r="C32" s="7" t="n">
        <x:v>120000</x:v>
      </x:c>
      <x:c r="D32" s="7" t="n">
        <x:f>B32-C32</x:f>
        <x:v>-120000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236300</x:v>
      </x:c>
      <x:c r="C33" s="11" t="n">
        <x:f>SUM(C6:C32)</x:f>
        <x:v>215900</x:v>
      </x:c>
      <x:c r="D33" s="11" t="n">
        <x:f>B33-C33</x:f>
        <x:v>20400</x:v>
      </x:c>
      <x:c r="E33" s="13" t="n">
        <x:f>SUM(E6:E32)</x:f>
        <x:v>1549</x:v>
      </x:c>
      <x:c r="F33" s="15" t="n">
        <x:f>E33/10</x:f>
        <x:v>154.9</x:v>
      </x:c>
    </x:row>
  </x:sheetData>
  <x:mergeCells>
    <x:mergeCell ref="A2:F2"/>
    <x:mergeCell ref="A3:F3"/>
    <x:mergeCell ref="A4:F4"/>
  </x:mergeCells>
  <x:conditionalFormatting sqref="D6:D32">
    <x:cfRule type="cellIs" dxfId="8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09c971db6f048f8"/>
  </x:tableParts>
</x:worksheet>
</file>

<file path=xl/worksheets/sheet88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NK225_P168B_15　米国前の損益</x:v>
      </x:c>
      <x:c r="B2" s="2"/>
      <x:c r="C2" s="2"/>
      <x:c r="D2" s="2"/>
      <x:c r="E2" s="2"/>
      <x:c r="F2" s="2"/>
    </x:row>
    <x:row r="3" ht="38" customHeight="1">
      <x:c r="A3" s="5" t="str">
        <x:v>20円回収後の再参加を回収益半分の損失予算で制御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10000</x:v>
      </x:c>
      <x:c r="C7" s="7" t="n">
        <x:v>3500</x:v>
      </x:c>
      <x:c r="D7" s="7" t="n">
        <x:f>B7-C7</x:f>
        <x:v>6500</x:v>
      </x:c>
      <x:c r="E7" s="12" t="n">
        <x:v>57</x:v>
      </x:c>
      <x:c r="F7" s="14" t="n">
        <x:f>E7/10</x:f>
        <x:v>5.7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16200</x:v>
      </x:c>
      <x:c r="C9" s="7" t="n">
        <x:v>3200</x:v>
      </x:c>
      <x:c r="D9" s="7" t="n">
        <x:f>B9-C9</x:f>
        <x:v>13000</x:v>
      </x:c>
      <x:c r="E9" s="12" t="n">
        <x:v>120</x:v>
      </x:c>
      <x:c r="F9" s="14" t="n">
        <x:f>E9/10</x:f>
        <x:v>12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20800</x:v>
      </x:c>
      <x:c r="C13" s="7" t="n">
        <x:v>6900</x:v>
      </x:c>
      <x:c r="D13" s="7" t="n">
        <x:f>B13-C13</x:f>
        <x:v>13900</x:v>
      </x:c>
      <x:c r="E13" s="12" t="n">
        <x:v>168</x:v>
      </x:c>
      <x:c r="F13" s="14" t="n">
        <x:f>E13/10</x:f>
        <x:v>16.8</x:v>
      </x:c>
    </x:row>
    <x:row r="14" ht="25" customHeight="1">
      <x:c r="A14" s="2" t="str">
        <x:v>2026-10-01_Night</x:v>
      </x:c>
      <x:c r="B14" s="7" t="n">
        <x:v>39600</x:v>
      </x:c>
      <x:c r="C14" s="7" t="n">
        <x:v>12100</x:v>
      </x:c>
      <x:c r="D14" s="7" t="n">
        <x:f>B14-C14</x:f>
        <x:v>27500</x:v>
      </x:c>
      <x:c r="E14" s="12" t="n">
        <x:v>251</x:v>
      </x:c>
      <x:c r="F14" s="14" t="n">
        <x:f>E14/10</x:f>
        <x:v>25.1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11400</x:v>
      </x:c>
      <x:c r="C16" s="7" t="n">
        <x:v>6400</x:v>
      </x:c>
      <x:c r="D16" s="7" t="n">
        <x:f>B16-C16</x:f>
        <x:v>5000</x:v>
      </x:c>
      <x:c r="E16" s="12" t="n">
        <x:v>65</x:v>
      </x:c>
      <x:c r="F16" s="14" t="n">
        <x:f>E16/10</x:f>
        <x:v>6.5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12000</x:v>
      </x:c>
      <x:c r="C18" s="7" t="n">
        <x:v>27500</x:v>
      </x:c>
      <x:c r="D18" s="7" t="n">
        <x:f>B18-C18</x:f>
        <x:v>-15500</x:v>
      </x:c>
      <x:c r="E18" s="12" t="n">
        <x:v>79</x:v>
      </x:c>
      <x:c r="F18" s="14" t="n">
        <x:f>E18/10</x:f>
        <x:v>7.9</x:v>
      </x:c>
    </x:row>
    <x:row r="19" ht="25" customHeight="1">
      <x:c r="A19" s="2" t="str">
        <x:v>2026-10-08_Night</x:v>
      </x:c>
      <x:c r="B19" s="7" t="n">
        <x:v>2000</x:v>
      </x:c>
      <x:c r="C19" s="7" t="n">
        <x:v>500</x:v>
      </x:c>
      <x:c r="D19" s="7" t="n">
        <x:f>B19-C19</x:f>
        <x:v>1500</x:v>
      </x:c>
      <x:c r="E19" s="12" t="n">
        <x:v>21</x:v>
      </x:c>
      <x:c r="F19" s="14" t="n">
        <x:f>E19/10</x:f>
        <x:v>2.1</x:v>
      </x:c>
    </x:row>
    <x:row r="20" ht="25" customHeight="1">
      <x:c r="A20" s="2" t="str">
        <x:v>2026-10-09_Night</x:v>
      </x:c>
      <x:c r="B20" s="7" t="n">
        <x:v>20000</x:v>
      </x:c>
      <x:c r="C20" s="7" t="n">
        <x:v>8000</x:v>
      </x:c>
      <x:c r="D20" s="7" t="n">
        <x:f>B20-C20</x:f>
        <x:v>12000</x:v>
      </x:c>
      <x:c r="E20" s="12" t="n">
        <x:v>116</x:v>
      </x:c>
      <x:c r="F20" s="14" t="n">
        <x:f>E20/10</x:f>
        <x:v>11.6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13400</x:v>
      </x:c>
      <x:c r="C22" s="7" t="n">
        <x:v>5500</x:v>
      </x:c>
      <x:c r="D22" s="7" t="n">
        <x:f>B22-C22</x:f>
        <x:v>7900</x:v>
      </x:c>
      <x:c r="E22" s="12" t="n">
        <x:v>78</x:v>
      </x:c>
      <x:c r="F22" s="14" t="n">
        <x:f>E22/10</x:f>
        <x:v>7.8</x:v>
      </x:c>
    </x:row>
    <x:row r="23" ht="25" customHeight="1">
      <x:c r="A23" s="2" t="str">
        <x:v>2026-10-14_Night</x:v>
      </x:c>
      <x:c r="B23" s="7" t="n">
        <x:v>12500</x:v>
      </x:c>
      <x:c r="C23" s="7" t="n">
        <x:v>5000</x:v>
      </x:c>
      <x:c r="D23" s="7" t="n">
        <x:f>B23-C23</x:f>
        <x:v>7500</x:v>
      </x:c>
      <x:c r="E23" s="12" t="n">
        <x:v>77</x:v>
      </x:c>
      <x:c r="F23" s="14" t="n">
        <x:f>E23/10</x:f>
        <x:v>7.7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11600</x:v>
      </x:c>
      <x:c r="C25" s="7" t="n">
        <x:v>0</x:v>
      </x:c>
      <x:c r="D25" s="7" t="n">
        <x:f>B25-C25</x:f>
        <x:v>11600</x:v>
      </x:c>
      <x:c r="E25" s="12" t="n">
        <x:v>58</x:v>
      </x:c>
      <x:c r="F25" s="14" t="n">
        <x:f>E25/10</x:f>
        <x:v>5.8</x:v>
      </x:c>
    </x:row>
    <x:row r="26" ht="25" customHeight="1">
      <x:c r="A26" s="2" t="str">
        <x:v>2026-10-19_Night</x:v>
      </x:c>
      <x:c r="B26" s="7" t="n">
        <x:v>15000</x:v>
      </x:c>
      <x:c r="C26" s="7" t="n">
        <x:v>2000</x:v>
      </x:c>
      <x:c r="D26" s="7" t="n">
        <x:f>B26-C26</x:f>
        <x:v>13000</x:v>
      </x:c>
      <x:c r="E26" s="12" t="n">
        <x:v>104</x:v>
      </x:c>
      <x:c r="F26" s="14" t="n">
        <x:f>E26/10</x:f>
        <x:v>10.4</x:v>
      </x:c>
    </x:row>
    <x:row r="27" ht="25" customHeight="1">
      <x:c r="A27" s="2" t="str">
        <x:v>2026-10-20_Night</x:v>
      </x:c>
      <x:c r="B27" s="7" t="n">
        <x:v>28000</x:v>
      </x:c>
      <x:c r="C27" s="7" t="n">
        <x:v>8600</x:v>
      </x:c>
      <x:c r="D27" s="7" t="n">
        <x:f>B27-C27</x:f>
        <x:v>19400</x:v>
      </x:c>
      <x:c r="E27" s="12" t="n">
        <x:v>159</x:v>
      </x:c>
      <x:c r="F27" s="14" t="n">
        <x:f>E27/10</x:f>
        <x:v>15.9</x:v>
      </x:c>
    </x:row>
    <x:row r="28" ht="25" customHeight="1">
      <x:c r="A28" s="2" t="str">
        <x:v>2026-10-21_Night</x:v>
      </x:c>
      <x:c r="B28" s="7" t="n">
        <x:v>11400</x:v>
      </x:c>
      <x:c r="C28" s="7" t="n">
        <x:v>4000</x:v>
      </x:c>
      <x:c r="D28" s="7" t="n">
        <x:f>B28-C28</x:f>
        <x:v>7400</x:v>
      </x:c>
      <x:c r="E28" s="12" t="n">
        <x:v>65</x:v>
      </x:c>
      <x:c r="F28" s="14" t="n">
        <x:f>E28/10</x:f>
        <x:v>6.5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14000</x:v>
      </x:c>
      <x:c r="C30" s="7" t="n">
        <x:v>28500</x:v>
      </x:c>
      <x:c r="D30" s="7" t="n">
        <x:f>B30-C30</x:f>
        <x:v>-14500</x:v>
      </x:c>
      <x:c r="E30" s="12" t="n">
        <x:v>99</x:v>
      </x:c>
      <x:c r="F30" s="14" t="n">
        <x:f>E30/10</x:f>
        <x:v>9.9</x:v>
      </x:c>
    </x:row>
    <x:row r="31" ht="25" customHeight="1">
      <x:c r="A31" s="2" t="str">
        <x:v>2026-10-26_Night</x:v>
      </x:c>
      <x:c r="B31" s="7" t="n">
        <x:v>10000</x:v>
      </x:c>
      <x:c r="C31" s="7" t="n">
        <x:v>4000</x:v>
      </x:c>
      <x:c r="D31" s="7" t="n">
        <x:f>B31-C31</x:f>
        <x:v>6000</x:v>
      </x:c>
      <x:c r="E31" s="12" t="n">
        <x:v>58</x:v>
      </x:c>
      <x:c r="F31" s="14" t="n">
        <x:f>E31/10</x:f>
        <x:v>5.8</x:v>
      </x:c>
    </x:row>
    <x:row r="32" ht="25" customHeight="1">
      <x:c r="A32" s="2" t="str">
        <x:v>2026-10-27_Night</x:v>
      </x:c>
      <x:c r="B32" s="7" t="n">
        <x:v>0</x:v>
      </x:c>
      <x:c r="C32" s="7" t="n">
        <x:v>120000</x:v>
      </x:c>
      <x:c r="D32" s="7" t="n">
        <x:f>B32-C32</x:f>
        <x:v>-120000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247900</x:v>
      </x:c>
      <x:c r="C33" s="11" t="n">
        <x:f>SUM(C6:C32)</x:f>
        <x:v>245700</x:v>
      </x:c>
      <x:c r="D33" s="11" t="n">
        <x:f>B33-C33</x:f>
        <x:v>2200</x:v>
      </x:c>
      <x:c r="E33" s="13" t="n">
        <x:f>SUM(E6:E32)</x:f>
        <x:v>1635</x:v>
      </x:c>
      <x:c r="F33" s="15" t="n">
        <x:f>E33/10</x:f>
        <x:v>163.5</x:v>
      </x:c>
    </x:row>
  </x:sheetData>
  <x:mergeCells>
    <x:mergeCell ref="A2:F2"/>
    <x:mergeCell ref="A3:F3"/>
    <x:mergeCell ref="A4:F4"/>
  </x:mergeCells>
  <x:conditionalFormatting sqref="D6:D32">
    <x:cfRule type="cellIs" dxfId="8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17e59255961460c"/>
  </x:tableParts>
</x:worksheet>
</file>

<file path=xl/worksheets/sheet89.xml><?xml version="1.0" encoding="utf-8"?>
<x:worksheet xmlns:x="http://schemas.openxmlformats.org/spreadsheetml/2006/main">
  <x:sheetPr>
    <x:tabColor rgb="FF4973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NK225_P168B_16　米国前の損益</x:v>
      </x:c>
      <x:c r="B2" s="2"/>
      <x:c r="C2" s="2"/>
      <x:c r="D2" s="2"/>
      <x:c r="E2" s="2"/>
      <x:c r="F2" s="2"/>
    </x:row>
    <x:row r="3" ht="38" customHeight="1">
      <x:c r="A3" s="5" t="str">
        <x:v>8割回収と割合床・回収益予算で12回まで再判断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3" t="str">
        <x:v>セッション</x:v>
      </x:c>
      <x:c r="B5" s="23" t="str">
        <x:v>利益（円）</x:v>
      </x:c>
      <x:c r="C5" s="23" t="str">
        <x:v>損失（円）</x:v>
      </x:c>
      <x:c r="D5" s="23" t="str">
        <x:v>収支（円）</x:v>
      </x:c>
      <x:c r="E5" s="23" t="str">
        <x:v>新規枚数（micro）</x:v>
      </x:c>
      <x:c r="F5" s="23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0</x:v>
      </x:c>
      <x:c r="F6" s="14" t="n">
        <x:f>E6/10</x:f>
        <x:v>0</x:v>
      </x:c>
    </x:row>
    <x:row r="7" ht="25" customHeight="1">
      <x:c r="A7" s="2" t="str">
        <x:v>2026-09-22_Night</x:v>
      </x:c>
      <x:c r="B7" s="7" t="n">
        <x:v>9000</x:v>
      </x:c>
      <x:c r="C7" s="7" t="n">
        <x:v>3500</x:v>
      </x:c>
      <x:c r="D7" s="7" t="n">
        <x:f>B7-C7</x:f>
        <x:v>5500</x:v>
      </x:c>
      <x:c r="E7" s="12" t="n">
        <x:v>57</x:v>
      </x:c>
      <x:c r="F7" s="14" t="n">
        <x:f>E7/10</x:f>
        <x:v>5.7</x:v>
      </x:c>
    </x:row>
    <x:row r="8" ht="25" customHeight="1">
      <x:c r="A8" s="2" t="str">
        <x:v>2026-09-23_Night</x:v>
      </x:c>
      <x:c r="B8" s="7" t="n">
        <x:v>0</x:v>
      </x:c>
      <x:c r="C8" s="7" t="n">
        <x:v>0</x:v>
      </x:c>
      <x:c r="D8" s="7" t="n">
        <x:f>B8-C8</x:f>
        <x:v>0</x:v>
      </x:c>
      <x:c r="E8" s="12" t="n">
        <x:v>0</x:v>
      </x:c>
      <x:c r="F8" s="14" t="n">
        <x:f>E8/10</x:f>
        <x:v>0</x:v>
      </x:c>
    </x:row>
    <x:row r="9" ht="25" customHeight="1">
      <x:c r="A9" s="2" t="str">
        <x:v>2026-09-24_Night</x:v>
      </x:c>
      <x:c r="B9" s="7" t="n">
        <x:v>15200</x:v>
      </x:c>
      <x:c r="C9" s="7" t="n">
        <x:v>5300</x:v>
      </x:c>
      <x:c r="D9" s="7" t="n">
        <x:f>B9-C9</x:f>
        <x:v>9900</x:v>
      </x:c>
      <x:c r="E9" s="12" t="n">
        <x:v>124</x:v>
      </x:c>
      <x:c r="F9" s="14" t="n">
        <x:f>E9/10</x:f>
        <x:v>12.4</x:v>
      </x:c>
    </x:row>
    <x:row r="10" ht="25" customHeight="1">
      <x:c r="A10" s="2" t="str">
        <x:v>2026-09-25_Night</x:v>
      </x:c>
      <x:c r="B10" s="7" t="n">
        <x:v>0</x:v>
      </x:c>
      <x:c r="C10" s="7" t="n">
        <x:v>0</x:v>
      </x:c>
      <x:c r="D10" s="7" t="n">
        <x:f>B10-C10</x:f>
        <x:v>0</x:v>
      </x:c>
      <x:c r="E10" s="12" t="n">
        <x:v>0</x:v>
      </x:c>
      <x:c r="F10" s="14" t="n">
        <x:f>E10/10</x:f>
        <x:v>0</x:v>
      </x:c>
    </x:row>
    <x:row r="11" ht="25" customHeight="1">
      <x:c r="A11" s="2" t="str">
        <x:v>2026-09-28_Night</x:v>
      </x:c>
      <x:c r="B11" s="7" t="n">
        <x:v>0</x:v>
      </x:c>
      <x:c r="C11" s="7" t="n">
        <x:v>0</x:v>
      </x:c>
      <x:c r="D11" s="7" t="n">
        <x:f>B11-C11</x:f>
        <x:v>0</x:v>
      </x:c>
      <x:c r="E11" s="12" t="n">
        <x:v>10</x:v>
      </x:c>
      <x:c r="F11" s="14" t="n">
        <x:f>E11/10</x:f>
        <x:v>1</x:v>
      </x:c>
    </x:row>
    <x:row r="12" ht="25" customHeight="1">
      <x:c r="A12" s="2" t="str">
        <x:v>2026-09-29_Night</x:v>
      </x:c>
      <x:c r="B12" s="7" t="n">
        <x:v>0</x:v>
      </x:c>
      <x:c r="C12" s="7" t="n">
        <x:v>0</x:v>
      </x:c>
      <x:c r="D12" s="7" t="n">
        <x:f>B12-C12</x:f>
        <x:v>0</x:v>
      </x:c>
      <x:c r="E12" s="12" t="n">
        <x:v>0</x:v>
      </x:c>
      <x:c r="F12" s="14" t="n">
        <x:f>E12/10</x:f>
        <x:v>0</x:v>
      </x:c>
    </x:row>
    <x:row r="13" ht="25" customHeight="1">
      <x:c r="A13" s="2" t="str">
        <x:v>2026-09-30_Night</x:v>
      </x:c>
      <x:c r="B13" s="7" t="n">
        <x:v>23700</x:v>
      </x:c>
      <x:c r="C13" s="7" t="n">
        <x:v>3400</x:v>
      </x:c>
      <x:c r="D13" s="7" t="n">
        <x:f>B13-C13</x:f>
        <x:v>20300</x:v>
      </x:c>
      <x:c r="E13" s="12" t="n">
        <x:v>161</x:v>
      </x:c>
      <x:c r="F13" s="14" t="n">
        <x:f>E13/10</x:f>
        <x:v>16.1</x:v>
      </x:c>
    </x:row>
    <x:row r="14" ht="25" customHeight="1">
      <x:c r="A14" s="2" t="str">
        <x:v>2026-10-01_Night</x:v>
      </x:c>
      <x:c r="B14" s="7" t="n">
        <x:v>38800</x:v>
      </x:c>
      <x:c r="C14" s="7" t="n">
        <x:v>5900</x:v>
      </x:c>
      <x:c r="D14" s="7" t="n">
        <x:f>B14-C14</x:f>
        <x:v>32900</x:v>
      </x:c>
      <x:c r="E14" s="12" t="n">
        <x:v>240</x:v>
      </x:c>
      <x:c r="F14" s="14" t="n">
        <x:f>E14/10</x:f>
        <x:v>24</x:v>
      </x:c>
    </x:row>
    <x:row r="15" ht="25" customHeight="1">
      <x:c r="A15" s="2" t="str">
        <x:v>2026-10-02_Night</x:v>
      </x:c>
      <x:c r="B15" s="7" t="n">
        <x:v>0</x:v>
      </x:c>
      <x:c r="C15" s="7" t="n">
        <x:v>0</x:v>
      </x:c>
      <x:c r="D15" s="7" t="n">
        <x:f>B15-C15</x:f>
        <x:v>0</x:v>
      </x:c>
      <x:c r="E15" s="12" t="n">
        <x:v>0</x:v>
      </x:c>
      <x:c r="F15" s="14" t="n">
        <x:f>E15/10</x:f>
        <x:v>0</x:v>
      </x:c>
    </x:row>
    <x:row r="16" ht="25" customHeight="1">
      <x:c r="A16" s="2" t="str">
        <x:v>2026-10-05_Night</x:v>
      </x:c>
      <x:c r="B16" s="7" t="n">
        <x:v>11000</x:v>
      </x:c>
      <x:c r="C16" s="7" t="n">
        <x:v>0</x:v>
      </x:c>
      <x:c r="D16" s="7" t="n">
        <x:f>B16-C16</x:f>
        <x:v>11000</x:v>
      </x:c>
      <x:c r="E16" s="12" t="n">
        <x:v>50</x:v>
      </x:c>
      <x:c r="F16" s="14" t="n">
        <x:f>E16/10</x:f>
        <x:v>5</x:v>
      </x:c>
    </x:row>
    <x:row r="17" ht="25" customHeight="1">
      <x:c r="A17" s="2" t="str">
        <x:v>2026-10-06_Night</x:v>
      </x:c>
      <x:c r="B17" s="7" t="n">
        <x:v>0</x:v>
      </x:c>
      <x:c r="C17" s="7" t="n">
        <x:v>0</x:v>
      </x:c>
      <x:c r="D17" s="7" t="n">
        <x:f>B17-C17</x:f>
        <x:v>0</x:v>
      </x:c>
      <x:c r="E17" s="12" t="n">
        <x:v>0</x:v>
      </x:c>
      <x:c r="F17" s="14" t="n">
        <x:f>E17/10</x:f>
        <x:v>0</x:v>
      </x:c>
    </x:row>
    <x:row r="18" ht="25" customHeight="1">
      <x:c r="A18" s="2" t="str">
        <x:v>2026-10-07_Night</x:v>
      </x:c>
      <x:c r="B18" s="7" t="n">
        <x:v>11800</x:v>
      </x:c>
      <x:c r="C18" s="7" t="n">
        <x:v>27500</x:v>
      </x:c>
      <x:c r="D18" s="7" t="n">
        <x:f>B18-C18</x:f>
        <x:v>-15700</x:v>
      </x:c>
      <x:c r="E18" s="12" t="n">
        <x:v>79</x:v>
      </x:c>
      <x:c r="F18" s="14" t="n">
        <x:f>E18/10</x:f>
        <x:v>7.9</x:v>
      </x:c>
    </x:row>
    <x:row r="19" ht="25" customHeight="1">
      <x:c r="A19" s="2" t="str">
        <x:v>2026-10-08_Night</x:v>
      </x:c>
      <x:c r="B19" s="7" t="n">
        <x:v>1800</x:v>
      </x:c>
      <x:c r="C19" s="7" t="n">
        <x:v>500</x:v>
      </x:c>
      <x:c r="D19" s="7" t="n">
        <x:f>B19-C19</x:f>
        <x:v>1300</x:v>
      </x:c>
      <x:c r="E19" s="12" t="n">
        <x:v>21</x:v>
      </x:c>
      <x:c r="F19" s="14" t="n">
        <x:f>E19/10</x:f>
        <x:v>2.1</x:v>
      </x:c>
    </x:row>
    <x:row r="20" ht="25" customHeight="1">
      <x:c r="A20" s="2" t="str">
        <x:v>2026-10-09_Night</x:v>
      </x:c>
      <x:c r="B20" s="7" t="n">
        <x:v>19000</x:v>
      </x:c>
      <x:c r="C20" s="7" t="n">
        <x:v>7500</x:v>
      </x:c>
      <x:c r="D20" s="7" t="n">
        <x:f>B20-C20</x:f>
        <x:v>11500</x:v>
      </x:c>
      <x:c r="E20" s="12" t="n">
        <x:v>115</x:v>
      </x:c>
      <x:c r="F20" s="14" t="n">
        <x:f>E20/10</x:f>
        <x:v>11.5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0</x:v>
      </x:c>
      <x:c r="F21" s="14" t="n">
        <x:f>E21/10</x:f>
        <x:v>0</x:v>
      </x:c>
    </x:row>
    <x:row r="22" ht="25" customHeight="1">
      <x:c r="A22" s="2" t="str">
        <x:v>2026-10-13_Night</x:v>
      </x:c>
      <x:c r="B22" s="7" t="n">
        <x:v>15100</x:v>
      </x:c>
      <x:c r="C22" s="7" t="n">
        <x:v>6000</x:v>
      </x:c>
      <x:c r="D22" s="7" t="n">
        <x:f>B22-C22</x:f>
        <x:v>9100</x:v>
      </x:c>
      <x:c r="E22" s="12" t="n">
        <x:v>90</x:v>
      </x:c>
      <x:c r="F22" s="14" t="n">
        <x:f>E22/10</x:f>
        <x:v>9</x:v>
      </x:c>
    </x:row>
    <x:row r="23" ht="25" customHeight="1">
      <x:c r="A23" s="2" t="str">
        <x:v>2026-10-14_Night</x:v>
      </x:c>
      <x:c r="B23" s="7" t="n">
        <x:v>11000</x:v>
      </x:c>
      <x:c r="C23" s="7" t="n">
        <x:v>4500</x:v>
      </x:c>
      <x:c r="D23" s="7" t="n">
        <x:f>B23-C23</x:f>
        <x:v>6500</x:v>
      </x:c>
      <x:c r="E23" s="12" t="n">
        <x:v>74</x:v>
      </x:c>
      <x:c r="F23" s="14" t="n">
        <x:f>E23/10</x:f>
        <x:v>7.4</x:v>
      </x:c>
    </x:row>
    <x:row r="24" ht="25" customHeight="1">
      <x:c r="A24" s="2" t="str">
        <x:v>2026-10-15_Night</x:v>
      </x:c>
      <x:c r="B24" s="7" t="n">
        <x:v>0</x:v>
      </x:c>
      <x:c r="C24" s="7" t="n">
        <x:v>0</x:v>
      </x:c>
      <x:c r="D24" s="7" t="n">
        <x:f>B24-C24</x:f>
        <x:v>0</x:v>
      </x:c>
      <x:c r="E24" s="12" t="n">
        <x:v>0</x:v>
      </x:c>
      <x:c r="F24" s="14" t="n">
        <x:f>E24/10</x:f>
        <x:v>0</x:v>
      </x:c>
    </x:row>
    <x:row r="25" ht="25" customHeight="1">
      <x:c r="A25" s="2" t="str">
        <x:v>2026-10-16_Night</x:v>
      </x:c>
      <x:c r="B25" s="7" t="n">
        <x:v>10200</x:v>
      </x:c>
      <x:c r="C25" s="7" t="n">
        <x:v>0</x:v>
      </x:c>
      <x:c r="D25" s="7" t="n">
        <x:f>B25-C25</x:f>
        <x:v>10200</x:v>
      </x:c>
      <x:c r="E25" s="12" t="n">
        <x:v>57</x:v>
      </x:c>
      <x:c r="F25" s="14" t="n">
        <x:f>E25/10</x:f>
        <x:v>5.7</x:v>
      </x:c>
    </x:row>
    <x:row r="26" ht="25" customHeight="1">
      <x:c r="A26" s="2" t="str">
        <x:v>2026-10-19_Night</x:v>
      </x:c>
      <x:c r="B26" s="7" t="n">
        <x:v>15000</x:v>
      </x:c>
      <x:c r="C26" s="7" t="n">
        <x:v>2500</x:v>
      </x:c>
      <x:c r="D26" s="7" t="n">
        <x:f>B26-C26</x:f>
        <x:v>12500</x:v>
      </x:c>
      <x:c r="E26" s="12" t="n">
        <x:v>105</x:v>
      </x:c>
      <x:c r="F26" s="14" t="n">
        <x:f>E26/10</x:f>
        <x:v>10.5</x:v>
      </x:c>
    </x:row>
    <x:row r="27" ht="25" customHeight="1">
      <x:c r="A27" s="2" t="str">
        <x:v>2026-10-20_Night</x:v>
      </x:c>
      <x:c r="B27" s="7" t="n">
        <x:v>26500</x:v>
      </x:c>
      <x:c r="C27" s="7" t="n">
        <x:v>9800</x:v>
      </x:c>
      <x:c r="D27" s="7" t="n">
        <x:f>B27-C27</x:f>
        <x:v>16700</x:v>
      </x:c>
      <x:c r="E27" s="12" t="n">
        <x:v>159</x:v>
      </x:c>
      <x:c r="F27" s="14" t="n">
        <x:f>E27/10</x:f>
        <x:v>15.9</x:v>
      </x:c>
    </x:row>
    <x:row r="28" ht="25" customHeight="1">
      <x:c r="A28" s="2" t="str">
        <x:v>2026-10-21_Night</x:v>
      </x:c>
      <x:c r="B28" s="7" t="n">
        <x:v>9000</x:v>
      </x:c>
      <x:c r="C28" s="7" t="n">
        <x:v>3500</x:v>
      </x:c>
      <x:c r="D28" s="7" t="n">
        <x:f>B28-C28</x:f>
        <x:v>5500</x:v>
      </x:c>
      <x:c r="E28" s="12" t="n">
        <x:v>57</x:v>
      </x:c>
      <x:c r="F28" s="14" t="n">
        <x:f>E28/10</x:f>
        <x:v>5.7</x:v>
      </x:c>
    </x:row>
    <x:row r="29" ht="25" customHeight="1">
      <x:c r="A29" s="2" t="str">
        <x:v>2026-10-22_Night</x:v>
      </x:c>
      <x:c r="B29" s="7" t="n">
        <x:v>0</x:v>
      </x:c>
      <x:c r="C29" s="7" t="n">
        <x:v>0</x:v>
      </x:c>
      <x:c r="D29" s="7" t="n">
        <x:f>B29-C29</x:f>
        <x:v>0</x:v>
      </x:c>
      <x:c r="E29" s="12" t="n">
        <x:v>0</x:v>
      </x:c>
      <x:c r="F29" s="14" t="n">
        <x:f>E29/10</x:f>
        <x:v>0</x:v>
      </x:c>
    </x:row>
    <x:row r="30" ht="25" customHeight="1">
      <x:c r="A30" s="2" t="str">
        <x:v>2026-10-23_Night</x:v>
      </x:c>
      <x:c r="B30" s="7" t="n">
        <x:v>13600</x:v>
      </x:c>
      <x:c r="C30" s="7" t="n">
        <x:v>28000</x:v>
      </x:c>
      <x:c r="D30" s="7" t="n">
        <x:f>B30-C30</x:f>
        <x:v>-14400</x:v>
      </x:c>
      <x:c r="E30" s="12" t="n">
        <x:v>98</x:v>
      </x:c>
      <x:c r="F30" s="14" t="n">
        <x:f>E30/10</x:f>
        <x:v>9.8</x:v>
      </x:c>
    </x:row>
    <x:row r="31" ht="25" customHeight="1">
      <x:c r="A31" s="2" t="str">
        <x:v>2026-10-26_Night</x:v>
      </x:c>
      <x:c r="B31" s="7" t="n">
        <x:v>12100</x:v>
      </x:c>
      <x:c r="C31" s="7" t="n">
        <x:v>4000</x:v>
      </x:c>
      <x:c r="D31" s="7" t="n">
        <x:f>B31-C31</x:f>
        <x:v>8100</x:v>
      </x:c>
      <x:c r="E31" s="12" t="n">
        <x:v>72</x:v>
      </x:c>
      <x:c r="F31" s="14" t="n">
        <x:f>E31/10</x:f>
        <x:v>7.2</x:v>
      </x:c>
    </x:row>
    <x:row r="32" ht="25" customHeight="1">
      <x:c r="A32" s="2" t="str">
        <x:v>2026-10-27_Night</x:v>
      </x:c>
      <x:c r="B32" s="7" t="n">
        <x:v>0</x:v>
      </x:c>
      <x:c r="C32" s="7" t="n">
        <x:v>120000</x:v>
      </x:c>
      <x:c r="D32" s="7" t="n">
        <x:f>B32-C32</x:f>
        <x:v>-120000</x:v>
      </x:c>
      <x:c r="E32" s="12" t="n">
        <x:v>50</x:v>
      </x:c>
      <x:c r="F32" s="14" t="n">
        <x:f>E32/10</x:f>
        <x:v>5</x:v>
      </x:c>
    </x:row>
    <x:row r="33" ht="25" customHeight="1">
      <x:c r="A33" s="10" t="str">
        <x:v>合計</x:v>
      </x:c>
      <x:c r="B33" s="11" t="n">
        <x:f>SUM(B6:B32)</x:f>
        <x:v>242800</x:v>
      </x:c>
      <x:c r="C33" s="11" t="n">
        <x:f>SUM(C6:C32)</x:f>
        <x:v>231900</x:v>
      </x:c>
      <x:c r="D33" s="11" t="n">
        <x:f>B33-C33</x:f>
        <x:v>10900</x:v>
      </x:c>
      <x:c r="E33" s="13" t="n">
        <x:f>SUM(E6:E32)</x:f>
        <x:v>1619</x:v>
      </x:c>
      <x:c r="F33" s="15" t="n">
        <x:f>E33/10</x:f>
        <x:v>161.9</x:v>
      </x:c>
    </x:row>
  </x:sheetData>
  <x:mergeCells>
    <x:mergeCell ref="A2:F2"/>
    <x:mergeCell ref="A3:F3"/>
    <x:mergeCell ref="A4:F4"/>
  </x:mergeCells>
  <x:conditionalFormatting sqref="D6:D32">
    <x:cfRule type="cellIs" dxfId="8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cc4173aa3744104"/>
  </x:tableParts>
</x:worksheet>
</file>

<file path=xl/worksheets/sheet90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NK225_U165_03　米国後の損益</x:v>
      </x:c>
      <x:c r="B2" s="2"/>
      <x:c r="C2" s="2"/>
      <x:c r="D2" s="2"/>
      <x:c r="E2" s="2"/>
      <x:c r="F2" s="2"/>
    </x:row>
    <x:row r="3" ht="38" customHeight="1">
      <x:c r="A3" s="5" t="str">
        <x:v>現行の保存済み通知を同じ次正常板で再現する比較元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45000</x:v>
      </x:c>
      <x:c r="D6" s="7" t="n">
        <x:f>B6-C6</x:f>
        <x:v>-45000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32000</x:v>
      </x:c>
      <x:c r="C7" s="7" t="n">
        <x:v>8000</x:v>
      </x:c>
      <x:c r="D7" s="7" t="n">
        <x:f>B7-C7</x:f>
        <x:v>24000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5000</x:v>
      </x:c>
      <x:c r="C8" s="7" t="n">
        <x:v>41000</x:v>
      </x:c>
      <x:c r="D8" s="7" t="n">
        <x:f>B8-C8</x:f>
        <x:v>-36000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20000</x:v>
      </x:c>
      <x:c r="C9" s="7" t="n">
        <x:v>0</x:v>
      </x:c>
      <x:c r="D9" s="7" t="n">
        <x:f>B9-C9</x:f>
        <x:v>20000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17000</x:v>
      </x:c>
      <x:c r="C10" s="7" t="n">
        <x:v>16000</x:v>
      </x:c>
      <x:c r="D10" s="7" t="n">
        <x:f>B10-C10</x:f>
        <x:v>1000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10000</x:v>
      </x:c>
      <x:c r="C11" s="7" t="n">
        <x:v>42000</x:v>
      </x:c>
      <x:c r="D11" s="7" t="n">
        <x:f>B11-C11</x:f>
        <x:v>-32000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82000</x:v>
      </x:c>
      <x:c r="C12" s="7" t="n">
        <x:v>27000</x:v>
      </x:c>
      <x:c r="D12" s="7" t="n">
        <x:f>B12-C12</x:f>
        <x:v>55000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49000</x:v>
      </x:c>
      <x:c r="C13" s="7" t="n">
        <x:v>6000</x:v>
      </x:c>
      <x:c r="D13" s="7" t="n">
        <x:f>B13-C13</x:f>
        <x:v>43000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190000</x:v>
      </x:c>
      <x:c r="C14" s="7" t="n">
        <x:v>54000</x:v>
      </x:c>
      <x:c r="D14" s="7" t="n">
        <x:f>B14-C14</x:f>
        <x:v>136000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313000</x:v>
      </x:c>
      <x:c r="C15" s="7" t="n">
        <x:v>57000</x:v>
      </x:c>
      <x:c r="D15" s="7" t="n">
        <x:f>B15-C15</x:f>
        <x:v>256000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98000</x:v>
      </x:c>
      <x:c r="C16" s="7" t="n">
        <x:v>64000</x:v>
      </x:c>
      <x:c r="D16" s="7" t="n">
        <x:f>B16-C16</x:f>
        <x:v>34000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33000</x:v>
      </x:c>
      <x:c r="C17" s="7" t="n">
        <x:v>35000</x:v>
      </x:c>
      <x:c r="D17" s="7" t="n">
        <x:f>B17-C17</x:f>
        <x:v>-2000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0</x:v>
      </x:c>
      <x:c r="C18" s="7" t="n">
        <x:v>22000</x:v>
      </x:c>
      <x:c r="D18" s="7" t="n">
        <x:f>B18-C18</x:f>
        <x:v>-22000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342000</x:v>
      </x:c>
      <x:c r="C19" s="7" t="n">
        <x:v>32000</x:v>
      </x:c>
      <x:c r="D19" s="7" t="n">
        <x:f>B19-C19</x:f>
        <x:v>310000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12000</x:v>
      </x:c>
      <x:c r="C20" s="7" t="n">
        <x:v>3000</x:v>
      </x:c>
      <x:c r="D20" s="7" t="n">
        <x:f>B20-C20</x:f>
        <x:v>9000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82000</x:v>
      </x:c>
      <x:c r="C21" s="7" t="n">
        <x:v>0</x:v>
      </x:c>
      <x:c r="D21" s="7" t="n">
        <x:f>B21-C21</x:f>
        <x:v>82000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0</x:v>
      </x:c>
      <x:c r="C22" s="7" t="n">
        <x:v>53000</x:v>
      </x:c>
      <x:c r="D22" s="7" t="n">
        <x:f>B22-C22</x:f>
        <x:v>-53000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197000</x:v>
      </x:c>
      <x:c r="C23" s="7" t="n">
        <x:v>61000</x:v>
      </x:c>
      <x:c r="D23" s="7" t="n">
        <x:f>B23-C23</x:f>
        <x:v>136000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86000</x:v>
      </x:c>
      <x:c r="C24" s="7" t="n">
        <x:v>47000</x:v>
      </x:c>
      <x:c r="D24" s="7" t="n">
        <x:f>B24-C24</x:f>
        <x:v>39000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175000</x:v>
      </x:c>
      <x:c r="C25" s="7" t="n">
        <x:v>146000</x:v>
      </x:c>
      <x:c r="D25" s="7" t="n">
        <x:f>B25-C25</x:f>
        <x:v>29000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97000</x:v>
      </x:c>
      <x:c r="C26" s="7" t="n">
        <x:v>105000</x:v>
      </x:c>
      <x:c r="D26" s="7" t="n">
        <x:f>B26-C26</x:f>
        <x:v>-8000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92000</x:v>
      </x:c>
      <x:c r="C27" s="7" t="n">
        <x:v>33000</x:v>
      </x:c>
      <x:c r="D27" s="7" t="n">
        <x:f>B27-C27</x:f>
        <x:v>59000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64000</x:v>
      </x:c>
      <x:c r="C28" s="7" t="n">
        <x:v>44000</x:v>
      </x:c>
      <x:c r="D28" s="7" t="n">
        <x:f>B28-C28</x:f>
        <x:v>20000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156000</x:v>
      </x:c>
      <x:c r="C29" s="7" t="n">
        <x:v>0</x:v>
      </x:c>
      <x:c r="D29" s="7" t="n">
        <x:f>B29-C29</x:f>
        <x:v>156000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49000</x:v>
      </x:c>
      <x:c r="C30" s="7" t="n">
        <x:v>34000</x:v>
      </x:c>
      <x:c r="D30" s="7" t="n">
        <x:f>B30-C30</x:f>
        <x:v>15000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71000</x:v>
      </x:c>
      <x:c r="C31" s="7" t="n">
        <x:v>124000</x:v>
      </x:c>
      <x:c r="D31" s="7" t="n">
        <x:f>B31-C31</x:f>
        <x:v>-53000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8000</x:v>
      </x:c>
      <x:c r="C32" s="7" t="n">
        <x:v>0</x:v>
      </x:c>
      <x:c r="D32" s="7" t="n">
        <x:f>B32-C32</x:f>
        <x:v>8000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2280000</x:v>
      </x:c>
      <x:c r="C33" s="11" t="n">
        <x:f>SUM(C6:C32)</x:f>
        <x:v>1099000</x:v>
      </x:c>
      <x:c r="D33" s="11" t="n">
        <x:f>B33-C33</x:f>
        <x:v>1181000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8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c792bae31074e74"/>
  </x:tableParts>
</x:worksheet>
</file>

<file path=xl/worksheets/sheet91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NK225_U168_01　米国後の損益</x:v>
      </x:c>
      <x:c r="B2" s="2"/>
      <x:c r="C2" s="2"/>
      <x:c r="D2" s="2"/>
      <x:c r="E2" s="2"/>
      <x:c r="F2" s="2"/>
    </x:row>
    <x:row r="3" ht="38" customHeight="1">
      <x:c r="A3" s="5" t="str">
        <x:v>10円から固定20円追尾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0</x:v>
      </x:c>
      <x:c r="C7" s="7" t="n">
        <x:v>0</x:v>
      </x:c>
      <x:c r="D7" s="7" t="n">
        <x:f>B7-C7</x:f>
        <x:v>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4000</x:v>
      </x:c>
      <x:c r="C8" s="7" t="n">
        <x:v>40000</x:v>
      </x:c>
      <x:c r="D8" s="7" t="n">
        <x:f>B8-C8</x:f>
        <x:v>-36000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1000</x:v>
      </x:c>
      <x:c r="C9" s="7" t="n">
        <x:v>0</x:v>
      </x:c>
      <x:c r="D9" s="7" t="n">
        <x:f>B9-C9</x:f>
        <x:v>1000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5000</x:v>
      </x:c>
      <x:c r="C10" s="7" t="n">
        <x:v>0</x:v>
      </x:c>
      <x:c r="D10" s="7" t="n">
        <x:f>B10-C10</x:f>
        <x:v>5000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0</x:v>
      </x:c>
      <x:c r="C11" s="7" t="n">
        <x:v>33000</x:v>
      </x:c>
      <x:c r="D11" s="7" t="n">
        <x:f>B11-C11</x:f>
        <x:v>-33000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2000</x:v>
      </x:c>
      <x:c r="C12" s="7" t="n">
        <x:v>14000</x:v>
      </x:c>
      <x:c r="D12" s="7" t="n">
        <x:f>B12-C12</x:f>
        <x:v>-12000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0</x:v>
      </x:c>
      <x:c r="C13" s="7" t="n">
        <x:v>0</x:v>
      </x:c>
      <x:c r="D13" s="7" t="n">
        <x:f>B13-C13</x:f>
        <x:v>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6000</x:v>
      </x:c>
      <x:c r="C14" s="7" t="n">
        <x:v>13000</x:v>
      </x:c>
      <x:c r="D14" s="7" t="n">
        <x:f>B14-C14</x:f>
        <x:v>-7000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19000</x:v>
      </x:c>
      <x:c r="C15" s="7" t="n">
        <x:v>9000</x:v>
      </x:c>
      <x:c r="D15" s="7" t="n">
        <x:f>B15-C15</x:f>
        <x:v>10000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3000</x:v>
      </x:c>
      <x:c r="C16" s="7" t="n">
        <x:v>0</x:v>
      </x:c>
      <x:c r="D16" s="7" t="n">
        <x:f>B16-C16</x:f>
        <x:v>3000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1000</x:v>
      </x:c>
      <x:c r="C17" s="7" t="n">
        <x:v>35000</x:v>
      </x:c>
      <x:c r="D17" s="7" t="n">
        <x:f>B17-C17</x:f>
        <x:v>-34000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0</x:v>
      </x:c>
      <x:c r="C18" s="7" t="n">
        <x:v>14000</x:v>
      </x:c>
      <x:c r="D18" s="7" t="n">
        <x:f>B18-C18</x:f>
        <x:v>-14000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5000</x:v>
      </x:c>
      <x:c r="C19" s="7" t="n">
        <x:v>12000</x:v>
      </x:c>
      <x:c r="D19" s="7" t="n">
        <x:f>B19-C19</x:f>
        <x:v>-7000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0</x:v>
      </x:c>
      <x:c r="C20" s="7" t="n">
        <x:v>0</x:v>
      </x:c>
      <x:c r="D20" s="7" t="n">
        <x:f>B20-C20</x:f>
        <x:v>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0</x:v>
      </x:c>
      <x:c r="C22" s="7" t="n">
        <x:v>8000</x:v>
      </x:c>
      <x:c r="D22" s="7" t="n">
        <x:f>B22-C22</x:f>
        <x:v>-8000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0</x:v>
      </x:c>
      <x:c r="C23" s="7" t="n">
        <x:v>0</x:v>
      </x:c>
      <x:c r="D23" s="7" t="n">
        <x:f>B23-C23</x:f>
        <x:v>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3000</x:v>
      </x:c>
      <x:c r="C24" s="7" t="n">
        <x:v>30000</x:v>
      </x:c>
      <x:c r="D24" s="7" t="n">
        <x:f>B24-C24</x:f>
        <x:v>-27000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5000</x:v>
      </x:c>
      <x:c r="C25" s="7" t="n">
        <x:v>0</x:v>
      </x:c>
      <x:c r="D25" s="7" t="n">
        <x:f>B25-C25</x:f>
        <x:v>5000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16000</x:v>
      </x:c>
      <x:c r="C26" s="7" t="n">
        <x:v>49000</x:v>
      </x:c>
      <x:c r="D26" s="7" t="n">
        <x:f>B26-C26</x:f>
        <x:v>-33000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4000</x:v>
      </x:c>
      <x:c r="C27" s="7" t="n">
        <x:v>0</x:v>
      </x:c>
      <x:c r="D27" s="7" t="n">
        <x:f>B27-C27</x:f>
        <x:v>4000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7000</x:v>
      </x:c>
      <x:c r="C28" s="7" t="n">
        <x:v>0</x:v>
      </x:c>
      <x:c r="D28" s="7" t="n">
        <x:f>B28-C28</x:f>
        <x:v>7000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6000</x:v>
      </x:c>
      <x:c r="C29" s="7" t="n">
        <x:v>0</x:v>
      </x:c>
      <x:c r="D29" s="7" t="n">
        <x:f>B29-C29</x:f>
        <x:v>6000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6000</x:v>
      </x:c>
      <x:c r="C30" s="7" t="n">
        <x:v>17000</x:v>
      </x:c>
      <x:c r="D30" s="7" t="n">
        <x:f>B30-C30</x:f>
        <x:v>-11000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16000</x:v>
      </x:c>
      <x:c r="C31" s="7" t="n">
        <x:v>18000</x:v>
      </x:c>
      <x:c r="D31" s="7" t="n">
        <x:f>B31-C31</x:f>
        <x:v>-2000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0</x:v>
      </x:c>
      <x:c r="C32" s="7" t="n">
        <x:v>0</x:v>
      </x:c>
      <x:c r="D32" s="7" t="n">
        <x:f>B32-C32</x:f>
        <x:v>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109000</x:v>
      </x:c>
      <x:c r="C33" s="11" t="n">
        <x:f>SUM(C6:C32)</x:f>
        <x:v>292000</x:v>
      </x:c>
      <x:c r="D33" s="11" t="n">
        <x:f>B33-C33</x:f>
        <x:v>-183000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8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c91c4ba17324a4f"/>
  </x:tableParts>
</x:worksheet>
</file>

<file path=xl/worksheets/sheet92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NK225_U168_02　米国後の損益</x:v>
      </x:c>
      <x:c r="B2" s="2"/>
      <x:c r="C2" s="2"/>
      <x:c r="D2" s="2"/>
      <x:c r="E2" s="2"/>
      <x:c r="F2" s="2"/>
    </x:row>
    <x:row r="3" ht="38" customHeight="1">
      <x:c r="A3" s="5" t="str">
        <x:v>20円から固定20円追尾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10000</x:v>
      </x:c>
      <x:c r="C6" s="7" t="n">
        <x:v>0</x:v>
      </x:c>
      <x:c r="D6" s="7" t="n">
        <x:f>B6-C6</x:f>
        <x:v>10000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5000</x:v>
      </x:c>
      <x:c r="C7" s="7" t="n">
        <x:v>0</x:v>
      </x:c>
      <x:c r="D7" s="7" t="n">
        <x:f>B7-C7</x:f>
        <x:v>5000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12000</x:v>
      </x:c>
      <x:c r="C8" s="7" t="n">
        <x:v>40000</x:v>
      </x:c>
      <x:c r="D8" s="7" t="n">
        <x:f>B8-C8</x:f>
        <x:v>-28000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3000</x:v>
      </x:c>
      <x:c r="C9" s="7" t="n">
        <x:v>0</x:v>
      </x:c>
      <x:c r="D9" s="7" t="n">
        <x:f>B9-C9</x:f>
        <x:v>3000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10000</x:v>
      </x:c>
      <x:c r="C10" s="7" t="n">
        <x:v>0</x:v>
      </x:c>
      <x:c r="D10" s="7" t="n">
        <x:f>B10-C10</x:f>
        <x:v>10000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4000</x:v>
      </x:c>
      <x:c r="C11" s="7" t="n">
        <x:v>42000</x:v>
      </x:c>
      <x:c r="D11" s="7" t="n">
        <x:f>B11-C11</x:f>
        <x:v>-38000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7000</x:v>
      </x:c>
      <x:c r="C12" s="7" t="n">
        <x:v>22000</x:v>
      </x:c>
      <x:c r="D12" s="7" t="n">
        <x:f>B12-C12</x:f>
        <x:v>-15000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2000</x:v>
      </x:c>
      <x:c r="C13" s="7" t="n">
        <x:v>0</x:v>
      </x:c>
      <x:c r="D13" s="7" t="n">
        <x:f>B13-C13</x:f>
        <x:v>2000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37000</x:v>
      </x:c>
      <x:c r="C14" s="7" t="n">
        <x:v>13000</x:v>
      </x:c>
      <x:c r="D14" s="7" t="n">
        <x:f>B14-C14</x:f>
        <x:v>24000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42000</x:v>
      </x:c>
      <x:c r="C15" s="7" t="n">
        <x:v>9000</x:v>
      </x:c>
      <x:c r="D15" s="7" t="n">
        <x:f>B15-C15</x:f>
        <x:v>33000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14000</x:v>
      </x:c>
      <x:c r="C16" s="7" t="n">
        <x:v>0</x:v>
      </x:c>
      <x:c r="D16" s="7" t="n">
        <x:f>B16-C16</x:f>
        <x:v>14000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1000</x:v>
      </x:c>
      <x:c r="C17" s="7" t="n">
        <x:v>35000</x:v>
      </x:c>
      <x:c r="D17" s="7" t="n">
        <x:f>B17-C17</x:f>
        <x:v>-34000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4000</x:v>
      </x:c>
      <x:c r="C18" s="7" t="n">
        <x:v>14000</x:v>
      </x:c>
      <x:c r="D18" s="7" t="n">
        <x:f>B18-C18</x:f>
        <x:v>-10000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28000</x:v>
      </x:c>
      <x:c r="C19" s="7" t="n">
        <x:v>12000</x:v>
      </x:c>
      <x:c r="D19" s="7" t="n">
        <x:f>B19-C19</x:f>
        <x:v>16000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10000</x:v>
      </x:c>
      <x:c r="C20" s="7" t="n">
        <x:v>0</x:v>
      </x:c>
      <x:c r="D20" s="7" t="n">
        <x:f>B20-C20</x:f>
        <x:v>10000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0</x:v>
      </x:c>
      <x:c r="C22" s="7" t="n">
        <x:v>53000</x:v>
      </x:c>
      <x:c r="D22" s="7" t="n">
        <x:f>B22-C22</x:f>
        <x:v>-53000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7000</x:v>
      </x:c>
      <x:c r="C23" s="7" t="n">
        <x:v>18000</x:v>
      </x:c>
      <x:c r="D23" s="7" t="n">
        <x:f>B23-C23</x:f>
        <x:v>-11000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10000</x:v>
      </x:c>
      <x:c r="C24" s="7" t="n">
        <x:v>30000</x:v>
      </x:c>
      <x:c r="D24" s="7" t="n">
        <x:f>B24-C24</x:f>
        <x:v>-20000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30000</x:v>
      </x:c>
      <x:c r="C25" s="7" t="n">
        <x:v>0</x:v>
      </x:c>
      <x:c r="D25" s="7" t="n">
        <x:f>B25-C25</x:f>
        <x:v>30000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19000</x:v>
      </x:c>
      <x:c r="C26" s="7" t="n">
        <x:v>64000</x:v>
      </x:c>
      <x:c r="D26" s="7" t="n">
        <x:f>B26-C26</x:f>
        <x:v>-45000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17000</x:v>
      </x:c>
      <x:c r="C27" s="7" t="n">
        <x:v>0</x:v>
      </x:c>
      <x:c r="D27" s="7" t="n">
        <x:f>B27-C27</x:f>
        <x:v>17000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21000</x:v>
      </x:c>
      <x:c r="C28" s="7" t="n">
        <x:v>0</x:v>
      </x:c>
      <x:c r="D28" s="7" t="n">
        <x:f>B28-C28</x:f>
        <x:v>21000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21000</x:v>
      </x:c>
      <x:c r="C29" s="7" t="n">
        <x:v>0</x:v>
      </x:c>
      <x:c r="D29" s="7" t="n">
        <x:f>B29-C29</x:f>
        <x:v>21000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16000</x:v>
      </x:c>
      <x:c r="C30" s="7" t="n">
        <x:v>17000</x:v>
      </x:c>
      <x:c r="D30" s="7" t="n">
        <x:f>B30-C30</x:f>
        <x:v>-1000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17000</x:v>
      </x:c>
      <x:c r="C31" s="7" t="n">
        <x:v>18000</x:v>
      </x:c>
      <x:c r="D31" s="7" t="n">
        <x:f>B31-C31</x:f>
        <x:v>-1000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6000</x:v>
      </x:c>
      <x:c r="C32" s="7" t="n">
        <x:v>0</x:v>
      </x:c>
      <x:c r="D32" s="7" t="n">
        <x:f>B32-C32</x:f>
        <x:v>6000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353000</x:v>
      </x:c>
      <x:c r="C33" s="11" t="n">
        <x:f>SUM(C6:C32)</x:f>
        <x:v>387000</x:v>
      </x:c>
      <x:c r="D33" s="11" t="n">
        <x:f>B33-C33</x:f>
        <x:v>-34000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9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aa025c0c6864995"/>
  </x:tableParts>
</x:worksheet>
</file>

<file path=xl/worksheets/sheet93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NK225_U168_03　米国後の損益</x:v>
      </x:c>
      <x:c r="B2" s="2"/>
      <x:c r="C2" s="2"/>
      <x:c r="D2" s="2"/>
      <x:c r="E2" s="2"/>
      <x:c r="F2" s="2"/>
    </x:row>
    <x:row r="3" ht="38" customHeight="1">
      <x:c r="A3" s="5" t="str">
        <x:v>40円から固定30円追尾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5000</x:v>
      </x:c>
      <x:c r="C6" s="7" t="n">
        <x:v>0</x:v>
      </x:c>
      <x:c r="D6" s="7" t="n">
        <x:f>B6-C6</x:f>
        <x:v>5000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10000</x:v>
      </x:c>
      <x:c r="C7" s="7" t="n">
        <x:v>0</x:v>
      </x:c>
      <x:c r="D7" s="7" t="n">
        <x:f>B7-C7</x:f>
        <x:v>10000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10000</x:v>
      </x:c>
      <x:c r="C8" s="7" t="n">
        <x:v>40000</x:v>
      </x:c>
      <x:c r="D8" s="7" t="n">
        <x:f>B8-C8</x:f>
        <x:v>-30000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9000</x:v>
      </x:c>
      <x:c r="C9" s="7" t="n">
        <x:v>0</x:v>
      </x:c>
      <x:c r="D9" s="7" t="n">
        <x:f>B9-C9</x:f>
        <x:v>9000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24000</x:v>
      </x:c>
      <x:c r="C10" s="7" t="n">
        <x:v>0</x:v>
      </x:c>
      <x:c r="D10" s="7" t="n">
        <x:f>B10-C10</x:f>
        <x:v>24000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2000</x:v>
      </x:c>
      <x:c r="C11" s="7" t="n">
        <x:v>42000</x:v>
      </x:c>
      <x:c r="D11" s="7" t="n">
        <x:f>B11-C11</x:f>
        <x:v>-40000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41000</x:v>
      </x:c>
      <x:c r="C12" s="7" t="n">
        <x:v>22000</x:v>
      </x:c>
      <x:c r="D12" s="7" t="n">
        <x:f>B12-C12</x:f>
        <x:v>19000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17000</x:v>
      </x:c>
      <x:c r="C13" s="7" t="n">
        <x:v>0</x:v>
      </x:c>
      <x:c r="D13" s="7" t="n">
        <x:f>B13-C13</x:f>
        <x:v>17000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98000</x:v>
      </x:c>
      <x:c r="C14" s="7" t="n">
        <x:v>13000</x:v>
      </x:c>
      <x:c r="D14" s="7" t="n">
        <x:f>B14-C14</x:f>
        <x:v>85000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162000</x:v>
      </x:c>
      <x:c r="C15" s="7" t="n">
        <x:v>26000</x:v>
      </x:c>
      <x:c r="D15" s="7" t="n">
        <x:f>B15-C15</x:f>
        <x:v>136000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16000</x:v>
      </x:c>
      <x:c r="C16" s="7" t="n">
        <x:v>64000</x:v>
      </x:c>
      <x:c r="D16" s="7" t="n">
        <x:f>B16-C16</x:f>
        <x:v>-48000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4000</x:v>
      </x:c>
      <x:c r="C17" s="7" t="n">
        <x:v>35000</x:v>
      </x:c>
      <x:c r="D17" s="7" t="n">
        <x:f>B17-C17</x:f>
        <x:v>-31000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3000</x:v>
      </x:c>
      <x:c r="C18" s="7" t="n">
        <x:v>14000</x:v>
      </x:c>
      <x:c r="D18" s="7" t="n">
        <x:f>B18-C18</x:f>
        <x:v>-11000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72000</x:v>
      </x:c>
      <x:c r="C19" s="7" t="n">
        <x:v>28000</x:v>
      </x:c>
      <x:c r="D19" s="7" t="n">
        <x:f>B19-C19</x:f>
        <x:v>44000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10000</x:v>
      </x:c>
      <x:c r="C20" s="7" t="n">
        <x:v>0</x:v>
      </x:c>
      <x:c r="D20" s="7" t="n">
        <x:f>B20-C20</x:f>
        <x:v>10000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15000</x:v>
      </x:c>
      <x:c r="C21" s="7" t="n">
        <x:v>0</x:v>
      </x:c>
      <x:c r="D21" s="7" t="n">
        <x:f>B21-C21</x:f>
        <x:v>15000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0</x:v>
      </x:c>
      <x:c r="C22" s="7" t="n">
        <x:v>53000</x:v>
      </x:c>
      <x:c r="D22" s="7" t="n">
        <x:f>B22-C22</x:f>
        <x:v>-53000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24000</x:v>
      </x:c>
      <x:c r="C23" s="7" t="n">
        <x:v>18000</x:v>
      </x:c>
      <x:c r="D23" s="7" t="n">
        <x:f>B23-C23</x:f>
        <x:v>6000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15000</x:v>
      </x:c>
      <x:c r="C24" s="7" t="n">
        <x:v>30000</x:v>
      </x:c>
      <x:c r="D24" s="7" t="n">
        <x:f>B24-C24</x:f>
        <x:v>-15000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141000</x:v>
      </x:c>
      <x:c r="C25" s="7" t="n">
        <x:v>85000</x:v>
      </x:c>
      <x:c r="D25" s="7" t="n">
        <x:f>B25-C25</x:f>
        <x:v>56000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40000</x:v>
      </x:c>
      <x:c r="C26" s="7" t="n">
        <x:v>64000</x:v>
      </x:c>
      <x:c r="D26" s="7" t="n">
        <x:f>B26-C26</x:f>
        <x:v>-24000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41000</x:v>
      </x:c>
      <x:c r="C27" s="7" t="n">
        <x:v>0</x:v>
      </x:c>
      <x:c r="D27" s="7" t="n">
        <x:f>B27-C27</x:f>
        <x:v>41000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73000</x:v>
      </x:c>
      <x:c r="C28" s="7" t="n">
        <x:v>0</x:v>
      </x:c>
      <x:c r="D28" s="7" t="n">
        <x:f>B28-C28</x:f>
        <x:v>73000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36000</x:v>
      </x:c>
      <x:c r="C29" s="7" t="n">
        <x:v>0</x:v>
      </x:c>
      <x:c r="D29" s="7" t="n">
        <x:f>B29-C29</x:f>
        <x:v>36000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76000</x:v>
      </x:c>
      <x:c r="C30" s="7" t="n">
        <x:v>17000</x:v>
      </x:c>
      <x:c r="D30" s="7" t="n">
        <x:f>B30-C30</x:f>
        <x:v>59000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35000</x:v>
      </x:c>
      <x:c r="C31" s="7" t="n">
        <x:v>82000</x:v>
      </x:c>
      <x:c r="D31" s="7" t="n">
        <x:f>B31-C31</x:f>
        <x:v>-47000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17000</x:v>
      </x:c>
      <x:c r="C32" s="7" t="n">
        <x:v>0</x:v>
      </x:c>
      <x:c r="D32" s="7" t="n">
        <x:f>B32-C32</x:f>
        <x:v>17000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996000</x:v>
      </x:c>
      <x:c r="C33" s="11" t="n">
        <x:f>SUM(C6:C32)</x:f>
        <x:v>633000</x:v>
      </x:c>
      <x:c r="D33" s="11" t="n">
        <x:f>B33-C33</x:f>
        <x:v>363000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9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987afa497ed4174"/>
  </x:tableParts>
</x:worksheet>
</file>

<file path=xl/worksheets/sheet94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NK225_U168_04　米国後の損益</x:v>
      </x:c>
      <x:c r="B2" s="2"/>
      <x:c r="C2" s="2"/>
      <x:c r="D2" s="2"/>
      <x:c r="E2" s="2"/>
      <x:c r="F2" s="2"/>
    </x:row>
    <x:row r="3" ht="38" customHeight="1">
      <x:c r="A3" s="5" t="str">
        <x:v>方向別総枚数に応じた1万円基準の追尾幅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10000</x:v>
      </x:c>
      <x:c r="C6" s="7" t="n">
        <x:v>0</x:v>
      </x:c>
      <x:c r="D6" s="7" t="n">
        <x:f>B6-C6</x:f>
        <x:v>10000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5000</x:v>
      </x:c>
      <x:c r="C7" s="7" t="n">
        <x:v>0</x:v>
      </x:c>
      <x:c r="D7" s="7" t="n">
        <x:f>B7-C7</x:f>
        <x:v>5000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8000</x:v>
      </x:c>
      <x:c r="C8" s="7" t="n">
        <x:v>40000</x:v>
      </x:c>
      <x:c r="D8" s="7" t="n">
        <x:f>B8-C8</x:f>
        <x:v>-32000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10000</x:v>
      </x:c>
      <x:c r="C9" s="7" t="n">
        <x:v>0</x:v>
      </x:c>
      <x:c r="D9" s="7" t="n">
        <x:f>B9-C9</x:f>
        <x:v>10000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9000</x:v>
      </x:c>
      <x:c r="C10" s="7" t="n">
        <x:v>0</x:v>
      </x:c>
      <x:c r="D10" s="7" t="n">
        <x:f>B10-C10</x:f>
        <x:v>9000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0</x:v>
      </x:c>
      <x:c r="C11" s="7" t="n">
        <x:v>42000</x:v>
      </x:c>
      <x:c r="D11" s="7" t="n">
        <x:f>B11-C11</x:f>
        <x:v>-42000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10000</x:v>
      </x:c>
      <x:c r="C12" s="7" t="n">
        <x:v>22000</x:v>
      </x:c>
      <x:c r="D12" s="7" t="n">
        <x:f>B12-C12</x:f>
        <x:v>-12000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1000</x:v>
      </x:c>
      <x:c r="C13" s="7" t="n">
        <x:v>0</x:v>
      </x:c>
      <x:c r="D13" s="7" t="n">
        <x:f>B13-C13</x:f>
        <x:v>1000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94000</x:v>
      </x:c>
      <x:c r="C14" s="7" t="n">
        <x:v>13000</x:v>
      </x:c>
      <x:c r="D14" s="7" t="n">
        <x:f>B14-C14</x:f>
        <x:v>81000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64000</x:v>
      </x:c>
      <x:c r="C15" s="7" t="n">
        <x:v>9000</x:v>
      </x:c>
      <x:c r="D15" s="7" t="n">
        <x:f>B15-C15</x:f>
        <x:v>55000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16000</x:v>
      </x:c>
      <x:c r="C16" s="7" t="n">
        <x:v>0</x:v>
      </x:c>
      <x:c r="D16" s="7" t="n">
        <x:f>B16-C16</x:f>
        <x:v>16000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0</x:v>
      </x:c>
      <x:c r="C17" s="7" t="n">
        <x:v>35000</x:v>
      </x:c>
      <x:c r="D17" s="7" t="n">
        <x:f>B17-C17</x:f>
        <x:v>-35000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2000</x:v>
      </x:c>
      <x:c r="C18" s="7" t="n">
        <x:v>14000</x:v>
      </x:c>
      <x:c r="D18" s="7" t="n">
        <x:f>B18-C18</x:f>
        <x:v>-12000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46000</x:v>
      </x:c>
      <x:c r="C19" s="7" t="n">
        <x:v>12000</x:v>
      </x:c>
      <x:c r="D19" s="7" t="n">
        <x:f>B19-C19</x:f>
        <x:v>34000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10000</x:v>
      </x:c>
      <x:c r="C20" s="7" t="n">
        <x:v>0</x:v>
      </x:c>
      <x:c r="D20" s="7" t="n">
        <x:f>B20-C20</x:f>
        <x:v>10000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0</x:v>
      </x:c>
      <x:c r="C22" s="7" t="n">
        <x:v>53000</x:v>
      </x:c>
      <x:c r="D22" s="7" t="n">
        <x:f>B22-C22</x:f>
        <x:v>-53000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6000</x:v>
      </x:c>
      <x:c r="C23" s="7" t="n">
        <x:v>18000</x:v>
      </x:c>
      <x:c r="D23" s="7" t="n">
        <x:f>B23-C23</x:f>
        <x:v>-12000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17000</x:v>
      </x:c>
      <x:c r="C24" s="7" t="n">
        <x:v>30000</x:v>
      </x:c>
      <x:c r="D24" s="7" t="n">
        <x:f>B24-C24</x:f>
        <x:v>-13000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29000</x:v>
      </x:c>
      <x:c r="C25" s="7" t="n">
        <x:v>0</x:v>
      </x:c>
      <x:c r="D25" s="7" t="n">
        <x:f>B25-C25</x:f>
        <x:v>29000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21000</x:v>
      </x:c>
      <x:c r="C26" s="7" t="n">
        <x:v>64000</x:v>
      </x:c>
      <x:c r="D26" s="7" t="n">
        <x:f>B26-C26</x:f>
        <x:v>-43000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23000</x:v>
      </x:c>
      <x:c r="C27" s="7" t="n">
        <x:v>0</x:v>
      </x:c>
      <x:c r="D27" s="7" t="n">
        <x:f>B27-C27</x:f>
        <x:v>23000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21000</x:v>
      </x:c>
      <x:c r="C28" s="7" t="n">
        <x:v>0</x:v>
      </x:c>
      <x:c r="D28" s="7" t="n">
        <x:f>B28-C28</x:f>
        <x:v>21000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21000</x:v>
      </x:c>
      <x:c r="C29" s="7" t="n">
        <x:v>0</x:v>
      </x:c>
      <x:c r="D29" s="7" t="n">
        <x:f>B29-C29</x:f>
        <x:v>21000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13000</x:v>
      </x:c>
      <x:c r="C30" s="7" t="n">
        <x:v>17000</x:v>
      </x:c>
      <x:c r="D30" s="7" t="n">
        <x:f>B30-C30</x:f>
        <x:v>-4000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18000</x:v>
      </x:c>
      <x:c r="C31" s="7" t="n">
        <x:v>19000</x:v>
      </x:c>
      <x:c r="D31" s="7" t="n">
        <x:f>B31-C31</x:f>
        <x:v>-1000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5000</x:v>
      </x:c>
      <x:c r="C32" s="7" t="n">
        <x:v>0</x:v>
      </x:c>
      <x:c r="D32" s="7" t="n">
        <x:f>B32-C32</x:f>
        <x:v>5000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459000</x:v>
      </x:c>
      <x:c r="C33" s="11" t="n">
        <x:f>SUM(C6:C32)</x:f>
        <x:v>388000</x:v>
      </x:c>
      <x:c r="D33" s="11" t="n">
        <x:f>B33-C33</x:f>
        <x:v>71000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9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8dd00930fd4d07"/>
  </x:tableParts>
</x:worksheet>
</file>

<file path=xl/worksheets/sheet95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NK225_U168_05　米国後の損益</x:v>
      </x:c>
      <x:c r="B2" s="2"/>
      <x:c r="C2" s="2"/>
      <x:c r="D2" s="2"/>
      <x:c r="E2" s="2"/>
      <x:c r="F2" s="2"/>
    </x:row>
    <x:row r="3" ht="38" customHeight="1">
      <x:c r="A3" s="5" t="str">
        <x:v>方向別総枚数に応じた2万円基準の追尾幅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0</x:v>
      </x:c>
      <x:c r="D6" s="7" t="n">
        <x:f>B6-C6</x:f>
        <x:v>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5000</x:v>
      </x:c>
      <x:c r="C7" s="7" t="n">
        <x:v>0</x:v>
      </x:c>
      <x:c r="D7" s="7" t="n">
        <x:f>B7-C7</x:f>
        <x:v>5000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8000</x:v>
      </x:c>
      <x:c r="C8" s="7" t="n">
        <x:v>40000</x:v>
      </x:c>
      <x:c r="D8" s="7" t="n">
        <x:f>B8-C8</x:f>
        <x:v>-32000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10000</x:v>
      </x:c>
      <x:c r="C9" s="7" t="n">
        <x:v>0</x:v>
      </x:c>
      <x:c r="D9" s="7" t="n">
        <x:f>B9-C9</x:f>
        <x:v>10000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4000</x:v>
      </x:c>
      <x:c r="C10" s="7" t="n">
        <x:v>0</x:v>
      </x:c>
      <x:c r="D10" s="7" t="n">
        <x:f>B10-C10</x:f>
        <x:v>4000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0</x:v>
      </x:c>
      <x:c r="C11" s="7" t="n">
        <x:v>42000</x:v>
      </x:c>
      <x:c r="D11" s="7" t="n">
        <x:f>B11-C11</x:f>
        <x:v>-42000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5000</x:v>
      </x:c>
      <x:c r="C12" s="7" t="n">
        <x:v>22000</x:v>
      </x:c>
      <x:c r="D12" s="7" t="n">
        <x:f>B12-C12</x:f>
        <x:v>-17000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1000</x:v>
      </x:c>
      <x:c r="C13" s="7" t="n">
        <x:v>0</x:v>
      </x:c>
      <x:c r="D13" s="7" t="n">
        <x:f>B13-C13</x:f>
        <x:v>1000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89000</x:v>
      </x:c>
      <x:c r="C14" s="7" t="n">
        <x:v>13000</x:v>
      </x:c>
      <x:c r="D14" s="7" t="n">
        <x:f>B14-C14</x:f>
        <x:v>76000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103000</x:v>
      </x:c>
      <x:c r="C15" s="7" t="n">
        <x:v>9000</x:v>
      </x:c>
      <x:c r="D15" s="7" t="n">
        <x:f>B15-C15</x:f>
        <x:v>94000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13000</x:v>
      </x:c>
      <x:c r="C16" s="7" t="n">
        <x:v>0</x:v>
      </x:c>
      <x:c r="D16" s="7" t="n">
        <x:f>B16-C16</x:f>
        <x:v>13000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0</x:v>
      </x:c>
      <x:c r="C17" s="7" t="n">
        <x:v>35000</x:v>
      </x:c>
      <x:c r="D17" s="7" t="n">
        <x:f>B17-C17</x:f>
        <x:v>-35000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2000</x:v>
      </x:c>
      <x:c r="C18" s="7" t="n">
        <x:v>14000</x:v>
      </x:c>
      <x:c r="D18" s="7" t="n">
        <x:f>B18-C18</x:f>
        <x:v>-12000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34000</x:v>
      </x:c>
      <x:c r="C19" s="7" t="n">
        <x:v>12000</x:v>
      </x:c>
      <x:c r="D19" s="7" t="n">
        <x:f>B19-C19</x:f>
        <x:v>22000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0</x:v>
      </x:c>
      <x:c r="C20" s="7" t="n">
        <x:v>0</x:v>
      </x:c>
      <x:c r="D20" s="7" t="n">
        <x:f>B20-C20</x:f>
        <x:v>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0</x:v>
      </x:c>
      <x:c r="C22" s="7" t="n">
        <x:v>53000</x:v>
      </x:c>
      <x:c r="D22" s="7" t="n">
        <x:f>B22-C22</x:f>
        <x:v>-53000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6000</x:v>
      </x:c>
      <x:c r="C23" s="7" t="n">
        <x:v>18000</x:v>
      </x:c>
      <x:c r="D23" s="7" t="n">
        <x:f>B23-C23</x:f>
        <x:v>-12000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17000</x:v>
      </x:c>
      <x:c r="C24" s="7" t="n">
        <x:v>30000</x:v>
      </x:c>
      <x:c r="D24" s="7" t="n">
        <x:f>B24-C24</x:f>
        <x:v>-13000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19000</x:v>
      </x:c>
      <x:c r="C25" s="7" t="n">
        <x:v>0</x:v>
      </x:c>
      <x:c r="D25" s="7" t="n">
        <x:f>B25-C25</x:f>
        <x:v>19000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24000</x:v>
      </x:c>
      <x:c r="C26" s="7" t="n">
        <x:v>64000</x:v>
      </x:c>
      <x:c r="D26" s="7" t="n">
        <x:f>B26-C26</x:f>
        <x:v>-40000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20000</x:v>
      </x:c>
      <x:c r="C27" s="7" t="n">
        <x:v>0</x:v>
      </x:c>
      <x:c r="D27" s="7" t="n">
        <x:f>B27-C27</x:f>
        <x:v>20000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66000</x:v>
      </x:c>
      <x:c r="C28" s="7" t="n">
        <x:v>0</x:v>
      </x:c>
      <x:c r="D28" s="7" t="n">
        <x:f>B28-C28</x:f>
        <x:v>66000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16000</x:v>
      </x:c>
      <x:c r="C29" s="7" t="n">
        <x:v>0</x:v>
      </x:c>
      <x:c r="D29" s="7" t="n">
        <x:f>B29-C29</x:f>
        <x:v>16000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7000</x:v>
      </x:c>
      <x:c r="C30" s="7" t="n">
        <x:v>17000</x:v>
      </x:c>
      <x:c r="D30" s="7" t="n">
        <x:f>B30-C30</x:f>
        <x:v>-10000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17000</x:v>
      </x:c>
      <x:c r="C31" s="7" t="n">
        <x:v>19000</x:v>
      </x:c>
      <x:c r="D31" s="7" t="n">
        <x:f>B31-C31</x:f>
        <x:v>-2000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5000</x:v>
      </x:c>
      <x:c r="C32" s="7" t="n">
        <x:v>0</x:v>
      </x:c>
      <x:c r="D32" s="7" t="n">
        <x:f>B32-C32</x:f>
        <x:v>5000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471000</x:v>
      </x:c>
      <x:c r="C33" s="11" t="n">
        <x:f>SUM(C6:C32)</x:f>
        <x:v>388000</x:v>
      </x:c>
      <x:c r="D33" s="11" t="n">
        <x:f>B33-C33</x:f>
        <x:v>83000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9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2ee14ab60e54061"/>
  </x:tableParts>
</x:worksheet>
</file>

<file path=xl/worksheets/sheet96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NK225_U168_06　米国後の損益</x:v>
      </x:c>
      <x:c r="B2" s="2"/>
      <x:c r="C2" s="2"/>
      <x:c r="D2" s="2"/>
      <x:c r="E2" s="2"/>
      <x:c r="F2" s="2"/>
    </x:row>
    <x:row r="3" ht="38" customHeight="1">
      <x:c r="A3" s="5" t="str">
        <x:v>固定20円追尾と独立120円損切り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10000</x:v>
      </x:c>
      <x:c r="C6" s="7" t="n">
        <x:v>0</x:v>
      </x:c>
      <x:c r="D6" s="7" t="n">
        <x:f>B6-C6</x:f>
        <x:v>10000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5000</x:v>
      </x:c>
      <x:c r="C7" s="7" t="n">
        <x:v>0</x:v>
      </x:c>
      <x:c r="D7" s="7" t="n">
        <x:f>B7-C7</x:f>
        <x:v>5000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22000</x:v>
      </x:c>
      <x:c r="C8" s="7" t="n">
        <x:v>0</x:v>
      </x:c>
      <x:c r="D8" s="7" t="n">
        <x:f>B8-C8</x:f>
        <x:v>22000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3000</x:v>
      </x:c>
      <x:c r="C9" s="7" t="n">
        <x:v>0</x:v>
      </x:c>
      <x:c r="D9" s="7" t="n">
        <x:f>B9-C9</x:f>
        <x:v>3000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10000</x:v>
      </x:c>
      <x:c r="C10" s="7" t="n">
        <x:v>0</x:v>
      </x:c>
      <x:c r="D10" s="7" t="n">
        <x:f>B10-C10</x:f>
        <x:v>10000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4000</x:v>
      </x:c>
      <x:c r="C11" s="7" t="n">
        <x:v>47000</x:v>
      </x:c>
      <x:c r="D11" s="7" t="n">
        <x:f>B11-C11</x:f>
        <x:v>-43000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9000</x:v>
      </x:c>
      <x:c r="C12" s="7" t="n">
        <x:v>12000</x:v>
      </x:c>
      <x:c r="D12" s="7" t="n">
        <x:f>B12-C12</x:f>
        <x:v>-3000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2000</x:v>
      </x:c>
      <x:c r="C13" s="7" t="n">
        <x:v>0</x:v>
      </x:c>
      <x:c r="D13" s="7" t="n">
        <x:f>B13-C13</x:f>
        <x:v>2000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31000</x:v>
      </x:c>
      <x:c r="C14" s="7" t="n">
        <x:v>34000</x:v>
      </x:c>
      <x:c r="D14" s="7" t="n">
        <x:f>B14-C14</x:f>
        <x:v>-3000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42000</x:v>
      </x:c>
      <x:c r="C15" s="7" t="n">
        <x:v>24000</x:v>
      </x:c>
      <x:c r="D15" s="7" t="n">
        <x:f>B15-C15</x:f>
        <x:v>18000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13000</x:v>
      </x:c>
      <x:c r="C16" s="7" t="n">
        <x:v>12000</x:v>
      </x:c>
      <x:c r="D16" s="7" t="n">
        <x:f>B16-C16</x:f>
        <x:v>1000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6000</x:v>
      </x:c>
      <x:c r="C17" s="7" t="n">
        <x:v>0</x:v>
      </x:c>
      <x:c r="D17" s="7" t="n">
        <x:f>B17-C17</x:f>
        <x:v>6000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4000</x:v>
      </x:c>
      <x:c r="C18" s="7" t="n">
        <x:v>12000</x:v>
      </x:c>
      <x:c r="D18" s="7" t="n">
        <x:f>B18-C18</x:f>
        <x:v>-8000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28000</x:v>
      </x:c>
      <x:c r="C19" s="7" t="n">
        <x:v>24000</x:v>
      </x:c>
      <x:c r="D19" s="7" t="n">
        <x:f>B19-C19</x:f>
        <x:v>4000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10000</x:v>
      </x:c>
      <x:c r="C20" s="7" t="n">
        <x:v>0</x:v>
      </x:c>
      <x:c r="D20" s="7" t="n">
        <x:f>B20-C20</x:f>
        <x:v>10000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5000</x:v>
      </x:c>
      <x:c r="C22" s="7" t="n">
        <x:v>0</x:v>
      </x:c>
      <x:c r="D22" s="7" t="n">
        <x:f>B22-C22</x:f>
        <x:v>5000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7000</x:v>
      </x:c>
      <x:c r="C23" s="7" t="n">
        <x:v>24000</x:v>
      </x:c>
      <x:c r="D23" s="7" t="n">
        <x:f>B23-C23</x:f>
        <x:v>-17000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10000</x:v>
      </x:c>
      <x:c r="C24" s="7" t="n">
        <x:v>23000</x:v>
      </x:c>
      <x:c r="D24" s="7" t="n">
        <x:f>B24-C24</x:f>
        <x:v>-13000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29000</x:v>
      </x:c>
      <x:c r="C25" s="7" t="n">
        <x:v>12000</x:v>
      </x:c>
      <x:c r="D25" s="7" t="n">
        <x:f>B25-C25</x:f>
        <x:v>17000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20000</x:v>
      </x:c>
      <x:c r="C26" s="7" t="n">
        <x:v>60000</x:v>
      </x:c>
      <x:c r="D26" s="7" t="n">
        <x:f>B26-C26</x:f>
        <x:v>-40000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17000</x:v>
      </x:c>
      <x:c r="C27" s="7" t="n">
        <x:v>0</x:v>
      </x:c>
      <x:c r="D27" s="7" t="n">
        <x:f>B27-C27</x:f>
        <x:v>17000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21000</x:v>
      </x:c>
      <x:c r="C28" s="7" t="n">
        <x:v>0</x:v>
      </x:c>
      <x:c r="D28" s="7" t="n">
        <x:f>B28-C28</x:f>
        <x:v>21000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21000</x:v>
      </x:c>
      <x:c r="C29" s="7" t="n">
        <x:v>0</x:v>
      </x:c>
      <x:c r="D29" s="7" t="n">
        <x:f>B29-C29</x:f>
        <x:v>21000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16000</x:v>
      </x:c>
      <x:c r="C30" s="7" t="n">
        <x:v>12000</x:v>
      </x:c>
      <x:c r="D30" s="7" t="n">
        <x:f>B30-C30</x:f>
        <x:v>4000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17000</x:v>
      </x:c>
      <x:c r="C31" s="7" t="n">
        <x:v>46000</x:v>
      </x:c>
      <x:c r="D31" s="7" t="n">
        <x:f>B31-C31</x:f>
        <x:v>-29000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6000</x:v>
      </x:c>
      <x:c r="C32" s="7" t="n">
        <x:v>0</x:v>
      </x:c>
      <x:c r="D32" s="7" t="n">
        <x:f>B32-C32</x:f>
        <x:v>6000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368000</x:v>
      </x:c>
      <x:c r="C33" s="11" t="n">
        <x:f>SUM(C6:C32)</x:f>
        <x:v>342000</x:v>
      </x:c>
      <x:c r="D33" s="11" t="n">
        <x:f>B33-C33</x:f>
        <x:v>26000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9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8266cda5f5d4e2e"/>
  </x:tableParts>
</x:worksheet>
</file>

<file path=xl/worksheets/sheet97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NK225_U168_07　米国後の損益</x:v>
      </x:c>
      <x:c r="B2" s="2"/>
      <x:c r="C2" s="2"/>
      <x:c r="D2" s="2"/>
      <x:c r="E2" s="2"/>
      <x:c r="F2" s="2"/>
    </x:row>
    <x:row r="3" ht="38" customHeight="1">
      <x:c r="A3" s="5" t="str">
        <x:v>数量別回収と独立120円損切り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10000</x:v>
      </x:c>
      <x:c r="C6" s="7" t="n">
        <x:v>0</x:v>
      </x:c>
      <x:c r="D6" s="7" t="n">
        <x:f>B6-C6</x:f>
        <x:v>10000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5000</x:v>
      </x:c>
      <x:c r="C7" s="7" t="n">
        <x:v>0</x:v>
      </x:c>
      <x:c r="D7" s="7" t="n">
        <x:f>B7-C7</x:f>
        <x:v>5000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18000</x:v>
      </x:c>
      <x:c r="C8" s="7" t="n">
        <x:v>0</x:v>
      </x:c>
      <x:c r="D8" s="7" t="n">
        <x:f>B8-C8</x:f>
        <x:v>18000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10000</x:v>
      </x:c>
      <x:c r="C9" s="7" t="n">
        <x:v>0</x:v>
      </x:c>
      <x:c r="D9" s="7" t="n">
        <x:f>B9-C9</x:f>
        <x:v>10000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9000</x:v>
      </x:c>
      <x:c r="C10" s="7" t="n">
        <x:v>0</x:v>
      </x:c>
      <x:c r="D10" s="7" t="n">
        <x:f>B10-C10</x:f>
        <x:v>9000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0</x:v>
      </x:c>
      <x:c r="C11" s="7" t="n">
        <x:v>47000</x:v>
      </x:c>
      <x:c r="D11" s="7" t="n">
        <x:f>B11-C11</x:f>
        <x:v>-47000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10000</x:v>
      </x:c>
      <x:c r="C12" s="7" t="n">
        <x:v>12000</x:v>
      </x:c>
      <x:c r="D12" s="7" t="n">
        <x:f>B12-C12</x:f>
        <x:v>-2000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1000</x:v>
      </x:c>
      <x:c r="C13" s="7" t="n">
        <x:v>0</x:v>
      </x:c>
      <x:c r="D13" s="7" t="n">
        <x:f>B13-C13</x:f>
        <x:v>1000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82000</x:v>
      </x:c>
      <x:c r="C14" s="7" t="n">
        <x:v>34000</x:v>
      </x:c>
      <x:c r="D14" s="7" t="n">
        <x:f>B14-C14</x:f>
        <x:v>48000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64000</x:v>
      </x:c>
      <x:c r="C15" s="7" t="n">
        <x:v>24000</x:v>
      </x:c>
      <x:c r="D15" s="7" t="n">
        <x:f>B15-C15</x:f>
        <x:v>40000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12000</x:v>
      </x:c>
      <x:c r="C16" s="7" t="n">
        <x:v>12000</x:v>
      </x:c>
      <x:c r="D16" s="7" t="n">
        <x:f>B16-C16</x:f>
        <x:v>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5000</x:v>
      </x:c>
      <x:c r="C17" s="7" t="n">
        <x:v>0</x:v>
      </x:c>
      <x:c r="D17" s="7" t="n">
        <x:f>B17-C17</x:f>
        <x:v>5000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2000</x:v>
      </x:c>
      <x:c r="C18" s="7" t="n">
        <x:v>12000</x:v>
      </x:c>
      <x:c r="D18" s="7" t="n">
        <x:f>B18-C18</x:f>
        <x:v>-10000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46000</x:v>
      </x:c>
      <x:c r="C19" s="7" t="n">
        <x:v>24000</x:v>
      </x:c>
      <x:c r="D19" s="7" t="n">
        <x:f>B19-C19</x:f>
        <x:v>22000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10000</x:v>
      </x:c>
      <x:c r="C20" s="7" t="n">
        <x:v>0</x:v>
      </x:c>
      <x:c r="D20" s="7" t="n">
        <x:f>B20-C20</x:f>
        <x:v>10000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5000</x:v>
      </x:c>
      <x:c r="C22" s="7" t="n">
        <x:v>0</x:v>
      </x:c>
      <x:c r="D22" s="7" t="n">
        <x:f>B22-C22</x:f>
        <x:v>5000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6000</x:v>
      </x:c>
      <x:c r="C23" s="7" t="n">
        <x:v>24000</x:v>
      </x:c>
      <x:c r="D23" s="7" t="n">
        <x:f>B23-C23</x:f>
        <x:v>-18000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17000</x:v>
      </x:c>
      <x:c r="C24" s="7" t="n">
        <x:v>23000</x:v>
      </x:c>
      <x:c r="D24" s="7" t="n">
        <x:f>B24-C24</x:f>
        <x:v>-6000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29000</x:v>
      </x:c>
      <x:c r="C25" s="7" t="n">
        <x:v>12000</x:v>
      </x:c>
      <x:c r="D25" s="7" t="n">
        <x:f>B25-C25</x:f>
        <x:v>17000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13000</x:v>
      </x:c>
      <x:c r="C26" s="7" t="n">
        <x:v>60000</x:v>
      </x:c>
      <x:c r="D26" s="7" t="n">
        <x:f>B26-C26</x:f>
        <x:v>-47000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23000</x:v>
      </x:c>
      <x:c r="C27" s="7" t="n">
        <x:v>0</x:v>
      </x:c>
      <x:c r="D27" s="7" t="n">
        <x:f>B27-C27</x:f>
        <x:v>23000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21000</x:v>
      </x:c>
      <x:c r="C28" s="7" t="n">
        <x:v>0</x:v>
      </x:c>
      <x:c r="D28" s="7" t="n">
        <x:f>B28-C28</x:f>
        <x:v>21000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21000</x:v>
      </x:c>
      <x:c r="C29" s="7" t="n">
        <x:v>0</x:v>
      </x:c>
      <x:c r="D29" s="7" t="n">
        <x:f>B29-C29</x:f>
        <x:v>21000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13000</x:v>
      </x:c>
      <x:c r="C30" s="7" t="n">
        <x:v>12000</x:v>
      </x:c>
      <x:c r="D30" s="7" t="n">
        <x:f>B30-C30</x:f>
        <x:v>1000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18000</x:v>
      </x:c>
      <x:c r="C31" s="7" t="n">
        <x:v>47000</x:v>
      </x:c>
      <x:c r="D31" s="7" t="n">
        <x:f>B31-C31</x:f>
        <x:v>-29000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5000</x:v>
      </x:c>
      <x:c r="C32" s="7" t="n">
        <x:v>0</x:v>
      </x:c>
      <x:c r="D32" s="7" t="n">
        <x:f>B32-C32</x:f>
        <x:v>5000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455000</x:v>
      </x:c>
      <x:c r="C33" s="11" t="n">
        <x:f>SUM(C6:C32)</x:f>
        <x:v>343000</x:v>
      </x:c>
      <x:c r="D33" s="11" t="n">
        <x:f>B33-C33</x:f>
        <x:v>112000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9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0e3522880c94b72"/>
  </x:tableParts>
</x:worksheet>
</file>

<file path=xl/worksheets/sheet98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NK225_U168_08　米国後の損益</x:v>
      </x:c>
      <x:c r="B2" s="2"/>
      <x:c r="C2" s="2"/>
      <x:c r="D2" s="2"/>
      <x:c r="E2" s="2"/>
      <x:c r="F2" s="2"/>
    </x:row>
    <x:row r="3" ht="38" customHeight="1">
      <x:c r="A3" s="5" t="str">
        <x:v>数量別回収と独立240円損切り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10000</x:v>
      </x:c>
      <x:c r="C6" s="7" t="n">
        <x:v>0</x:v>
      </x:c>
      <x:c r="D6" s="7" t="n">
        <x:f>B6-C6</x:f>
        <x:v>10000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5000</x:v>
      </x:c>
      <x:c r="C7" s="7" t="n">
        <x:v>0</x:v>
      </x:c>
      <x:c r="D7" s="7" t="n">
        <x:f>B7-C7</x:f>
        <x:v>5000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18000</x:v>
      </x:c>
      <x:c r="C8" s="7" t="n">
        <x:v>0</x:v>
      </x:c>
      <x:c r="D8" s="7" t="n">
        <x:f>B8-C8</x:f>
        <x:v>18000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10000</x:v>
      </x:c>
      <x:c r="C9" s="7" t="n">
        <x:v>0</x:v>
      </x:c>
      <x:c r="D9" s="7" t="n">
        <x:f>B9-C9</x:f>
        <x:v>10000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9000</x:v>
      </x:c>
      <x:c r="C10" s="7" t="n">
        <x:v>0</x:v>
      </x:c>
      <x:c r="D10" s="7" t="n">
        <x:f>B10-C10</x:f>
        <x:v>9000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1000</x:v>
      </x:c>
      <x:c r="C11" s="7" t="n">
        <x:v>72000</x:v>
      </x:c>
      <x:c r="D11" s="7" t="n">
        <x:f>B11-C11</x:f>
        <x:v>-71000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10000</x:v>
      </x:c>
      <x:c r="C12" s="7" t="n">
        <x:v>23000</x:v>
      </x:c>
      <x:c r="D12" s="7" t="n">
        <x:f>B12-C12</x:f>
        <x:v>-13000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1000</x:v>
      </x:c>
      <x:c r="C13" s="7" t="n">
        <x:v>0</x:v>
      </x:c>
      <x:c r="D13" s="7" t="n">
        <x:f>B13-C13</x:f>
        <x:v>1000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94000</x:v>
      </x:c>
      <x:c r="C14" s="7" t="n">
        <x:v>24000</x:v>
      </x:c>
      <x:c r="D14" s="7" t="n">
        <x:f>B14-C14</x:f>
        <x:v>70000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64000</x:v>
      </x:c>
      <x:c r="C15" s="7" t="n">
        <x:v>0</x:v>
      </x:c>
      <x:c r="D15" s="7" t="n">
        <x:f>B15-C15</x:f>
        <x:v>64000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16000</x:v>
      </x:c>
      <x:c r="C16" s="7" t="n">
        <x:v>0</x:v>
      </x:c>
      <x:c r="D16" s="7" t="n">
        <x:f>B16-C16</x:f>
        <x:v>16000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5000</x:v>
      </x:c>
      <x:c r="C17" s="7" t="n">
        <x:v>0</x:v>
      </x:c>
      <x:c r="D17" s="7" t="n">
        <x:f>B17-C17</x:f>
        <x:v>5000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2000</x:v>
      </x:c>
      <x:c r="C18" s="7" t="n">
        <x:v>24000</x:v>
      </x:c>
      <x:c r="D18" s="7" t="n">
        <x:f>B18-C18</x:f>
        <x:v>-22000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46000</x:v>
      </x:c>
      <x:c r="C19" s="7" t="n">
        <x:v>48000</x:v>
      </x:c>
      <x:c r="D19" s="7" t="n">
        <x:f>B19-C19</x:f>
        <x:v>-2000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10000</x:v>
      </x:c>
      <x:c r="C20" s="7" t="n">
        <x:v>0</x:v>
      </x:c>
      <x:c r="D20" s="7" t="n">
        <x:f>B20-C20</x:f>
        <x:v>10000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5000</x:v>
      </x:c>
      <x:c r="C22" s="7" t="n">
        <x:v>0</x:v>
      </x:c>
      <x:c r="D22" s="7" t="n">
        <x:f>B22-C22</x:f>
        <x:v>5000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6000</x:v>
      </x:c>
      <x:c r="C23" s="7" t="n">
        <x:v>48000</x:v>
      </x:c>
      <x:c r="D23" s="7" t="n">
        <x:f>B23-C23</x:f>
        <x:v>-42000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17000</x:v>
      </x:c>
      <x:c r="C24" s="7" t="n">
        <x:v>30000</x:v>
      </x:c>
      <x:c r="D24" s="7" t="n">
        <x:f>B24-C24</x:f>
        <x:v>-13000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29000</x:v>
      </x:c>
      <x:c r="C25" s="7" t="n">
        <x:v>0</x:v>
      </x:c>
      <x:c r="D25" s="7" t="n">
        <x:f>B25-C25</x:f>
        <x:v>29000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26000</x:v>
      </x:c>
      <x:c r="C26" s="7" t="n">
        <x:v>0</x:v>
      </x:c>
      <x:c r="D26" s="7" t="n">
        <x:f>B26-C26</x:f>
        <x:v>26000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23000</x:v>
      </x:c>
      <x:c r="C27" s="7" t="n">
        <x:v>0</x:v>
      </x:c>
      <x:c r="D27" s="7" t="n">
        <x:f>B27-C27</x:f>
        <x:v>23000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21000</x:v>
      </x:c>
      <x:c r="C28" s="7" t="n">
        <x:v>0</x:v>
      </x:c>
      <x:c r="D28" s="7" t="n">
        <x:f>B28-C28</x:f>
        <x:v>21000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21000</x:v>
      </x:c>
      <x:c r="C29" s="7" t="n">
        <x:v>0</x:v>
      </x:c>
      <x:c r="D29" s="7" t="n">
        <x:f>B29-C29</x:f>
        <x:v>21000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13000</x:v>
      </x:c>
      <x:c r="C30" s="7" t="n">
        <x:v>23000</x:v>
      </x:c>
      <x:c r="D30" s="7" t="n">
        <x:f>B30-C30</x:f>
        <x:v>-10000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20000</x:v>
      </x:c>
      <x:c r="C31" s="7" t="n">
        <x:v>1000</x:v>
      </x:c>
      <x:c r="D31" s="7" t="n">
        <x:f>B31-C31</x:f>
        <x:v>19000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5000</x:v>
      </x:c>
      <x:c r="C32" s="7" t="n">
        <x:v>0</x:v>
      </x:c>
      <x:c r="D32" s="7" t="n">
        <x:f>B32-C32</x:f>
        <x:v>5000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487000</x:v>
      </x:c>
      <x:c r="C33" s="11" t="n">
        <x:f>SUM(C6:C32)</x:f>
        <x:v>293000</x:v>
      </x:c>
      <x:c r="D33" s="11" t="n">
        <x:f>B33-C33</x:f>
        <x:v>194000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9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0c6bcbe42646cf"/>
  </x:tableParts>
</x:worksheet>
</file>

<file path=xl/worksheets/sheet99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NK225_U168_09　米国後の損益</x:v>
      </x:c>
      <x:c r="B2" s="2"/>
      <x:c r="C2" s="2"/>
      <x:c r="D2" s="2"/>
      <x:c r="E2" s="2"/>
      <x:c r="F2" s="2"/>
    </x:row>
    <x:row r="3" ht="38" customHeight="1">
      <x:c r="A3" s="5" t="str">
        <x:v>数量別回収・通常損切りなし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10000</x:v>
      </x:c>
      <x:c r="C6" s="7" t="n">
        <x:v>0</x:v>
      </x:c>
      <x:c r="D6" s="7" t="n">
        <x:f>B6-C6</x:f>
        <x:v>10000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5000</x:v>
      </x:c>
      <x:c r="C7" s="7" t="n">
        <x:v>0</x:v>
      </x:c>
      <x:c r="D7" s="7" t="n">
        <x:f>B7-C7</x:f>
        <x:v>5000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18000</x:v>
      </x:c>
      <x:c r="C8" s="7" t="n">
        <x:v>0</x:v>
      </x:c>
      <x:c r="D8" s="7" t="n">
        <x:f>B8-C8</x:f>
        <x:v>18000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10000</x:v>
      </x:c>
      <x:c r="C9" s="7" t="n">
        <x:v>0</x:v>
      </x:c>
      <x:c r="D9" s="7" t="n">
        <x:f>B9-C9</x:f>
        <x:v>10000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9000</x:v>
      </x:c>
      <x:c r="C10" s="7" t="n">
        <x:v>0</x:v>
      </x:c>
      <x:c r="D10" s="7" t="n">
        <x:f>B10-C10</x:f>
        <x:v>9000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34000</x:v>
      </x:c>
      <x:c r="C11" s="7" t="n">
        <x:v>0</x:v>
      </x:c>
      <x:c r="D11" s="7" t="n">
        <x:f>B11-C11</x:f>
        <x:v>34000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10000</x:v>
      </x:c>
      <x:c r="C12" s="7" t="n">
        <x:v>0</x:v>
      </x:c>
      <x:c r="D12" s="7" t="n">
        <x:f>B12-C12</x:f>
        <x:v>10000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1000</x:v>
      </x:c>
      <x:c r="C13" s="7" t="n">
        <x:v>0</x:v>
      </x:c>
      <x:c r="D13" s="7" t="n">
        <x:f>B13-C13</x:f>
        <x:v>1000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89000</x:v>
      </x:c>
      <x:c r="C14" s="7" t="n">
        <x:v>0</x:v>
      </x:c>
      <x:c r="D14" s="7" t="n">
        <x:f>B14-C14</x:f>
        <x:v>89000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64000</x:v>
      </x:c>
      <x:c r="C15" s="7" t="n">
        <x:v>0</x:v>
      </x:c>
      <x:c r="D15" s="7" t="n">
        <x:f>B15-C15</x:f>
        <x:v>64000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16000</x:v>
      </x:c>
      <x:c r="C16" s="7" t="n">
        <x:v>0</x:v>
      </x:c>
      <x:c r="D16" s="7" t="n">
        <x:f>B16-C16</x:f>
        <x:v>16000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5000</x:v>
      </x:c>
      <x:c r="C17" s="7" t="n">
        <x:v>0</x:v>
      </x:c>
      <x:c r="D17" s="7" t="n">
        <x:f>B17-C17</x:f>
        <x:v>5000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2000</x:v>
      </x:c>
      <x:c r="C18" s="7" t="n">
        <x:v>31000</x:v>
      </x:c>
      <x:c r="D18" s="7" t="n">
        <x:f>B18-C18</x:f>
        <x:v>-29000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23000</x:v>
      </x:c>
      <x:c r="C19" s="7" t="n">
        <x:v>158000</x:v>
      </x:c>
      <x:c r="D19" s="7" t="n">
        <x:f>B19-C19</x:f>
        <x:v>-135000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10000</x:v>
      </x:c>
      <x:c r="C20" s="7" t="n">
        <x:v>0</x:v>
      </x:c>
      <x:c r="D20" s="7" t="n">
        <x:f>B20-C20</x:f>
        <x:v>10000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5000</x:v>
      </x:c>
      <x:c r="C22" s="7" t="n">
        <x:v>0</x:v>
      </x:c>
      <x:c r="D22" s="7" t="n">
        <x:f>B22-C22</x:f>
        <x:v>5000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30000</x:v>
      </x:c>
      <x:c r="C23" s="7" t="n">
        <x:v>0</x:v>
      </x:c>
      <x:c r="D23" s="7" t="n">
        <x:f>B23-C23</x:f>
        <x:v>30000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17000</x:v>
      </x:c>
      <x:c r="C24" s="7" t="n">
        <x:v>112000</x:v>
      </x:c>
      <x:c r="D24" s="7" t="n">
        <x:f>B24-C24</x:f>
        <x:v>-95000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29000</x:v>
      </x:c>
      <x:c r="C25" s="7" t="n">
        <x:v>0</x:v>
      </x:c>
      <x:c r="D25" s="7" t="n">
        <x:f>B25-C25</x:f>
        <x:v>29000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26000</x:v>
      </x:c>
      <x:c r="C26" s="7" t="n">
        <x:v>0</x:v>
      </x:c>
      <x:c r="D26" s="7" t="n">
        <x:f>B26-C26</x:f>
        <x:v>26000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23000</x:v>
      </x:c>
      <x:c r="C27" s="7" t="n">
        <x:v>0</x:v>
      </x:c>
      <x:c r="D27" s="7" t="n">
        <x:f>B27-C27</x:f>
        <x:v>23000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21000</x:v>
      </x:c>
      <x:c r="C28" s="7" t="n">
        <x:v>0</x:v>
      </x:c>
      <x:c r="D28" s="7" t="n">
        <x:f>B28-C28</x:f>
        <x:v>21000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21000</x:v>
      </x:c>
      <x:c r="C29" s="7" t="n">
        <x:v>0</x:v>
      </x:c>
      <x:c r="D29" s="7" t="n">
        <x:f>B29-C29</x:f>
        <x:v>21000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14000</x:v>
      </x:c>
      <x:c r="C30" s="7" t="n">
        <x:v>40000</x:v>
      </x:c>
      <x:c r="D30" s="7" t="n">
        <x:f>B30-C30</x:f>
        <x:v>-26000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20000</x:v>
      </x:c>
      <x:c r="C31" s="7" t="n">
        <x:v>1000</x:v>
      </x:c>
      <x:c r="D31" s="7" t="n">
        <x:f>B31-C31</x:f>
        <x:v>19000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5000</x:v>
      </x:c>
      <x:c r="C32" s="7" t="n">
        <x:v>0</x:v>
      </x:c>
      <x:c r="D32" s="7" t="n">
        <x:f>B32-C32</x:f>
        <x:v>5000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517000</x:v>
      </x:c>
      <x:c r="C33" s="11" t="n">
        <x:f>SUM(C6:C32)</x:f>
        <x:v>342000</x:v>
      </x:c>
      <x:c r="D33" s="11" t="n">
        <x:f>B33-C33</x:f>
        <x:v>175000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9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4cd682a892c4c8e"/>
  </x:tableParts>
</x:worksheet>
</file>

<file path=xl/worksheets/sheet100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NK225_U168_10　米国後の損益</x:v>
      </x:c>
      <x:c r="B2" s="2"/>
      <x:c r="C2" s="2"/>
      <x:c r="D2" s="2"/>
      <x:c r="E2" s="2"/>
      <x:c r="F2" s="2"/>
    </x:row>
    <x:row r="3" ht="38" customHeight="1">
      <x:c r="A3" s="5" t="str">
        <x:v>半量を20円で利確し残り追尾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7500</x:v>
      </x:c>
      <x:c r="C6" s="7" t="n">
        <x:v>0</x:v>
      </x:c>
      <x:c r="D6" s="7" t="n">
        <x:f>B6-C6</x:f>
        <x:v>7500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7500</x:v>
      </x:c>
      <x:c r="C7" s="7" t="n">
        <x:v>0</x:v>
      </x:c>
      <x:c r="D7" s="7" t="n">
        <x:f>B7-C7</x:f>
        <x:v>7500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9500</x:v>
      </x:c>
      <x:c r="C8" s="7" t="n">
        <x:v>40000</x:v>
      </x:c>
      <x:c r="D8" s="7" t="n">
        <x:f>B8-C8</x:f>
        <x:v>-30500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3500</x:v>
      </x:c>
      <x:c r="C9" s="7" t="n">
        <x:v>0</x:v>
      </x:c>
      <x:c r="D9" s="7" t="n">
        <x:f>B9-C9</x:f>
        <x:v>3500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11000</x:v>
      </x:c>
      <x:c r="C10" s="7" t="n">
        <x:v>0</x:v>
      </x:c>
      <x:c r="D10" s="7" t="n">
        <x:f>B10-C10</x:f>
        <x:v>11000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4000</x:v>
      </x:c>
      <x:c r="C11" s="7" t="n">
        <x:v>42000</x:v>
      </x:c>
      <x:c r="D11" s="7" t="n">
        <x:f>B11-C11</x:f>
        <x:v>-38000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12500</x:v>
      </x:c>
      <x:c r="C12" s="7" t="n">
        <x:v>22000</x:v>
      </x:c>
      <x:c r="D12" s="7" t="n">
        <x:f>B12-C12</x:f>
        <x:v>-9500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8000</x:v>
      </x:c>
      <x:c r="C13" s="7" t="n">
        <x:v>0</x:v>
      </x:c>
      <x:c r="D13" s="7" t="n">
        <x:f>B13-C13</x:f>
        <x:v>8000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29500</x:v>
      </x:c>
      <x:c r="C14" s="7" t="n">
        <x:v>13000</x:v>
      </x:c>
      <x:c r="D14" s="7" t="n">
        <x:f>B14-C14</x:f>
        <x:v>16500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47000</x:v>
      </x:c>
      <x:c r="C15" s="7" t="n">
        <x:v>9000</x:v>
      </x:c>
      <x:c r="D15" s="7" t="n">
        <x:f>B15-C15</x:f>
        <x:v>38000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22000</x:v>
      </x:c>
      <x:c r="C16" s="7" t="n">
        <x:v>0</x:v>
      </x:c>
      <x:c r="D16" s="7" t="n">
        <x:f>B16-C16</x:f>
        <x:v>22000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2500</x:v>
      </x:c>
      <x:c r="C17" s="7" t="n">
        <x:v>35000</x:v>
      </x:c>
      <x:c r="D17" s="7" t="n">
        <x:f>B17-C17</x:f>
        <x:v>-32500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3000</x:v>
      </x:c>
      <x:c r="C18" s="7" t="n">
        <x:v>14000</x:v>
      </x:c>
      <x:c r="D18" s="7" t="n">
        <x:f>B18-C18</x:f>
        <x:v>-11000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37000</x:v>
      </x:c>
      <x:c r="C19" s="7" t="n">
        <x:v>12000</x:v>
      </x:c>
      <x:c r="D19" s="7" t="n">
        <x:f>B19-C19</x:f>
        <x:v>25000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10000</x:v>
      </x:c>
      <x:c r="C20" s="7" t="n">
        <x:v>0</x:v>
      </x:c>
      <x:c r="D20" s="7" t="n">
        <x:f>B20-C20</x:f>
        <x:v>10000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5000</x:v>
      </x:c>
      <x:c r="C21" s="7" t="n">
        <x:v>0</x:v>
      </x:c>
      <x:c r="D21" s="7" t="n">
        <x:f>B21-C21</x:f>
        <x:v>5000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0</x:v>
      </x:c>
      <x:c r="C22" s="7" t="n">
        <x:v>53000</x:v>
      </x:c>
      <x:c r="D22" s="7" t="n">
        <x:f>B22-C22</x:f>
        <x:v>-53000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10000</x:v>
      </x:c>
      <x:c r="C23" s="7" t="n">
        <x:v>18000</x:v>
      </x:c>
      <x:c r="D23" s="7" t="n">
        <x:f>B23-C23</x:f>
        <x:v>-8000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10500</x:v>
      </x:c>
      <x:c r="C24" s="7" t="n">
        <x:v>30000</x:v>
      </x:c>
      <x:c r="D24" s="7" t="n">
        <x:f>B24-C24</x:f>
        <x:v>-19500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42000</x:v>
      </x:c>
      <x:c r="C25" s="7" t="n">
        <x:v>0</x:v>
      </x:c>
      <x:c r="D25" s="7" t="n">
        <x:f>B25-C25</x:f>
        <x:v>42000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22500</x:v>
      </x:c>
      <x:c r="C26" s="7" t="n">
        <x:v>64000</x:v>
      </x:c>
      <x:c r="D26" s="7" t="n">
        <x:f>B26-C26</x:f>
        <x:v>-41500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17500</x:v>
      </x:c>
      <x:c r="C27" s="7" t="n">
        <x:v>0</x:v>
      </x:c>
      <x:c r="D27" s="7" t="n">
        <x:f>B27-C27</x:f>
        <x:v>17500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22000</x:v>
      </x:c>
      <x:c r="C28" s="7" t="n">
        <x:v>0</x:v>
      </x:c>
      <x:c r="D28" s="7" t="n">
        <x:f>B28-C28</x:f>
        <x:v>22000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17500</x:v>
      </x:c>
      <x:c r="C29" s="7" t="n">
        <x:v>0</x:v>
      </x:c>
      <x:c r="D29" s="7" t="n">
        <x:f>B29-C29</x:f>
        <x:v>17500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18000</x:v>
      </x:c>
      <x:c r="C30" s="7" t="n">
        <x:v>17000</x:v>
      </x:c>
      <x:c r="D30" s="7" t="n">
        <x:f>B30-C30</x:f>
        <x:v>1000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21000</x:v>
      </x:c>
      <x:c r="C31" s="7" t="n">
        <x:v>18000</x:v>
      </x:c>
      <x:c r="D31" s="7" t="n">
        <x:f>B31-C31</x:f>
        <x:v>3000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5000</x:v>
      </x:c>
      <x:c r="C32" s="7" t="n">
        <x:v>0</x:v>
      </x:c>
      <x:c r="D32" s="7" t="n">
        <x:f>B32-C32</x:f>
        <x:v>5000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405500</x:v>
      </x:c>
      <x:c r="C33" s="11" t="n">
        <x:f>SUM(C6:C32)</x:f>
        <x:v>387000</x:v>
      </x:c>
      <x:c r="D33" s="11" t="n">
        <x:f>B33-C33</x:f>
        <x:v>18500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9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3c158f612e422b"/>
  </x:tableParts>
</x:worksheet>
</file>

<file path=xl/worksheets/sheet101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NK225_U168_11　米国後の損益</x:v>
      </x:c>
      <x:c r="B2" s="2"/>
      <x:c r="C2" s="2"/>
      <x:c r="D2" s="2"/>
      <x:c r="E2" s="2"/>
      <x:c r="F2" s="2"/>
    </x:row>
    <x:row r="3" ht="38" customHeight="1">
      <x:c r="A3" s="5" t="str">
        <x:v>8割を20円で利確し残り数量別追尾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4000</x:v>
      </x:c>
      <x:c r="C6" s="7" t="n">
        <x:v>0</x:v>
      </x:c>
      <x:c r="D6" s="7" t="n">
        <x:f>B6-C6</x:f>
        <x:v>4000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9000</x:v>
      </x:c>
      <x:c r="C7" s="7" t="n">
        <x:v>0</x:v>
      </x:c>
      <x:c r="D7" s="7" t="n">
        <x:f>B7-C7</x:f>
        <x:v>9000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7200</x:v>
      </x:c>
      <x:c r="C8" s="7" t="n">
        <x:v>40000</x:v>
      </x:c>
      <x:c r="D8" s="7" t="n">
        <x:f>B8-C8</x:f>
        <x:v>-32800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5200</x:v>
      </x:c>
      <x:c r="C9" s="7" t="n">
        <x:v>0</x:v>
      </x:c>
      <x:c r="D9" s="7" t="n">
        <x:f>B9-C9</x:f>
        <x:v>5200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10400</x:v>
      </x:c>
      <x:c r="C10" s="7" t="n">
        <x:v>0</x:v>
      </x:c>
      <x:c r="D10" s="7" t="n">
        <x:f>B10-C10</x:f>
        <x:v>10400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3200</x:v>
      </x:c>
      <x:c r="C11" s="7" t="n">
        <x:v>42000</x:v>
      </x:c>
      <x:c r="D11" s="7" t="n">
        <x:f>B11-C11</x:f>
        <x:v>-38800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15400</x:v>
      </x:c>
      <x:c r="C12" s="7" t="n">
        <x:v>22000</x:v>
      </x:c>
      <x:c r="D12" s="7" t="n">
        <x:f>B12-C12</x:f>
        <x:v>-6600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11400</x:v>
      </x:c>
      <x:c r="C13" s="7" t="n">
        <x:v>0</x:v>
      </x:c>
      <x:c r="D13" s="7" t="n">
        <x:f>B13-C13</x:f>
        <x:v>11400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35400</x:v>
      </x:c>
      <x:c r="C14" s="7" t="n">
        <x:v>13000</x:v>
      </x:c>
      <x:c r="D14" s="7" t="n">
        <x:f>B14-C14</x:f>
        <x:v>22400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60800</x:v>
      </x:c>
      <x:c r="C15" s="7" t="n">
        <x:v>9000</x:v>
      </x:c>
      <x:c r="D15" s="7" t="n">
        <x:f>B15-C15</x:f>
        <x:v>51800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26600</x:v>
      </x:c>
      <x:c r="C16" s="7" t="n">
        <x:v>0</x:v>
      </x:c>
      <x:c r="D16" s="7" t="n">
        <x:f>B16-C16</x:f>
        <x:v>26600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3200</x:v>
      </x:c>
      <x:c r="C17" s="7" t="n">
        <x:v>35000</x:v>
      </x:c>
      <x:c r="D17" s="7" t="n">
        <x:f>B17-C17</x:f>
        <x:v>-31800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2000</x:v>
      </x:c>
      <x:c r="C18" s="7" t="n">
        <x:v>14000</x:v>
      </x:c>
      <x:c r="D18" s="7" t="n">
        <x:f>B18-C18</x:f>
        <x:v>-12000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44600</x:v>
      </x:c>
      <x:c r="C19" s="7" t="n">
        <x:v>12000</x:v>
      </x:c>
      <x:c r="D19" s="7" t="n">
        <x:f>B19-C19</x:f>
        <x:v>32600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8000</x:v>
      </x:c>
      <x:c r="C20" s="7" t="n">
        <x:v>0</x:v>
      </x:c>
      <x:c r="D20" s="7" t="n">
        <x:f>B20-C20</x:f>
        <x:v>8000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8000</x:v>
      </x:c>
      <x:c r="C21" s="7" t="n">
        <x:v>0</x:v>
      </x:c>
      <x:c r="D21" s="7" t="n">
        <x:f>B21-C21</x:f>
        <x:v>8000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0</x:v>
      </x:c>
      <x:c r="C22" s="7" t="n">
        <x:v>53000</x:v>
      </x:c>
      <x:c r="D22" s="7" t="n">
        <x:f>B22-C22</x:f>
        <x:v>-53000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11600</x:v>
      </x:c>
      <x:c r="C23" s="7" t="n">
        <x:v>18000</x:v>
      </x:c>
      <x:c r="D23" s="7" t="n">
        <x:f>B23-C23</x:f>
        <x:v>-6400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12200</x:v>
      </x:c>
      <x:c r="C24" s="7" t="n">
        <x:v>30000</x:v>
      </x:c>
      <x:c r="D24" s="7" t="n">
        <x:f>B24-C24</x:f>
        <x:v>-17800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49000</x:v>
      </x:c>
      <x:c r="C25" s="7" t="n">
        <x:v>0</x:v>
      </x:c>
      <x:c r="D25" s="7" t="n">
        <x:f>B25-C25</x:f>
        <x:v>49000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25600</x:v>
      </x:c>
      <x:c r="C26" s="7" t="n">
        <x:v>64000</x:v>
      </x:c>
      <x:c r="D26" s="7" t="n">
        <x:f>B26-C26</x:f>
        <x:v>-38400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18400</x:v>
      </x:c>
      <x:c r="C27" s="7" t="n">
        <x:v>0</x:v>
      </x:c>
      <x:c r="D27" s="7" t="n">
        <x:f>B27-C27</x:f>
        <x:v>18400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31600</x:v>
      </x:c>
      <x:c r="C28" s="7" t="n">
        <x:v>0</x:v>
      </x:c>
      <x:c r="D28" s="7" t="n">
        <x:f>B28-C28</x:f>
        <x:v>31600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14400</x:v>
      </x:c>
      <x:c r="C29" s="7" t="n">
        <x:v>0</x:v>
      </x:c>
      <x:c r="D29" s="7" t="n">
        <x:f>B29-C29</x:f>
        <x:v>14400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17400</x:v>
      </x:c>
      <x:c r="C30" s="7" t="n">
        <x:v>17000</x:v>
      </x:c>
      <x:c r="D30" s="7" t="n">
        <x:f>B30-C30</x:f>
        <x:v>400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23400</x:v>
      </x:c>
      <x:c r="C31" s="7" t="n">
        <x:v>18200</x:v>
      </x:c>
      <x:c r="D31" s="7" t="n">
        <x:f>B31-C31</x:f>
        <x:v>5200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4200</x:v>
      </x:c>
      <x:c r="C32" s="7" t="n">
        <x:v>0</x:v>
      </x:c>
      <x:c r="D32" s="7" t="n">
        <x:f>B32-C32</x:f>
        <x:v>4200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462200</x:v>
      </x:c>
      <x:c r="C33" s="11" t="n">
        <x:f>SUM(C6:C32)</x:f>
        <x:v>387200</x:v>
      </x:c>
      <x:c r="D33" s="11" t="n">
        <x:f>B33-C33</x:f>
        <x:v>75000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9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231864080a1475a"/>
  </x:tableParts>
</x:worksheet>
</file>

<file path=xl/worksheets/sheet102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NK225_U168_12　米国後の損益</x:v>
      </x:c>
      <x:c r="B2" s="2"/>
      <x:c r="C2" s="2"/>
      <x:c r="D2" s="2"/>
      <x:c r="E2" s="2"/>
      <x:c r="F2" s="2"/>
    </x:row>
    <x:row r="3" ht="38" customHeight="1">
      <x:c r="A3" s="5" t="str">
        <x:v>8割回収・残り追尾・120円損切り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4000</x:v>
      </x:c>
      <x:c r="C6" s="7" t="n">
        <x:v>0</x:v>
      </x:c>
      <x:c r="D6" s="7" t="n">
        <x:f>B6-C6</x:f>
        <x:v>4000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9000</x:v>
      </x:c>
      <x:c r="C7" s="7" t="n">
        <x:v>0</x:v>
      </x:c>
      <x:c r="D7" s="7" t="n">
        <x:f>B7-C7</x:f>
        <x:v>9000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26200</x:v>
      </x:c>
      <x:c r="C8" s="7" t="n">
        <x:v>0</x:v>
      </x:c>
      <x:c r="D8" s="7" t="n">
        <x:f>B8-C8</x:f>
        <x:v>26200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5200</x:v>
      </x:c>
      <x:c r="C9" s="7" t="n">
        <x:v>0</x:v>
      </x:c>
      <x:c r="D9" s="7" t="n">
        <x:f>B9-C9</x:f>
        <x:v>5200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10400</x:v>
      </x:c>
      <x:c r="C10" s="7" t="n">
        <x:v>0</x:v>
      </x:c>
      <x:c r="D10" s="7" t="n">
        <x:f>B10-C10</x:f>
        <x:v>10400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3200</x:v>
      </x:c>
      <x:c r="C11" s="7" t="n">
        <x:v>47000</x:v>
      </x:c>
      <x:c r="D11" s="7" t="n">
        <x:f>B11-C11</x:f>
        <x:v>-43800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17000</x:v>
      </x:c>
      <x:c r="C12" s="7" t="n">
        <x:v>12000</x:v>
      </x:c>
      <x:c r="D12" s="7" t="n">
        <x:f>B12-C12</x:f>
        <x:v>5000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11400</x:v>
      </x:c>
      <x:c r="C13" s="7" t="n">
        <x:v>0</x:v>
      </x:c>
      <x:c r="D13" s="7" t="n">
        <x:f>B13-C13</x:f>
        <x:v>11400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29800</x:v>
      </x:c>
      <x:c r="C14" s="7" t="n">
        <x:v>34000</x:v>
      </x:c>
      <x:c r="D14" s="7" t="n">
        <x:f>B14-C14</x:f>
        <x:v>-4200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60000</x:v>
      </x:c>
      <x:c r="C15" s="7" t="n">
        <x:v>24000</x:v>
      </x:c>
      <x:c r="D15" s="7" t="n">
        <x:f>B15-C15</x:f>
        <x:v>36000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23400</x:v>
      </x:c>
      <x:c r="C16" s="7" t="n">
        <x:v>12000</x:v>
      </x:c>
      <x:c r="D16" s="7" t="n">
        <x:f>B16-C16</x:f>
        <x:v>11400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13200</x:v>
      </x:c>
      <x:c r="C17" s="7" t="n">
        <x:v>0</x:v>
      </x:c>
      <x:c r="D17" s="7" t="n">
        <x:f>B17-C17</x:f>
        <x:v>13200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2000</x:v>
      </x:c>
      <x:c r="C18" s="7" t="n">
        <x:v>12000</x:v>
      </x:c>
      <x:c r="D18" s="7" t="n">
        <x:f>B18-C18</x:f>
        <x:v>-10000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44600</x:v>
      </x:c>
      <x:c r="C19" s="7" t="n">
        <x:v>24000</x:v>
      </x:c>
      <x:c r="D19" s="7" t="n">
        <x:f>B19-C19</x:f>
        <x:v>20600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8000</x:v>
      </x:c>
      <x:c r="C20" s="7" t="n">
        <x:v>0</x:v>
      </x:c>
      <x:c r="D20" s="7" t="n">
        <x:f>B20-C20</x:f>
        <x:v>8000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8000</x:v>
      </x:c>
      <x:c r="C21" s="7" t="n">
        <x:v>0</x:v>
      </x:c>
      <x:c r="D21" s="7" t="n">
        <x:f>B21-C21</x:f>
        <x:v>8000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10800</x:v>
      </x:c>
      <x:c r="C22" s="7" t="n">
        <x:v>0</x:v>
      </x:c>
      <x:c r="D22" s="7" t="n">
        <x:f>B22-C22</x:f>
        <x:v>10800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11600</x:v>
      </x:c>
      <x:c r="C23" s="7" t="n">
        <x:v>24000</x:v>
      </x:c>
      <x:c r="D23" s="7" t="n">
        <x:f>B23-C23</x:f>
        <x:v>-12400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10600</x:v>
      </x:c>
      <x:c r="C24" s="7" t="n">
        <x:v>23000</x:v>
      </x:c>
      <x:c r="D24" s="7" t="n">
        <x:f>B24-C24</x:f>
        <x:v>-12400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47400</x:v>
      </x:c>
      <x:c r="C25" s="7" t="n">
        <x:v>12000</x:v>
      </x:c>
      <x:c r="D25" s="7" t="n">
        <x:f>B25-C25</x:f>
        <x:v>35400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27200</x:v>
      </x:c>
      <x:c r="C26" s="7" t="n">
        <x:v>60000</x:v>
      </x:c>
      <x:c r="D26" s="7" t="n">
        <x:f>B26-C26</x:f>
        <x:v>-32800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18400</x:v>
      </x:c>
      <x:c r="C27" s="7" t="n">
        <x:v>0</x:v>
      </x:c>
      <x:c r="D27" s="7" t="n">
        <x:f>B27-C27</x:f>
        <x:v>18400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31600</x:v>
      </x:c>
      <x:c r="C28" s="7" t="n">
        <x:v>0</x:v>
      </x:c>
      <x:c r="D28" s="7" t="n">
        <x:f>B28-C28</x:f>
        <x:v>31600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14400</x:v>
      </x:c>
      <x:c r="C29" s="7" t="n">
        <x:v>0</x:v>
      </x:c>
      <x:c r="D29" s="7" t="n">
        <x:f>B29-C29</x:f>
        <x:v>14400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17400</x:v>
      </x:c>
      <x:c r="C30" s="7" t="n">
        <x:v>12000</x:v>
      </x:c>
      <x:c r="D30" s="7" t="n">
        <x:f>B30-C30</x:f>
        <x:v>5400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20200</x:v>
      </x:c>
      <x:c r="C31" s="7" t="n">
        <x:v>46200</x:v>
      </x:c>
      <x:c r="D31" s="7" t="n">
        <x:f>B31-C31</x:f>
        <x:v>-26000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4200</x:v>
      </x:c>
      <x:c r="C32" s="7" t="n">
        <x:v>0</x:v>
      </x:c>
      <x:c r="D32" s="7" t="n">
        <x:f>B32-C32</x:f>
        <x:v>4200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489200</x:v>
      </x:c>
      <x:c r="C33" s="11" t="n">
        <x:f>SUM(C6:C32)</x:f>
        <x:v>342200</x:v>
      </x:c>
      <x:c r="D33" s="11" t="n">
        <x:f>B33-C33</x:f>
        <x:v>147000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10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cfa92a2701417b"/>
  </x:tableParts>
</x:worksheet>
</file>

<file path=xl/worksheets/sheet103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NK225_U168_13　米国後の損益</x:v>
      </x:c>
      <x:c r="B2" s="2"/>
      <x:c r="C2" s="2"/>
      <x:c r="D2" s="2"/>
      <x:c r="E2" s="2"/>
      <x:c r="F2" s="2"/>
    </x:row>
    <x:row r="3" ht="38" customHeight="1">
      <x:c r="A3" s="5" t="str">
        <x:v>数量別回収後に同方向押戻り再参加1回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10000</x:v>
      </x:c>
      <x:c r="C6" s="7" t="n">
        <x:v>45000</x:v>
      </x:c>
      <x:c r="D6" s="7" t="n">
        <x:f>B6-C6</x:f>
        <x:v>-35000</x:v>
      </x:c>
      <x:c r="E6" s="12" t="n">
        <x:v>100</x:v>
      </x:c>
      <x:c r="F6" s="14" t="n">
        <x:f>E6/10</x:f>
        <x:v>10</x:v>
      </x:c>
    </x:row>
    <x:row r="7" ht="25" customHeight="1">
      <x:c r="A7" s="2" t="str">
        <x:v>2026-09-22_Night</x:v>
      </x:c>
      <x:c r="B7" s="7" t="n">
        <x:v>20000</x:v>
      </x:c>
      <x:c r="C7" s="7" t="n">
        <x:v>0</x:v>
      </x:c>
      <x:c r="D7" s="7" t="n">
        <x:f>B7-C7</x:f>
        <x:v>20000</x:v>
      </x:c>
      <x:c r="E7" s="12" t="n">
        <x:v>100</x:v>
      </x:c>
      <x:c r="F7" s="14" t="n">
        <x:f>E7/10</x:f>
        <x:v>10</x:v>
      </x:c>
    </x:row>
    <x:row r="8" ht="25" customHeight="1">
      <x:c r="A8" s="2" t="str">
        <x:v>2026-09-23_Night</x:v>
      </x:c>
      <x:c r="B8" s="7" t="n">
        <x:v>8000</x:v>
      </x:c>
      <x:c r="C8" s="7" t="n">
        <x:v>40000</x:v>
      </x:c>
      <x:c r="D8" s="7" t="n">
        <x:f>B8-C8</x:f>
        <x:v>-32000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16000</x:v>
      </x:c>
      <x:c r="C9" s="7" t="n">
        <x:v>0</x:v>
      </x:c>
      <x:c r="D9" s="7" t="n">
        <x:f>B9-C9</x:f>
        <x:v>16000</x:v>
      </x:c>
      <x:c r="E9" s="12" t="n">
        <x:v>30</x:v>
      </x:c>
      <x:c r="F9" s="14" t="n">
        <x:f>E9/10</x:f>
        <x:v>3</x:v>
      </x:c>
    </x:row>
    <x:row r="10" ht="25" customHeight="1">
      <x:c r="A10" s="2" t="str">
        <x:v>2026-09-25_Night</x:v>
      </x:c>
      <x:c r="B10" s="7" t="n">
        <x:v>9000</x:v>
      </x:c>
      <x:c r="C10" s="7" t="n">
        <x:v>0</x:v>
      </x:c>
      <x:c r="D10" s="7" t="n">
        <x:f>B10-C10</x:f>
        <x:v>9000</x:v>
      </x:c>
      <x:c r="E10" s="12" t="n">
        <x:v>70</x:v>
      </x:c>
      <x:c r="F10" s="14" t="n">
        <x:f>E10/10</x:f>
        <x:v>7</x:v>
      </x:c>
    </x:row>
    <x:row r="11" ht="25" customHeight="1">
      <x:c r="A11" s="2" t="str">
        <x:v>2026-09-28_Night</x:v>
      </x:c>
      <x:c r="B11" s="7" t="n">
        <x:v>0</x:v>
      </x:c>
      <x:c r="C11" s="7" t="n">
        <x:v>42000</x:v>
      </x:c>
      <x:c r="D11" s="7" t="n">
        <x:f>B11-C11</x:f>
        <x:v>-42000</x:v>
      </x:c>
      <x:c r="E11" s="12" t="n">
        <x:v>80</x:v>
      </x:c>
      <x:c r="F11" s="14" t="n">
        <x:f>E11/10</x:f>
        <x:v>8</x:v>
      </x:c>
    </x:row>
    <x:row r="12" ht="25" customHeight="1">
      <x:c r="A12" s="2" t="str">
        <x:v>2026-09-29_Night</x:v>
      </x:c>
      <x:c r="B12" s="7" t="n">
        <x:v>10000</x:v>
      </x:c>
      <x:c r="C12" s="7" t="n">
        <x:v>22000</x:v>
      </x:c>
      <x:c r="D12" s="7" t="n">
        <x:f>B12-C12</x:f>
        <x:v>-12000</x:v>
      </x:c>
      <x:c r="E12" s="12" t="n">
        <x:v>200</x:v>
      </x:c>
      <x:c r="F12" s="14" t="n">
        <x:f>E12/10</x:f>
        <x:v>20</x:v>
      </x:c>
    </x:row>
    <x:row r="13" ht="25" customHeight="1">
      <x:c r="A13" s="2" t="str">
        <x:v>2026-09-30_Night</x:v>
      </x:c>
      <x:c r="B13" s="7" t="n">
        <x:v>1000</x:v>
      </x:c>
      <x:c r="C13" s="7" t="n">
        <x:v>0</x:v>
      </x:c>
      <x:c r="D13" s="7" t="n">
        <x:f>B13-C13</x:f>
        <x:v>1000</x:v>
      </x:c>
      <x:c r="E13" s="12" t="n">
        <x:v>90</x:v>
      </x:c>
      <x:c r="F13" s="14" t="n">
        <x:f>E13/10</x:f>
        <x:v>9</x:v>
      </x:c>
    </x:row>
    <x:row r="14" ht="25" customHeight="1">
      <x:c r="A14" s="2" t="str">
        <x:v>2026-10-01_Night</x:v>
      </x:c>
      <x:c r="B14" s="7" t="n">
        <x:v>101000</x:v>
      </x:c>
      <x:c r="C14" s="7" t="n">
        <x:v>13000</x:v>
      </x:c>
      <x:c r="D14" s="7" t="n">
        <x:f>B14-C14</x:f>
        <x:v>88000</x:v>
      </x:c>
      <x:c r="E14" s="12" t="n">
        <x:v>190</x:v>
      </x:c>
      <x:c r="F14" s="14" t="n">
        <x:f>E14/10</x:f>
        <x:v>19</x:v>
      </x:c>
    </x:row>
    <x:row r="15" ht="25" customHeight="1">
      <x:c r="A15" s="2" t="str">
        <x:v>2026-10-02_Night</x:v>
      </x:c>
      <x:c r="B15" s="7" t="n">
        <x:v>100000</x:v>
      </x:c>
      <x:c r="C15" s="7" t="n">
        <x:v>18000</x:v>
      </x:c>
      <x:c r="D15" s="7" t="n">
        <x:f>B15-C15</x:f>
        <x:v>82000</x:v>
      </x:c>
      <x:c r="E15" s="12" t="n">
        <x:v>380</x:v>
      </x:c>
      <x:c r="F15" s="14" t="n">
        <x:f>E15/10</x:f>
        <x:v>38</x:v>
      </x:c>
    </x:row>
    <x:row r="16" ht="25" customHeight="1">
      <x:c r="A16" s="2" t="str">
        <x:v>2026-10-05_Night</x:v>
      </x:c>
      <x:c r="B16" s="7" t="n">
        <x:v>28000</x:v>
      </x:c>
      <x:c r="C16" s="7" t="n">
        <x:v>49000</x:v>
      </x:c>
      <x:c r="D16" s="7" t="n">
        <x:f>B16-C16</x:f>
        <x:v>-21000</x:v>
      </x:c>
      <x:c r="E16" s="12" t="n">
        <x:v>270</x:v>
      </x:c>
      <x:c r="F16" s="14" t="n">
        <x:f>E16/10</x:f>
        <x:v>27</x:v>
      </x:c>
    </x:row>
    <x:row r="17" ht="25" customHeight="1">
      <x:c r="A17" s="2" t="str">
        <x:v>2026-10-06_Night</x:v>
      </x:c>
      <x:c r="B17" s="7" t="n">
        <x:v>0</x:v>
      </x:c>
      <x:c r="C17" s="7" t="n">
        <x:v>35000</x:v>
      </x:c>
      <x:c r="D17" s="7" t="n">
        <x:f>B17-C17</x:f>
        <x:v>-35000</x:v>
      </x:c>
      <x:c r="E17" s="12" t="n">
        <x:v>80</x:v>
      </x:c>
      <x:c r="F17" s="14" t="n">
        <x:f>E17/10</x:f>
        <x:v>8</x:v>
      </x:c>
    </x:row>
    <x:row r="18" ht="25" customHeight="1">
      <x:c r="A18" s="2" t="str">
        <x:v>2026-10-07_Night</x:v>
      </x:c>
      <x:c r="B18" s="7" t="n">
        <x:v>2000</x:v>
      </x:c>
      <x:c r="C18" s="7" t="n">
        <x:v>14000</x:v>
      </x:c>
      <x:c r="D18" s="7" t="n">
        <x:f>B18-C18</x:f>
        <x:v>-12000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72000</x:v>
      </x:c>
      <x:c r="C19" s="7" t="n">
        <x:v>33000</x:v>
      </x:c>
      <x:c r="D19" s="7" t="n">
        <x:f>B19-C19</x:f>
        <x:v>39000</x:v>
      </x:c>
      <x:c r="E19" s="12" t="n">
        <x:v>470</x:v>
      </x:c>
      <x:c r="F19" s="14" t="n">
        <x:f>E19/10</x:f>
        <x:v>47</x:v>
      </x:c>
    </x:row>
    <x:row r="20" ht="25" customHeight="1">
      <x:c r="A20" s="2" t="str">
        <x:v>2026-10-09_Night</x:v>
      </x:c>
      <x:c r="B20" s="7" t="n">
        <x:v>20000</x:v>
      </x:c>
      <x:c r="C20" s="7" t="n">
        <x:v>0</x:v>
      </x:c>
      <x:c r="D20" s="7" t="n">
        <x:f>B20-C20</x:f>
        <x:v>20000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100</x:v>
      </x:c>
      <x:c r="F21" s="14" t="n">
        <x:f>E21/10</x:f>
        <x:v>10</x:v>
      </x:c>
    </x:row>
    <x:row r="22" ht="25" customHeight="1">
      <x:c r="A22" s="2" t="str">
        <x:v>2026-10-13_Night</x:v>
      </x:c>
      <x:c r="B22" s="7" t="n">
        <x:v>0</x:v>
      </x:c>
      <x:c r="C22" s="7" t="n">
        <x:v>53000</x:v>
      </x:c>
      <x:c r="D22" s="7" t="n">
        <x:f>B22-C22</x:f>
        <x:v>-53000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19000</x:v>
      </x:c>
      <x:c r="C23" s="7" t="n">
        <x:v>18000</x:v>
      </x:c>
      <x:c r="D23" s="7" t="n">
        <x:f>B23-C23</x:f>
        <x:v>1000</x:v>
      </x:c>
      <x:c r="E23" s="12" t="n">
        <x:v>160</x:v>
      </x:c>
      <x:c r="F23" s="14" t="n">
        <x:f>E23/10</x:f>
        <x:v>16</x:v>
      </x:c>
    </x:row>
    <x:row r="24" ht="25" customHeight="1">
      <x:c r="A24" s="2" t="str">
        <x:v>2026-10-15_Night</x:v>
      </x:c>
      <x:c r="B24" s="7" t="n">
        <x:v>18000</x:v>
      </x:c>
      <x:c r="C24" s="7" t="n">
        <x:v>43000</x:v>
      </x:c>
      <x:c r="D24" s="7" t="n">
        <x:f>B24-C24</x:f>
        <x:v>-25000</x:v>
      </x:c>
      <x:c r="E24" s="12" t="n">
        <x:v>110</x:v>
      </x:c>
      <x:c r="F24" s="14" t="n">
        <x:f>E24/10</x:f>
        <x:v>11</x:v>
      </x:c>
    </x:row>
    <x:row r="25" ht="25" customHeight="1">
      <x:c r="A25" s="2" t="str">
        <x:v>2026-10-16_Night</x:v>
      </x:c>
      <x:c r="B25" s="7" t="n">
        <x:v>44000</x:v>
      </x:c>
      <x:c r="C25" s="7" t="n">
        <x:v>45000</x:v>
      </x:c>
      <x:c r="D25" s="7" t="n">
        <x:f>B25-C25</x:f>
        <x:v>-1000</x:v>
      </x:c>
      <x:c r="E25" s="12" t="n">
        <x:v>440</x:v>
      </x:c>
      <x:c r="F25" s="14" t="n">
        <x:f>E25/10</x:f>
        <x:v>44</x:v>
      </x:c>
    </x:row>
    <x:row r="26" ht="25" customHeight="1">
      <x:c r="A26" s="2" t="str">
        <x:v>2026-10-19_Night</x:v>
      </x:c>
      <x:c r="B26" s="7" t="n">
        <x:v>33000</x:v>
      </x:c>
      <x:c r="C26" s="7" t="n">
        <x:v>64000</x:v>
      </x:c>
      <x:c r="D26" s="7" t="n">
        <x:f>B26-C26</x:f>
        <x:v>-31000</x:v>
      </x:c>
      <x:c r="E26" s="12" t="n">
        <x:v>250</x:v>
      </x:c>
      <x:c r="F26" s="14" t="n">
        <x:f>E26/10</x:f>
        <x:v>25</x:v>
      </x:c>
    </x:row>
    <x:row r="27" ht="25" customHeight="1">
      <x:c r="A27" s="2" t="str">
        <x:v>2026-10-20_Night</x:v>
      </x:c>
      <x:c r="B27" s="7" t="n">
        <x:v>32000</x:v>
      </x:c>
      <x:c r="C27" s="7" t="n">
        <x:v>0</x:v>
      </x:c>
      <x:c r="D27" s="7" t="n">
        <x:f>B27-C27</x:f>
        <x:v>32000</x:v>
      </x:c>
      <x:c r="E27" s="12" t="n">
        <x:v>170</x:v>
      </x:c>
      <x:c r="F27" s="14" t="n">
        <x:f>E27/10</x:f>
        <x:v>17</x:v>
      </x:c>
    </x:row>
    <x:row r="28" ht="25" customHeight="1">
      <x:c r="A28" s="2" t="str">
        <x:v>2026-10-21_Night</x:v>
      </x:c>
      <x:c r="B28" s="7" t="n">
        <x:v>30000</x:v>
      </x:c>
      <x:c r="C28" s="7" t="n">
        <x:v>0</x:v>
      </x:c>
      <x:c r="D28" s="7" t="n">
        <x:f>B28-C28</x:f>
        <x:v>30000</x:v>
      </x:c>
      <x:c r="E28" s="12" t="n">
        <x:v>190</x:v>
      </x:c>
      <x:c r="F28" s="14" t="n">
        <x:f>E28/10</x:f>
        <x:v>19</x:v>
      </x:c>
    </x:row>
    <x:row r="29" ht="25" customHeight="1">
      <x:c r="A29" s="2" t="str">
        <x:v>2026-10-22_Night</x:v>
      </x:c>
      <x:c r="B29" s="7" t="n">
        <x:v>26000</x:v>
      </x:c>
      <x:c r="C29" s="7" t="n">
        <x:v>0</x:v>
      </x:c>
      <x:c r="D29" s="7" t="n">
        <x:f>B29-C29</x:f>
        <x:v>26000</x:v>
      </x:c>
      <x:c r="E29" s="12" t="n">
        <x:v>120</x:v>
      </x:c>
      <x:c r="F29" s="14" t="n">
        <x:f>E29/10</x:f>
        <x:v>12</x:v>
      </x:c>
    </x:row>
    <x:row r="30" ht="25" customHeight="1">
      <x:c r="A30" s="2" t="str">
        <x:v>2026-10-23_Night</x:v>
      </x:c>
      <x:c r="B30" s="7" t="n">
        <x:v>52000</x:v>
      </x:c>
      <x:c r="C30" s="7" t="n">
        <x:v>17000</x:v>
      </x:c>
      <x:c r="D30" s="7" t="n">
        <x:f>B30-C30</x:f>
        <x:v>35000</x:v>
      </x:c>
      <x:c r="E30" s="12" t="n">
        <x:v>190</x:v>
      </x:c>
      <x:c r="F30" s="14" t="n">
        <x:f>E30/10</x:f>
        <x:v>19</x:v>
      </x:c>
    </x:row>
    <x:row r="31" ht="25" customHeight="1">
      <x:c r="A31" s="2" t="str">
        <x:v>2026-10-26_Night</x:v>
      </x:c>
      <x:c r="B31" s="7" t="n">
        <x:v>23000</x:v>
      </x:c>
      <x:c r="C31" s="7" t="n">
        <x:v>52000</x:v>
      </x:c>
      <x:c r="D31" s="7" t="n">
        <x:f>B31-C31</x:f>
        <x:v>-29000</x:v>
      </x:c>
      <x:c r="E31" s="12" t="n">
        <x:v>240</x:v>
      </x:c>
      <x:c r="F31" s="14" t="n">
        <x:f>E31/10</x:f>
        <x:v>24</x:v>
      </x:c>
    </x:row>
    <x:row r="32" ht="25" customHeight="1">
      <x:c r="A32" s="2" t="str">
        <x:v>2026-10-27_Night</x:v>
      </x:c>
      <x:c r="B32" s="7" t="n">
        <x:v>5000</x:v>
      </x:c>
      <x:c r="C32" s="7" t="n">
        <x:v>0</x:v>
      </x:c>
      <x:c r="D32" s="7" t="n">
        <x:f>B32-C32</x:f>
        <x:v>5000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679000</x:v>
      </x:c>
      <x:c r="C33" s="11" t="n">
        <x:f>SUM(C6:C32)</x:f>
        <x:v>603000</x:v>
      </x:c>
      <x:c r="D33" s="11" t="n">
        <x:f>B33-C33</x:f>
        <x:v>76000</x:v>
      </x:c>
      <x:c r="E33" s="13" t="n">
        <x:f>SUM(E6:E32)</x:f>
        <x:v>4300</x:v>
      </x:c>
      <x:c r="F33" s="15" t="n">
        <x:f>E33/10</x:f>
        <x:v>430</x:v>
      </x:c>
    </x:row>
  </x:sheetData>
  <x:mergeCells>
    <x:mergeCell ref="A2:F2"/>
    <x:mergeCell ref="A3:F3"/>
    <x:mergeCell ref="A4:F4"/>
  </x:mergeCells>
  <x:conditionalFormatting sqref="D6:D32">
    <x:cfRule type="cellIs" dxfId="10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b18a303ad6d4235"/>
  </x:tableParts>
</x:worksheet>
</file>

<file path=xl/worksheets/sheet104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NK225_U168_14　米国後の損益</x:v>
      </x:c>
      <x:c r="B2" s="2"/>
      <x:c r="C2" s="2"/>
      <x:c r="D2" s="2"/>
      <x:c r="E2" s="2"/>
      <x:c r="F2" s="2"/>
    </x:row>
    <x:row r="3" ht="38" customHeight="1">
      <x:c r="A3" s="5" t="str">
        <x:v>120円損切りと押戻り再参加1回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10000</x:v>
      </x:c>
      <x:c r="C6" s="7" t="n">
        <x:v>0</x:v>
      </x:c>
      <x:c r="D6" s="7" t="n">
        <x:f>B6-C6</x:f>
        <x:v>10000</x:v>
      </x:c>
      <x:c r="E6" s="12" t="n">
        <x:v>100</x:v>
      </x:c>
      <x:c r="F6" s="14" t="n">
        <x:f>E6/10</x:f>
        <x:v>10</x:v>
      </x:c>
    </x:row>
    <x:row r="7" ht="25" customHeight="1">
      <x:c r="A7" s="2" t="str">
        <x:v>2026-09-22_Night</x:v>
      </x:c>
      <x:c r="B7" s="7" t="n">
        <x:v>20000</x:v>
      </x:c>
      <x:c r="C7" s="7" t="n">
        <x:v>0</x:v>
      </x:c>
      <x:c r="D7" s="7" t="n">
        <x:f>B7-C7</x:f>
        <x:v>20000</x:v>
      </x:c>
      <x:c r="E7" s="12" t="n">
        <x:v>100</x:v>
      </x:c>
      <x:c r="F7" s="14" t="n">
        <x:f>E7/10</x:f>
        <x:v>10</x:v>
      </x:c>
    </x:row>
    <x:row r="8" ht="25" customHeight="1">
      <x:c r="A8" s="2" t="str">
        <x:v>2026-09-23_Night</x:v>
      </x:c>
      <x:c r="B8" s="7" t="n">
        <x:v>18000</x:v>
      </x:c>
      <x:c r="C8" s="7" t="n">
        <x:v>0</x:v>
      </x:c>
      <x:c r="D8" s="7" t="n">
        <x:f>B8-C8</x:f>
        <x:v>18000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16000</x:v>
      </x:c>
      <x:c r="C9" s="7" t="n">
        <x:v>0</x:v>
      </x:c>
      <x:c r="D9" s="7" t="n">
        <x:f>B9-C9</x:f>
        <x:v>16000</x:v>
      </x:c>
      <x:c r="E9" s="12" t="n">
        <x:v>30</x:v>
      </x:c>
      <x:c r="F9" s="14" t="n">
        <x:f>E9/10</x:f>
        <x:v>3</x:v>
      </x:c>
    </x:row>
    <x:row r="10" ht="25" customHeight="1">
      <x:c r="A10" s="2" t="str">
        <x:v>2026-09-25_Night</x:v>
      </x:c>
      <x:c r="B10" s="7" t="n">
        <x:v>9000</x:v>
      </x:c>
      <x:c r="C10" s="7" t="n">
        <x:v>0</x:v>
      </x:c>
      <x:c r="D10" s="7" t="n">
        <x:f>B10-C10</x:f>
        <x:v>9000</x:v>
      </x:c>
      <x:c r="E10" s="12" t="n">
        <x:v>70</x:v>
      </x:c>
      <x:c r="F10" s="14" t="n">
        <x:f>E10/10</x:f>
        <x:v>7</x:v>
      </x:c>
    </x:row>
    <x:row r="11" ht="25" customHeight="1">
      <x:c r="A11" s="2" t="str">
        <x:v>2026-09-28_Night</x:v>
      </x:c>
      <x:c r="B11" s="7" t="n">
        <x:v>0</x:v>
      </x:c>
      <x:c r="C11" s="7" t="n">
        <x:v>47000</x:v>
      </x:c>
      <x:c r="D11" s="7" t="n">
        <x:f>B11-C11</x:f>
        <x:v>-47000</x:v>
      </x:c>
      <x:c r="E11" s="12" t="n">
        <x:v>80</x:v>
      </x:c>
      <x:c r="F11" s="14" t="n">
        <x:f>E11/10</x:f>
        <x:v>8</x:v>
      </x:c>
    </x:row>
    <x:row r="12" ht="25" customHeight="1">
      <x:c r="A12" s="2" t="str">
        <x:v>2026-09-29_Night</x:v>
      </x:c>
      <x:c r="B12" s="7" t="n">
        <x:v>10000</x:v>
      </x:c>
      <x:c r="C12" s="7" t="n">
        <x:v>12000</x:v>
      </x:c>
      <x:c r="D12" s="7" t="n">
        <x:f>B12-C12</x:f>
        <x:v>-2000</x:v>
      </x:c>
      <x:c r="E12" s="12" t="n">
        <x:v>200</x:v>
      </x:c>
      <x:c r="F12" s="14" t="n">
        <x:f>E12/10</x:f>
        <x:v>20</x:v>
      </x:c>
    </x:row>
    <x:row r="13" ht="25" customHeight="1">
      <x:c r="A13" s="2" t="str">
        <x:v>2026-09-30_Night</x:v>
      </x:c>
      <x:c r="B13" s="7" t="n">
        <x:v>1000</x:v>
      </x:c>
      <x:c r="C13" s="7" t="n">
        <x:v>0</x:v>
      </x:c>
      <x:c r="D13" s="7" t="n">
        <x:f>B13-C13</x:f>
        <x:v>1000</x:v>
      </x:c>
      <x:c r="E13" s="12" t="n">
        <x:v>90</x:v>
      </x:c>
      <x:c r="F13" s="14" t="n">
        <x:f>E13/10</x:f>
        <x:v>9</x:v>
      </x:c>
    </x:row>
    <x:row r="14" ht="25" customHeight="1">
      <x:c r="A14" s="2" t="str">
        <x:v>2026-10-01_Night</x:v>
      </x:c>
      <x:c r="B14" s="7" t="n">
        <x:v>88000</x:v>
      </x:c>
      <x:c r="C14" s="7" t="n">
        <x:v>46000</x:v>
      </x:c>
      <x:c r="D14" s="7" t="n">
        <x:f>B14-C14</x:f>
        <x:v>42000</x:v>
      </x:c>
      <x:c r="E14" s="12" t="n">
        <x:v>170</x:v>
      </x:c>
      <x:c r="F14" s="14" t="n">
        <x:f>E14/10</x:f>
        <x:v>17</x:v>
      </x:c>
    </x:row>
    <x:row r="15" ht="25" customHeight="1">
      <x:c r="A15" s="2" t="str">
        <x:v>2026-10-02_Night</x:v>
      </x:c>
      <x:c r="B15" s="7" t="n">
        <x:v>99000</x:v>
      </x:c>
      <x:c r="C15" s="7" t="n">
        <x:v>36000</x:v>
      </x:c>
      <x:c r="D15" s="7" t="n">
        <x:f>B15-C15</x:f>
        <x:v>63000</x:v>
      </x:c>
      <x:c r="E15" s="12" t="n">
        <x:v>370</x:v>
      </x:c>
      <x:c r="F15" s="14" t="n">
        <x:f>E15/10</x:f>
        <x:v>37</x:v>
      </x:c>
    </x:row>
    <x:row r="16" ht="25" customHeight="1">
      <x:c r="A16" s="2" t="str">
        <x:v>2026-10-05_Night</x:v>
      </x:c>
      <x:c r="B16" s="7" t="n">
        <x:v>22000</x:v>
      </x:c>
      <x:c r="C16" s="7" t="n">
        <x:v>96000</x:v>
      </x:c>
      <x:c r="D16" s="7" t="n">
        <x:f>B16-C16</x:f>
        <x:v>-74000</x:v>
      </x:c>
      <x:c r="E16" s="12" t="n">
        <x:v>260</x:v>
      </x:c>
      <x:c r="F16" s="14" t="n">
        <x:f>E16/10</x:f>
        <x:v>26</x:v>
      </x:c>
    </x:row>
    <x:row r="17" ht="25" customHeight="1">
      <x:c r="A17" s="2" t="str">
        <x:v>2026-10-06_Night</x:v>
      </x:c>
      <x:c r="B17" s="7" t="n">
        <x:v>5000</x:v>
      </x:c>
      <x:c r="C17" s="7" t="n">
        <x:v>0</x:v>
      </x:c>
      <x:c r="D17" s="7" t="n">
        <x:f>B17-C17</x:f>
        <x:v>5000</x:v>
      </x:c>
      <x:c r="E17" s="12" t="n">
        <x:v>80</x:v>
      </x:c>
      <x:c r="F17" s="14" t="n">
        <x:f>E17/10</x:f>
        <x:v>8</x:v>
      </x:c>
    </x:row>
    <x:row r="18" ht="25" customHeight="1">
      <x:c r="A18" s="2" t="str">
        <x:v>2026-10-07_Night</x:v>
      </x:c>
      <x:c r="B18" s="7" t="n">
        <x:v>2000</x:v>
      </x:c>
      <x:c r="C18" s="7" t="n">
        <x:v>12000</x:v>
      </x:c>
      <x:c r="D18" s="7" t="n">
        <x:f>B18-C18</x:f>
        <x:v>-10000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72000</x:v>
      </x:c>
      <x:c r="C19" s="7" t="n">
        <x:v>47000</x:v>
      </x:c>
      <x:c r="D19" s="7" t="n">
        <x:f>B19-C19</x:f>
        <x:v>25000</x:v>
      </x:c>
      <x:c r="E19" s="12" t="n">
        <x:v>470</x:v>
      </x:c>
      <x:c r="F19" s="14" t="n">
        <x:f>E19/10</x:f>
        <x:v>47</x:v>
      </x:c>
    </x:row>
    <x:row r="20" ht="25" customHeight="1">
      <x:c r="A20" s="2" t="str">
        <x:v>2026-10-09_Night</x:v>
      </x:c>
      <x:c r="B20" s="7" t="n">
        <x:v>20000</x:v>
      </x:c>
      <x:c r="C20" s="7" t="n">
        <x:v>0</x:v>
      </x:c>
      <x:c r="D20" s="7" t="n">
        <x:f>B20-C20</x:f>
        <x:v>20000</x:v>
      </x:c>
      <x:c r="E20" s="12" t="n">
        <x:v>100</x:v>
      </x:c>
      <x:c r="F20" s="14" t="n">
        <x:f>E20/10</x:f>
        <x:v>10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100</x:v>
      </x:c>
      <x:c r="F21" s="14" t="n">
        <x:f>E21/10</x:f>
        <x:v>10</x:v>
      </x:c>
    </x:row>
    <x:row r="22" ht="25" customHeight="1">
      <x:c r="A22" s="2" t="str">
        <x:v>2026-10-13_Night</x:v>
      </x:c>
      <x:c r="B22" s="7" t="n">
        <x:v>5000</x:v>
      </x:c>
      <x:c r="C22" s="7" t="n">
        <x:v>0</x:v>
      </x:c>
      <x:c r="D22" s="7" t="n">
        <x:f>B22-C22</x:f>
        <x:v>5000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19000</x:v>
      </x:c>
      <x:c r="C23" s="7" t="n">
        <x:v>24000</x:v>
      </x:c>
      <x:c r="D23" s="7" t="n">
        <x:f>B23-C23</x:f>
        <x:v>-5000</x:v>
      </x:c>
      <x:c r="E23" s="12" t="n">
        <x:v>160</x:v>
      </x:c>
      <x:c r="F23" s="14" t="n">
        <x:f>E23/10</x:f>
        <x:v>16</x:v>
      </x:c>
    </x:row>
    <x:row r="24" ht="25" customHeight="1">
      <x:c r="A24" s="2" t="str">
        <x:v>2026-10-15_Night</x:v>
      </x:c>
      <x:c r="B24" s="7" t="n">
        <x:v>18000</x:v>
      </x:c>
      <x:c r="C24" s="7" t="n">
        <x:v>35000</x:v>
      </x:c>
      <x:c r="D24" s="7" t="n">
        <x:f>B24-C24</x:f>
        <x:v>-17000</x:v>
      </x:c>
      <x:c r="E24" s="12" t="n">
        <x:v>110</x:v>
      </x:c>
      <x:c r="F24" s="14" t="n">
        <x:f>E24/10</x:f>
        <x:v>11</x:v>
      </x:c>
    </x:row>
    <x:row r="25" ht="25" customHeight="1">
      <x:c r="A25" s="2" t="str">
        <x:v>2026-10-16_Night</x:v>
      </x:c>
      <x:c r="B25" s="7" t="n">
        <x:v>35000</x:v>
      </x:c>
      <x:c r="C25" s="7" t="n">
        <x:v>81000</x:v>
      </x:c>
      <x:c r="D25" s="7" t="n">
        <x:f>B25-C25</x:f>
        <x:v>-46000</x:v>
      </x:c>
      <x:c r="E25" s="12" t="n">
        <x:v>430</x:v>
      </x:c>
      <x:c r="F25" s="14" t="n">
        <x:f>E25/10</x:f>
        <x:v>43</x:v>
      </x:c>
    </x:row>
    <x:row r="26" ht="25" customHeight="1">
      <x:c r="A26" s="2" t="str">
        <x:v>2026-10-19_Night</x:v>
      </x:c>
      <x:c r="B26" s="7" t="n">
        <x:v>25000</x:v>
      </x:c>
      <x:c r="C26" s="7" t="n">
        <x:v>60000</x:v>
      </x:c>
      <x:c r="D26" s="7" t="n">
        <x:f>B26-C26</x:f>
        <x:v>-35000</x:v>
      </x:c>
      <x:c r="E26" s="12" t="n">
        <x:v>250</x:v>
      </x:c>
      <x:c r="F26" s="14" t="n">
        <x:f>E26/10</x:f>
        <x:v>25</x:v>
      </x:c>
    </x:row>
    <x:row r="27" ht="25" customHeight="1">
      <x:c r="A27" s="2" t="str">
        <x:v>2026-10-20_Night</x:v>
      </x:c>
      <x:c r="B27" s="7" t="n">
        <x:v>32000</x:v>
      </x:c>
      <x:c r="C27" s="7" t="n">
        <x:v>0</x:v>
      </x:c>
      <x:c r="D27" s="7" t="n">
        <x:f>B27-C27</x:f>
        <x:v>32000</x:v>
      </x:c>
      <x:c r="E27" s="12" t="n">
        <x:v>170</x:v>
      </x:c>
      <x:c r="F27" s="14" t="n">
        <x:f>E27/10</x:f>
        <x:v>17</x:v>
      </x:c>
    </x:row>
    <x:row r="28" ht="25" customHeight="1">
      <x:c r="A28" s="2" t="str">
        <x:v>2026-10-21_Night</x:v>
      </x:c>
      <x:c r="B28" s="7" t="n">
        <x:v>25000</x:v>
      </x:c>
      <x:c r="C28" s="7" t="n">
        <x:v>11000</x:v>
      </x:c>
      <x:c r="D28" s="7" t="n">
        <x:f>B28-C28</x:f>
        <x:v>14000</x:v>
      </x:c>
      <x:c r="E28" s="12" t="n">
        <x:v>190</x:v>
      </x:c>
      <x:c r="F28" s="14" t="n">
        <x:f>E28/10</x:f>
        <x:v>19</x:v>
      </x:c>
    </x:row>
    <x:row r="29" ht="25" customHeight="1">
      <x:c r="A29" s="2" t="str">
        <x:v>2026-10-22_Night</x:v>
      </x:c>
      <x:c r="B29" s="7" t="n">
        <x:v>26000</x:v>
      </x:c>
      <x:c r="C29" s="7" t="n">
        <x:v>0</x:v>
      </x:c>
      <x:c r="D29" s="7" t="n">
        <x:f>B29-C29</x:f>
        <x:v>26000</x:v>
      </x:c>
      <x:c r="E29" s="12" t="n">
        <x:v>120</x:v>
      </x:c>
      <x:c r="F29" s="14" t="n">
        <x:f>E29/10</x:f>
        <x:v>12</x:v>
      </x:c>
    </x:row>
    <x:row r="30" ht="25" customHeight="1">
      <x:c r="A30" s="2" t="str">
        <x:v>2026-10-23_Night</x:v>
      </x:c>
      <x:c r="B30" s="7" t="n">
        <x:v>52000</x:v>
      </x:c>
      <x:c r="C30" s="7" t="n">
        <x:v>24000</x:v>
      </x:c>
      <x:c r="D30" s="7" t="n">
        <x:f>B30-C30</x:f>
        <x:v>28000</x:v>
      </x:c>
      <x:c r="E30" s="12" t="n">
        <x:v>190</x:v>
      </x:c>
      <x:c r="F30" s="14" t="n">
        <x:f>E30/10</x:f>
        <x:v>19</x:v>
      </x:c>
    </x:row>
    <x:row r="31" ht="25" customHeight="1">
      <x:c r="A31" s="2" t="str">
        <x:v>2026-10-26_Night</x:v>
      </x:c>
      <x:c r="B31" s="7" t="n">
        <x:v>23000</x:v>
      </x:c>
      <x:c r="C31" s="7" t="n">
        <x:v>83000</x:v>
      </x:c>
      <x:c r="D31" s="7" t="n">
        <x:f>B31-C31</x:f>
        <x:v>-60000</x:v>
      </x:c>
      <x:c r="E31" s="12" t="n">
        <x:v>220</x:v>
      </x:c>
      <x:c r="F31" s="14" t="n">
        <x:f>E31/10</x:f>
        <x:v>22</x:v>
      </x:c>
    </x:row>
    <x:row r="32" ht="25" customHeight="1">
      <x:c r="A32" s="2" t="str">
        <x:v>2026-10-27_Night</x:v>
      </x:c>
      <x:c r="B32" s="7" t="n">
        <x:v>5000</x:v>
      </x:c>
      <x:c r="C32" s="7" t="n">
        <x:v>0</x:v>
      </x:c>
      <x:c r="D32" s="7" t="n">
        <x:f>B32-C32</x:f>
        <x:v>5000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657000</x:v>
      </x:c>
      <x:c r="C33" s="11" t="n">
        <x:f>SUM(C6:C32)</x:f>
        <x:v>614000</x:v>
      </x:c>
      <x:c r="D33" s="11" t="n">
        <x:f>B33-C33</x:f>
        <x:v>43000</x:v>
      </x:c>
      <x:c r="E33" s="13" t="n">
        <x:f>SUM(E6:E32)</x:f>
        <x:v>4230</x:v>
      </x:c>
      <x:c r="F33" s="15" t="n">
        <x:f>E33/10</x:f>
        <x:v>423</x:v>
      </x:c>
    </x:row>
  </x:sheetData>
  <x:mergeCells>
    <x:mergeCell ref="A2:F2"/>
    <x:mergeCell ref="A3:F3"/>
    <x:mergeCell ref="A4:F4"/>
  </x:mergeCells>
  <x:conditionalFormatting sqref="D6:D32">
    <x:cfRule type="cellIs" dxfId="10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c140f8e89b144ec"/>
  </x:tableParts>
</x:worksheet>
</file>

<file path=xl/worksheets/sheet105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NK225_U168_15　米国後の損益</x:v>
      </x:c>
      <x:c r="B2" s="2"/>
      <x:c r="C2" s="2"/>
      <x:c r="D2" s="2"/>
      <x:c r="E2" s="2"/>
      <x:c r="F2" s="2"/>
    </x:row>
    <x:row r="3" ht="38" customHeight="1">
      <x:c r="A3" s="5" t="str">
        <x:v>回収直後に方向と数量を再判断1回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10000</x:v>
      </x:c>
      <x:c r="C6" s="7" t="n">
        <x:v>0</x:v>
      </x:c>
      <x:c r="D6" s="7" t="n">
        <x:f>B6-C6</x:f>
        <x:v>10000</x:v>
      </x:c>
      <x:c r="E6" s="12" t="n">
        <x:v>83</x:v>
      </x:c>
      <x:c r="F6" s="14" t="n">
        <x:f>E6/10</x:f>
        <x:v>8.3</x:v>
      </x:c>
    </x:row>
    <x:row r="7" ht="25" customHeight="1">
      <x:c r="A7" s="2" t="str">
        <x:v>2026-09-22_Night</x:v>
      </x:c>
      <x:c r="B7" s="7" t="n">
        <x:v>15000</x:v>
      </x:c>
      <x:c r="C7" s="7" t="n">
        <x:v>0</x:v>
      </x:c>
      <x:c r="D7" s="7" t="n">
        <x:f>B7-C7</x:f>
        <x:v>15000</x:v>
      </x:c>
      <x:c r="E7" s="12" t="n">
        <x:v>100</x:v>
      </x:c>
      <x:c r="F7" s="14" t="n">
        <x:f>E7/10</x:f>
        <x:v>10</x:v>
      </x:c>
    </x:row>
    <x:row r="8" ht="25" customHeight="1">
      <x:c r="A8" s="2" t="str">
        <x:v>2026-09-23_Night</x:v>
      </x:c>
      <x:c r="B8" s="7" t="n">
        <x:v>21300</x:v>
      </x:c>
      <x:c r="C8" s="7" t="n">
        <x:v>0</x:v>
      </x:c>
      <x:c r="D8" s="7" t="n">
        <x:f>B8-C8</x:f>
        <x:v>21300</x:v>
      </x:c>
      <x:c r="E8" s="12" t="n">
        <x:v>113</x:v>
      </x:c>
      <x:c r="F8" s="14" t="n">
        <x:f>E8/10</x:f>
        <x:v>11.3</x:v>
      </x:c>
    </x:row>
    <x:row r="9" ht="25" customHeight="1">
      <x:c r="A9" s="2" t="str">
        <x:v>2026-09-24_Night</x:v>
      </x:c>
      <x:c r="B9" s="7" t="n">
        <x:v>10000</x:v>
      </x:c>
      <x:c r="C9" s="7" t="n">
        <x:v>7200</x:v>
      </x:c>
      <x:c r="D9" s="7" t="n">
        <x:f>B9-C9</x:f>
        <x:v>2800</x:v>
      </x:c>
      <x:c r="E9" s="12" t="n">
        <x:v>26</x:v>
      </x:c>
      <x:c r="F9" s="14" t="n">
        <x:f>E9/10</x:f>
        <x:v>2.6</x:v>
      </x:c>
    </x:row>
    <x:row r="10" ht="25" customHeight="1">
      <x:c r="A10" s="2" t="str">
        <x:v>2026-09-25_Night</x:v>
      </x:c>
      <x:c r="B10" s="7" t="n">
        <x:v>10200</x:v>
      </x:c>
      <x:c r="C10" s="7" t="n">
        <x:v>0</x:v>
      </x:c>
      <x:c r="D10" s="7" t="n">
        <x:f>B10-C10</x:f>
        <x:v>10200</x:v>
      </x:c>
      <x:c r="E10" s="12" t="n">
        <x:v>99</x:v>
      </x:c>
      <x:c r="F10" s="14" t="n">
        <x:f>E10/10</x:f>
        <x:v>9.9</x:v>
      </x:c>
    </x:row>
    <x:row r="11" ht="25" customHeight="1">
      <x:c r="A11" s="2" t="str">
        <x:v>2026-09-28_Night</x:v>
      </x:c>
      <x:c r="B11" s="7" t="n">
        <x:v>10000</x:v>
      </x:c>
      <x:c r="C11" s="7" t="n">
        <x:v>47000</x:v>
      </x:c>
      <x:c r="D11" s="7" t="n">
        <x:f>B11-C11</x:f>
        <x:v>-37000</x:v>
      </x:c>
      <x:c r="E11" s="12" t="n">
        <x:v>80</x:v>
      </x:c>
      <x:c r="F11" s="14" t="n">
        <x:f>E11/10</x:f>
        <x:v>8</x:v>
      </x:c>
    </x:row>
    <x:row r="12" ht="25" customHeight="1">
      <x:c r="A12" s="2" t="str">
        <x:v>2026-09-29_Night</x:v>
      </x:c>
      <x:c r="B12" s="7" t="n">
        <x:v>10600</x:v>
      </x:c>
      <x:c r="C12" s="7" t="n">
        <x:v>91200</x:v>
      </x:c>
      <x:c r="D12" s="7" t="n">
        <x:f>B12-C12</x:f>
        <x:v>-80600</x:v>
      </x:c>
      <x:c r="E12" s="12" t="n">
        <x:v>218</x:v>
      </x:c>
      <x:c r="F12" s="14" t="n">
        <x:f>E12/10</x:f>
        <x:v>21.8</x:v>
      </x:c>
    </x:row>
    <x:row r="13" ht="25" customHeight="1">
      <x:c r="A13" s="2" t="str">
        <x:v>2026-09-30_Night</x:v>
      </x:c>
      <x:c r="B13" s="7" t="n">
        <x:v>1000</x:v>
      </x:c>
      <x:c r="C13" s="7" t="n">
        <x:v>43500</x:v>
      </x:c>
      <x:c r="D13" s="7" t="n">
        <x:f>B13-C13</x:f>
        <x:v>-42500</x:v>
      </x:c>
      <x:c r="E13" s="12" t="n">
        <x:v>115</x:v>
      </x:c>
      <x:c r="F13" s="14" t="n">
        <x:f>E13/10</x:f>
        <x:v>11.5</x:v>
      </x:c>
    </x:row>
    <x:row r="14" ht="25" customHeight="1">
      <x:c r="A14" s="2" t="str">
        <x:v>2026-10-01_Night</x:v>
      </x:c>
      <x:c r="B14" s="7" t="n">
        <x:v>91800</x:v>
      </x:c>
      <x:c r="C14" s="7" t="n">
        <x:v>34000</x:v>
      </x:c>
      <x:c r="D14" s="7" t="n">
        <x:f>B14-C14</x:f>
        <x:v>57800</x:v>
      </x:c>
      <x:c r="E14" s="12" t="n">
        <x:v>188</x:v>
      </x:c>
      <x:c r="F14" s="14" t="n">
        <x:f>E14/10</x:f>
        <x:v>18.8</x:v>
      </x:c>
    </x:row>
    <x:row r="15" ht="25" customHeight="1">
      <x:c r="A15" s="2" t="str">
        <x:v>2026-10-02_Night</x:v>
      </x:c>
      <x:c r="B15" s="7" t="n">
        <x:v>84900</x:v>
      </x:c>
      <x:c r="C15" s="7" t="n">
        <x:v>70800</x:v>
      </x:c>
      <x:c r="D15" s="7" t="n">
        <x:f>B15-C15</x:f>
        <x:v>14100</x:v>
      </x:c>
      <x:c r="E15" s="12" t="n">
        <x:v>431</x:v>
      </x:c>
      <x:c r="F15" s="14" t="n">
        <x:f>E15/10</x:f>
        <x:v>43.1</x:v>
      </x:c>
    </x:row>
    <x:row r="16" ht="25" customHeight="1">
      <x:c r="A16" s="2" t="str">
        <x:v>2026-10-05_Night</x:v>
      </x:c>
      <x:c r="B16" s="7" t="n">
        <x:v>17800</x:v>
      </x:c>
      <x:c r="C16" s="7" t="n">
        <x:v>27600</x:v>
      </x:c>
      <x:c r="D16" s="7" t="n">
        <x:f>B16-C16</x:f>
        <x:v>-9800</x:v>
      </x:c>
      <x:c r="E16" s="12" t="n">
        <x:v>225</x:v>
      </x:c>
      <x:c r="F16" s="14" t="n">
        <x:f>E16/10</x:f>
        <x:v>22.5</x:v>
      </x:c>
    </x:row>
    <x:row r="17" ht="25" customHeight="1">
      <x:c r="A17" s="2" t="str">
        <x:v>2026-10-06_Night</x:v>
      </x:c>
      <x:c r="B17" s="7" t="n">
        <x:v>5000</x:v>
      </x:c>
      <x:c r="C17" s="7" t="n">
        <x:v>46800</x:v>
      </x:c>
      <x:c r="D17" s="7" t="n">
        <x:f>B17-C17</x:f>
        <x:v>-41800</x:v>
      </x:c>
      <x:c r="E17" s="12" t="n">
        <x:v>115</x:v>
      </x:c>
      <x:c r="F17" s="14" t="n">
        <x:f>E17/10</x:f>
        <x:v>11.5</x:v>
      </x:c>
    </x:row>
    <x:row r="18" ht="25" customHeight="1">
      <x:c r="A18" s="2" t="str">
        <x:v>2026-10-07_Night</x:v>
      </x:c>
      <x:c r="B18" s="7" t="n">
        <x:v>2000</x:v>
      </x:c>
      <x:c r="C18" s="7" t="n">
        <x:v>12000</x:v>
      </x:c>
      <x:c r="D18" s="7" t="n">
        <x:f>B18-C18</x:f>
        <x:v>-10000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59500</x:v>
      </x:c>
      <x:c r="C19" s="7" t="n">
        <x:v>39600</x:v>
      </x:c>
      <x:c r="D19" s="7" t="n">
        <x:f>B19-C19</x:f>
        <x:v>19900</x:v>
      </x:c>
      <x:c r="E19" s="12" t="n">
        <x:v>444</x:v>
      </x:c>
      <x:c r="F19" s="14" t="n">
        <x:f>E19/10</x:f>
        <x:v>44.4</x:v>
      </x:c>
    </x:row>
    <x:row r="20" ht="25" customHeight="1">
      <x:c r="A20" s="2" t="str">
        <x:v>2026-10-09_Night</x:v>
      </x:c>
      <x:c r="B20" s="7" t="n">
        <x:v>13300</x:v>
      </x:c>
      <x:c r="C20" s="7" t="n">
        <x:v>0</x:v>
      </x:c>
      <x:c r="D20" s="7" t="n">
        <x:f>B20-C20</x:f>
        <x:v>13300</x:v>
      </x:c>
      <x:c r="E20" s="12" t="n">
        <x:v>83</x:v>
      </x:c>
      <x:c r="F20" s="14" t="n">
        <x:f>E20/10</x:f>
        <x:v>8.3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83</x:v>
      </x:c>
      <x:c r="F21" s="14" t="n">
        <x:f>E21/10</x:f>
        <x:v>8.3</x:v>
      </x:c>
    </x:row>
    <x:row r="22" ht="25" customHeight="1">
      <x:c r="A22" s="2" t="str">
        <x:v>2026-10-13_Night</x:v>
      </x:c>
      <x:c r="B22" s="7" t="n">
        <x:v>5000</x:v>
      </x:c>
      <x:c r="C22" s="7" t="n">
        <x:v>0</x:v>
      </x:c>
      <x:c r="D22" s="7" t="n">
        <x:f>B22-C22</x:f>
        <x:v>5000</x:v>
      </x:c>
      <x:c r="E22" s="12" t="n">
        <x:v>99</x:v>
      </x:c>
      <x:c r="F22" s="14" t="n">
        <x:f>E22/10</x:f>
        <x:v>9.9</x:v>
      </x:c>
    </x:row>
    <x:row r="23" ht="25" customHeight="1">
      <x:c r="A23" s="2" t="str">
        <x:v>2026-10-14_Night</x:v>
      </x:c>
      <x:c r="B23" s="7" t="n">
        <x:v>7000</x:v>
      </x:c>
      <x:c r="C23" s="7" t="n">
        <x:v>24000</x:v>
      </x:c>
      <x:c r="D23" s="7" t="n">
        <x:f>B23-C23</x:f>
        <x:v>-17000</x:v>
      </x:c>
      <x:c r="E23" s="12" t="n">
        <x:v>139</x:v>
      </x:c>
      <x:c r="F23" s="14" t="n">
        <x:f>E23/10</x:f>
        <x:v>13.9</x:v>
      </x:c>
    </x:row>
    <x:row r="24" ht="25" customHeight="1">
      <x:c r="A24" s="2" t="str">
        <x:v>2026-10-15_Night</x:v>
      </x:c>
      <x:c r="B24" s="7" t="n">
        <x:v>22700</x:v>
      </x:c>
      <x:c r="C24" s="7" t="n">
        <x:v>36800</x:v>
      </x:c>
      <x:c r="D24" s="7" t="n">
        <x:f>B24-C24</x:f>
        <x:v>-14100</x:v>
      </x:c>
      <x:c r="E24" s="12" t="n">
        <x:v>101</x:v>
      </x:c>
      <x:c r="F24" s="14" t="n">
        <x:f>E24/10</x:f>
        <x:v>10.1</x:v>
      </x:c>
    </x:row>
    <x:row r="25" ht="25" customHeight="1">
      <x:c r="A25" s="2" t="str">
        <x:v>2026-10-16_Night</x:v>
      </x:c>
      <x:c r="B25" s="7" t="n">
        <x:v>57200</x:v>
      </x:c>
      <x:c r="C25" s="7" t="n">
        <x:v>149900</x:v>
      </x:c>
      <x:c r="D25" s="7" t="n">
        <x:f>B25-C25</x:f>
        <x:v>-92700</x:v>
      </x:c>
      <x:c r="E25" s="12" t="n">
        <x:v>452</x:v>
      </x:c>
      <x:c r="F25" s="14" t="n">
        <x:f>E25/10</x:f>
        <x:v>45.2</x:v>
      </x:c>
    </x:row>
    <x:row r="26" ht="25" customHeight="1">
      <x:c r="A26" s="2" t="str">
        <x:v>2026-10-19_Night</x:v>
      </x:c>
      <x:c r="B26" s="7" t="n">
        <x:v>13000</x:v>
      </x:c>
      <x:c r="C26" s="7" t="n">
        <x:v>103200</x:v>
      </x:c>
      <x:c r="D26" s="7" t="n">
        <x:f>B26-C26</x:f>
        <x:v>-90200</x:v>
      </x:c>
      <x:c r="E26" s="12" t="n">
        <x:v>329</x:v>
      </x:c>
      <x:c r="F26" s="14" t="n">
        <x:f>E26/10</x:f>
        <x:v>32.9</x:v>
      </x:c>
    </x:row>
    <x:row r="27" ht="25" customHeight="1">
      <x:c r="A27" s="2" t="str">
        <x:v>2026-10-20_Night</x:v>
      </x:c>
      <x:c r="B27" s="7" t="n">
        <x:v>25600</x:v>
      </x:c>
      <x:c r="C27" s="7" t="n">
        <x:v>15600</x:v>
      </x:c>
      <x:c r="D27" s="7" t="n">
        <x:f>B27-C27</x:f>
        <x:v>10000</x:v>
      </x:c>
      <x:c r="E27" s="12" t="n">
        <x:v>157</x:v>
      </x:c>
      <x:c r="F27" s="14" t="n">
        <x:f>E27/10</x:f>
        <x:v>15.7</x:v>
      </x:c>
    </x:row>
    <x:row r="28" ht="25" customHeight="1">
      <x:c r="A28" s="2" t="str">
        <x:v>2026-10-21_Night</x:v>
      </x:c>
      <x:c r="B28" s="7" t="n">
        <x:v>43800</x:v>
      </x:c>
      <x:c r="C28" s="7" t="n">
        <x:v>0</x:v>
      </x:c>
      <x:c r="D28" s="7" t="n">
        <x:f>B28-C28</x:f>
        <x:v>43800</x:v>
      </x:c>
      <x:c r="E28" s="12" t="n">
        <x:v>198</x:v>
      </x:c>
      <x:c r="F28" s="14" t="n">
        <x:f>E28/10</x:f>
        <x:v>19.8</x:v>
      </x:c>
    </x:row>
    <x:row r="29" ht="25" customHeight="1">
      <x:c r="A29" s="2" t="str">
        <x:v>2026-10-22_Night</x:v>
      </x:c>
      <x:c r="B29" s="7" t="n">
        <x:v>21000</x:v>
      </x:c>
      <x:c r="C29" s="7" t="n">
        <x:v>39600</x:v>
      </x:c>
      <x:c r="D29" s="7" t="n">
        <x:f>B29-C29</x:f>
        <x:v>-18600</x:v>
      </x:c>
      <x:c r="E29" s="12" t="n">
        <x:v>109</x:v>
      </x:c>
      <x:c r="F29" s="14" t="n">
        <x:f>E29/10</x:f>
        <x:v>10.9</x:v>
      </x:c>
    </x:row>
    <x:row r="30" ht="25" customHeight="1">
      <x:c r="A30" s="2" t="str">
        <x:v>2026-10-23_Night</x:v>
      </x:c>
      <x:c r="B30" s="7" t="n">
        <x:v>23500</x:v>
      </x:c>
      <x:c r="C30" s="7" t="n">
        <x:v>18600</x:v>
      </x:c>
      <x:c r="D30" s="7" t="n">
        <x:f>B30-C30</x:f>
        <x:v>4900</x:v>
      </x:c>
      <x:c r="E30" s="12" t="n">
        <x:v>168</x:v>
      </x:c>
      <x:c r="F30" s="14" t="n">
        <x:f>E30/10</x:f>
        <x:v>16.8</x:v>
      </x:c>
    </x:row>
    <x:row r="31" ht="25" customHeight="1">
      <x:c r="A31" s="2" t="str">
        <x:v>2026-10-26_Night</x:v>
      </x:c>
      <x:c r="B31" s="7" t="n">
        <x:v>50100</x:v>
      </x:c>
      <x:c r="C31" s="7" t="n">
        <x:v>69800</x:v>
      </x:c>
      <x:c r="D31" s="7" t="n">
        <x:f>B31-C31</x:f>
        <x:v>-19700</x:v>
      </x:c>
      <x:c r="E31" s="12" t="n">
        <x:v>252</x:v>
      </x:c>
      <x:c r="F31" s="14" t="n">
        <x:f>E31/10</x:f>
        <x:v>25.2</x:v>
      </x:c>
    </x:row>
    <x:row r="32" ht="25" customHeight="1">
      <x:c r="A32" s="2" t="str">
        <x:v>2026-10-27_Night</x:v>
      </x:c>
      <x:c r="B32" s="7" t="n">
        <x:v>5000</x:v>
      </x:c>
      <x:c r="C32" s="7" t="n">
        <x:v>14400</x:v>
      </x:c>
      <x:c r="D32" s="7" t="n">
        <x:f>B32-C32</x:f>
        <x:v>-9400</x:v>
      </x:c>
      <x:c r="E32" s="12" t="n">
        <x:v>32</x:v>
      </x:c>
      <x:c r="F32" s="14" t="n">
        <x:f>E32/10</x:f>
        <x:v>3.2</x:v>
      </x:c>
    </x:row>
    <x:row r="33" ht="25" customHeight="1">
      <x:c r="A33" s="10" t="str">
        <x:v>合計</x:v>
      </x:c>
      <x:c r="B33" s="11" t="n">
        <x:f>SUM(B6:B32)</x:f>
        <x:v>636300</x:v>
      </x:c>
      <x:c r="C33" s="11" t="n">
        <x:f>SUM(C6:C32)</x:f>
        <x:v>891600</x:v>
      </x:c>
      <x:c r="D33" s="11" t="n">
        <x:f>B33-C33</x:f>
        <x:v>-255300</x:v>
      </x:c>
      <x:c r="E33" s="13" t="n">
        <x:f>SUM(E6:E32)</x:f>
        <x:v>4459</x:v>
      </x:c>
      <x:c r="F33" s="15" t="n">
        <x:f>E33/10</x:f>
        <x:v>445.9</x:v>
      </x:c>
    </x:row>
  </x:sheetData>
  <x:mergeCells>
    <x:mergeCell ref="A2:F2"/>
    <x:mergeCell ref="A3:F3"/>
    <x:mergeCell ref="A4:F4"/>
  </x:mergeCells>
  <x:conditionalFormatting sqref="D6:D32">
    <x:cfRule type="cellIs" dxfId="10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9c42dd0cd024715"/>
  </x:tableParts>
</x:worksheet>
</file>

<file path=xl/worksheets/sheet106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NK225_U168_16　米国後の損益</x:v>
      </x:c>
      <x:c r="B2" s="2"/>
      <x:c r="C2" s="2"/>
      <x:c r="D2" s="2"/>
      <x:c r="E2" s="2"/>
      <x:c r="F2" s="2"/>
    </x:row>
    <x:row r="3" ht="38" customHeight="1">
      <x:c r="A3" s="5" t="str">
        <x:v>回収直後に方向と数量を再判断3回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10000</x:v>
      </x:c>
      <x:c r="C6" s="7" t="n">
        <x:v>0</x:v>
      </x:c>
      <x:c r="D6" s="7" t="n">
        <x:f>B6-C6</x:f>
        <x:v>10000</x:v>
      </x:c>
      <x:c r="E6" s="12" t="n">
        <x:v>149</x:v>
      </x:c>
      <x:c r="F6" s="14" t="n">
        <x:f>E6/10</x:f>
        <x:v>14.9</x:v>
      </x:c>
    </x:row>
    <x:row r="7" ht="25" customHeight="1">
      <x:c r="A7" s="2" t="str">
        <x:v>2026-09-22_Night</x:v>
      </x:c>
      <x:c r="B7" s="7" t="n">
        <x:v>20500</x:v>
      </x:c>
      <x:c r="C7" s="7" t="n">
        <x:v>0</x:v>
      </x:c>
      <x:c r="D7" s="7" t="n">
        <x:f>B7-C7</x:f>
        <x:v>20500</x:v>
      </x:c>
      <x:c r="E7" s="12" t="n">
        <x:v>155</x:v>
      </x:c>
      <x:c r="F7" s="14" t="n">
        <x:f>E7/10</x:f>
        <x:v>15.5</x:v>
      </x:c>
    </x:row>
    <x:row r="8" ht="25" customHeight="1">
      <x:c r="A8" s="2" t="str">
        <x:v>2026-09-23_Night</x:v>
      </x:c>
      <x:c r="B8" s="7" t="n">
        <x:v>22500</x:v>
      </x:c>
      <x:c r="C8" s="7" t="n">
        <x:v>26400</x:v>
      </x:c>
      <x:c r="D8" s="7" t="n">
        <x:f>B8-C8</x:f>
        <x:v>-3900</x:v>
      </x:c>
      <x:c r="E8" s="12" t="n">
        <x:v>145</x:v>
      </x:c>
      <x:c r="F8" s="14" t="n">
        <x:f>E8/10</x:f>
        <x:v>14.5</x:v>
      </x:c>
    </x:row>
    <x:row r="9" ht="25" customHeight="1">
      <x:c r="A9" s="2" t="str">
        <x:v>2026-09-24_Night</x:v>
      </x:c>
      <x:c r="B9" s="7" t="n">
        <x:v>10000</x:v>
      </x:c>
      <x:c r="C9" s="7" t="n">
        <x:v>7200</x:v>
      </x:c>
      <x:c r="D9" s="7" t="n">
        <x:f>B9-C9</x:f>
        <x:v>2800</x:v>
      </x:c>
      <x:c r="E9" s="12" t="n">
        <x:v>26</x:v>
      </x:c>
      <x:c r="F9" s="14" t="n">
        <x:f>E9/10</x:f>
        <x:v>2.6</x:v>
      </x:c>
    </x:row>
    <x:row r="10" ht="25" customHeight="1">
      <x:c r="A10" s="2" t="str">
        <x:v>2026-09-25_Night</x:v>
      </x:c>
      <x:c r="B10" s="7" t="n">
        <x:v>10200</x:v>
      </x:c>
      <x:c r="C10" s="7" t="n">
        <x:v>31200</x:v>
      </x:c>
      <x:c r="D10" s="7" t="n">
        <x:f>B10-C10</x:f>
        <x:v>-21000</x:v>
      </x:c>
      <x:c r="E10" s="12" t="n">
        <x:v>125</x:v>
      </x:c>
      <x:c r="F10" s="14" t="n">
        <x:f>E10/10</x:f>
        <x:v>12.5</x:v>
      </x:c>
    </x:row>
    <x:row r="11" ht="25" customHeight="1">
      <x:c r="A11" s="2" t="str">
        <x:v>2026-09-28_Night</x:v>
      </x:c>
      <x:c r="B11" s="7" t="n">
        <x:v>10000</x:v>
      </x:c>
      <x:c r="C11" s="7" t="n">
        <x:v>47000</x:v>
      </x:c>
      <x:c r="D11" s="7" t="n">
        <x:f>B11-C11</x:f>
        <x:v>-37000</x:v>
      </x:c>
      <x:c r="E11" s="12" t="n">
        <x:v>93</x:v>
      </x:c>
      <x:c r="F11" s="14" t="n">
        <x:f>E11/10</x:f>
        <x:v>9.3</x:v>
      </x:c>
    </x:row>
    <x:row r="12" ht="25" customHeight="1">
      <x:c r="A12" s="2" t="str">
        <x:v>2026-09-29_Night</x:v>
      </x:c>
      <x:c r="B12" s="7" t="n">
        <x:v>20000</x:v>
      </x:c>
      <x:c r="C12" s="7" t="n">
        <x:v>91200</x:v>
      </x:c>
      <x:c r="D12" s="7" t="n">
        <x:f>B12-C12</x:f>
        <x:v>-71200</x:v>
      </x:c>
      <x:c r="E12" s="12" t="n">
        <x:v>230</x:v>
      </x:c>
      <x:c r="F12" s="14" t="n">
        <x:f>E12/10</x:f>
        <x:v>23</x:v>
      </x:c>
    </x:row>
    <x:row r="13" ht="25" customHeight="1">
      <x:c r="A13" s="2" t="str">
        <x:v>2026-09-30_Night</x:v>
      </x:c>
      <x:c r="B13" s="7" t="n">
        <x:v>1000</x:v>
      </x:c>
      <x:c r="C13" s="7" t="n">
        <x:v>45900</x:v>
      </x:c>
      <x:c r="D13" s="7" t="n">
        <x:f>B13-C13</x:f>
        <x:v>-44900</x:v>
      </x:c>
      <x:c r="E13" s="12" t="n">
        <x:v>121</x:v>
      </x:c>
      <x:c r="F13" s="14" t="n">
        <x:f>E13/10</x:f>
        <x:v>12.1</x:v>
      </x:c>
    </x:row>
    <x:row r="14" ht="25" customHeight="1">
      <x:c r="A14" s="2" t="str">
        <x:v>2026-10-01_Night</x:v>
      </x:c>
      <x:c r="B14" s="7" t="n">
        <x:v>101300</x:v>
      </x:c>
      <x:c r="C14" s="7" t="n">
        <x:v>49600</x:v>
      </x:c>
      <x:c r="D14" s="7" t="n">
        <x:f>B14-C14</x:f>
        <x:v>51700</x:v>
      </x:c>
      <x:c r="E14" s="12" t="n">
        <x:v>253</x:v>
      </x:c>
      <x:c r="F14" s="14" t="n">
        <x:f>E14/10</x:f>
        <x:v>25.3</x:v>
      </x:c>
    </x:row>
    <x:row r="15" ht="25" customHeight="1">
      <x:c r="A15" s="2" t="str">
        <x:v>2026-10-02_Night</x:v>
      </x:c>
      <x:c r="B15" s="7" t="n">
        <x:v>111700</x:v>
      </x:c>
      <x:c r="C15" s="7" t="n">
        <x:v>87000</x:v>
      </x:c>
      <x:c r="D15" s="7" t="n">
        <x:f>B15-C15</x:f>
        <x:v>24700</x:v>
      </x:c>
      <x:c r="E15" s="12" t="n">
        <x:v>537</x:v>
      </x:c>
      <x:c r="F15" s="14" t="n">
        <x:f>E15/10</x:f>
        <x:v>53.7</x:v>
      </x:c>
    </x:row>
    <x:row r="16" ht="25" customHeight="1">
      <x:c r="A16" s="2" t="str">
        <x:v>2026-10-05_Night</x:v>
      </x:c>
      <x:c r="B16" s="7" t="n">
        <x:v>29400</x:v>
      </x:c>
      <x:c r="C16" s="7" t="n">
        <x:v>37200</x:v>
      </x:c>
      <x:c r="D16" s="7" t="n">
        <x:f>B16-C16</x:f>
        <x:v>-7800</x:v>
      </x:c>
      <x:c r="E16" s="12" t="n">
        <x:v>315</x:v>
      </x:c>
      <x:c r="F16" s="14" t="n">
        <x:f>E16/10</x:f>
        <x:v>31.5</x:v>
      </x:c>
    </x:row>
    <x:row r="17" ht="25" customHeight="1">
      <x:c r="A17" s="2" t="str">
        <x:v>2026-10-06_Night</x:v>
      </x:c>
      <x:c r="B17" s="7" t="n">
        <x:v>5400</x:v>
      </x:c>
      <x:c r="C17" s="7" t="n">
        <x:v>46800</x:v>
      </x:c>
      <x:c r="D17" s="7" t="n">
        <x:f>B17-C17</x:f>
        <x:v>-41400</x:v>
      </x:c>
      <x:c r="E17" s="12" t="n">
        <x:v>119</x:v>
      </x:c>
      <x:c r="F17" s="14" t="n">
        <x:f>E17/10</x:f>
        <x:v>11.9</x:v>
      </x:c>
    </x:row>
    <x:row r="18" ht="25" customHeight="1">
      <x:c r="A18" s="2" t="str">
        <x:v>2026-10-07_Night</x:v>
      </x:c>
      <x:c r="B18" s="7" t="n">
        <x:v>2000</x:v>
      </x:c>
      <x:c r="C18" s="7" t="n">
        <x:v>12000</x:v>
      </x:c>
      <x:c r="D18" s="7" t="n">
        <x:f>B18-C18</x:f>
        <x:v>-10000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66700</x:v>
      </x:c>
      <x:c r="C19" s="7" t="n">
        <x:v>62800</x:v>
      </x:c>
      <x:c r="D19" s="7" t="n">
        <x:f>B19-C19</x:f>
        <x:v>3900</x:v>
      </x:c>
      <x:c r="E19" s="12" t="n">
        <x:v>608</x:v>
      </x:c>
      <x:c r="F19" s="14" t="n">
        <x:f>E19/10</x:f>
        <x:v>60.8</x:v>
      </x:c>
    </x:row>
    <x:row r="20" ht="25" customHeight="1">
      <x:c r="A20" s="2" t="str">
        <x:v>2026-10-09_Night</x:v>
      </x:c>
      <x:c r="B20" s="7" t="n">
        <x:v>23100</x:v>
      </x:c>
      <x:c r="C20" s="7" t="n">
        <x:v>0</x:v>
      </x:c>
      <x:c r="D20" s="7" t="n">
        <x:f>B20-C20</x:f>
        <x:v>23100</x:v>
      </x:c>
      <x:c r="E20" s="12" t="n">
        <x:v>119</x:v>
      </x:c>
      <x:c r="F20" s="14" t="n">
        <x:f>E20/10</x:f>
        <x:v>11.9</x:v>
      </x:c>
    </x:row>
    <x:row r="21" ht="25" customHeight="1">
      <x:c r="A21" s="2" t="str">
        <x:v>2026-10-12_Night</x:v>
      </x:c>
      <x:c r="B21" s="7" t="n">
        <x:v>0</x:v>
      </x:c>
      <x:c r="C21" s="7" t="n">
        <x:v>16800</x:v>
      </x:c>
      <x:c r="D21" s="7" t="n">
        <x:f>B21-C21</x:f>
        <x:v>-16800</x:v>
      </x:c>
      <x:c r="E21" s="12" t="n">
        <x:v>119</x:v>
      </x:c>
      <x:c r="F21" s="14" t="n">
        <x:f>E21/10</x:f>
        <x:v>11.9</x:v>
      </x:c>
    </x:row>
    <x:row r="22" ht="25" customHeight="1">
      <x:c r="A22" s="2" t="str">
        <x:v>2026-10-13_Night</x:v>
      </x:c>
      <x:c r="B22" s="7" t="n">
        <x:v>14000</x:v>
      </x:c>
      <x:c r="C22" s="7" t="n">
        <x:v>0</x:v>
      </x:c>
      <x:c r="D22" s="7" t="n">
        <x:f>B22-C22</x:f>
        <x:v>14000</x:v>
      </x:c>
      <x:c r="E22" s="12" t="n">
        <x:v>162</x:v>
      </x:c>
      <x:c r="F22" s="14" t="n">
        <x:f>E22/10</x:f>
        <x:v>16.2</x:v>
      </x:c>
    </x:row>
    <x:row r="23" ht="25" customHeight="1">
      <x:c r="A23" s="2" t="str">
        <x:v>2026-10-14_Night</x:v>
      </x:c>
      <x:c r="B23" s="7" t="n">
        <x:v>14200</x:v>
      </x:c>
      <x:c r="C23" s="7" t="n">
        <x:v>39400</x:v>
      </x:c>
      <x:c r="D23" s="7" t="n">
        <x:f>B23-C23</x:f>
        <x:v>-25200</x:v>
      </x:c>
      <x:c r="E23" s="12" t="n">
        <x:v>191</x:v>
      </x:c>
      <x:c r="F23" s="14" t="n">
        <x:f>E23/10</x:f>
        <x:v>19.1</x:v>
      </x:c>
    </x:row>
    <x:row r="24" ht="25" customHeight="1">
      <x:c r="A24" s="2" t="str">
        <x:v>2026-10-15_Night</x:v>
      </x:c>
      <x:c r="B24" s="7" t="n">
        <x:v>22700</x:v>
      </x:c>
      <x:c r="C24" s="7" t="n">
        <x:v>36800</x:v>
      </x:c>
      <x:c r="D24" s="7" t="n">
        <x:f>B24-C24</x:f>
        <x:v>-14100</x:v>
      </x:c>
      <x:c r="E24" s="12" t="n">
        <x:v>117</x:v>
      </x:c>
      <x:c r="F24" s="14" t="n">
        <x:f>E24/10</x:f>
        <x:v>11.7</x:v>
      </x:c>
    </x:row>
    <x:row r="25" ht="25" customHeight="1">
      <x:c r="A25" s="2" t="str">
        <x:v>2026-10-16_Night</x:v>
      </x:c>
      <x:c r="B25" s="7" t="n">
        <x:v>58000</x:v>
      </x:c>
      <x:c r="C25" s="7" t="n">
        <x:v>194500</x:v>
      </x:c>
      <x:c r="D25" s="7" t="n">
        <x:f>B25-C25</x:f>
        <x:v>-136500</x:v>
      </x:c>
      <x:c r="E25" s="12" t="n">
        <x:v>497</x:v>
      </x:c>
      <x:c r="F25" s="14" t="n">
        <x:f>E25/10</x:f>
        <x:v>49.7</x:v>
      </x:c>
    </x:row>
    <x:row r="26" ht="25" customHeight="1">
      <x:c r="A26" s="2" t="str">
        <x:v>2026-10-19_Night</x:v>
      </x:c>
      <x:c r="B26" s="7" t="n">
        <x:v>33400</x:v>
      </x:c>
      <x:c r="C26" s="7" t="n">
        <x:v>103200</x:v>
      </x:c>
      <x:c r="D26" s="7" t="n">
        <x:f>B26-C26</x:f>
        <x:v>-69800</x:v>
      </x:c>
      <x:c r="E26" s="12" t="n">
        <x:v>424</x:v>
      </x:c>
      <x:c r="F26" s="14" t="n">
        <x:f>E26/10</x:f>
        <x:v>42.4</x:v>
      </x:c>
    </x:row>
    <x:row r="27" ht="25" customHeight="1">
      <x:c r="A27" s="2" t="str">
        <x:v>2026-10-20_Night</x:v>
      </x:c>
      <x:c r="B27" s="7" t="n">
        <x:v>27600</x:v>
      </x:c>
      <x:c r="C27" s="7" t="n">
        <x:v>34000</x:v>
      </x:c>
      <x:c r="D27" s="7" t="n">
        <x:f>B27-C27</x:f>
        <x:v>-6400</x:v>
      </x:c>
      <x:c r="E27" s="12" t="n">
        <x:v>181</x:v>
      </x:c>
      <x:c r="F27" s="14" t="n">
        <x:f>E27/10</x:f>
        <x:v>18.1</x:v>
      </x:c>
    </x:row>
    <x:row r="28" ht="25" customHeight="1">
      <x:c r="A28" s="2" t="str">
        <x:v>2026-10-21_Night</x:v>
      </x:c>
      <x:c r="B28" s="7" t="n">
        <x:v>50600</x:v>
      </x:c>
      <x:c r="C28" s="7" t="n">
        <x:v>2200</x:v>
      </x:c>
      <x:c r="D28" s="7" t="n">
        <x:f>B28-C28</x:f>
        <x:v>48400</x:v>
      </x:c>
      <x:c r="E28" s="12" t="n">
        <x:v>301</x:v>
      </x:c>
      <x:c r="F28" s="14" t="n">
        <x:f>E28/10</x:f>
        <x:v>30.1</x:v>
      </x:c>
    </x:row>
    <x:row r="29" ht="25" customHeight="1">
      <x:c r="A29" s="2" t="str">
        <x:v>2026-10-22_Night</x:v>
      </x:c>
      <x:c r="B29" s="7" t="n">
        <x:v>21000</x:v>
      </x:c>
      <x:c r="C29" s="7" t="n">
        <x:v>44400</x:v>
      </x:c>
      <x:c r="D29" s="7" t="n">
        <x:f>B29-C29</x:f>
        <x:v>-23400</x:v>
      </x:c>
      <x:c r="E29" s="12" t="n">
        <x:v>113</x:v>
      </x:c>
      <x:c r="F29" s="14" t="n">
        <x:f>E29/10</x:f>
        <x:v>11.3</x:v>
      </x:c>
    </x:row>
    <x:row r="30" ht="25" customHeight="1">
      <x:c r="A30" s="2" t="str">
        <x:v>2026-10-23_Night</x:v>
      </x:c>
      <x:c r="B30" s="7" t="n">
        <x:v>62000</x:v>
      </x:c>
      <x:c r="C30" s="7" t="n">
        <x:v>33000</x:v>
      </x:c>
      <x:c r="D30" s="7" t="n">
        <x:f>B30-C30</x:f>
        <x:v>29000</x:v>
      </x:c>
      <x:c r="E30" s="12" t="n">
        <x:v>235</x:v>
      </x:c>
      <x:c r="F30" s="14" t="n">
        <x:f>E30/10</x:f>
        <x:v>23.5</x:v>
      </x:c>
    </x:row>
    <x:row r="31" ht="25" customHeight="1">
      <x:c r="A31" s="2" t="str">
        <x:v>2026-10-26_Night</x:v>
      </x:c>
      <x:c r="B31" s="7" t="n">
        <x:v>58700</x:v>
      </x:c>
      <x:c r="C31" s="7" t="n">
        <x:v>86600</x:v>
      </x:c>
      <x:c r="D31" s="7" t="n">
        <x:f>B31-C31</x:f>
        <x:v>-27900</x:v>
      </x:c>
      <x:c r="E31" s="12" t="n">
        <x:v>315</x:v>
      </x:c>
      <x:c r="F31" s="14" t="n">
        <x:f>E31/10</x:f>
        <x:v>31.5</x:v>
      </x:c>
    </x:row>
    <x:row r="32" ht="25" customHeight="1">
      <x:c r="A32" s="2" t="str">
        <x:v>2026-10-27_Night</x:v>
      </x:c>
      <x:c r="B32" s="7" t="n">
        <x:v>5000</x:v>
      </x:c>
      <x:c r="C32" s="7" t="n">
        <x:v>14400</x:v>
      </x:c>
      <x:c r="D32" s="7" t="n">
        <x:f>B32-C32</x:f>
        <x:v>-9400</x:v>
      </x:c>
      <x:c r="E32" s="12" t="n">
        <x:v>32</x:v>
      </x:c>
      <x:c r="F32" s="14" t="n">
        <x:f>E32/10</x:f>
        <x:v>3.2</x:v>
      </x:c>
    </x:row>
    <x:row r="33" ht="25" customHeight="1">
      <x:c r="A33" s="10" t="str">
        <x:v>合計</x:v>
      </x:c>
      <x:c r="B33" s="11" t="n">
        <x:f>SUM(B6:B32)</x:f>
        <x:v>811000</x:v>
      </x:c>
      <x:c r="C33" s="11" t="n">
        <x:f>SUM(C6:C32)</x:f>
        <x:v>1149600</x:v>
      </x:c>
      <x:c r="D33" s="11" t="n">
        <x:f>B33-C33</x:f>
        <x:v>-338600</x:v>
      </x:c>
      <x:c r="E33" s="13" t="n">
        <x:f>SUM(E6:E32)</x:f>
        <x:v>5702</x:v>
      </x:c>
      <x:c r="F33" s="15" t="n">
        <x:f>E33/10</x:f>
        <x:v>570.2</x:v>
      </x:c>
    </x:row>
  </x:sheetData>
  <x:mergeCells>
    <x:mergeCell ref="A2:F2"/>
    <x:mergeCell ref="A3:F3"/>
    <x:mergeCell ref="A4:F4"/>
  </x:mergeCells>
  <x:conditionalFormatting sqref="D6:D32">
    <x:cfRule type="cellIs" dxfId="10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74838fc6ec545d1"/>
  </x:tableParts>
</x:worksheet>
</file>

<file path=xl/worksheets/sheet107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NK225_U168_17　米国後の損益</x:v>
      </x:c>
      <x:c r="B2" s="2"/>
      <x:c r="C2" s="2"/>
      <x:c r="D2" s="2"/>
      <x:c r="E2" s="2"/>
      <x:c r="F2" s="2"/>
    </x:row>
    <x:row r="3" ht="38" customHeight="1">
      <x:c r="A3" s="5" t="str">
        <x:v>利確起動も金額基準で再判断3回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51800</x:v>
      </x:c>
      <x:c r="C6" s="7" t="n">
        <x:v>0</x:v>
      </x:c>
      <x:c r="D6" s="7" t="n">
        <x:f>B6-C6</x:f>
        <x:v>51800</x:v>
      </x:c>
      <x:c r="E6" s="12" t="n">
        <x:v>138</x:v>
      </x:c>
      <x:c r="F6" s="14" t="n">
        <x:f>E6/10</x:f>
        <x:v>13.8</x:v>
      </x:c>
    </x:row>
    <x:row r="7" ht="25" customHeight="1">
      <x:c r="A7" s="2" t="str">
        <x:v>2026-09-22_Night</x:v>
      </x:c>
      <x:c r="B7" s="7" t="n">
        <x:v>20500</x:v>
      </x:c>
      <x:c r="C7" s="7" t="n">
        <x:v>0</x:v>
      </x:c>
      <x:c r="D7" s="7" t="n">
        <x:f>B7-C7</x:f>
        <x:v>20500</x:v>
      </x:c>
      <x:c r="E7" s="12" t="n">
        <x:v>155</x:v>
      </x:c>
      <x:c r="F7" s="14" t="n">
        <x:f>E7/10</x:f>
        <x:v>15.5</x:v>
      </x:c>
    </x:row>
    <x:row r="8" ht="25" customHeight="1">
      <x:c r="A8" s="2" t="str">
        <x:v>2026-09-23_Night</x:v>
      </x:c>
      <x:c r="B8" s="7" t="n">
        <x:v>68900</x:v>
      </x:c>
      <x:c r="C8" s="7" t="n">
        <x:v>0</x:v>
      </x:c>
      <x:c r="D8" s="7" t="n">
        <x:f>B8-C8</x:f>
        <x:v>68900</x:v>
      </x:c>
      <x:c r="E8" s="12" t="n">
        <x:v>159</x:v>
      </x:c>
      <x:c r="F8" s="14" t="n">
        <x:f>E8/10</x:f>
        <x:v>15.9</x:v>
      </x:c>
    </x:row>
    <x:row r="9" ht="25" customHeight="1">
      <x:c r="A9" s="2" t="str">
        <x:v>2026-09-24_Night</x:v>
      </x:c>
      <x:c r="B9" s="7" t="n">
        <x:v>18000</x:v>
      </x:c>
      <x:c r="C9" s="7" t="n">
        <x:v>4400</x:v>
      </x:c>
      <x:c r="D9" s="7" t="n">
        <x:f>B9-C9</x:f>
        <x:v>13600</x:v>
      </x:c>
      <x:c r="E9" s="12" t="n">
        <x:v>34</x:v>
      </x:c>
      <x:c r="F9" s="14" t="n">
        <x:f>E9/10</x:f>
        <x:v>3.4</x:v>
      </x:c>
    </x:row>
    <x:row r="10" ht="25" customHeight="1">
      <x:c r="A10" s="2" t="str">
        <x:v>2026-09-25_Night</x:v>
      </x:c>
      <x:c r="B10" s="7" t="n">
        <x:v>10200</x:v>
      </x:c>
      <x:c r="C10" s="7" t="n">
        <x:v>31200</x:v>
      </x:c>
      <x:c r="D10" s="7" t="n">
        <x:f>B10-C10</x:f>
        <x:v>-21000</x:v>
      </x:c>
      <x:c r="E10" s="12" t="n">
        <x:v>125</x:v>
      </x:c>
      <x:c r="F10" s="14" t="n">
        <x:f>E10/10</x:f>
        <x:v>12.5</x:v>
      </x:c>
    </x:row>
    <x:row r="11" ht="25" customHeight="1">
      <x:c r="A11" s="2" t="str">
        <x:v>2026-09-28_Night</x:v>
      </x:c>
      <x:c r="B11" s="7" t="n">
        <x:v>10000</x:v>
      </x:c>
      <x:c r="C11" s="7" t="n">
        <x:v>47000</x:v>
      </x:c>
      <x:c r="D11" s="7" t="n">
        <x:f>B11-C11</x:f>
        <x:v>-37000</x:v>
      </x:c>
      <x:c r="E11" s="12" t="n">
        <x:v>93</x:v>
      </x:c>
      <x:c r="F11" s="14" t="n">
        <x:f>E11/10</x:f>
        <x:v>9.3</x:v>
      </x:c>
    </x:row>
    <x:row r="12" ht="25" customHeight="1">
      <x:c r="A12" s="2" t="str">
        <x:v>2026-09-29_Night</x:v>
      </x:c>
      <x:c r="B12" s="7" t="n">
        <x:v>21400</x:v>
      </x:c>
      <x:c r="C12" s="7" t="n">
        <x:v>98400</x:v>
      </x:c>
      <x:c r="D12" s="7" t="n">
        <x:f>B12-C12</x:f>
        <x:v>-77000</x:v>
      </x:c>
      <x:c r="E12" s="12" t="n">
        <x:v>224</x:v>
      </x:c>
      <x:c r="F12" s="14" t="n">
        <x:f>E12/10</x:f>
        <x:v>22.4</x:v>
      </x:c>
    </x:row>
    <x:row r="13" ht="25" customHeight="1">
      <x:c r="A13" s="2" t="str">
        <x:v>2026-09-30_Night</x:v>
      </x:c>
      <x:c r="B13" s="7" t="n">
        <x:v>7400</x:v>
      </x:c>
      <x:c r="C13" s="7" t="n">
        <x:v>52100</x:v>
      </x:c>
      <x:c r="D13" s="7" t="n">
        <x:f>B13-C13</x:f>
        <x:v>-44700</x:v>
      </x:c>
      <x:c r="E13" s="12" t="n">
        <x:v>123</x:v>
      </x:c>
      <x:c r="F13" s="14" t="n">
        <x:f>E13/10</x:f>
        <x:v>12.3</x:v>
      </x:c>
    </x:row>
    <x:row r="14" ht="25" customHeight="1">
      <x:c r="A14" s="2" t="str">
        <x:v>2026-10-01_Night</x:v>
      </x:c>
      <x:c r="B14" s="7" t="n">
        <x:v>103400</x:v>
      </x:c>
      <x:c r="C14" s="7" t="n">
        <x:v>85600</x:v>
      </x:c>
      <x:c r="D14" s="7" t="n">
        <x:f>B14-C14</x:f>
        <x:v>17800</x:v>
      </x:c>
      <x:c r="E14" s="12" t="n">
        <x:v>216</x:v>
      </x:c>
      <x:c r="F14" s="14" t="n">
        <x:f>E14/10</x:f>
        <x:v>21.6</x:v>
      </x:c>
    </x:row>
    <x:row r="15" ht="25" customHeight="1">
      <x:c r="A15" s="2" t="str">
        <x:v>2026-10-02_Night</x:v>
      </x:c>
      <x:c r="B15" s="7" t="n">
        <x:v>144000</x:v>
      </x:c>
      <x:c r="C15" s="7" t="n">
        <x:v>124800</x:v>
      </x:c>
      <x:c r="D15" s="7" t="n">
        <x:f>B15-C15</x:f>
        <x:v>19200</x:v>
      </x:c>
      <x:c r="E15" s="12" t="n">
        <x:v>498</x:v>
      </x:c>
      <x:c r="F15" s="14" t="n">
        <x:f>E15/10</x:f>
        <x:v>49.8</x:v>
      </x:c>
    </x:row>
    <x:row r="16" ht="25" customHeight="1">
      <x:c r="A16" s="2" t="str">
        <x:v>2026-10-05_Night</x:v>
      </x:c>
      <x:c r="B16" s="7" t="n">
        <x:v>42500</x:v>
      </x:c>
      <x:c r="C16" s="7" t="n">
        <x:v>74800</x:v>
      </x:c>
      <x:c r="D16" s="7" t="n">
        <x:f>B16-C16</x:f>
        <x:v>-32300</x:v>
      </x:c>
      <x:c r="E16" s="12" t="n">
        <x:v>242</x:v>
      </x:c>
      <x:c r="F16" s="14" t="n">
        <x:f>E16/10</x:f>
        <x:v>24.2</x:v>
      </x:c>
    </x:row>
    <x:row r="17" ht="25" customHeight="1">
      <x:c r="A17" s="2" t="str">
        <x:v>2026-10-06_Night</x:v>
      </x:c>
      <x:c r="B17" s="7" t="n">
        <x:v>10300</x:v>
      </x:c>
      <x:c r="C17" s="7" t="n">
        <x:v>33600</x:v>
      </x:c>
      <x:c r="D17" s="7" t="n">
        <x:f>B17-C17</x:f>
        <x:v>-23300</x:v>
      </x:c>
      <x:c r="E17" s="12" t="n">
        <x:v>163</x:v>
      </x:c>
      <x:c r="F17" s="14" t="n">
        <x:f>E17/10</x:f>
        <x:v>16.3</x:v>
      </x:c>
    </x:row>
    <x:row r="18" ht="25" customHeight="1">
      <x:c r="A18" s="2" t="str">
        <x:v>2026-10-07_Night</x:v>
      </x:c>
      <x:c r="B18" s="7" t="n">
        <x:v>2000</x:v>
      </x:c>
      <x:c r="C18" s="7" t="n">
        <x:v>12000</x:v>
      </x:c>
      <x:c r="D18" s="7" t="n">
        <x:f>B18-C18</x:f>
        <x:v>-10000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121700</x:v>
      </x:c>
      <x:c r="C19" s="7" t="n">
        <x:v>84400</x:v>
      </x:c>
      <x:c r="D19" s="7" t="n">
        <x:f>B19-C19</x:f>
        <x:v>37300</x:v>
      </x:c>
      <x:c r="E19" s="12" t="n">
        <x:v>598</x:v>
      </x:c>
      <x:c r="F19" s="14" t="n">
        <x:f>E19/10</x:f>
        <x:v>59.8</x:v>
      </x:c>
    </x:row>
    <x:row r="20" ht="25" customHeight="1">
      <x:c r="A20" s="2" t="str">
        <x:v>2026-10-09_Night</x:v>
      </x:c>
      <x:c r="B20" s="7" t="n">
        <x:v>23100</x:v>
      </x:c>
      <x:c r="C20" s="7" t="n">
        <x:v>0</x:v>
      </x:c>
      <x:c r="D20" s="7" t="n">
        <x:f>B20-C20</x:f>
        <x:v>23100</x:v>
      </x:c>
      <x:c r="E20" s="12" t="n">
        <x:v>119</x:v>
      </x:c>
      <x:c r="F20" s="14" t="n">
        <x:f>E20/10</x:f>
        <x:v>11.9</x:v>
      </x:c>
    </x:row>
    <x:row r="21" ht="25" customHeight="1">
      <x:c r="A21" s="2" t="str">
        <x:v>2026-10-12_Night</x:v>
      </x:c>
      <x:c r="B21" s="7" t="n">
        <x:v>6600</x:v>
      </x:c>
      <x:c r="C21" s="7" t="n">
        <x:v>26400</x:v>
      </x:c>
      <x:c r="D21" s="7" t="n">
        <x:f>B21-C21</x:f>
        <x:v>-19800</x:v>
      </x:c>
      <x:c r="E21" s="12" t="n">
        <x:v>105</x:v>
      </x:c>
      <x:c r="F21" s="14" t="n">
        <x:f>E21/10</x:f>
        <x:v>10.5</x:v>
      </x:c>
    </x:row>
    <x:row r="22" ht="25" customHeight="1">
      <x:c r="A22" s="2" t="str">
        <x:v>2026-10-13_Night</x:v>
      </x:c>
      <x:c r="B22" s="7" t="n">
        <x:v>24600</x:v>
      </x:c>
      <x:c r="C22" s="7" t="n">
        <x:v>4800</x:v>
      </x:c>
      <x:c r="D22" s="7" t="n">
        <x:f>B22-C22</x:f>
        <x:v>19800</x:v>
      </x:c>
      <x:c r="E22" s="12" t="n">
        <x:v>143</x:v>
      </x:c>
      <x:c r="F22" s="14" t="n">
        <x:f>E22/10</x:f>
        <x:v>14.3</x:v>
      </x:c>
    </x:row>
    <x:row r="23" ht="25" customHeight="1">
      <x:c r="A23" s="2" t="str">
        <x:v>2026-10-14_Night</x:v>
      </x:c>
      <x:c r="B23" s="7" t="n">
        <x:v>12800</x:v>
      </x:c>
      <x:c r="C23" s="7" t="n">
        <x:v>44200</x:v>
      </x:c>
      <x:c r="D23" s="7" t="n">
        <x:f>B23-C23</x:f>
        <x:v>-31400</x:v>
      </x:c>
      <x:c r="E23" s="12" t="n">
        <x:v>181</x:v>
      </x:c>
      <x:c r="F23" s="14" t="n">
        <x:f>E23/10</x:f>
        <x:v>18.1</x:v>
      </x:c>
    </x:row>
    <x:row r="24" ht="25" customHeight="1">
      <x:c r="A24" s="2" t="str">
        <x:v>2026-10-15_Night</x:v>
      </x:c>
      <x:c r="B24" s="7" t="n">
        <x:v>23500</x:v>
      </x:c>
      <x:c r="C24" s="7" t="n">
        <x:v>36800</x:v>
      </x:c>
      <x:c r="D24" s="7" t="n">
        <x:f>B24-C24</x:f>
        <x:v>-13300</x:v>
      </x:c>
      <x:c r="E24" s="12" t="n">
        <x:v>117</x:v>
      </x:c>
      <x:c r="F24" s="14" t="n">
        <x:f>E24/10</x:f>
        <x:v>11.7</x:v>
      </x:c>
    </x:row>
    <x:row r="25" ht="25" customHeight="1">
      <x:c r="A25" s="2" t="str">
        <x:v>2026-10-16_Night</x:v>
      </x:c>
      <x:c r="B25" s="7" t="n">
        <x:v>89800</x:v>
      </x:c>
      <x:c r="C25" s="7" t="n">
        <x:v>207300</x:v>
      </x:c>
      <x:c r="D25" s="7" t="n">
        <x:f>B25-C25</x:f>
        <x:v>-117500</x:v>
      </x:c>
      <x:c r="E25" s="12" t="n">
        <x:v>467</x:v>
      </x:c>
      <x:c r="F25" s="14" t="n">
        <x:f>E25/10</x:f>
        <x:v>46.7</x:v>
      </x:c>
    </x:row>
    <x:row r="26" ht="25" customHeight="1">
      <x:c r="A26" s="2" t="str">
        <x:v>2026-10-19_Night</x:v>
      </x:c>
      <x:c r="B26" s="7" t="n">
        <x:v>41000</x:v>
      </x:c>
      <x:c r="C26" s="7" t="n">
        <x:v>151200</x:v>
      </x:c>
      <x:c r="D26" s="7" t="n">
        <x:f>B26-C26</x:f>
        <x:v>-110200</x:v>
      </x:c>
      <x:c r="E26" s="12" t="n">
        <x:v>371</x:v>
      </x:c>
      <x:c r="F26" s="14" t="n">
        <x:f>E26/10</x:f>
        <x:v>37.1</x:v>
      </x:c>
    </x:row>
    <x:row r="27" ht="25" customHeight="1">
      <x:c r="A27" s="2" t="str">
        <x:v>2026-10-20_Night</x:v>
      </x:c>
      <x:c r="B27" s="7" t="n">
        <x:v>45000</x:v>
      </x:c>
      <x:c r="C27" s="7" t="n">
        <x:v>50300</x:v>
      </x:c>
      <x:c r="D27" s="7" t="n">
        <x:f>B27-C27</x:f>
        <x:v>-5300</x:v>
      </x:c>
      <x:c r="E27" s="12" t="n">
        <x:v>184</x:v>
      </x:c>
      <x:c r="F27" s="14" t="n">
        <x:f>E27/10</x:f>
        <x:v>18.4</x:v>
      </x:c>
    </x:row>
    <x:row r="28" ht="25" customHeight="1">
      <x:c r="A28" s="2" t="str">
        <x:v>2026-10-21_Night</x:v>
      </x:c>
      <x:c r="B28" s="7" t="n">
        <x:v>53700</x:v>
      </x:c>
      <x:c r="C28" s="7" t="n">
        <x:v>35200</x:v>
      </x:c>
      <x:c r="D28" s="7" t="n">
        <x:f>B28-C28</x:f>
        <x:v>18500</x:v>
      </x:c>
      <x:c r="E28" s="12" t="n">
        <x:v>262</x:v>
      </x:c>
      <x:c r="F28" s="14" t="n">
        <x:f>E28/10</x:f>
        <x:v>26.2</x:v>
      </x:c>
    </x:row>
    <x:row r="29" ht="25" customHeight="1">
      <x:c r="A29" s="2" t="str">
        <x:v>2026-10-22_Night</x:v>
      </x:c>
      <x:c r="B29" s="7" t="n">
        <x:v>21000</x:v>
      </x:c>
      <x:c r="C29" s="7" t="n">
        <x:v>44400</x:v>
      </x:c>
      <x:c r="D29" s="7" t="n">
        <x:f>B29-C29</x:f>
        <x:v>-23400</x:v>
      </x:c>
      <x:c r="E29" s="12" t="n">
        <x:v>113</x:v>
      </x:c>
      <x:c r="F29" s="14" t="n">
        <x:f>E29/10</x:f>
        <x:v>11.3</x:v>
      </x:c>
    </x:row>
    <x:row r="30" ht="25" customHeight="1">
      <x:c r="A30" s="2" t="str">
        <x:v>2026-10-23_Night</x:v>
      </x:c>
      <x:c r="B30" s="7" t="n">
        <x:v>72100</x:v>
      </x:c>
      <x:c r="C30" s="7" t="n">
        <x:v>59400</x:v>
      </x:c>
      <x:c r="D30" s="7" t="n">
        <x:f>B30-C30</x:f>
        <x:v>12700</x:v>
      </x:c>
      <x:c r="E30" s="12" t="n">
        <x:v>235</x:v>
      </x:c>
      <x:c r="F30" s="14" t="n">
        <x:f>E30/10</x:f>
        <x:v>23.5</x:v>
      </x:c>
    </x:row>
    <x:row r="31" ht="25" customHeight="1">
      <x:c r="A31" s="2" t="str">
        <x:v>2026-10-26_Night</x:v>
      </x:c>
      <x:c r="B31" s="7" t="n">
        <x:v>57000</x:v>
      </x:c>
      <x:c r="C31" s="7" t="n">
        <x:v>130000</x:v>
      </x:c>
      <x:c r="D31" s="7" t="n">
        <x:f>B31-C31</x:f>
        <x:v>-73000</x:v>
      </x:c>
      <x:c r="E31" s="12" t="n">
        <x:v>276</x:v>
      </x:c>
      <x:c r="F31" s="14" t="n">
        <x:f>E31/10</x:f>
        <x:v>27.6</x:v>
      </x:c>
    </x:row>
    <x:row r="32" ht="25" customHeight="1">
      <x:c r="A32" s="2" t="str">
        <x:v>2026-10-27_Night</x:v>
      </x:c>
      <x:c r="B32" s="7" t="n">
        <x:v>17000</x:v>
      </x:c>
      <x:c r="C32" s="7" t="n">
        <x:v>7200</x:v>
      </x:c>
      <x:c r="D32" s="7" t="n">
        <x:f>B32-C32</x:f>
        <x:v>9800</x:v>
      </x:c>
      <x:c r="E32" s="12" t="n">
        <x:v>26</x:v>
      </x:c>
      <x:c r="F32" s="14" t="n">
        <x:f>E32/10</x:f>
        <x:v>2.6</x:v>
      </x:c>
    </x:row>
    <x:row r="33" ht="25" customHeight="1">
      <x:c r="A33" s="10" t="str">
        <x:v>合計</x:v>
      </x:c>
      <x:c r="B33" s="11" t="n">
        <x:f>SUM(B6:B32)</x:f>
        <x:v>1119300</x:v>
      </x:c>
      <x:c r="C33" s="11" t="n">
        <x:f>SUM(C6:C32)</x:f>
        <x:v>1445500</x:v>
      </x:c>
      <x:c r="D33" s="11" t="n">
        <x:f>B33-C33</x:f>
        <x:v>-326200</x:v>
      </x:c>
      <x:c r="E33" s="13" t="n">
        <x:f>SUM(E6:E32)</x:f>
        <x:v>5387</x:v>
      </x:c>
      <x:c r="F33" s="15" t="n">
        <x:f>E33/10</x:f>
        <x:v>538.7</x:v>
      </x:c>
    </x:row>
  </x:sheetData>
  <x:mergeCells>
    <x:mergeCell ref="A2:F2"/>
    <x:mergeCell ref="A3:F3"/>
    <x:mergeCell ref="A4:F4"/>
  </x:mergeCells>
  <x:conditionalFormatting sqref="D6:D32">
    <x:cfRule type="cellIs" dxfId="10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437379e17944657"/>
  </x:tableParts>
</x:worksheet>
</file>

<file path=xl/worksheets/sheet108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NK225_U168_18　米国後の損益</x:v>
      </x:c>
      <x:c r="B2" s="2"/>
      <x:c r="C2" s="2"/>
      <x:c r="D2" s="2"/>
      <x:c r="E2" s="2"/>
      <x:c r="F2" s="2"/>
    </x:row>
    <x:row r="3" ht="38" customHeight="1">
      <x:c r="A3" s="5" t="str">
        <x:v>20円順行後は最低10円利益の判断床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5000</x:v>
      </x:c>
      <x:c r="C6" s="7" t="n">
        <x:v>0</x:v>
      </x:c>
      <x:c r="D6" s="7" t="n">
        <x:f>B6-C6</x:f>
        <x:v>5000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10000</x:v>
      </x:c>
      <x:c r="C7" s="7" t="n">
        <x:v>0</x:v>
      </x:c>
      <x:c r="D7" s="7" t="n">
        <x:f>B7-C7</x:f>
        <x:v>10000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3000</x:v>
      </x:c>
      <x:c r="C8" s="7" t="n">
        <x:v>40000</x:v>
      </x:c>
      <x:c r="D8" s="7" t="n">
        <x:f>B8-C8</x:f>
        <x:v>-37000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2000</x:v>
      </x:c>
      <x:c r="C9" s="7" t="n">
        <x:v>0</x:v>
      </x:c>
      <x:c r="D9" s="7" t="n">
        <x:f>B9-C9</x:f>
        <x:v>2000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9000</x:v>
      </x:c>
      <x:c r="C10" s="7" t="n">
        <x:v>0</x:v>
      </x:c>
      <x:c r="D10" s="7" t="n">
        <x:f>B10-C10</x:f>
        <x:v>9000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2000</x:v>
      </x:c>
      <x:c r="C11" s="7" t="n">
        <x:v>42000</x:v>
      </x:c>
      <x:c r="D11" s="7" t="n">
        <x:f>B11-C11</x:f>
        <x:v>-40000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13000</x:v>
      </x:c>
      <x:c r="C12" s="7" t="n">
        <x:v>22000</x:v>
      </x:c>
      <x:c r="D12" s="7" t="n">
        <x:f>B12-C12</x:f>
        <x:v>-9000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12000</x:v>
      </x:c>
      <x:c r="C13" s="7" t="n">
        <x:v>0</x:v>
      </x:c>
      <x:c r="D13" s="7" t="n">
        <x:f>B13-C13</x:f>
        <x:v>12000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96000</x:v>
      </x:c>
      <x:c r="C14" s="7" t="n">
        <x:v>13000</x:v>
      </x:c>
      <x:c r="D14" s="7" t="n">
        <x:f>B14-C14</x:f>
        <x:v>83000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62000</x:v>
      </x:c>
      <x:c r="C15" s="7" t="n">
        <x:v>9000</x:v>
      </x:c>
      <x:c r="D15" s="7" t="n">
        <x:f>B15-C15</x:f>
        <x:v>53000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14000</x:v>
      </x:c>
      <x:c r="C16" s="7" t="n">
        <x:v>0</x:v>
      </x:c>
      <x:c r="D16" s="7" t="n">
        <x:f>B16-C16</x:f>
        <x:v>14000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3000</x:v>
      </x:c>
      <x:c r="C17" s="7" t="n">
        <x:v>35000</x:v>
      </x:c>
      <x:c r="D17" s="7" t="n">
        <x:f>B17-C17</x:f>
        <x:v>-32000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2000</x:v>
      </x:c>
      <x:c r="C18" s="7" t="n">
        <x:v>14000</x:v>
      </x:c>
      <x:c r="D18" s="7" t="n">
        <x:f>B18-C18</x:f>
        <x:v>-12000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57000</x:v>
      </x:c>
      <x:c r="C19" s="7" t="n">
        <x:v>12000</x:v>
      </x:c>
      <x:c r="D19" s="7" t="n">
        <x:f>B19-C19</x:f>
        <x:v>45000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10000</x:v>
      </x:c>
      <x:c r="C20" s="7" t="n">
        <x:v>0</x:v>
      </x:c>
      <x:c r="D20" s="7" t="n">
        <x:f>B20-C20</x:f>
        <x:v>10000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5000</x:v>
      </x:c>
      <x:c r="C21" s="7" t="n">
        <x:v>0</x:v>
      </x:c>
      <x:c r="D21" s="7" t="n">
        <x:f>B21-C21</x:f>
        <x:v>5000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0</x:v>
      </x:c>
      <x:c r="C22" s="7" t="n">
        <x:v>53000</x:v>
      </x:c>
      <x:c r="D22" s="7" t="n">
        <x:f>B22-C22</x:f>
        <x:v>-53000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13000</x:v>
      </x:c>
      <x:c r="C23" s="7" t="n">
        <x:v>18000</x:v>
      </x:c>
      <x:c r="D23" s="7" t="n">
        <x:f>B23-C23</x:f>
        <x:v>-5000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19000</x:v>
      </x:c>
      <x:c r="C24" s="7" t="n">
        <x:v>30000</x:v>
      </x:c>
      <x:c r="D24" s="7" t="n">
        <x:f>B24-C24</x:f>
        <x:v>-11000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42000</x:v>
      </x:c>
      <x:c r="C25" s="7" t="n">
        <x:v>0</x:v>
      </x:c>
      <x:c r="D25" s="7" t="n">
        <x:f>B25-C25</x:f>
        <x:v>42000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26000</x:v>
      </x:c>
      <x:c r="C26" s="7" t="n">
        <x:v>64000</x:v>
      </x:c>
      <x:c r="D26" s="7" t="n">
        <x:f>B26-C26</x:f>
        <x:v>-38000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30000</x:v>
      </x:c>
      <x:c r="C27" s="7" t="n">
        <x:v>0</x:v>
      </x:c>
      <x:c r="D27" s="7" t="n">
        <x:f>B27-C27</x:f>
        <x:v>30000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12000</x:v>
      </x:c>
      <x:c r="C28" s="7" t="n">
        <x:v>0</x:v>
      </x:c>
      <x:c r="D28" s="7" t="n">
        <x:f>B28-C28</x:f>
        <x:v>12000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21000</x:v>
      </x:c>
      <x:c r="C29" s="7" t="n">
        <x:v>0</x:v>
      </x:c>
      <x:c r="D29" s="7" t="n">
        <x:f>B29-C29</x:f>
        <x:v>21000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14000</x:v>
      </x:c>
      <x:c r="C30" s="7" t="n">
        <x:v>17000</x:v>
      </x:c>
      <x:c r="D30" s="7" t="n">
        <x:f>B30-C30</x:f>
        <x:v>-3000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21000</x:v>
      </x:c>
      <x:c r="C31" s="7" t="n">
        <x:v>18000</x:v>
      </x:c>
      <x:c r="D31" s="7" t="n">
        <x:f>B31-C31</x:f>
        <x:v>3000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3000</x:v>
      </x:c>
      <x:c r="C32" s="7" t="n">
        <x:v>0</x:v>
      </x:c>
      <x:c r="D32" s="7" t="n">
        <x:f>B32-C32</x:f>
        <x:v>3000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506000</x:v>
      </x:c>
      <x:c r="C33" s="11" t="n">
        <x:f>SUM(C6:C32)</x:f>
        <x:v>387000</x:v>
      </x:c>
      <x:c r="D33" s="11" t="n">
        <x:f>B33-C33</x:f>
        <x:v>119000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10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5cb3e1fa6d40e9"/>
  </x:tableParts>
</x:worksheet>
</file>

<file path=xl/worksheets/sheet109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NK225_U168_19　米国後の損益</x:v>
      </x:c>
      <x:c r="B2" s="2"/>
      <x:c r="C2" s="2"/>
      <x:c r="D2" s="2"/>
      <x:c r="E2" s="2"/>
      <x:c r="F2" s="2"/>
    </x:row>
    <x:row r="3" ht="38" customHeight="1">
      <x:c r="A3" s="5" t="str">
        <x:v>10円利益床と方向再判断3回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5000</x:v>
      </x:c>
      <x:c r="C6" s="7" t="n">
        <x:v>39600</x:v>
      </x:c>
      <x:c r="D6" s="7" t="n">
        <x:f>B6-C6</x:f>
        <x:v>-34600</x:v>
      </x:c>
      <x:c r="E6" s="12" t="n">
        <x:v>83</x:v>
      </x:c>
      <x:c r="F6" s="14" t="n">
        <x:f>E6/10</x:f>
        <x:v>8.3</x:v>
      </x:c>
    </x:row>
    <x:row r="7" ht="25" customHeight="1">
      <x:c r="A7" s="2" t="str">
        <x:v>2026-09-22_Night</x:v>
      </x:c>
      <x:c r="B7" s="7" t="n">
        <x:v>16900</x:v>
      </x:c>
      <x:c r="C7" s="7" t="n">
        <x:v>0</x:v>
      </x:c>
      <x:c r="D7" s="7" t="n">
        <x:f>B7-C7</x:f>
        <x:v>16900</x:v>
      </x:c>
      <x:c r="E7" s="12" t="n">
        <x:v>119</x:v>
      </x:c>
      <x:c r="F7" s="14" t="n">
        <x:f>E7/10</x:f>
        <x:v>11.9</x:v>
      </x:c>
    </x:row>
    <x:row r="8" ht="25" customHeight="1">
      <x:c r="A8" s="2" t="str">
        <x:v>2026-09-23_Night</x:v>
      </x:c>
      <x:c r="B8" s="7" t="n">
        <x:v>19500</x:v>
      </x:c>
      <x:c r="C8" s="7" t="n">
        <x:v>26400</x:v>
      </x:c>
      <x:c r="D8" s="7" t="n">
        <x:f>B8-C8</x:f>
        <x:v>-6900</x:v>
      </x:c>
      <x:c r="E8" s="12" t="n">
        <x:v>151</x:v>
      </x:c>
      <x:c r="F8" s="14" t="n">
        <x:f>E8/10</x:f>
        <x:v>15.1</x:v>
      </x:c>
    </x:row>
    <x:row r="9" ht="25" customHeight="1">
      <x:c r="A9" s="2" t="str">
        <x:v>2026-09-24_Night</x:v>
      </x:c>
      <x:c r="B9" s="7" t="n">
        <x:v>5600</x:v>
      </x:c>
      <x:c r="C9" s="7" t="n">
        <x:v>7200</x:v>
      </x:c>
      <x:c r="D9" s="7" t="n">
        <x:f>B9-C9</x:f>
        <x:v>-1600</x:v>
      </x:c>
      <x:c r="E9" s="12" t="n">
        <x:v>32</x:v>
      </x:c>
      <x:c r="F9" s="14" t="n">
        <x:f>E9/10</x:f>
        <x:v>3.2</x:v>
      </x:c>
    </x:row>
    <x:row r="10" ht="25" customHeight="1">
      <x:c r="A10" s="2" t="str">
        <x:v>2026-09-25_Night</x:v>
      </x:c>
      <x:c r="B10" s="7" t="n">
        <x:v>22100</x:v>
      </x:c>
      <x:c r="C10" s="7" t="n">
        <x:v>0</x:v>
      </x:c>
      <x:c r="D10" s="7" t="n">
        <x:f>B10-C10</x:f>
        <x:v>22100</x:v>
      </x:c>
      <x:c r="E10" s="12" t="n">
        <x:v>145</x:v>
      </x:c>
      <x:c r="F10" s="14" t="n">
        <x:f>E10/10</x:f>
        <x:v>14.5</x:v>
      </x:c>
    </x:row>
    <x:row r="11" ht="25" customHeight="1">
      <x:c r="A11" s="2" t="str">
        <x:v>2026-09-28_Night</x:v>
      </x:c>
      <x:c r="B11" s="7" t="n">
        <x:v>11000</x:v>
      </x:c>
      <x:c r="C11" s="7" t="n">
        <x:v>47000</x:v>
      </x:c>
      <x:c r="D11" s="7" t="n">
        <x:f>B11-C11</x:f>
        <x:v>-36000</x:v>
      </x:c>
      <x:c r="E11" s="12" t="n">
        <x:v>94</x:v>
      </x:c>
      <x:c r="F11" s="14" t="n">
        <x:f>E11/10</x:f>
        <x:v>9.4</x:v>
      </x:c>
    </x:row>
    <x:row r="12" ht="25" customHeight="1">
      <x:c r="A12" s="2" t="str">
        <x:v>2026-09-29_Night</x:v>
      </x:c>
      <x:c r="B12" s="7" t="n">
        <x:v>37500</x:v>
      </x:c>
      <x:c r="C12" s="7" t="n">
        <x:v>51600</x:v>
      </x:c>
      <x:c r="D12" s="7" t="n">
        <x:f>B12-C12</x:f>
        <x:v>-14100</x:v>
      </x:c>
      <x:c r="E12" s="12" t="n">
        <x:v>301</x:v>
      </x:c>
      <x:c r="F12" s="14" t="n">
        <x:f>E12/10</x:f>
        <x:v>30.1</x:v>
      </x:c>
    </x:row>
    <x:row r="13" ht="25" customHeight="1">
      <x:c r="A13" s="2" t="str">
        <x:v>2026-09-30_Night</x:v>
      </x:c>
      <x:c r="B13" s="7" t="n">
        <x:v>24800</x:v>
      </x:c>
      <x:c r="C13" s="7" t="n">
        <x:v>12000</x:v>
      </x:c>
      <x:c r="D13" s="7" t="n">
        <x:f>B13-C13</x:f>
        <x:v>12800</x:v>
      </x:c>
      <x:c r="E13" s="12" t="n">
        <x:v>202</x:v>
      </x:c>
      <x:c r="F13" s="14" t="n">
        <x:f>E13/10</x:f>
        <x:v>20.2</x:v>
      </x:c>
    </x:row>
    <x:row r="14" ht="25" customHeight="1">
      <x:c r="A14" s="2" t="str">
        <x:v>2026-10-01_Night</x:v>
      </x:c>
      <x:c r="B14" s="7" t="n">
        <x:v>105400</x:v>
      </x:c>
      <x:c r="C14" s="7" t="n">
        <x:v>65200</x:v>
      </x:c>
      <x:c r="D14" s="7" t="n">
        <x:f>B14-C14</x:f>
        <x:v>40200</x:v>
      </x:c>
      <x:c r="E14" s="12" t="n">
        <x:v>284</x:v>
      </x:c>
      <x:c r="F14" s="14" t="n">
        <x:f>E14/10</x:f>
        <x:v>28.4</x:v>
      </x:c>
    </x:row>
    <x:row r="15" ht="25" customHeight="1">
      <x:c r="A15" s="2" t="str">
        <x:v>2026-10-02_Night</x:v>
      </x:c>
      <x:c r="B15" s="7" t="n">
        <x:v>89700</x:v>
      </x:c>
      <x:c r="C15" s="7" t="n">
        <x:v>99000</x:v>
      </x:c>
      <x:c r="D15" s="7" t="n">
        <x:f>B15-C15</x:f>
        <x:v>-9300</x:v>
      </x:c>
      <x:c r="E15" s="12" t="n">
        <x:v>538</x:v>
      </x:c>
      <x:c r="F15" s="14" t="n">
        <x:f>E15/10</x:f>
        <x:v>53.8</x:v>
      </x:c>
    </x:row>
    <x:row r="16" ht="25" customHeight="1">
      <x:c r="A16" s="2" t="str">
        <x:v>2026-10-05_Night</x:v>
      </x:c>
      <x:c r="B16" s="7" t="n">
        <x:v>29600</x:v>
      </x:c>
      <x:c r="C16" s="7" t="n">
        <x:v>48500</x:v>
      </x:c>
      <x:c r="D16" s="7" t="n">
        <x:f>B16-C16</x:f>
        <x:v>-18900</x:v>
      </x:c>
      <x:c r="E16" s="12" t="n">
        <x:v>314</x:v>
      </x:c>
      <x:c r="F16" s="14" t="n">
        <x:f>E16/10</x:f>
        <x:v>31.4</x:v>
      </x:c>
    </x:row>
    <x:row r="17" ht="25" customHeight="1">
      <x:c r="A17" s="2" t="str">
        <x:v>2026-10-06_Night</x:v>
      </x:c>
      <x:c r="B17" s="7" t="n">
        <x:v>12500</x:v>
      </x:c>
      <x:c r="C17" s="7" t="n">
        <x:v>33600</x:v>
      </x:c>
      <x:c r="D17" s="7" t="n">
        <x:f>B17-C17</x:f>
        <x:v>-21100</x:v>
      </x:c>
      <x:c r="E17" s="12" t="n">
        <x:v>143</x:v>
      </x:c>
      <x:c r="F17" s="14" t="n">
        <x:f>E17/10</x:f>
        <x:v>14.3</x:v>
      </x:c>
    </x:row>
    <x:row r="18" ht="25" customHeight="1">
      <x:c r="A18" s="2" t="str">
        <x:v>2026-10-07_Night</x:v>
      </x:c>
      <x:c r="B18" s="7" t="n">
        <x:v>2000</x:v>
      </x:c>
      <x:c r="C18" s="7" t="n">
        <x:v>12000</x:v>
      </x:c>
      <x:c r="D18" s="7" t="n">
        <x:f>B18-C18</x:f>
        <x:v>-10000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110900</x:v>
      </x:c>
      <x:c r="C19" s="7" t="n">
        <x:v>38200</x:v>
      </x:c>
      <x:c r="D19" s="7" t="n">
        <x:f>B19-C19</x:f>
        <x:v>72700</x:v>
      </x:c>
      <x:c r="E19" s="12" t="n">
        <x:v>626</x:v>
      </x:c>
      <x:c r="F19" s="14" t="n">
        <x:f>E19/10</x:f>
        <x:v>62.6</x:v>
      </x:c>
    </x:row>
    <x:row r="20" ht="25" customHeight="1">
      <x:c r="A20" s="2" t="str">
        <x:v>2026-10-09_Night</x:v>
      </x:c>
      <x:c r="B20" s="7" t="n">
        <x:v>15500</x:v>
      </x:c>
      <x:c r="C20" s="7" t="n">
        <x:v>16800</x:v>
      </x:c>
      <x:c r="D20" s="7" t="n">
        <x:f>B20-C20</x:f>
        <x:v>-1300</x:v>
      </x:c>
      <x:c r="E20" s="12" t="n">
        <x:v>119</x:v>
      </x:c>
      <x:c r="F20" s="14" t="n">
        <x:f>E20/10</x:f>
        <x:v>11.9</x:v>
      </x:c>
    </x:row>
    <x:row r="21" ht="25" customHeight="1">
      <x:c r="A21" s="2" t="str">
        <x:v>2026-10-12_Night</x:v>
      </x:c>
      <x:c r="B21" s="7" t="n">
        <x:v>10500</x:v>
      </x:c>
      <x:c r="C21" s="7" t="n">
        <x:v>16800</x:v>
      </x:c>
      <x:c r="D21" s="7" t="n">
        <x:f>B21-C21</x:f>
        <x:v>-6300</x:v>
      </x:c>
      <x:c r="E21" s="12" t="n">
        <x:v>119</x:v>
      </x:c>
      <x:c r="F21" s="14" t="n">
        <x:f>E21/10</x:f>
        <x:v>11.9</x:v>
      </x:c>
    </x:row>
    <x:row r="22" ht="25" customHeight="1">
      <x:c r="A22" s="2" t="str">
        <x:v>2026-10-13_Night</x:v>
      </x:c>
      <x:c r="B22" s="7" t="n">
        <x:v>24600</x:v>
      </x:c>
      <x:c r="C22" s="7" t="n">
        <x:v>2400</x:v>
      </x:c>
      <x:c r="D22" s="7" t="n">
        <x:f>B22-C22</x:f>
        <x:v>22200</x:v>
      </x:c>
      <x:c r="E22" s="12" t="n">
        <x:v>141</x:v>
      </x:c>
      <x:c r="F22" s="14" t="n">
        <x:f>E22/10</x:f>
        <x:v>14.1</x:v>
      </x:c>
    </x:row>
    <x:row r="23" ht="25" customHeight="1">
      <x:c r="A23" s="2" t="str">
        <x:v>2026-10-14_Night</x:v>
      </x:c>
      <x:c r="B23" s="7" t="n">
        <x:v>23800</x:v>
      </x:c>
      <x:c r="C23" s="7" t="n">
        <x:v>50400</x:v>
      </x:c>
      <x:c r="D23" s="7" t="n">
        <x:f>B23-C23</x:f>
        <x:v>-26600</x:v>
      </x:c>
      <x:c r="E23" s="12" t="n">
        <x:v>177</x:v>
      </x:c>
      <x:c r="F23" s="14" t="n">
        <x:f>E23/10</x:f>
        <x:v>17.7</x:v>
      </x:c>
    </x:row>
    <x:row r="24" ht="25" customHeight="1">
      <x:c r="A24" s="2" t="str">
        <x:v>2026-10-15_Night</x:v>
      </x:c>
      <x:c r="B24" s="7" t="n">
        <x:v>23100</x:v>
      </x:c>
      <x:c r="C24" s="7" t="n">
        <x:v>36800</x:v>
      </x:c>
      <x:c r="D24" s="7" t="n">
        <x:f>B24-C24</x:f>
        <x:v>-13700</x:v>
      </x:c>
      <x:c r="E24" s="12" t="n">
        <x:v>133</x:v>
      </x:c>
      <x:c r="F24" s="14" t="n">
        <x:f>E24/10</x:f>
        <x:v>13.3</x:v>
      </x:c>
    </x:row>
    <x:row r="25" ht="25" customHeight="1">
      <x:c r="A25" s="2" t="str">
        <x:v>2026-10-16_Night</x:v>
      </x:c>
      <x:c r="B25" s="7" t="n">
        <x:v>57200</x:v>
      </x:c>
      <x:c r="C25" s="7" t="n">
        <x:v>167400</x:v>
      </x:c>
      <x:c r="D25" s="7" t="n">
        <x:f>B25-C25</x:f>
        <x:v>-110200</x:v>
      </x:c>
      <x:c r="E25" s="12" t="n">
        <x:v>546</x:v>
      </x:c>
      <x:c r="F25" s="14" t="n">
        <x:f>E25/10</x:f>
        <x:v>54.6</x:v>
      </x:c>
    </x:row>
    <x:row r="26" ht="25" customHeight="1">
      <x:c r="A26" s="2" t="str">
        <x:v>2026-10-19_Night</x:v>
      </x:c>
      <x:c r="B26" s="7" t="n">
        <x:v>60400</x:v>
      </x:c>
      <x:c r="C26" s="7" t="n">
        <x:v>85600</x:v>
      </x:c>
      <x:c r="D26" s="7" t="n">
        <x:f>B26-C26</x:f>
        <x:v>-25200</x:v>
      </x:c>
      <x:c r="E26" s="12" t="n">
        <x:v>494</x:v>
      </x:c>
      <x:c r="F26" s="14" t="n">
        <x:f>E26/10</x:f>
        <x:v>49.4</x:v>
      </x:c>
    </x:row>
    <x:row r="27" ht="25" customHeight="1">
      <x:c r="A27" s="2" t="str">
        <x:v>2026-10-20_Night</x:v>
      </x:c>
      <x:c r="B27" s="7" t="n">
        <x:v>45700</x:v>
      </x:c>
      <x:c r="C27" s="7" t="n">
        <x:v>18600</x:v>
      </x:c>
      <x:c r="D27" s="7" t="n">
        <x:f>B27-C27</x:f>
        <x:v>27100</x:v>
      </x:c>
      <x:c r="E27" s="12" t="n">
        <x:v>240</x:v>
      </x:c>
      <x:c r="F27" s="14" t="n">
        <x:f>E27/10</x:f>
        <x:v>24</x:v>
      </x:c>
    </x:row>
    <x:row r="28" ht="25" customHeight="1">
      <x:c r="A28" s="2" t="str">
        <x:v>2026-10-21_Night</x:v>
      </x:c>
      <x:c r="B28" s="7" t="n">
        <x:v>52200</x:v>
      </x:c>
      <x:c r="C28" s="7" t="n">
        <x:v>7200</x:v>
      </x:c>
      <x:c r="D28" s="7" t="n">
        <x:f>B28-C28</x:f>
        <x:v>45000</x:v>
      </x:c>
      <x:c r="E28" s="12" t="n">
        <x:v>324</x:v>
      </x:c>
      <x:c r="F28" s="14" t="n">
        <x:f>E28/10</x:f>
        <x:v>32.4</x:v>
      </x:c>
    </x:row>
    <x:row r="29" ht="25" customHeight="1">
      <x:c r="A29" s="2" t="str">
        <x:v>2026-10-22_Night</x:v>
      </x:c>
      <x:c r="B29" s="7" t="n">
        <x:v>29100</x:v>
      </x:c>
      <x:c r="C29" s="7" t="n">
        <x:v>0</x:v>
      </x:c>
      <x:c r="D29" s="7" t="n">
        <x:f>B29-C29</x:f>
        <x:v>29100</x:v>
      </x:c>
      <x:c r="E29" s="12" t="n">
        <x:v>151</x:v>
      </x:c>
      <x:c r="F29" s="14" t="n">
        <x:f>E29/10</x:f>
        <x:v>15.1</x:v>
      </x:c>
    </x:row>
    <x:row r="30" ht="25" customHeight="1">
      <x:c r="A30" s="2" t="str">
        <x:v>2026-10-23_Night</x:v>
      </x:c>
      <x:c r="B30" s="7" t="n">
        <x:v>60600</x:v>
      </x:c>
      <x:c r="C30" s="7" t="n">
        <x:v>28900</x:v>
      </x:c>
      <x:c r="D30" s="7" t="n">
        <x:f>B30-C30</x:f>
        <x:v>31700</x:v>
      </x:c>
      <x:c r="E30" s="12" t="n">
        <x:v>241</x:v>
      </x:c>
      <x:c r="F30" s="14" t="n">
        <x:f>E30/10</x:f>
        <x:v>24.1</x:v>
      </x:c>
    </x:row>
    <x:row r="31" ht="25" customHeight="1">
      <x:c r="A31" s="2" t="str">
        <x:v>2026-10-26_Night</x:v>
      </x:c>
      <x:c r="B31" s="7" t="n">
        <x:v>36200</x:v>
      </x:c>
      <x:c r="C31" s="7" t="n">
        <x:v>66400</x:v>
      </x:c>
      <x:c r="D31" s="7" t="n">
        <x:f>B31-C31</x:f>
        <x:v>-30200</x:v>
      </x:c>
      <x:c r="E31" s="12" t="n">
        <x:v>317</x:v>
      </x:c>
      <x:c r="F31" s="14" t="n">
        <x:f>E31/10</x:f>
        <x:v>31.7</x:v>
      </x:c>
    </x:row>
    <x:row r="32" ht="25" customHeight="1">
      <x:c r="A32" s="2" t="str">
        <x:v>2026-10-27_Night</x:v>
      </x:c>
      <x:c r="B32" s="7" t="n">
        <x:v>6200</x:v>
      </x:c>
      <x:c r="C32" s="7" t="n">
        <x:v>0</x:v>
      </x:c>
      <x:c r="D32" s="7" t="n">
        <x:f>B32-C32</x:f>
        <x:v>6200</x:v>
      </x:c>
      <x:c r="E32" s="12" t="n">
        <x:v>46</x:v>
      </x:c>
      <x:c r="F32" s="14" t="n">
        <x:f>E32/10</x:f>
        <x:v>4.6</x:v>
      </x:c>
    </x:row>
    <x:row r="33" ht="25" customHeight="1">
      <x:c r="A33" s="10" t="str">
        <x:v>合計</x:v>
      </x:c>
      <x:c r="B33" s="11" t="n">
        <x:f>SUM(B6:B32)</x:f>
        <x:v>937600</x:v>
      </x:c>
      <x:c r="C33" s="11" t="n">
        <x:f>SUM(C6:C32)</x:f>
        <x:v>977600</x:v>
      </x:c>
      <x:c r="D33" s="11" t="n">
        <x:f>B33-C33</x:f>
        <x:v>-40000</x:v>
      </x:c>
      <x:c r="E33" s="13" t="n">
        <x:f>SUM(E6:E32)</x:f>
        <x:v>6100</x:v>
      </x:c>
      <x:c r="F33" s="15" t="n">
        <x:f>E33/10</x:f>
        <x:v>610</x:v>
      </x:c>
    </x:row>
  </x:sheetData>
  <x:mergeCells>
    <x:mergeCell ref="A2:F2"/>
    <x:mergeCell ref="A3:F3"/>
    <x:mergeCell ref="A4:F4"/>
  </x:mergeCells>
  <x:conditionalFormatting sqref="D6:D32">
    <x:cfRule type="cellIs" dxfId="10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b8c6278d8942e9"/>
  </x:tableParts>
</x:worksheet>
</file>

<file path=xl/worksheets/sheet110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NK225_U168_20　米国後の損益</x:v>
      </x:c>
      <x:c r="B2" s="2"/>
      <x:c r="C2" s="2"/>
      <x:c r="D2" s="2"/>
      <x:c r="E2" s="2"/>
      <x:c r="F2" s="2"/>
    </x:row>
    <x:row r="3" ht="38" customHeight="1">
      <x:c r="A3" s="5" t="str">
        <x:v>赤字の元返済だけ240円まで猶予して回収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10000</x:v>
      </x:c>
      <x:c r="C6" s="7" t="n">
        <x:v>0</x:v>
      </x:c>
      <x:c r="D6" s="7" t="n">
        <x:f>B6-C6</x:f>
        <x:v>10000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5000</x:v>
      </x:c>
      <x:c r="C7" s="7" t="n">
        <x:v>0</x:v>
      </x:c>
      <x:c r="D7" s="7" t="n">
        <x:f>B7-C7</x:f>
        <x:v>5000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18000</x:v>
      </x:c>
      <x:c r="C8" s="7" t="n">
        <x:v>0</x:v>
      </x:c>
      <x:c r="D8" s="7" t="n">
        <x:f>B8-C8</x:f>
        <x:v>18000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10000</x:v>
      </x:c>
      <x:c r="C9" s="7" t="n">
        <x:v>0</x:v>
      </x:c>
      <x:c r="D9" s="7" t="n">
        <x:f>B9-C9</x:f>
        <x:v>10000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9000</x:v>
      </x:c>
      <x:c r="C10" s="7" t="n">
        <x:v>0</x:v>
      </x:c>
      <x:c r="D10" s="7" t="n">
        <x:f>B10-C10</x:f>
        <x:v>9000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1000</x:v>
      </x:c>
      <x:c r="C11" s="7" t="n">
        <x:v>72000</x:v>
      </x:c>
      <x:c r="D11" s="7" t="n">
        <x:f>B11-C11</x:f>
        <x:v>-71000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10000</x:v>
      </x:c>
      <x:c r="C12" s="7" t="n">
        <x:v>23000</x:v>
      </x:c>
      <x:c r="D12" s="7" t="n">
        <x:f>B12-C12</x:f>
        <x:v>-13000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1000</x:v>
      </x:c>
      <x:c r="C13" s="7" t="n">
        <x:v>0</x:v>
      </x:c>
      <x:c r="D13" s="7" t="n">
        <x:f>B13-C13</x:f>
        <x:v>1000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94000</x:v>
      </x:c>
      <x:c r="C14" s="7" t="n">
        <x:v>24000</x:v>
      </x:c>
      <x:c r="D14" s="7" t="n">
        <x:f>B14-C14</x:f>
        <x:v>70000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64000</x:v>
      </x:c>
      <x:c r="C15" s="7" t="n">
        <x:v>0</x:v>
      </x:c>
      <x:c r="D15" s="7" t="n">
        <x:f>B15-C15</x:f>
        <x:v>64000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16000</x:v>
      </x:c>
      <x:c r="C16" s="7" t="n">
        <x:v>0</x:v>
      </x:c>
      <x:c r="D16" s="7" t="n">
        <x:f>B16-C16</x:f>
        <x:v>16000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5000</x:v>
      </x:c>
      <x:c r="C17" s="7" t="n">
        <x:v>0</x:v>
      </x:c>
      <x:c r="D17" s="7" t="n">
        <x:f>B17-C17</x:f>
        <x:v>5000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2000</x:v>
      </x:c>
      <x:c r="C18" s="7" t="n">
        <x:v>24000</x:v>
      </x:c>
      <x:c r="D18" s="7" t="n">
        <x:f>B18-C18</x:f>
        <x:v>-22000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46000</x:v>
      </x:c>
      <x:c r="C19" s="7" t="n">
        <x:v>48000</x:v>
      </x:c>
      <x:c r="D19" s="7" t="n">
        <x:f>B19-C19</x:f>
        <x:v>-2000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10000</x:v>
      </x:c>
      <x:c r="C20" s="7" t="n">
        <x:v>0</x:v>
      </x:c>
      <x:c r="D20" s="7" t="n">
        <x:f>B20-C20</x:f>
        <x:v>10000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0</x:v>
      </x:c>
      <x:c r="C21" s="7" t="n">
        <x:v>0</x:v>
      </x:c>
      <x:c r="D21" s="7" t="n">
        <x:f>B21-C21</x:f>
        <x:v>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5000</x:v>
      </x:c>
      <x:c r="C22" s="7" t="n">
        <x:v>0</x:v>
      </x:c>
      <x:c r="D22" s="7" t="n">
        <x:f>B22-C22</x:f>
        <x:v>5000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6000</x:v>
      </x:c>
      <x:c r="C23" s="7" t="n">
        <x:v>48000</x:v>
      </x:c>
      <x:c r="D23" s="7" t="n">
        <x:f>B23-C23</x:f>
        <x:v>-42000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17000</x:v>
      </x:c>
      <x:c r="C24" s="7" t="n">
        <x:v>30000</x:v>
      </x:c>
      <x:c r="D24" s="7" t="n">
        <x:f>B24-C24</x:f>
        <x:v>-13000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29000</x:v>
      </x:c>
      <x:c r="C25" s="7" t="n">
        <x:v>0</x:v>
      </x:c>
      <x:c r="D25" s="7" t="n">
        <x:f>B25-C25</x:f>
        <x:v>29000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26000</x:v>
      </x:c>
      <x:c r="C26" s="7" t="n">
        <x:v>0</x:v>
      </x:c>
      <x:c r="D26" s="7" t="n">
        <x:f>B26-C26</x:f>
        <x:v>26000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23000</x:v>
      </x:c>
      <x:c r="C27" s="7" t="n">
        <x:v>0</x:v>
      </x:c>
      <x:c r="D27" s="7" t="n">
        <x:f>B27-C27</x:f>
        <x:v>23000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21000</x:v>
      </x:c>
      <x:c r="C28" s="7" t="n">
        <x:v>0</x:v>
      </x:c>
      <x:c r="D28" s="7" t="n">
        <x:f>B28-C28</x:f>
        <x:v>21000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21000</x:v>
      </x:c>
      <x:c r="C29" s="7" t="n">
        <x:v>0</x:v>
      </x:c>
      <x:c r="D29" s="7" t="n">
        <x:f>B29-C29</x:f>
        <x:v>21000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13000</x:v>
      </x:c>
      <x:c r="C30" s="7" t="n">
        <x:v>23000</x:v>
      </x:c>
      <x:c r="D30" s="7" t="n">
        <x:f>B30-C30</x:f>
        <x:v>-10000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20000</x:v>
      </x:c>
      <x:c r="C31" s="7" t="n">
        <x:v>1000</x:v>
      </x:c>
      <x:c r="D31" s="7" t="n">
        <x:f>B31-C31</x:f>
        <x:v>19000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5000</x:v>
      </x:c>
      <x:c r="C32" s="7" t="n">
        <x:v>0</x:v>
      </x:c>
      <x:c r="D32" s="7" t="n">
        <x:f>B32-C32</x:f>
        <x:v>5000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487000</x:v>
      </x:c>
      <x:c r="C33" s="11" t="n">
        <x:f>SUM(C6:C32)</x:f>
        <x:v>293000</x:v>
      </x:c>
      <x:c r="D33" s="11" t="n">
        <x:f>B33-C33</x:f>
        <x:v>194000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10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85db91b0d93493b"/>
  </x:tableParts>
</x:worksheet>
</file>

<file path=xl/worksheets/sheet111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NK225_U168_21　米国後の損益</x:v>
      </x:c>
      <x:c r="B2" s="2"/>
      <x:c r="C2" s="2"/>
      <x:c r="D2" s="2"/>
      <x:c r="E2" s="2"/>
      <x:c r="F2" s="2"/>
    </x:row>
    <x:row r="3" ht="38" customHeight="1">
      <x:c r="A3" s="5" t="str">
        <x:v>赤字の元返済だけ240円まで猶予する対照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235000</x:v>
      </x:c>
      <x:c r="C6" s="7" t="n">
        <x:v>0</x:v>
      </x:c>
      <x:c r="D6" s="7" t="n">
        <x:f>B6-C6</x:f>
        <x:v>235000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32000</x:v>
      </x:c>
      <x:c r="C7" s="7" t="n">
        <x:v>24000</x:v>
      </x:c>
      <x:c r="D7" s="7" t="n">
        <x:f>B7-C7</x:f>
        <x:v>8000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130000</x:v>
      </x:c>
      <x:c r="C8" s="7" t="n">
        <x:v>24000</x:v>
      </x:c>
      <x:c r="D8" s="7" t="n">
        <x:f>B8-C8</x:f>
        <x:v>106000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20000</x:v>
      </x:c>
      <x:c r="C9" s="7" t="n">
        <x:v>0</x:v>
      </x:c>
      <x:c r="D9" s="7" t="n">
        <x:f>B9-C9</x:f>
        <x:v>20000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17000</x:v>
      </x:c>
      <x:c r="C10" s="7" t="n">
        <x:v>24000</x:v>
      </x:c>
      <x:c r="D10" s="7" t="n">
        <x:f>B10-C10</x:f>
        <x:v>-7000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10000</x:v>
      </x:c>
      <x:c r="C11" s="7" t="n">
        <x:v>96000</x:v>
      </x:c>
      <x:c r="D11" s="7" t="n">
        <x:f>B11-C11</x:f>
        <x:v>-86000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82000</x:v>
      </x:c>
      <x:c r="C12" s="7" t="n">
        <x:v>85000</x:v>
      </x:c>
      <x:c r="D12" s="7" t="n">
        <x:f>B12-C12</x:f>
        <x:v>-3000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49000</x:v>
      </x:c>
      <x:c r="C13" s="7" t="n">
        <x:v>24000</x:v>
      </x:c>
      <x:c r="D13" s="7" t="n">
        <x:f>B13-C13</x:f>
        <x:v>25000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190000</x:v>
      </x:c>
      <x:c r="C14" s="7" t="n">
        <x:v>93000</x:v>
      </x:c>
      <x:c r="D14" s="7" t="n">
        <x:f>B14-C14</x:f>
        <x:v>97000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313000</x:v>
      </x:c>
      <x:c r="C15" s="7" t="n">
        <x:v>120000</x:v>
      </x:c>
      <x:c r="D15" s="7" t="n">
        <x:f>B15-C15</x:f>
        <x:v>193000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102000</x:v>
      </x:c>
      <x:c r="C16" s="7" t="n">
        <x:v>48000</x:v>
      </x:c>
      <x:c r="D16" s="7" t="n">
        <x:f>B16-C16</x:f>
        <x:v>54000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148000</x:v>
      </x:c>
      <x:c r="C17" s="7" t="n">
        <x:v>0</x:v>
      </x:c>
      <x:c r="D17" s="7" t="n">
        <x:f>B17-C17</x:f>
        <x:v>148000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0</x:v>
      </x:c>
      <x:c r="C18" s="7" t="n">
        <x:v>48000</x:v>
      </x:c>
      <x:c r="D18" s="7" t="n">
        <x:f>B18-C18</x:f>
        <x:v>-48000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342000</x:v>
      </x:c>
      <x:c r="C19" s="7" t="n">
        <x:v>73000</x:v>
      </x:c>
      <x:c r="D19" s="7" t="n">
        <x:f>B19-C19</x:f>
        <x:v>269000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12000</x:v>
      </x:c>
      <x:c r="C20" s="7" t="n">
        <x:v>3000</x:v>
      </x:c>
      <x:c r="D20" s="7" t="n">
        <x:f>B20-C20</x:f>
        <x:v>9000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82000</x:v>
      </x:c>
      <x:c r="C21" s="7" t="n">
        <x:v>0</x:v>
      </x:c>
      <x:c r="D21" s="7" t="n">
        <x:f>B21-C21</x:f>
        <x:v>82000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14000</x:v>
      </x:c>
      <x:c r="C22" s="7" t="n">
        <x:v>50000</x:v>
      </x:c>
      <x:c r="D22" s="7" t="n">
        <x:f>B22-C22</x:f>
        <x:v>-36000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197000</x:v>
      </x:c>
      <x:c r="C23" s="7" t="n">
        <x:v>96000</x:v>
      </x:c>
      <x:c r="D23" s="7" t="n">
        <x:f>B23-C23</x:f>
        <x:v>101000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189000</x:v>
      </x:c>
      <x:c r="C24" s="7" t="n">
        <x:v>36000</x:v>
      </x:c>
      <x:c r="D24" s="7" t="n">
        <x:f>B24-C24</x:f>
        <x:v>153000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262000</x:v>
      </x:c>
      <x:c r="C25" s="7" t="n">
        <x:v>143000</x:v>
      </x:c>
      <x:c r="D25" s="7" t="n">
        <x:f>B25-C25</x:f>
        <x:v>119000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127000</x:v>
      </x:c>
      <x:c r="C26" s="7" t="n">
        <x:v>166000</x:v>
      </x:c>
      <x:c r="D26" s="7" t="n">
        <x:f>B26-C26</x:f>
        <x:v>-39000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92000</x:v>
      </x:c>
      <x:c r="C27" s="7" t="n">
        <x:v>75000</x:v>
      </x:c>
      <x:c r="D27" s="7" t="n">
        <x:f>B27-C27</x:f>
        <x:v>17000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64000</x:v>
      </x:c>
      <x:c r="C28" s="7" t="n">
        <x:v>144000</x:v>
      </x:c>
      <x:c r="D28" s="7" t="n">
        <x:f>B28-C28</x:f>
        <x:v>-80000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156000</x:v>
      </x:c>
      <x:c r="C29" s="7" t="n">
        <x:v>0</x:v>
      </x:c>
      <x:c r="D29" s="7" t="n">
        <x:f>B29-C29</x:f>
        <x:v>156000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70000</x:v>
      </x:c>
      <x:c r="C30" s="7" t="n">
        <x:v>23000</x:v>
      </x:c>
      <x:c r="D30" s="7" t="n">
        <x:f>B30-C30</x:f>
        <x:v>47000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109000</x:v>
      </x:c>
      <x:c r="C31" s="7" t="n">
        <x:v>140000</x:v>
      </x:c>
      <x:c r="D31" s="7" t="n">
        <x:f>B31-C31</x:f>
        <x:v>-31000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8000</x:v>
      </x:c>
      <x:c r="C32" s="7" t="n">
        <x:v>0</x:v>
      </x:c>
      <x:c r="D32" s="7" t="n">
        <x:f>B32-C32</x:f>
        <x:v>8000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3052000</x:v>
      </x:c>
      <x:c r="C33" s="11" t="n">
        <x:f>SUM(C6:C32)</x:f>
        <x:v>1535000</x:v>
      </x:c>
      <x:c r="D33" s="11" t="n">
        <x:f>B33-C33</x:f>
        <x:v>1517000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10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f790a9f5cb4acf"/>
  </x:tableParts>
</x:worksheet>
</file>

<file path=xl/worksheets/sheet112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NK225_U168_22　米国後の損益</x:v>
      </x:c>
      <x:c r="B2" s="2"/>
      <x:c r="C2" s="2"/>
      <x:c r="D2" s="2"/>
      <x:c r="E2" s="2"/>
      <x:c r="F2" s="2"/>
    </x:row>
    <x:row r="3" ht="38" customHeight="1">
      <x:c r="A3" s="5" t="str">
        <x:v>元損切りを保ち回収後に方向再判断3回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10000</x:v>
      </x:c>
      <x:c r="C6" s="7" t="n">
        <x:v>0</x:v>
      </x:c>
      <x:c r="D6" s="7" t="n">
        <x:f>B6-C6</x:f>
        <x:v>10000</x:v>
      </x:c>
      <x:c r="E6" s="12" t="n">
        <x:v>149</x:v>
      </x:c>
      <x:c r="F6" s="14" t="n">
        <x:f>E6/10</x:f>
        <x:v>14.9</x:v>
      </x:c>
    </x:row>
    <x:row r="7" ht="25" customHeight="1">
      <x:c r="A7" s="2" t="str">
        <x:v>2026-09-22_Night</x:v>
      </x:c>
      <x:c r="B7" s="7" t="n">
        <x:v>20500</x:v>
      </x:c>
      <x:c r="C7" s="7" t="n">
        <x:v>0</x:v>
      </x:c>
      <x:c r="D7" s="7" t="n">
        <x:f>B7-C7</x:f>
        <x:v>20500</x:v>
      </x:c>
      <x:c r="E7" s="12" t="n">
        <x:v>155</x:v>
      </x:c>
      <x:c r="F7" s="14" t="n">
        <x:f>E7/10</x:f>
        <x:v>15.5</x:v>
      </x:c>
    </x:row>
    <x:row r="8" ht="25" customHeight="1">
      <x:c r="A8" s="2" t="str">
        <x:v>2026-09-23_Night</x:v>
      </x:c>
      <x:c r="B8" s="7" t="n">
        <x:v>9200</x:v>
      </x:c>
      <x:c r="C8" s="7" t="n">
        <x:v>40000</x:v>
      </x:c>
      <x:c r="D8" s="7" t="n">
        <x:f>B8-C8</x:f>
        <x:v>-30800</x:v>
      </x:c>
      <x:c r="E8" s="12" t="n">
        <x:v>90</x:v>
      </x:c>
      <x:c r="F8" s="14" t="n">
        <x:f>E8/10</x:f>
        <x:v>9</x:v>
      </x:c>
    </x:row>
    <x:row r="9" ht="25" customHeight="1">
      <x:c r="A9" s="2" t="str">
        <x:v>2026-09-24_Night</x:v>
      </x:c>
      <x:c r="B9" s="7" t="n">
        <x:v>10000</x:v>
      </x:c>
      <x:c r="C9" s="7" t="n">
        <x:v>7200</x:v>
      </x:c>
      <x:c r="D9" s="7" t="n">
        <x:f>B9-C9</x:f>
        <x:v>2800</x:v>
      </x:c>
      <x:c r="E9" s="12" t="n">
        <x:v>26</x:v>
      </x:c>
      <x:c r="F9" s="14" t="n">
        <x:f>E9/10</x:f>
        <x:v>2.6</x:v>
      </x:c>
    </x:row>
    <x:row r="10" ht="25" customHeight="1">
      <x:c r="A10" s="2" t="str">
        <x:v>2026-09-25_Night</x:v>
      </x:c>
      <x:c r="B10" s="7" t="n">
        <x:v>10200</x:v>
      </x:c>
      <x:c r="C10" s="7" t="n">
        <x:v>31200</x:v>
      </x:c>
      <x:c r="D10" s="7" t="n">
        <x:f>B10-C10</x:f>
        <x:v>-21000</x:v>
      </x:c>
      <x:c r="E10" s="12" t="n">
        <x:v>125</x:v>
      </x:c>
      <x:c r="F10" s="14" t="n">
        <x:f>E10/10</x:f>
        <x:v>12.5</x:v>
      </x:c>
    </x:row>
    <x:row r="11" ht="25" customHeight="1">
      <x:c r="A11" s="2" t="str">
        <x:v>2026-09-28_Night</x:v>
      </x:c>
      <x:c r="B11" s="7" t="n">
        <x:v>10000</x:v>
      </x:c>
      <x:c r="C11" s="7" t="n">
        <x:v>42000</x:v>
      </x:c>
      <x:c r="D11" s="7" t="n">
        <x:f>B11-C11</x:f>
        <x:v>-32000</x:v>
      </x:c>
      <x:c r="E11" s="12" t="n">
        <x:v>93</x:v>
      </x:c>
      <x:c r="F11" s="14" t="n">
        <x:f>E11/10</x:f>
        <x:v>9.3</x:v>
      </x:c>
    </x:row>
    <x:row r="12" ht="25" customHeight="1">
      <x:c r="A12" s="2" t="str">
        <x:v>2026-09-29_Night</x:v>
      </x:c>
      <x:c r="B12" s="7" t="n">
        <x:v>13400</x:v>
      </x:c>
      <x:c r="C12" s="7" t="n">
        <x:v>101200</x:v>
      </x:c>
      <x:c r="D12" s="7" t="n">
        <x:f>B12-C12</x:f>
        <x:v>-87800</x:v>
      </x:c>
      <x:c r="E12" s="12" t="n">
        <x:v>218</x:v>
      </x:c>
      <x:c r="F12" s="14" t="n">
        <x:f>E12/10</x:f>
        <x:v>21.8</x:v>
      </x:c>
    </x:row>
    <x:row r="13" ht="25" customHeight="1">
      <x:c r="A13" s="2" t="str">
        <x:v>2026-09-30_Night</x:v>
      </x:c>
      <x:c r="B13" s="7" t="n">
        <x:v>1000</x:v>
      </x:c>
      <x:c r="C13" s="7" t="n">
        <x:v>45900</x:v>
      </x:c>
      <x:c r="D13" s="7" t="n">
        <x:f>B13-C13</x:f>
        <x:v>-44900</x:v>
      </x:c>
      <x:c r="E13" s="12" t="n">
        <x:v>121</x:v>
      </x:c>
      <x:c r="F13" s="14" t="n">
        <x:f>E13/10</x:f>
        <x:v>12.1</x:v>
      </x:c>
    </x:row>
    <x:row r="14" ht="25" customHeight="1">
      <x:c r="A14" s="2" t="str">
        <x:v>2026-10-01_Night</x:v>
      </x:c>
      <x:c r="B14" s="7" t="n">
        <x:v>118600</x:v>
      </x:c>
      <x:c r="C14" s="7" t="n">
        <x:v>34600</x:v>
      </x:c>
      <x:c r="D14" s="7" t="n">
        <x:f>B14-C14</x:f>
        <x:v>84000</x:v>
      </x:c>
      <x:c r="E14" s="12" t="n">
        <x:v>279</x:v>
      </x:c>
      <x:c r="F14" s="14" t="n">
        <x:f>E14/10</x:f>
        <x:v>27.9</x:v>
      </x:c>
    </x:row>
    <x:row r="15" ht="25" customHeight="1">
      <x:c r="A15" s="2" t="str">
        <x:v>2026-10-02_Night</x:v>
      </x:c>
      <x:c r="B15" s="7" t="n">
        <x:v>111700</x:v>
      </x:c>
      <x:c r="C15" s="7" t="n">
        <x:v>79200</x:v>
      </x:c>
      <x:c r="D15" s="7" t="n">
        <x:f>B15-C15</x:f>
        <x:v>32500</x:v>
      </x:c>
      <x:c r="E15" s="12" t="n">
        <x:v>553</x:v>
      </x:c>
      <x:c r="F15" s="14" t="n">
        <x:f>E15/10</x:f>
        <x:v>55.3</x:v>
      </x:c>
    </x:row>
    <x:row r="16" ht="25" customHeight="1">
      <x:c r="A16" s="2" t="str">
        <x:v>2026-10-05_Night</x:v>
      </x:c>
      <x:c r="B16" s="7" t="n">
        <x:v>35400</x:v>
      </x:c>
      <x:c r="C16" s="7" t="n">
        <x:v>25200</x:v>
      </x:c>
      <x:c r="D16" s="7" t="n">
        <x:f>B16-C16</x:f>
        <x:v>10200</x:v>
      </x:c>
      <x:c r="E16" s="12" t="n">
        <x:v>335</x:v>
      </x:c>
      <x:c r="F16" s="14" t="n">
        <x:f>E16/10</x:f>
        <x:v>33.5</x:v>
      </x:c>
    </x:row>
    <x:row r="17" ht="25" customHeight="1">
      <x:c r="A17" s="2" t="str">
        <x:v>2026-10-06_Night</x:v>
      </x:c>
      <x:c r="B17" s="7" t="n">
        <x:v>400</x:v>
      </x:c>
      <x:c r="C17" s="7" t="n">
        <x:v>42200</x:v>
      </x:c>
      <x:c r="D17" s="7" t="n">
        <x:f>B17-C17</x:f>
        <x:v>-41800</x:v>
      </x:c>
      <x:c r="E17" s="12" t="n">
        <x:v>86</x:v>
      </x:c>
      <x:c r="F17" s="14" t="n">
        <x:f>E17/10</x:f>
        <x:v>8.6</x:v>
      </x:c>
    </x:row>
    <x:row r="18" ht="25" customHeight="1">
      <x:c r="A18" s="2" t="str">
        <x:v>2026-10-07_Night</x:v>
      </x:c>
      <x:c r="B18" s="7" t="n">
        <x:v>2000</x:v>
      </x:c>
      <x:c r="C18" s="7" t="n">
        <x:v>14000</x:v>
      </x:c>
      <x:c r="D18" s="7" t="n">
        <x:f>B18-C18</x:f>
        <x:v>-12000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66700</x:v>
      </x:c>
      <x:c r="C19" s="7" t="n">
        <x:v>50800</x:v>
      </x:c>
      <x:c r="D19" s="7" t="n">
        <x:f>B19-C19</x:f>
        <x:v>15900</x:v>
      </x:c>
      <x:c r="E19" s="12" t="n">
        <x:v>608</x:v>
      </x:c>
      <x:c r="F19" s="14" t="n">
        <x:f>E19/10</x:f>
        <x:v>60.8</x:v>
      </x:c>
    </x:row>
    <x:row r="20" ht="25" customHeight="1">
      <x:c r="A20" s="2" t="str">
        <x:v>2026-10-09_Night</x:v>
      </x:c>
      <x:c r="B20" s="7" t="n">
        <x:v>23100</x:v>
      </x:c>
      <x:c r="C20" s="7" t="n">
        <x:v>0</x:v>
      </x:c>
      <x:c r="D20" s="7" t="n">
        <x:f>B20-C20</x:f>
        <x:v>23100</x:v>
      </x:c>
      <x:c r="E20" s="12" t="n">
        <x:v>119</x:v>
      </x:c>
      <x:c r="F20" s="14" t="n">
        <x:f>E20/10</x:f>
        <x:v>11.9</x:v>
      </x:c>
    </x:row>
    <x:row r="21" ht="25" customHeight="1">
      <x:c r="A21" s="2" t="str">
        <x:v>2026-10-12_Night</x:v>
      </x:c>
      <x:c r="B21" s="7" t="n">
        <x:v>0</x:v>
      </x:c>
      <x:c r="C21" s="7" t="n">
        <x:v>16800</x:v>
      </x:c>
      <x:c r="D21" s="7" t="n">
        <x:f>B21-C21</x:f>
        <x:v>-16800</x:v>
      </x:c>
      <x:c r="E21" s="12" t="n">
        <x:v>119</x:v>
      </x:c>
      <x:c r="F21" s="14" t="n">
        <x:f>E21/10</x:f>
        <x:v>11.9</x:v>
      </x:c>
    </x:row>
    <x:row r="22" ht="25" customHeight="1">
      <x:c r="A22" s="2" t="str">
        <x:v>2026-10-13_Night</x:v>
      </x:c>
      <x:c r="B22" s="7" t="n">
        <x:v>0</x:v>
      </x:c>
      <x:c r="C22" s="7" t="n">
        <x:v>53000</x:v>
      </x:c>
      <x:c r="D22" s="7" t="n">
        <x:f>B22-C22</x:f>
        <x:v>-53000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14200</x:v>
      </x:c>
      <x:c r="C23" s="7" t="n">
        <x:v>33400</x:v>
      </x:c>
      <x:c r="D23" s="7" t="n">
        <x:f>B23-C23</x:f>
        <x:v>-19200</x:v>
      </x:c>
      <x:c r="E23" s="12" t="n">
        <x:v>191</x:v>
      </x:c>
      <x:c r="F23" s="14" t="n">
        <x:f>E23/10</x:f>
        <x:v>19.1</x:v>
      </x:c>
    </x:row>
    <x:row r="24" ht="25" customHeight="1">
      <x:c r="A24" s="2" t="str">
        <x:v>2026-10-15_Night</x:v>
      </x:c>
      <x:c r="B24" s="7" t="n">
        <x:v>22700</x:v>
      </x:c>
      <x:c r="C24" s="7" t="n">
        <x:v>51000</x:v>
      </x:c>
      <x:c r="D24" s="7" t="n">
        <x:f>B24-C24</x:f>
        <x:v>-28300</x:v>
      </x:c>
      <x:c r="E24" s="12" t="n">
        <x:v>123</x:v>
      </x:c>
      <x:c r="F24" s="14" t="n">
        <x:f>E24/10</x:f>
        <x:v>12.3</x:v>
      </x:c>
    </x:row>
    <x:row r="25" ht="25" customHeight="1">
      <x:c r="A25" s="2" t="str">
        <x:v>2026-10-16_Night</x:v>
      </x:c>
      <x:c r="B25" s="7" t="n">
        <x:v>58000</x:v>
      </x:c>
      <x:c r="C25" s="7" t="n">
        <x:v>194500</x:v>
      </x:c>
      <x:c r="D25" s="7" t="n">
        <x:f>B25-C25</x:f>
        <x:v>-136500</x:v>
      </x:c>
      <x:c r="E25" s="12" t="n">
        <x:v>507</x:v>
      </x:c>
      <x:c r="F25" s="14" t="n">
        <x:f>E25/10</x:f>
        <x:v>50.7</x:v>
      </x:c>
    </x:row>
    <x:row r="26" ht="25" customHeight="1">
      <x:c r="A26" s="2" t="str">
        <x:v>2026-10-19_Night</x:v>
      </x:c>
      <x:c r="B26" s="7" t="n">
        <x:v>30900</x:v>
      </x:c>
      <x:c r="C26" s="7" t="n">
        <x:v>107200</x:v>
      </x:c>
      <x:c r="D26" s="7" t="n">
        <x:f>B26-C26</x:f>
        <x:v>-76300</x:v>
      </x:c>
      <x:c r="E26" s="12" t="n">
        <x:v>375</x:v>
      </x:c>
      <x:c r="F26" s="14" t="n">
        <x:f>E26/10</x:f>
        <x:v>37.5</x:v>
      </x:c>
    </x:row>
    <x:row r="27" ht="25" customHeight="1">
      <x:c r="A27" s="2" t="str">
        <x:v>2026-10-20_Night</x:v>
      </x:c>
      <x:c r="B27" s="7" t="n">
        <x:v>27600</x:v>
      </x:c>
      <x:c r="C27" s="7" t="n">
        <x:v>34000</x:v>
      </x:c>
      <x:c r="D27" s="7" t="n">
        <x:f>B27-C27</x:f>
        <x:v>-6400</x:v>
      </x:c>
      <x:c r="E27" s="12" t="n">
        <x:v>181</x:v>
      </x:c>
      <x:c r="F27" s="14" t="n">
        <x:f>E27/10</x:f>
        <x:v>18.1</x:v>
      </x:c>
    </x:row>
    <x:row r="28" ht="25" customHeight="1">
      <x:c r="A28" s="2" t="str">
        <x:v>2026-10-21_Night</x:v>
      </x:c>
      <x:c r="B28" s="7" t="n">
        <x:v>50600</x:v>
      </x:c>
      <x:c r="C28" s="7" t="n">
        <x:v>2200</x:v>
      </x:c>
      <x:c r="D28" s="7" t="n">
        <x:f>B28-C28</x:f>
        <x:v>48400</x:v>
      </x:c>
      <x:c r="E28" s="12" t="n">
        <x:v>301</x:v>
      </x:c>
      <x:c r="F28" s="14" t="n">
        <x:f>E28/10</x:f>
        <x:v>30.1</x:v>
      </x:c>
    </x:row>
    <x:row r="29" ht="25" customHeight="1">
      <x:c r="A29" s="2" t="str">
        <x:v>2026-10-22_Night</x:v>
      </x:c>
      <x:c r="B29" s="7" t="n">
        <x:v>21000</x:v>
      </x:c>
      <x:c r="C29" s="7" t="n">
        <x:v>44400</x:v>
      </x:c>
      <x:c r="D29" s="7" t="n">
        <x:f>B29-C29</x:f>
        <x:v>-23400</x:v>
      </x:c>
      <x:c r="E29" s="12" t="n">
        <x:v>113</x:v>
      </x:c>
      <x:c r="F29" s="14" t="n">
        <x:f>E29/10</x:f>
        <x:v>11.3</x:v>
      </x:c>
    </x:row>
    <x:row r="30" ht="25" customHeight="1">
      <x:c r="A30" s="2" t="str">
        <x:v>2026-10-23_Night</x:v>
      </x:c>
      <x:c r="B30" s="7" t="n">
        <x:v>62000</x:v>
      </x:c>
      <x:c r="C30" s="7" t="n">
        <x:v>38000</x:v>
      </x:c>
      <x:c r="D30" s="7" t="n">
        <x:f>B30-C30</x:f>
        <x:v>24000</x:v>
      </x:c>
      <x:c r="E30" s="12" t="n">
        <x:v>235</x:v>
      </x:c>
      <x:c r="F30" s="14" t="n">
        <x:f>E30/10</x:f>
        <x:v>23.5</x:v>
      </x:c>
    </x:row>
    <x:row r="31" ht="25" customHeight="1">
      <x:c r="A31" s="2" t="str">
        <x:v>2026-10-26_Night</x:v>
      </x:c>
      <x:c r="B31" s="7" t="n">
        <x:v>58700</x:v>
      </x:c>
      <x:c r="C31" s="7" t="n">
        <x:v>74200</x:v>
      </x:c>
      <x:c r="D31" s="7" t="n">
        <x:f>B31-C31</x:f>
        <x:v>-15500</x:v>
      </x:c>
      <x:c r="E31" s="12" t="n">
        <x:v>328</x:v>
      </x:c>
      <x:c r="F31" s="14" t="n">
        <x:f>E31/10</x:f>
        <x:v>32.8</x:v>
      </x:c>
    </x:row>
    <x:row r="32" ht="25" customHeight="1">
      <x:c r="A32" s="2" t="str">
        <x:v>2026-10-27_Night</x:v>
      </x:c>
      <x:c r="B32" s="7" t="n">
        <x:v>5000</x:v>
      </x:c>
      <x:c r="C32" s="7" t="n">
        <x:v>14400</x:v>
      </x:c>
      <x:c r="D32" s="7" t="n">
        <x:f>B32-C32</x:f>
        <x:v>-9400</x:v>
      </x:c>
      <x:c r="E32" s="12" t="n">
        <x:v>32</x:v>
      </x:c>
      <x:c r="F32" s="14" t="n">
        <x:f>E32/10</x:f>
        <x:v>3.2</x:v>
      </x:c>
    </x:row>
    <x:row r="33" ht="25" customHeight="1">
      <x:c r="A33" s="10" t="str">
        <x:v>合計</x:v>
      </x:c>
      <x:c r="B33" s="11" t="n">
        <x:f>SUM(B6:B32)</x:f>
        <x:v>792900</x:v>
      </x:c>
      <x:c r="C33" s="11" t="n">
        <x:f>SUM(C6:C32)</x:f>
        <x:v>1176600</x:v>
      </x:c>
      <x:c r="D33" s="11" t="n">
        <x:f>B33-C33</x:f>
        <x:v>-383700</x:v>
      </x:c>
      <x:c r="E33" s="13" t="n">
        <x:f>SUM(E6:E32)</x:f>
        <x:v>5542</x:v>
      </x:c>
      <x:c r="F33" s="15" t="n">
        <x:f>E33/10</x:f>
        <x:v>554.2</x:v>
      </x:c>
    </x:row>
  </x:sheetData>
  <x:mergeCells>
    <x:mergeCell ref="A2:F2"/>
    <x:mergeCell ref="A3:F3"/>
    <x:mergeCell ref="A4:F4"/>
  </x:mergeCells>
  <x:conditionalFormatting sqref="D6:D32">
    <x:cfRule type="cellIs" dxfId="11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9bfd9d7bfbc4ac5"/>
  </x:tableParts>
</x:worksheet>
</file>

<file path=xl/worksheets/sheet113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NK225_U168_23　米国後の損益</x:v>
      </x:c>
      <x:c r="B2" s="2"/>
      <x:c r="C2" s="2"/>
      <x:c r="D2" s="2"/>
      <x:c r="E2" s="2"/>
      <x:c r="F2" s="2"/>
    </x:row>
    <x:row r="3" ht="38" customHeight="1">
      <x:c r="A3" s="5" t="str">
        <x:v>固定20円追尾で方向再判断3回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13300</x:v>
      </x:c>
      <x:c r="C6" s="7" t="n">
        <x:v>0</x:v>
      </x:c>
      <x:c r="D6" s="7" t="n">
        <x:f>B6-C6</x:f>
        <x:v>13300</x:v>
      </x:c>
      <x:c r="E6" s="12" t="n">
        <x:v>149</x:v>
      </x:c>
      <x:c r="F6" s="14" t="n">
        <x:f>E6/10</x:f>
        <x:v>14.9</x:v>
      </x:c>
    </x:row>
    <x:row r="7" ht="25" customHeight="1">
      <x:c r="A7" s="2" t="str">
        <x:v>2026-09-22_Night</x:v>
      </x:c>
      <x:c r="B7" s="7" t="n">
        <x:v>18300</x:v>
      </x:c>
      <x:c r="C7" s="7" t="n">
        <x:v>0</x:v>
      </x:c>
      <x:c r="D7" s="7" t="n">
        <x:f>B7-C7</x:f>
        <x:v>18300</x:v>
      </x:c>
      <x:c r="E7" s="12" t="n">
        <x:v>166</x:v>
      </x:c>
      <x:c r="F7" s="14" t="n">
        <x:f>E7/10</x:f>
        <x:v>16.6</x:v>
      </x:c>
    </x:row>
    <x:row r="8" ht="25" customHeight="1">
      <x:c r="A8" s="2" t="str">
        <x:v>2026-09-23_Night</x:v>
      </x:c>
      <x:c r="B8" s="7" t="n">
        <x:v>26900</x:v>
      </x:c>
      <x:c r="C8" s="7" t="n">
        <x:v>26400</x:v>
      </x:c>
      <x:c r="D8" s="7" t="n">
        <x:f>B8-C8</x:f>
        <x:v>500</x:v>
      </x:c>
      <x:c r="E8" s="12" t="n">
        <x:v>147</x:v>
      </x:c>
      <x:c r="F8" s="14" t="n">
        <x:f>E8/10</x:f>
        <x:v>14.7</x:v>
      </x:c>
    </x:row>
    <x:row r="9" ht="25" customHeight="1">
      <x:c r="A9" s="2" t="str">
        <x:v>2026-09-24_Night</x:v>
      </x:c>
      <x:c r="B9" s="7" t="n">
        <x:v>4000</x:v>
      </x:c>
      <x:c r="C9" s="7" t="n">
        <x:v>7200</x:v>
      </x:c>
      <x:c r="D9" s="7" t="n">
        <x:f>B9-C9</x:f>
        <x:v>-3200</x:v>
      </x:c>
      <x:c r="E9" s="12" t="n">
        <x:v>36</x:v>
      </x:c>
      <x:c r="F9" s="14" t="n">
        <x:f>E9/10</x:f>
        <x:v>3.6</x:v>
      </x:c>
    </x:row>
    <x:row r="10" ht="25" customHeight="1">
      <x:c r="A10" s="2" t="str">
        <x:v>2026-09-25_Night</x:v>
      </x:c>
      <x:c r="B10" s="7" t="n">
        <x:v>24500</x:v>
      </x:c>
      <x:c r="C10" s="7" t="n">
        <x:v>0</x:v>
      </x:c>
      <x:c r="D10" s="7" t="n">
        <x:f>B10-C10</x:f>
        <x:v>24500</x:v>
      </x:c>
      <x:c r="E10" s="12" t="n">
        <x:v>155</x:v>
      </x:c>
      <x:c r="F10" s="14" t="n">
        <x:f>E10/10</x:f>
        <x:v>15.5</x:v>
      </x:c>
    </x:row>
    <x:row r="11" ht="25" customHeight="1">
      <x:c r="A11" s="2" t="str">
        <x:v>2026-09-28_Night</x:v>
      </x:c>
      <x:c r="B11" s="7" t="n">
        <x:v>15200</x:v>
      </x:c>
      <x:c r="C11" s="7" t="n">
        <x:v>47000</x:v>
      </x:c>
      <x:c r="D11" s="7" t="n">
        <x:f>B11-C11</x:f>
        <x:v>-31800</x:v>
      </x:c>
      <x:c r="E11" s="12" t="n">
        <x:v>113</x:v>
      </x:c>
      <x:c r="F11" s="14" t="n">
        <x:f>E11/10</x:f>
        <x:v>11.3</x:v>
      </x:c>
    </x:row>
    <x:row r="12" ht="25" customHeight="1">
      <x:c r="A12" s="2" t="str">
        <x:v>2026-09-29_Night</x:v>
      </x:c>
      <x:c r="B12" s="7" t="n">
        <x:v>13400</x:v>
      </x:c>
      <x:c r="C12" s="7" t="n">
        <x:v>91200</x:v>
      </x:c>
      <x:c r="D12" s="7" t="n">
        <x:f>B12-C12</x:f>
        <x:v>-77800</x:v>
      </x:c>
      <x:c r="E12" s="12" t="n">
        <x:v>236</x:v>
      </x:c>
      <x:c r="F12" s="14" t="n">
        <x:f>E12/10</x:f>
        <x:v>23.6</x:v>
      </x:c>
    </x:row>
    <x:row r="13" ht="25" customHeight="1">
      <x:c r="A13" s="2" t="str">
        <x:v>2026-09-30_Night</x:v>
      </x:c>
      <x:c r="B13" s="7" t="n">
        <x:v>3000</x:v>
      </x:c>
      <x:c r="C13" s="7" t="n">
        <x:v>43500</x:v>
      </x:c>
      <x:c r="D13" s="7" t="n">
        <x:f>B13-C13</x:f>
        <x:v>-40500</x:v>
      </x:c>
      <x:c r="E13" s="12" t="n">
        <x:v>121</x:v>
      </x:c>
      <x:c r="F13" s="14" t="n">
        <x:f>E13/10</x:f>
        <x:v>12.1</x:v>
      </x:c>
    </x:row>
    <x:row r="14" ht="25" customHeight="1">
      <x:c r="A14" s="2" t="str">
        <x:v>2026-10-01_Night</x:v>
      </x:c>
      <x:c r="B14" s="7" t="n">
        <x:v>51300</x:v>
      </x:c>
      <x:c r="C14" s="7" t="n">
        <x:v>54400</x:v>
      </x:c>
      <x:c r="D14" s="7" t="n">
        <x:f>B14-C14</x:f>
        <x:v>-3100</x:v>
      </x:c>
      <x:c r="E14" s="12" t="n">
        <x:v>249</x:v>
      </x:c>
      <x:c r="F14" s="14" t="n">
        <x:f>E14/10</x:f>
        <x:v>24.9</x:v>
      </x:c>
    </x:row>
    <x:row r="15" ht="25" customHeight="1">
      <x:c r="A15" s="2" t="str">
        <x:v>2026-10-02_Night</x:v>
      </x:c>
      <x:c r="B15" s="7" t="n">
        <x:v>105100</x:v>
      </x:c>
      <x:c r="C15" s="7" t="n">
        <x:v>87600</x:v>
      </x:c>
      <x:c r="D15" s="7" t="n">
        <x:f>B15-C15</x:f>
        <x:v>17500</x:v>
      </x:c>
      <x:c r="E15" s="12" t="n">
        <x:v>567</x:v>
      </x:c>
      <x:c r="F15" s="14" t="n">
        <x:f>E15/10</x:f>
        <x:v>56.7</x:v>
      </x:c>
    </x:row>
    <x:row r="16" ht="25" customHeight="1">
      <x:c r="A16" s="2" t="str">
        <x:v>2026-10-05_Night</x:v>
      </x:c>
      <x:c r="B16" s="7" t="n">
        <x:v>22400</x:v>
      </x:c>
      <x:c r="C16" s="7" t="n">
        <x:v>68500</x:v>
      </x:c>
      <x:c r="D16" s="7" t="n">
        <x:f>B16-C16</x:f>
        <x:v>-46100</x:v>
      </x:c>
      <x:c r="E16" s="12" t="n">
        <x:v>304</x:v>
      </x:c>
      <x:c r="F16" s="14" t="n">
        <x:f>E16/10</x:f>
        <x:v>30.4</x:v>
      </x:c>
    </x:row>
    <x:row r="17" ht="25" customHeight="1">
      <x:c r="A17" s="2" t="str">
        <x:v>2026-10-06_Night</x:v>
      </x:c>
      <x:c r="B17" s="7" t="n">
        <x:v>6000</x:v>
      </x:c>
      <x:c r="C17" s="7" t="n">
        <x:v>46800</x:v>
      </x:c>
      <x:c r="D17" s="7" t="n">
        <x:f>B17-C17</x:f>
        <x:v>-40800</x:v>
      </x:c>
      <x:c r="E17" s="12" t="n">
        <x:v>121</x:v>
      </x:c>
      <x:c r="F17" s="14" t="n">
        <x:f>E17/10</x:f>
        <x:v>12.1</x:v>
      </x:c>
    </x:row>
    <x:row r="18" ht="25" customHeight="1">
      <x:c r="A18" s="2" t="str">
        <x:v>2026-10-07_Night</x:v>
      </x:c>
      <x:c r="B18" s="7" t="n">
        <x:v>4000</x:v>
      </x:c>
      <x:c r="C18" s="7" t="n">
        <x:v>12000</x:v>
      </x:c>
      <x:c r="D18" s="7" t="n">
        <x:f>B18-C18</x:f>
        <x:v>-8000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67900</x:v>
      </x:c>
      <x:c r="C19" s="7" t="n">
        <x:v>58000</x:v>
      </x:c>
      <x:c r="D19" s="7" t="n">
        <x:f>B19-C19</x:f>
        <x:v>9900</x:v>
      </x:c>
      <x:c r="E19" s="12" t="n">
        <x:v>637</x:v>
      </x:c>
      <x:c r="F19" s="14" t="n">
        <x:f>E19/10</x:f>
        <x:v>63.7</x:v>
      </x:c>
    </x:row>
    <x:row r="20" ht="25" customHeight="1">
      <x:c r="A20" s="2" t="str">
        <x:v>2026-10-09_Night</x:v>
      </x:c>
      <x:c r="B20" s="7" t="n">
        <x:v>15500</x:v>
      </x:c>
      <x:c r="C20" s="7" t="n">
        <x:v>26400</x:v>
      </x:c>
      <x:c r="D20" s="7" t="n">
        <x:f>B20-C20</x:f>
        <x:v>-10900</x:v>
      </x:c>
      <x:c r="E20" s="12" t="n">
        <x:v>127</x:v>
      </x:c>
      <x:c r="F20" s="14" t="n">
        <x:f>E20/10</x:f>
        <x:v>12.7</x:v>
      </x:c>
    </x:row>
    <x:row r="21" ht="25" customHeight="1">
      <x:c r="A21" s="2" t="str">
        <x:v>2026-10-12_Night</x:v>
      </x:c>
      <x:c r="B21" s="7" t="n">
        <x:v>0</x:v>
      </x:c>
      <x:c r="C21" s="7" t="n">
        <x:v>16800</x:v>
      </x:c>
      <x:c r="D21" s="7" t="n">
        <x:f>B21-C21</x:f>
        <x:v>-16800</x:v>
      </x:c>
      <x:c r="E21" s="12" t="n">
        <x:v>119</x:v>
      </x:c>
      <x:c r="F21" s="14" t="n">
        <x:f>E21/10</x:f>
        <x:v>11.9</x:v>
      </x:c>
    </x:row>
    <x:row r="22" ht="25" customHeight="1">
      <x:c r="A22" s="2" t="str">
        <x:v>2026-10-13_Night</x:v>
      </x:c>
      <x:c r="B22" s="7" t="n">
        <x:v>15000</x:v>
      </x:c>
      <x:c r="C22" s="7" t="n">
        <x:v>0</x:v>
      </x:c>
      <x:c r="D22" s="7" t="n">
        <x:f>B22-C22</x:f>
        <x:v>15000</x:v>
      </x:c>
      <x:c r="E22" s="12" t="n">
        <x:v>162</x:v>
      </x:c>
      <x:c r="F22" s="14" t="n">
        <x:f>E22/10</x:f>
        <x:v>16.2</x:v>
      </x:c>
    </x:row>
    <x:row r="23" ht="25" customHeight="1">
      <x:c r="A23" s="2" t="str">
        <x:v>2026-10-14_Night</x:v>
      </x:c>
      <x:c r="B23" s="7" t="n">
        <x:v>12500</x:v>
      </x:c>
      <x:c r="C23" s="7" t="n">
        <x:v>70800</x:v>
      </x:c>
      <x:c r="D23" s="7" t="n">
        <x:f>B23-C23</x:f>
        <x:v>-58300</x:v>
      </x:c>
      <x:c r="E23" s="12" t="n">
        <x:v>188</x:v>
      </x:c>
      <x:c r="F23" s="14" t="n">
        <x:f>E23/10</x:f>
        <x:v>18.8</x:v>
      </x:c>
    </x:row>
    <x:row r="24" ht="25" customHeight="1">
      <x:c r="A24" s="2" t="str">
        <x:v>2026-10-15_Night</x:v>
      </x:c>
      <x:c r="B24" s="7" t="n">
        <x:v>17300</x:v>
      </x:c>
      <x:c r="C24" s="7" t="n">
        <x:v>25400</x:v>
      </x:c>
      <x:c r="D24" s="7" t="n">
        <x:f>B24-C24</x:f>
        <x:v>-8100</x:v>
      </x:c>
      <x:c r="E24" s="12" t="n">
        <x:v>130</x:v>
      </x:c>
      <x:c r="F24" s="14" t="n">
        <x:f>E24/10</x:f>
        <x:v>13</x:v>
      </x:c>
    </x:row>
    <x:row r="25" ht="25" customHeight="1">
      <x:c r="A25" s="2" t="str">
        <x:v>2026-10-16_Night</x:v>
      </x:c>
      <x:c r="B25" s="7" t="n">
        <x:v>69000</x:v>
      </x:c>
      <x:c r="C25" s="7" t="n">
        <x:v>165000</x:v>
      </x:c>
      <x:c r="D25" s="7" t="n">
        <x:f>B25-C25</x:f>
        <x:v>-96000</x:v>
      </x:c>
      <x:c r="E25" s="12" t="n">
        <x:v>541</x:v>
      </x:c>
      <x:c r="F25" s="14" t="n">
        <x:f>E25/10</x:f>
        <x:v>54.1</x:v>
      </x:c>
    </x:row>
    <x:row r="26" ht="25" customHeight="1">
      <x:c r="A26" s="2" t="str">
        <x:v>2026-10-19_Night</x:v>
      </x:c>
      <x:c r="B26" s="7" t="n">
        <x:v>46200</x:v>
      </x:c>
      <x:c r="C26" s="7" t="n">
        <x:v>82800</x:v>
      </x:c>
      <x:c r="D26" s="7" t="n">
        <x:f>B26-C26</x:f>
        <x:v>-36600</x:v>
      </x:c>
      <x:c r="E26" s="12" t="n">
        <x:v>427</x:v>
      </x:c>
      <x:c r="F26" s="14" t="n">
        <x:f>E26/10</x:f>
        <x:v>42.7</x:v>
      </x:c>
    </x:row>
    <x:row r="27" ht="25" customHeight="1">
      <x:c r="A27" s="2" t="str">
        <x:v>2026-10-20_Night</x:v>
      </x:c>
      <x:c r="B27" s="7" t="n">
        <x:v>32500</x:v>
      </x:c>
      <x:c r="C27" s="7" t="n">
        <x:v>12000</x:v>
      </x:c>
      <x:c r="D27" s="7" t="n">
        <x:f>B27-C27</x:f>
        <x:v>20500</x:v>
      </x:c>
      <x:c r="E27" s="12" t="n">
        <x:v>230</x:v>
      </x:c>
      <x:c r="F27" s="14" t="n">
        <x:f>E27/10</x:f>
        <x:v>23</x:v>
      </x:c>
    </x:row>
    <x:row r="28" ht="25" customHeight="1">
      <x:c r="A28" s="2" t="str">
        <x:v>2026-10-21_Night</x:v>
      </x:c>
      <x:c r="B28" s="7" t="n">
        <x:v>50700</x:v>
      </x:c>
      <x:c r="C28" s="7" t="n">
        <x:v>2200</x:v>
      </x:c>
      <x:c r="D28" s="7" t="n">
        <x:f>B28-C28</x:f>
        <x:v>48500</x:v>
      </x:c>
      <x:c r="E28" s="12" t="n">
        <x:v>313</x:v>
      </x:c>
      <x:c r="F28" s="14" t="n">
        <x:f>E28/10</x:f>
        <x:v>31.3</x:v>
      </x:c>
    </x:row>
    <x:row r="29" ht="25" customHeight="1">
      <x:c r="A29" s="2" t="str">
        <x:v>2026-10-22_Night</x:v>
      </x:c>
      <x:c r="B29" s="7" t="n">
        <x:v>24400</x:v>
      </x:c>
      <x:c r="C29" s="7" t="n">
        <x:v>39600</x:v>
      </x:c>
      <x:c r="D29" s="7" t="n">
        <x:f>B29-C29</x:f>
        <x:v>-15200</x:v>
      </x:c>
      <x:c r="E29" s="12" t="n">
        <x:v>119</x:v>
      </x:c>
      <x:c r="F29" s="14" t="n">
        <x:f>E29/10</x:f>
        <x:v>11.9</x:v>
      </x:c>
    </x:row>
    <x:row r="30" ht="25" customHeight="1">
      <x:c r="A30" s="2" t="str">
        <x:v>2026-10-23_Night</x:v>
      </x:c>
      <x:c r="B30" s="7" t="n">
        <x:v>31100</x:v>
      </x:c>
      <x:c r="C30" s="7" t="n">
        <x:v>55000</x:v>
      </x:c>
      <x:c r="D30" s="7" t="n">
        <x:f>B30-C30</x:f>
        <x:v>-23900</x:v>
      </x:c>
      <x:c r="E30" s="12" t="n">
        <x:v>206</x:v>
      </x:c>
      <x:c r="F30" s="14" t="n">
        <x:f>E30/10</x:f>
        <x:v>20.6</x:v>
      </x:c>
    </x:row>
    <x:row r="31" ht="25" customHeight="1">
      <x:c r="A31" s="2" t="str">
        <x:v>2026-10-26_Night</x:v>
      </x:c>
      <x:c r="B31" s="7" t="n">
        <x:v>40500</x:v>
      </x:c>
      <x:c r="C31" s="7" t="n">
        <x:v>70000</x:v>
      </x:c>
      <x:c r="D31" s="7" t="n">
        <x:f>B31-C31</x:f>
        <x:v>-29500</x:v>
      </x:c>
      <x:c r="E31" s="12" t="n">
        <x:v>336</x:v>
      </x:c>
      <x:c r="F31" s="14" t="n">
        <x:f>E31/10</x:f>
        <x:v>33.6</x:v>
      </x:c>
    </x:row>
    <x:row r="32" ht="25" customHeight="1">
      <x:c r="A32" s="2" t="str">
        <x:v>2026-10-27_Night</x:v>
      </x:c>
      <x:c r="B32" s="7" t="n">
        <x:v>6800</x:v>
      </x:c>
      <x:c r="C32" s="7" t="n">
        <x:v>7200</x:v>
      </x:c>
      <x:c r="D32" s="7" t="n">
        <x:f>B32-C32</x:f>
        <x:v>-400</x:v>
      </x:c>
      <x:c r="E32" s="12" t="n">
        <x:v>42</x:v>
      </x:c>
      <x:c r="F32" s="14" t="n">
        <x:f>E32/10</x:f>
        <x:v>4.2</x:v>
      </x:c>
    </x:row>
    <x:row r="33" ht="25" customHeight="1">
      <x:c r="A33" s="10" t="str">
        <x:v>合計</x:v>
      </x:c>
      <x:c r="B33" s="11" t="n">
        <x:f>SUM(B6:B32)</x:f>
        <x:v>736800</x:v>
      </x:c>
      <x:c r="C33" s="11" t="n">
        <x:f>SUM(C6:C32)</x:f>
        <x:v>1115800</x:v>
      </x:c>
      <x:c r="D33" s="11" t="n">
        <x:f>B33-C33</x:f>
        <x:v>-379000</x:v>
      </x:c>
      <x:c r="E33" s="13" t="n">
        <x:f>SUM(E6:E32)</x:f>
        <x:v>5961</x:v>
      </x:c>
      <x:c r="F33" s="15" t="n">
        <x:f>E33/10</x:f>
        <x:v>596.1</x:v>
      </x:c>
    </x:row>
  </x:sheetData>
  <x:mergeCells>
    <x:mergeCell ref="A2:F2"/>
    <x:mergeCell ref="A3:F3"/>
    <x:mergeCell ref="A4:F4"/>
  </x:mergeCells>
  <x:conditionalFormatting sqref="D6:D32">
    <x:cfRule type="cellIs" dxfId="11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146f7851e6e4c9f"/>
  </x:tableParts>
</x:worksheet>
</file>

<file path=xl/worksheets/sheet114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NK225_U168_24　米国後の損益</x:v>
      </x:c>
      <x:c r="B2" s="2"/>
      <x:c r="C2" s="2"/>
      <x:c r="D2" s="2"/>
      <x:c r="E2" s="2"/>
      <x:c r="F2" s="2"/>
    </x:row>
    <x:row r="3" ht="38" customHeight="1">
      <x:c r="A3" s="5" t="str">
        <x:v>8割回収後の残玉追尾と方向再判断3回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7300</x:v>
      </x:c>
      <x:c r="C6" s="7" t="n">
        <x:v>0</x:v>
      </x:c>
      <x:c r="D6" s="7" t="n">
        <x:f>B6-C6</x:f>
        <x:v>7300</x:v>
      </x:c>
      <x:c r="E6" s="12" t="n">
        <x:v>63</x:v>
      </x:c>
      <x:c r="F6" s="14" t="n">
        <x:f>E6/10</x:f>
        <x:v>6.3</x:v>
      </x:c>
    </x:row>
    <x:row r="7" ht="25" customHeight="1">
      <x:c r="A7" s="2" t="str">
        <x:v>2026-09-22_Night</x:v>
      </x:c>
      <x:c r="B7" s="7" t="n">
        <x:v>10600</x:v>
      </x:c>
      <x:c r="C7" s="7" t="n">
        <x:v>0</x:v>
      </x:c>
      <x:c r="D7" s="7" t="n">
        <x:f>B7-C7</x:f>
        <x:v>10600</x:v>
      </x:c>
      <x:c r="E7" s="12" t="n">
        <x:v>62</x:v>
      </x:c>
      <x:c r="F7" s="14" t="n">
        <x:f>E7/10</x:f>
        <x:v>6.2</x:v>
      </x:c>
    </x:row>
    <x:row r="8" ht="25" customHeight="1">
      <x:c r="A8" s="2" t="str">
        <x:v>2026-09-23_Night</x:v>
      </x:c>
      <x:c r="B8" s="7" t="n">
        <x:v>26400</x:v>
      </x:c>
      <x:c r="C8" s="7" t="n">
        <x:v>8400</x:v>
      </x:c>
      <x:c r="D8" s="7" t="n">
        <x:f>B8-C8</x:f>
        <x:v>18000</x:v>
      </x:c>
      <x:c r="E8" s="12" t="n">
        <x:v>80</x:v>
      </x:c>
      <x:c r="F8" s="14" t="n">
        <x:f>E8/10</x:f>
        <x:v>8</x:v>
      </x:c>
    </x:row>
    <x:row r="9" ht="25" customHeight="1">
      <x:c r="A9" s="2" t="str">
        <x:v>2026-09-24_Night</x:v>
      </x:c>
      <x:c r="B9" s="7" t="n">
        <x:v>5200</x:v>
      </x:c>
      <x:c r="C9" s="7" t="n">
        <x:v>1200</x:v>
      </x:c>
      <x:c r="D9" s="7" t="n">
        <x:f>B9-C9</x:f>
        <x:v>4000</x:v>
      </x:c>
      <x:c r="E9" s="12" t="n">
        <x:v>21</x:v>
      </x:c>
      <x:c r="F9" s="14" t="n">
        <x:f>E9/10</x:f>
        <x:v>2.1</x:v>
      </x:c>
    </x:row>
    <x:row r="10" ht="25" customHeight="1">
      <x:c r="A10" s="2" t="str">
        <x:v>2026-09-25_Night</x:v>
      </x:c>
      <x:c r="B10" s="7" t="n">
        <x:v>11400</x:v>
      </x:c>
      <x:c r="C10" s="7" t="n">
        <x:v>2300</x:v>
      </x:c>
      <x:c r="D10" s="7" t="n">
        <x:f>B10-C10</x:f>
        <x:v>9100</x:v>
      </x:c>
      <x:c r="E10" s="12" t="n">
        <x:v>69</x:v>
      </x:c>
      <x:c r="F10" s="14" t="n">
        <x:f>E10/10</x:f>
        <x:v>6.9</x:v>
      </x:c>
    </x:row>
    <x:row r="11" ht="25" customHeight="1">
      <x:c r="A11" s="2" t="str">
        <x:v>2026-09-28_Night</x:v>
      </x:c>
      <x:c r="B11" s="7" t="n">
        <x:v>4300</x:v>
      </x:c>
      <x:c r="C11" s="7" t="n">
        <x:v>47000</x:v>
      </x:c>
      <x:c r="D11" s="7" t="n">
        <x:f>B11-C11</x:f>
        <x:v>-42700</x:v>
      </x:c>
      <x:c r="E11" s="12" t="n">
        <x:v>65</x:v>
      </x:c>
      <x:c r="F11" s="14" t="n">
        <x:f>E11/10</x:f>
        <x:v>6.5</x:v>
      </x:c>
    </x:row>
    <x:row r="12" ht="25" customHeight="1">
      <x:c r="A12" s="2" t="str">
        <x:v>2026-09-29_Night</x:v>
      </x:c>
      <x:c r="B12" s="7" t="n">
        <x:v>19600</x:v>
      </x:c>
      <x:c r="C12" s="7" t="n">
        <x:v>21800</x:v>
      </x:c>
      <x:c r="D12" s="7" t="n">
        <x:f>B12-C12</x:f>
        <x:v>-2200</x:v>
      </x:c>
      <x:c r="E12" s="12" t="n">
        <x:v>161</x:v>
      </x:c>
      <x:c r="F12" s="14" t="n">
        <x:f>E12/10</x:f>
        <x:v>16.1</x:v>
      </x:c>
    </x:row>
    <x:row r="13" ht="25" customHeight="1">
      <x:c r="A13" s="2" t="str">
        <x:v>2026-09-30_Night</x:v>
      </x:c>
      <x:c r="B13" s="7" t="n">
        <x:v>11500</x:v>
      </x:c>
      <x:c r="C13" s="7" t="n">
        <x:v>9000</x:v>
      </x:c>
      <x:c r="D13" s="7" t="n">
        <x:f>B13-C13</x:f>
        <x:v>2500</x:v>
      </x:c>
      <x:c r="E13" s="12" t="n">
        <x:v>80</x:v>
      </x:c>
      <x:c r="F13" s="14" t="n">
        <x:f>E13/10</x:f>
        <x:v>8</x:v>
      </x:c>
    </x:row>
    <x:row r="14" ht="25" customHeight="1">
      <x:c r="A14" s="2" t="str">
        <x:v>2026-10-01_Night</x:v>
      </x:c>
      <x:c r="B14" s="7" t="n">
        <x:v>32000</x:v>
      </x:c>
      <x:c r="C14" s="7" t="n">
        <x:v>38800</x:v>
      </x:c>
      <x:c r="D14" s="7" t="n">
        <x:f>B14-C14</x:f>
        <x:v>-6800</x:v>
      </x:c>
      <x:c r="E14" s="12" t="n">
        <x:v>137</x:v>
      </x:c>
      <x:c r="F14" s="14" t="n">
        <x:f>E14/10</x:f>
        <x:v>13.7</x:v>
      </x:c>
    </x:row>
    <x:row r="15" ht="25" customHeight="1">
      <x:c r="A15" s="2" t="str">
        <x:v>2026-10-02_Night</x:v>
      </x:c>
      <x:c r="B15" s="7" t="n">
        <x:v>63200</x:v>
      </x:c>
      <x:c r="C15" s="7" t="n">
        <x:v>43200</x:v>
      </x:c>
      <x:c r="D15" s="7" t="n">
        <x:f>B15-C15</x:f>
        <x:v>20000</x:v>
      </x:c>
      <x:c r="E15" s="12" t="n">
        <x:v>321</x:v>
      </x:c>
      <x:c r="F15" s="14" t="n">
        <x:f>E15/10</x:f>
        <x:v>32.1</x:v>
      </x:c>
    </x:row>
    <x:row r="16" ht="25" customHeight="1">
      <x:c r="A16" s="2" t="str">
        <x:v>2026-10-05_Night</x:v>
      </x:c>
      <x:c r="B16" s="7" t="n">
        <x:v>25100</x:v>
      </x:c>
      <x:c r="C16" s="7" t="n">
        <x:v>22800</x:v>
      </x:c>
      <x:c r="D16" s="7" t="n">
        <x:f>B16-C16</x:f>
        <x:v>2300</x:v>
      </x:c>
      <x:c r="E16" s="12" t="n">
        <x:v>161</x:v>
      </x:c>
      <x:c r="F16" s="14" t="n">
        <x:f>E16/10</x:f>
        <x:v>16.1</x:v>
      </x:c>
    </x:row>
    <x:row r="17" ht="25" customHeight="1">
      <x:c r="A17" s="2" t="str">
        <x:v>2026-10-06_Night</x:v>
      </x:c>
      <x:c r="B17" s="7" t="n">
        <x:v>15000</x:v>
      </x:c>
      <x:c r="C17" s="7" t="n">
        <x:v>3600</x:v>
      </x:c>
      <x:c r="D17" s="7" t="n">
        <x:f>B17-C17</x:f>
        <x:v>11400</x:v>
      </x:c>
      <x:c r="E17" s="12" t="n">
        <x:v>85</x:v>
      </x:c>
      <x:c r="F17" s="14" t="n">
        <x:f>E17/10</x:f>
        <x:v>8.5</x:v>
      </x:c>
    </x:row>
    <x:row r="18" ht="25" customHeight="1">
      <x:c r="A18" s="2" t="str">
        <x:v>2026-10-07_Night</x:v>
      </x:c>
      <x:c r="B18" s="7" t="n">
        <x:v>2000</x:v>
      </x:c>
      <x:c r="C18" s="7" t="n">
        <x:v>12000</x:v>
      </x:c>
      <x:c r="D18" s="7" t="n">
        <x:f>B18-C18</x:f>
        <x:v>-10000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49800</x:v>
      </x:c>
      <x:c r="C19" s="7" t="n">
        <x:v>32500</x:v>
      </x:c>
      <x:c r="D19" s="7" t="n">
        <x:f>B19-C19</x:f>
        <x:v>17300</x:v>
      </x:c>
      <x:c r="E19" s="12" t="n">
        <x:v>330</x:v>
      </x:c>
      <x:c r="F19" s="14" t="n">
        <x:f>E19/10</x:f>
        <x:v>33</x:v>
      </x:c>
    </x:row>
    <x:row r="20" ht="25" customHeight="1">
      <x:c r="A20" s="2" t="str">
        <x:v>2026-10-09_Night</x:v>
      </x:c>
      <x:c r="B20" s="7" t="n">
        <x:v>9600</x:v>
      </x:c>
      <x:c r="C20" s="7" t="n">
        <x:v>0</x:v>
      </x:c>
      <x:c r="D20" s="7" t="n">
        <x:f>B20-C20</x:f>
        <x:v>9600</x:v>
      </x:c>
      <x:c r="E20" s="12" t="n">
        <x:v>58</x:v>
      </x:c>
      <x:c r="F20" s="14" t="n">
        <x:f>E20/10</x:f>
        <x:v>5.8</x:v>
      </x:c>
    </x:row>
    <x:row r="21" ht="25" customHeight="1">
      <x:c r="A21" s="2" t="str">
        <x:v>2026-10-12_Night</x:v>
      </x:c>
      <x:c r="B21" s="7" t="n">
        <x:v>10100</x:v>
      </x:c>
      <x:c r="C21" s="7" t="n">
        <x:v>0</x:v>
      </x:c>
      <x:c r="D21" s="7" t="n">
        <x:f>B21-C21</x:f>
        <x:v>10100</x:v>
      </x:c>
      <x:c r="E21" s="12" t="n">
        <x:v>58</x:v>
      </x:c>
      <x:c r="F21" s="14" t="n">
        <x:f>E21/10</x:f>
        <x:v>5.8</x:v>
      </x:c>
    </x:row>
    <x:row r="22" ht="25" customHeight="1">
      <x:c r="A22" s="2" t="str">
        <x:v>2026-10-13_Night</x:v>
      </x:c>
      <x:c r="B22" s="7" t="n">
        <x:v>12300</x:v>
      </x:c>
      <x:c r="C22" s="7" t="n">
        <x:v>1200</x:v>
      </x:c>
      <x:c r="D22" s="7" t="n">
        <x:f>B22-C22</x:f>
        <x:v>11100</x:v>
      </x:c>
      <x:c r="E22" s="12" t="n">
        <x:v>76</x:v>
      </x:c>
      <x:c r="F22" s="14" t="n">
        <x:f>E22/10</x:f>
        <x:v>7.6</x:v>
      </x:c>
    </x:row>
    <x:row r="23" ht="25" customHeight="1">
      <x:c r="A23" s="2" t="str">
        <x:v>2026-10-14_Night</x:v>
      </x:c>
      <x:c r="B23" s="7" t="n">
        <x:v>12700</x:v>
      </x:c>
      <x:c r="C23" s="7" t="n">
        <x:v>24000</x:v>
      </x:c>
      <x:c r="D23" s="7" t="n">
        <x:f>B23-C23</x:f>
        <x:v>-11300</x:v>
      </x:c>
      <x:c r="E23" s="12" t="n">
        <x:v>105</x:v>
      </x:c>
      <x:c r="F23" s="14" t="n">
        <x:f>E23/10</x:f>
        <x:v>10.5</x:v>
      </x:c>
    </x:row>
    <x:row r="24" ht="25" customHeight="1">
      <x:c r="A24" s="2" t="str">
        <x:v>2026-10-15_Night</x:v>
      </x:c>
      <x:c r="B24" s="7" t="n">
        <x:v>11400</x:v>
      </x:c>
      <x:c r="C24" s="7" t="n">
        <x:v>25300</x:v>
      </x:c>
      <x:c r="D24" s="7" t="n">
        <x:f>B24-C24</x:f>
        <x:v>-13900</x:v>
      </x:c>
      <x:c r="E24" s="12" t="n">
        <x:v>77</x:v>
      </x:c>
      <x:c r="F24" s="14" t="n">
        <x:f>E24/10</x:f>
        <x:v>7.7</x:v>
      </x:c>
    </x:row>
    <x:row r="25" ht="25" customHeight="1">
      <x:c r="A25" s="2" t="str">
        <x:v>2026-10-16_Night</x:v>
      </x:c>
      <x:c r="B25" s="7" t="n">
        <x:v>50700</x:v>
      </x:c>
      <x:c r="C25" s="7" t="n">
        <x:v>40200</x:v>
      </x:c>
      <x:c r="D25" s="7" t="n">
        <x:f>B25-C25</x:f>
        <x:v>10500</x:v>
      </x:c>
      <x:c r="E25" s="12" t="n">
        <x:v>308</x:v>
      </x:c>
      <x:c r="F25" s="14" t="n">
        <x:f>E25/10</x:f>
        <x:v>30.8</x:v>
      </x:c>
    </x:row>
    <x:row r="26" ht="25" customHeight="1">
      <x:c r="A26" s="2" t="str">
        <x:v>2026-10-19_Night</x:v>
      </x:c>
      <x:c r="B26" s="7" t="n">
        <x:v>29100</x:v>
      </x:c>
      <x:c r="C26" s="7" t="n">
        <x:v>69600</x:v>
      </x:c>
      <x:c r="D26" s="7" t="n">
        <x:f>B26-C26</x:f>
        <x:v>-40500</x:v>
      </x:c>
      <x:c r="E26" s="12" t="n">
        <x:v>233</x:v>
      </x:c>
      <x:c r="F26" s="14" t="n">
        <x:f>E26/10</x:f>
        <x:v>23.3</x:v>
      </x:c>
    </x:row>
    <x:row r="27" ht="25" customHeight="1">
      <x:c r="A27" s="2" t="str">
        <x:v>2026-10-20_Night</x:v>
      </x:c>
      <x:c r="B27" s="7" t="n">
        <x:v>19700</x:v>
      </x:c>
      <x:c r="C27" s="7" t="n">
        <x:v>4600</x:v>
      </x:c>
      <x:c r="D27" s="7" t="n">
        <x:f>B27-C27</x:f>
        <x:v>15100</x:v>
      </x:c>
      <x:c r="E27" s="12" t="n">
        <x:v>115</x:v>
      </x:c>
      <x:c r="F27" s="14" t="n">
        <x:f>E27/10</x:f>
        <x:v>11.5</x:v>
      </x:c>
    </x:row>
    <x:row r="28" ht="25" customHeight="1">
      <x:c r="A28" s="2" t="str">
        <x:v>2026-10-21_Night</x:v>
      </x:c>
      <x:c r="B28" s="7" t="n">
        <x:v>35200</x:v>
      </x:c>
      <x:c r="C28" s="7" t="n">
        <x:v>1100</x:v>
      </x:c>
      <x:c r="D28" s="7" t="n">
        <x:f>B28-C28</x:f>
        <x:v>34100</x:v>
      </x:c>
      <x:c r="E28" s="12" t="n">
        <x:v>143</x:v>
      </x:c>
      <x:c r="F28" s="14" t="n">
        <x:f>E28/10</x:f>
        <x:v>14.3</x:v>
      </x:c>
    </x:row>
    <x:row r="29" ht="25" customHeight="1">
      <x:c r="A29" s="2" t="str">
        <x:v>2026-10-22_Night</x:v>
      </x:c>
      <x:c r="B29" s="7" t="n">
        <x:v>14900</x:v>
      </x:c>
      <x:c r="C29" s="7" t="n">
        <x:v>7200</x:v>
      </x:c>
      <x:c r="D29" s="7" t="n">
        <x:f>B29-C29</x:f>
        <x:v>7700</x:v>
      </x:c>
      <x:c r="E29" s="12" t="n">
        <x:v>79</x:v>
      </x:c>
      <x:c r="F29" s="14" t="n">
        <x:f>E29/10</x:f>
        <x:v>7.9</x:v>
      </x:c>
    </x:row>
    <x:row r="30" ht="25" customHeight="1">
      <x:c r="A30" s="2" t="str">
        <x:v>2026-10-23_Night</x:v>
      </x:c>
      <x:c r="B30" s="7" t="n">
        <x:v>20500</x:v>
      </x:c>
      <x:c r="C30" s="7" t="n">
        <x:v>14300</x:v>
      </x:c>
      <x:c r="D30" s="7" t="n">
        <x:f>B30-C30</x:f>
        <x:v>6200</x:v>
      </x:c>
      <x:c r="E30" s="12" t="n">
        <x:v>126</x:v>
      </x:c>
      <x:c r="F30" s="14" t="n">
        <x:f>E30/10</x:f>
        <x:v>12.6</x:v>
      </x:c>
    </x:row>
    <x:row r="31" ht="25" customHeight="1">
      <x:c r="A31" s="2" t="str">
        <x:v>2026-10-26_Night</x:v>
      </x:c>
      <x:c r="B31" s="7" t="n">
        <x:v>26000</x:v>
      </x:c>
      <x:c r="C31" s="7" t="n">
        <x:v>53400</x:v>
      </x:c>
      <x:c r="D31" s="7" t="n">
        <x:f>B31-C31</x:f>
        <x:v>-27400</x:v>
      </x:c>
      <x:c r="E31" s="12" t="n">
        <x:v>185</x:v>
      </x:c>
      <x:c r="F31" s="14" t="n">
        <x:f>E31/10</x:f>
        <x:v>18.5</x:v>
      </x:c>
    </x:row>
    <x:row r="32" ht="25" customHeight="1">
      <x:c r="A32" s="2" t="str">
        <x:v>2026-10-27_Night</x:v>
      </x:c>
      <x:c r="B32" s="7" t="n">
        <x:v>4200</x:v>
      </x:c>
      <x:c r="C32" s="7" t="n">
        <x:v>2400</x:v>
      </x:c>
      <x:c r="D32" s="7" t="n">
        <x:f>B32-C32</x:f>
        <x:v>1800</x:v>
      </x:c>
      <x:c r="E32" s="12" t="n">
        <x:v>22</x:v>
      </x:c>
      <x:c r="F32" s="14" t="n">
        <x:f>E32/10</x:f>
        <x:v>2.2</x:v>
      </x:c>
    </x:row>
    <x:row r="33" ht="25" customHeight="1">
      <x:c r="A33" s="10" t="str">
        <x:v>合計</x:v>
      </x:c>
      <x:c r="B33" s="11" t="n">
        <x:f>SUM(B6:B32)</x:f>
        <x:v>539800</x:v>
      </x:c>
      <x:c r="C33" s="11" t="n">
        <x:f>SUM(C6:C32)</x:f>
        <x:v>485900</x:v>
      </x:c>
      <x:c r="D33" s="11" t="n">
        <x:f>B33-C33</x:f>
        <x:v>53900</x:v>
      </x:c>
      <x:c r="E33" s="13" t="n">
        <x:f>SUM(E6:E32)</x:f>
        <x:v>3240</x:v>
      </x:c>
      <x:c r="F33" s="15" t="n">
        <x:f>E33/10</x:f>
        <x:v>324</x:v>
      </x:c>
    </x:row>
  </x:sheetData>
  <x:mergeCells>
    <x:mergeCell ref="A2:F2"/>
    <x:mergeCell ref="A3:F3"/>
    <x:mergeCell ref="A4:F4"/>
  </x:mergeCells>
  <x:conditionalFormatting sqref="D6:D32">
    <x:cfRule type="cellIs" dxfId="11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9e812fc57454253"/>
  </x:tableParts>
</x:worksheet>
</file>

<file path=xl/worksheets/sheet115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NK225_U168_25　米国後の損益</x:v>
      </x:c>
      <x:c r="B2" s="2"/>
      <x:c r="C2" s="2"/>
      <x:c r="D2" s="2"/>
      <x:c r="E2" s="2"/>
      <x:c r="F2" s="2"/>
    </x:row>
    <x:row r="3" ht="38" customHeight="1">
      <x:c r="A3" s="5" t="str">
        <x:v>240円損切りと方向再判断3回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10000</x:v>
      </x:c>
      <x:c r="C6" s="7" t="n">
        <x:v>0</x:v>
      </x:c>
      <x:c r="D6" s="7" t="n">
        <x:f>B6-C6</x:f>
        <x:v>10000</x:v>
      </x:c>
      <x:c r="E6" s="12" t="n">
        <x:v>149</x:v>
      </x:c>
      <x:c r="F6" s="14" t="n">
        <x:f>E6/10</x:f>
        <x:v>14.9</x:v>
      </x:c>
    </x:row>
    <x:row r="7" ht="25" customHeight="1">
      <x:c r="A7" s="2" t="str">
        <x:v>2026-09-22_Night</x:v>
      </x:c>
      <x:c r="B7" s="7" t="n">
        <x:v>20500</x:v>
      </x:c>
      <x:c r="C7" s="7" t="n">
        <x:v>0</x:v>
      </x:c>
      <x:c r="D7" s="7" t="n">
        <x:f>B7-C7</x:f>
        <x:v>20500</x:v>
      </x:c>
      <x:c r="E7" s="12" t="n">
        <x:v>155</x:v>
      </x:c>
      <x:c r="F7" s="14" t="n">
        <x:f>E7/10</x:f>
        <x:v>15.5</x:v>
      </x:c>
    </x:row>
    <x:row r="8" ht="25" customHeight="1">
      <x:c r="A8" s="2" t="str">
        <x:v>2026-09-23_Night</x:v>
      </x:c>
      <x:c r="B8" s="7" t="n">
        <x:v>26500</x:v>
      </x:c>
      <x:c r="C8" s="7" t="n">
        <x:v>0</x:v>
      </x:c>
      <x:c r="D8" s="7" t="n">
        <x:f>B8-C8</x:f>
        <x:v>26500</x:v>
      </x:c>
      <x:c r="E8" s="12" t="n">
        <x:v>167</x:v>
      </x:c>
      <x:c r="F8" s="14" t="n">
        <x:f>E8/10</x:f>
        <x:v>16.7</x:v>
      </x:c>
    </x:row>
    <x:row r="9" ht="25" customHeight="1">
      <x:c r="A9" s="2" t="str">
        <x:v>2026-09-24_Night</x:v>
      </x:c>
      <x:c r="B9" s="7" t="n">
        <x:v>10000</x:v>
      </x:c>
      <x:c r="C9" s="7" t="n">
        <x:v>14400</x:v>
      </x:c>
      <x:c r="D9" s="7" t="n">
        <x:f>B9-C9</x:f>
        <x:v>-4400</x:v>
      </x:c>
      <x:c r="E9" s="12" t="n">
        <x:v>26</x:v>
      </x:c>
      <x:c r="F9" s="14" t="n">
        <x:f>E9/10</x:f>
        <x:v>2.6</x:v>
      </x:c>
    </x:row>
    <x:row r="10" ht="25" customHeight="1">
      <x:c r="A10" s="2" t="str">
        <x:v>2026-09-25_Night</x:v>
      </x:c>
      <x:c r="B10" s="7" t="n">
        <x:v>12400</x:v>
      </x:c>
      <x:c r="C10" s="7" t="n">
        <x:v>11000</x:v>
      </x:c>
      <x:c r="D10" s="7" t="n">
        <x:f>B10-C10</x:f>
        <x:v>1400</x:v>
      </x:c>
      <x:c r="E10" s="12" t="n">
        <x:v>139</x:v>
      </x:c>
      <x:c r="F10" s="14" t="n">
        <x:f>E10/10</x:f>
        <x:v>13.9</x:v>
      </x:c>
    </x:row>
    <x:row r="11" ht="25" customHeight="1">
      <x:c r="A11" s="2" t="str">
        <x:v>2026-09-28_Night</x:v>
      </x:c>
      <x:c r="B11" s="7" t="n">
        <x:v>20000</x:v>
      </x:c>
      <x:c r="C11" s="7" t="n">
        <x:v>72000</x:v>
      </x:c>
      <x:c r="D11" s="7" t="n">
        <x:f>B11-C11</x:f>
        <x:v>-52000</x:v>
      </x:c>
      <x:c r="E11" s="12" t="n">
        <x:v>105</x:v>
      </x:c>
      <x:c r="F11" s="14" t="n">
        <x:f>E11/10</x:f>
        <x:v>10.5</x:v>
      </x:c>
    </x:row>
    <x:row r="12" ht="25" customHeight="1">
      <x:c r="A12" s="2" t="str">
        <x:v>2026-09-29_Night</x:v>
      </x:c>
      <x:c r="B12" s="7" t="n">
        <x:v>42000</x:v>
      </x:c>
      <x:c r="C12" s="7" t="n">
        <x:v>108800</x:v>
      </x:c>
      <x:c r="D12" s="7" t="n">
        <x:f>B12-C12</x:f>
        <x:v>-66800</x:v>
      </x:c>
      <x:c r="E12" s="12" t="n">
        <x:v>274</x:v>
      </x:c>
      <x:c r="F12" s="14" t="n">
        <x:f>E12/10</x:f>
        <x:v>27.4</x:v>
      </x:c>
    </x:row>
    <x:row r="13" ht="25" customHeight="1">
      <x:c r="A13" s="2" t="str">
        <x:v>2026-09-30_Night</x:v>
      </x:c>
      <x:c r="B13" s="7" t="n">
        <x:v>5500</x:v>
      </x:c>
      <x:c r="C13" s="7" t="n">
        <x:v>93600</x:v>
      </x:c>
      <x:c r="D13" s="7" t="n">
        <x:f>B13-C13</x:f>
        <x:v>-88100</x:v>
      </x:c>
      <x:c r="E13" s="12" t="n">
        <x:v>158</x:v>
      </x:c>
      <x:c r="F13" s="14" t="n">
        <x:f>E13/10</x:f>
        <x:v>15.8</x:v>
      </x:c>
    </x:row>
    <x:row r="14" ht="25" customHeight="1">
      <x:c r="A14" s="2" t="str">
        <x:v>2026-10-01_Night</x:v>
      </x:c>
      <x:c r="B14" s="7" t="n">
        <x:v>118600</x:v>
      </x:c>
      <x:c r="C14" s="7" t="n">
        <x:v>69600</x:v>
      </x:c>
      <x:c r="D14" s="7" t="n">
        <x:f>B14-C14</x:f>
        <x:v>49000</x:v>
      </x:c>
      <x:c r="E14" s="12" t="n">
        <x:v>279</x:v>
      </x:c>
      <x:c r="F14" s="14" t="n">
        <x:f>E14/10</x:f>
        <x:v>27.9</x:v>
      </x:c>
    </x:row>
    <x:row r="15" ht="25" customHeight="1">
      <x:c r="A15" s="2" t="str">
        <x:v>2026-10-02_Night</x:v>
      </x:c>
      <x:c r="B15" s="7" t="n">
        <x:v>115600</x:v>
      </x:c>
      <x:c r="C15" s="7" t="n">
        <x:v>108400</x:v>
      </x:c>
      <x:c r="D15" s="7" t="n">
        <x:f>B15-C15</x:f>
        <x:v>7200</x:v>
      </x:c>
      <x:c r="E15" s="12" t="n">
        <x:v>578</x:v>
      </x:c>
      <x:c r="F15" s="14" t="n">
        <x:f>E15/10</x:f>
        <x:v>57.8</x:v>
      </x:c>
    </x:row>
    <x:row r="16" ht="25" customHeight="1">
      <x:c r="A16" s="2" t="str">
        <x:v>2026-10-05_Night</x:v>
      </x:c>
      <x:c r="B16" s="7" t="n">
        <x:v>35400</x:v>
      </x:c>
      <x:c r="C16" s="7" t="n">
        <x:v>49100</x:v>
      </x:c>
      <x:c r="D16" s="7" t="n">
        <x:f>B16-C16</x:f>
        <x:v>-13700</x:v>
      </x:c>
      <x:c r="E16" s="12" t="n">
        <x:v>335</x:v>
      </x:c>
      <x:c r="F16" s="14" t="n">
        <x:f>E16/10</x:f>
        <x:v>33.5</x:v>
      </x:c>
    </x:row>
    <x:row r="17" ht="25" customHeight="1">
      <x:c r="A17" s="2" t="str">
        <x:v>2026-10-06_Night</x:v>
      </x:c>
      <x:c r="B17" s="7" t="n">
        <x:v>5400</x:v>
      </x:c>
      <x:c r="C17" s="7" t="n">
        <x:v>93600</x:v>
      </x:c>
      <x:c r="D17" s="7" t="n">
        <x:f>B17-C17</x:f>
        <x:v>-88200</x:v>
      </x:c>
      <x:c r="E17" s="12" t="n">
        <x:v>119</x:v>
      </x:c>
      <x:c r="F17" s="14" t="n">
        <x:f>E17/10</x:f>
        <x:v>11.9</x:v>
      </x:c>
    </x:row>
    <x:row r="18" ht="25" customHeight="1">
      <x:c r="A18" s="2" t="str">
        <x:v>2026-10-07_Night</x:v>
      </x:c>
      <x:c r="B18" s="7" t="n">
        <x:v>2000</x:v>
      </x:c>
      <x:c r="C18" s="7" t="n">
        <x:v>24000</x:v>
      </x:c>
      <x:c r="D18" s="7" t="n">
        <x:f>B18-C18</x:f>
        <x:v>-22000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66700</x:v>
      </x:c>
      <x:c r="C19" s="7" t="n">
        <x:v>114800</x:v>
      </x:c>
      <x:c r="D19" s="7" t="n">
        <x:f>B19-C19</x:f>
        <x:v>-48100</x:v>
      </x:c>
      <x:c r="E19" s="12" t="n">
        <x:v>608</x:v>
      </x:c>
      <x:c r="F19" s="14" t="n">
        <x:f>E19/10</x:f>
        <x:v>60.8</x:v>
      </x:c>
    </x:row>
    <x:row r="20" ht="25" customHeight="1">
      <x:c r="A20" s="2" t="str">
        <x:v>2026-10-09_Night</x:v>
      </x:c>
      <x:c r="B20" s="7" t="n">
        <x:v>23100</x:v>
      </x:c>
      <x:c r="C20" s="7" t="n">
        <x:v>0</x:v>
      </x:c>
      <x:c r="D20" s="7" t="n">
        <x:f>B20-C20</x:f>
        <x:v>23100</x:v>
      </x:c>
      <x:c r="E20" s="12" t="n">
        <x:v>119</x:v>
      </x:c>
      <x:c r="F20" s="14" t="n">
        <x:f>E20/10</x:f>
        <x:v>11.9</x:v>
      </x:c>
    </x:row>
    <x:row r="21" ht="25" customHeight="1">
      <x:c r="A21" s="2" t="str">
        <x:v>2026-10-12_Night</x:v>
      </x:c>
      <x:c r="B21" s="7" t="n">
        <x:v>0</x:v>
      </x:c>
      <x:c r="C21" s="7" t="n">
        <x:v>33600</x:v>
      </x:c>
      <x:c r="D21" s="7" t="n">
        <x:f>B21-C21</x:f>
        <x:v>-33600</x:v>
      </x:c>
      <x:c r="E21" s="12" t="n">
        <x:v>119</x:v>
      </x:c>
      <x:c r="F21" s="14" t="n">
        <x:f>E21/10</x:f>
        <x:v>11.9</x:v>
      </x:c>
    </x:row>
    <x:row r="22" ht="25" customHeight="1">
      <x:c r="A22" s="2" t="str">
        <x:v>2026-10-13_Night</x:v>
      </x:c>
      <x:c r="B22" s="7" t="n">
        <x:v>14000</x:v>
      </x:c>
      <x:c r="C22" s="7" t="n">
        <x:v>0</x:v>
      </x:c>
      <x:c r="D22" s="7" t="n">
        <x:f>B22-C22</x:f>
        <x:v>14000</x:v>
      </x:c>
      <x:c r="E22" s="12" t="n">
        <x:v>162</x:v>
      </x:c>
      <x:c r="F22" s="14" t="n">
        <x:f>E22/10</x:f>
        <x:v>16.2</x:v>
      </x:c>
    </x:row>
    <x:row r="23" ht="25" customHeight="1">
      <x:c r="A23" s="2" t="str">
        <x:v>2026-10-14_Night</x:v>
      </x:c>
      <x:c r="B23" s="7" t="n">
        <x:v>14200</x:v>
      </x:c>
      <x:c r="C23" s="7" t="n">
        <x:v>80200</x:v>
      </x:c>
      <x:c r="D23" s="7" t="n">
        <x:f>B23-C23</x:f>
        <x:v>-66000</x:v>
      </x:c>
      <x:c r="E23" s="12" t="n">
        <x:v>191</x:v>
      </x:c>
      <x:c r="F23" s="14" t="n">
        <x:f>E23/10</x:f>
        <x:v>19.1</x:v>
      </x:c>
    </x:row>
    <x:row r="24" ht="25" customHeight="1">
      <x:c r="A24" s="2" t="str">
        <x:v>2026-10-15_Night</x:v>
      </x:c>
      <x:c r="B24" s="7" t="n">
        <x:v>22700</x:v>
      </x:c>
      <x:c r="C24" s="7" t="n">
        <x:v>73200</x:v>
      </x:c>
      <x:c r="D24" s="7" t="n">
        <x:f>B24-C24</x:f>
        <x:v>-50500</x:v>
      </x:c>
      <x:c r="E24" s="12" t="n">
        <x:v>123</x:v>
      </x:c>
      <x:c r="F24" s="14" t="n">
        <x:f>E24/10</x:f>
        <x:v>12.3</x:v>
      </x:c>
    </x:row>
    <x:row r="25" ht="25" customHeight="1">
      <x:c r="A25" s="2" t="str">
        <x:v>2026-10-16_Night</x:v>
      </x:c>
      <x:c r="B25" s="7" t="n">
        <x:v>137700</x:v>
      </x:c>
      <x:c r="C25" s="7" t="n">
        <x:v>117600</x:v>
      </x:c>
      <x:c r="D25" s="7" t="n">
        <x:f>B25-C25</x:f>
        <x:v>20100</x:v>
      </x:c>
      <x:c r="E25" s="12" t="n">
        <x:v>625</x:v>
      </x:c>
      <x:c r="F25" s="14" t="n">
        <x:f>E25/10</x:f>
        <x:v>62.5</x:v>
      </x:c>
    </x:row>
    <x:row r="26" ht="25" customHeight="1">
      <x:c r="A26" s="2" t="str">
        <x:v>2026-10-19_Night</x:v>
      </x:c>
      <x:c r="B26" s="7" t="n">
        <x:v>60400</x:v>
      </x:c>
      <x:c r="C26" s="7" t="n">
        <x:v>43200</x:v>
      </x:c>
      <x:c r="D26" s="7" t="n">
        <x:f>B26-C26</x:f>
        <x:v>17200</x:v>
      </x:c>
      <x:c r="E26" s="12" t="n">
        <x:v>506</x:v>
      </x:c>
      <x:c r="F26" s="14" t="n">
        <x:f>E26/10</x:f>
        <x:v>50.6</x:v>
      </x:c>
    </x:row>
    <x:row r="27" ht="25" customHeight="1">
      <x:c r="A27" s="2" t="str">
        <x:v>2026-10-20_Night</x:v>
      </x:c>
      <x:c r="B27" s="7" t="n">
        <x:v>28400</x:v>
      </x:c>
      <x:c r="C27" s="7" t="n">
        <x:v>38400</x:v>
      </x:c>
      <x:c r="D27" s="7" t="n">
        <x:f>B27-C27</x:f>
        <x:v>-10000</x:v>
      </x:c>
      <x:c r="E27" s="12" t="n">
        <x:v>194</x:v>
      </x:c>
      <x:c r="F27" s="14" t="n">
        <x:f>E27/10</x:f>
        <x:v>19.4</x:v>
      </x:c>
    </x:row>
    <x:row r="28" ht="25" customHeight="1">
      <x:c r="A28" s="2" t="str">
        <x:v>2026-10-21_Night</x:v>
      </x:c>
      <x:c r="B28" s="7" t="n">
        <x:v>53000</x:v>
      </x:c>
      <x:c r="C28" s="7" t="n">
        <x:v>0</x:v>
      </x:c>
      <x:c r="D28" s="7" t="n">
        <x:f>B28-C28</x:f>
        <x:v>53000</x:v>
      </x:c>
      <x:c r="E28" s="12" t="n">
        <x:v>301</x:v>
      </x:c>
      <x:c r="F28" s="14" t="n">
        <x:f>E28/10</x:f>
        <x:v>30.1</x:v>
      </x:c>
    </x:row>
    <x:row r="29" ht="25" customHeight="1">
      <x:c r="A29" s="2" t="str">
        <x:v>2026-10-22_Night</x:v>
      </x:c>
      <x:c r="B29" s="7" t="n">
        <x:v>21000</x:v>
      </x:c>
      <x:c r="C29" s="7" t="n">
        <x:v>88800</x:v>
      </x:c>
      <x:c r="D29" s="7" t="n">
        <x:f>B29-C29</x:f>
        <x:v>-67800</x:v>
      </x:c>
      <x:c r="E29" s="12" t="n">
        <x:v>113</x:v>
      </x:c>
      <x:c r="F29" s="14" t="n">
        <x:f>E29/10</x:f>
        <x:v>11.3</x:v>
      </x:c>
    </x:row>
    <x:row r="30" ht="25" customHeight="1">
      <x:c r="A30" s="2" t="str">
        <x:v>2026-10-23_Night</x:v>
      </x:c>
      <x:c r="B30" s="7" t="n">
        <x:v>69000</x:v>
      </x:c>
      <x:c r="C30" s="7" t="n">
        <x:v>23000</x:v>
      </x:c>
      <x:c r="D30" s="7" t="n">
        <x:f>B30-C30</x:f>
        <x:v>46000</x:v>
      </x:c>
      <x:c r="E30" s="12" t="n">
        <x:v>242</x:v>
      </x:c>
      <x:c r="F30" s="14" t="n">
        <x:f>E30/10</x:f>
        <x:v>24.2</x:v>
      </x:c>
    </x:row>
    <x:row r="31" ht="25" customHeight="1">
      <x:c r="A31" s="2" t="str">
        <x:v>2026-10-26_Night</x:v>
      </x:c>
      <x:c r="B31" s="7" t="n">
        <x:v>61200</x:v>
      </x:c>
      <x:c r="C31" s="7" t="n">
        <x:v>109300</x:v>
      </x:c>
      <x:c r="D31" s="7" t="n">
        <x:f>B31-C31</x:f>
        <x:v>-48100</x:v>
      </x:c>
      <x:c r="E31" s="12" t="n">
        <x:v>354</x:v>
      </x:c>
      <x:c r="F31" s="14" t="n">
        <x:f>E31/10</x:f>
        <x:v>35.4</x:v>
      </x:c>
    </x:row>
    <x:row r="32" ht="25" customHeight="1">
      <x:c r="A32" s="2" t="str">
        <x:v>2026-10-27_Night</x:v>
      </x:c>
      <x:c r="B32" s="7" t="n">
        <x:v>5800</x:v>
      </x:c>
      <x:c r="C32" s="7" t="n">
        <x:v>14400</x:v>
      </x:c>
      <x:c r="D32" s="7" t="n">
        <x:f>B32-C32</x:f>
        <x:v>-8600</x:v>
      </x:c>
      <x:c r="E32" s="12" t="n">
        <x:v>40</x:v>
      </x:c>
      <x:c r="F32" s="14" t="n">
        <x:f>E32/10</x:f>
        <x:v>4</x:v>
      </x:c>
    </x:row>
    <x:row r="33" ht="25" customHeight="1">
      <x:c r="A33" s="10" t="str">
        <x:v>合計</x:v>
      </x:c>
      <x:c r="B33" s="11" t="n">
        <x:f>SUM(B6:B32)</x:f>
        <x:v>1001100</x:v>
      </x:c>
      <x:c r="C33" s="11" t="n">
        <x:f>SUM(C6:C32)</x:f>
        <x:v>1381000</x:v>
      </x:c>
      <x:c r="D33" s="11" t="n">
        <x:f>B33-C33</x:f>
        <x:v>-379900</x:v>
      </x:c>
      <x:c r="E33" s="13" t="n">
        <x:f>SUM(E6:E32)</x:f>
        <x:v>6201</x:v>
      </x:c>
      <x:c r="F33" s="15" t="n">
        <x:f>E33/10</x:f>
        <x:v>620.1</x:v>
      </x:c>
    </x:row>
  </x:sheetData>
  <x:mergeCells>
    <x:mergeCell ref="A2:F2"/>
    <x:mergeCell ref="A3:F3"/>
    <x:mergeCell ref="A4:F4"/>
  </x:mergeCells>
  <x:conditionalFormatting sqref="D6:D32">
    <x:cfRule type="cellIs" dxfId="11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d21549e0ac4631"/>
  </x:tableParts>
</x:worksheet>
</file>

<file path=xl/worksheets/sheet116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NK225_U168_26　米国後の損益</x:v>
      </x:c>
      <x:c r="B2" s="2"/>
      <x:c r="C2" s="2"/>
      <x:c r="D2" s="2"/>
      <x:c r="E2" s="2"/>
      <x:c r="F2" s="2"/>
    </x:row>
    <x:row r="3" ht="38" customHeight="1">
      <x:c r="A3" s="5" t="str">
        <x:v>中値20円逆行を経た玉だけ早期回収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0</x:v>
      </x:c>
      <x:c r="C6" s="7" t="n">
        <x:v>45000</x:v>
      </x:c>
      <x:c r="D6" s="7" t="n">
        <x:f>B6-C6</x:f>
        <x:v>-45000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5000</x:v>
      </x:c>
      <x:c r="C7" s="7" t="n">
        <x:v>0</x:v>
      </x:c>
      <x:c r="D7" s="7" t="n">
        <x:f>B7-C7</x:f>
        <x:v>5000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9000</x:v>
      </x:c>
      <x:c r="C8" s="7" t="n">
        <x:v>41000</x:v>
      </x:c>
      <x:c r="D8" s="7" t="n">
        <x:f>B8-C8</x:f>
        <x:v>-32000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6000</x:v>
      </x:c>
      <x:c r="C9" s="7" t="n">
        <x:v>0</x:v>
      </x:c>
      <x:c r="D9" s="7" t="n">
        <x:f>B9-C9</x:f>
        <x:v>6000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22000</x:v>
      </x:c>
      <x:c r="C10" s="7" t="n">
        <x:v>0</x:v>
      </x:c>
      <x:c r="D10" s="7" t="n">
        <x:f>B10-C10</x:f>
        <x:v>22000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4000</x:v>
      </x:c>
      <x:c r="C11" s="7" t="n">
        <x:v>42000</x:v>
      </x:c>
      <x:c r="D11" s="7" t="n">
        <x:f>B11-C11</x:f>
        <x:v>-38000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28000</x:v>
      </x:c>
      <x:c r="C12" s="7" t="n">
        <x:v>25000</x:v>
      </x:c>
      <x:c r="D12" s="7" t="n">
        <x:f>B12-C12</x:f>
        <x:v>3000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2000</x:v>
      </x:c>
      <x:c r="C13" s="7" t="n">
        <x:v>0</x:v>
      </x:c>
      <x:c r="D13" s="7" t="n">
        <x:f>B13-C13</x:f>
        <x:v>2000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68000</x:v>
      </x:c>
      <x:c r="C14" s="7" t="n">
        <x:v>13000</x:v>
      </x:c>
      <x:c r="D14" s="7" t="n">
        <x:f>B14-C14</x:f>
        <x:v>55000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138000</x:v>
      </x:c>
      <x:c r="C15" s="7" t="n">
        <x:v>21000</x:v>
      </x:c>
      <x:c r="D15" s="7" t="n">
        <x:f>B15-C15</x:f>
        <x:v>117000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12000</x:v>
      </x:c>
      <x:c r="C16" s="7" t="n">
        <x:v>20000</x:v>
      </x:c>
      <x:c r="D16" s="7" t="n">
        <x:f>B16-C16</x:f>
        <x:v>-8000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1000</x:v>
      </x:c>
      <x:c r="C17" s="7" t="n">
        <x:v>35000</x:v>
      </x:c>
      <x:c r="D17" s="7" t="n">
        <x:f>B17-C17</x:f>
        <x:v>-34000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0</x:v>
      </x:c>
      <x:c r="C18" s="7" t="n">
        <x:v>22000</x:v>
      </x:c>
      <x:c r="D18" s="7" t="n">
        <x:f>B18-C18</x:f>
        <x:v>-22000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219000</x:v>
      </x:c>
      <x:c r="C19" s="7" t="n">
        <x:v>12000</x:v>
      </x:c>
      <x:c r="D19" s="7" t="n">
        <x:f>B19-C19</x:f>
        <x:v>207000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10000</x:v>
      </x:c>
      <x:c r="C20" s="7" t="n">
        <x:v>0</x:v>
      </x:c>
      <x:c r="D20" s="7" t="n">
        <x:f>B20-C20</x:f>
        <x:v>10000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82000</x:v>
      </x:c>
      <x:c r="C21" s="7" t="n">
        <x:v>0</x:v>
      </x:c>
      <x:c r="D21" s="7" t="n">
        <x:f>B21-C21</x:f>
        <x:v>82000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0</x:v>
      </x:c>
      <x:c r="C22" s="7" t="n">
        <x:v>53000</x:v>
      </x:c>
      <x:c r="D22" s="7" t="n">
        <x:f>B22-C22</x:f>
        <x:v>-53000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7000</x:v>
      </x:c>
      <x:c r="C23" s="7" t="n">
        <x:v>18000</x:v>
      </x:c>
      <x:c r="D23" s="7" t="n">
        <x:f>B23-C23</x:f>
        <x:v>-11000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28000</x:v>
      </x:c>
      <x:c r="C24" s="7" t="n">
        <x:v>30000</x:v>
      </x:c>
      <x:c r="D24" s="7" t="n">
        <x:f>B24-C24</x:f>
        <x:v>-2000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98000</x:v>
      </x:c>
      <x:c r="C25" s="7" t="n">
        <x:v>5000</x:v>
      </x:c>
      <x:c r="D25" s="7" t="n">
        <x:f>B25-C25</x:f>
        <x:v>93000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27000</x:v>
      </x:c>
      <x:c r="C26" s="7" t="n">
        <x:v>73000</x:v>
      </x:c>
      <x:c r="D26" s="7" t="n">
        <x:f>B26-C26</x:f>
        <x:v>-46000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17000</x:v>
      </x:c>
      <x:c r="C27" s="7" t="n">
        <x:v>5000</x:v>
      </x:c>
      <x:c r="D27" s="7" t="n">
        <x:f>B27-C27</x:f>
        <x:v>12000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21000</x:v>
      </x:c>
      <x:c r="C28" s="7" t="n">
        <x:v>0</x:v>
      </x:c>
      <x:c r="D28" s="7" t="n">
        <x:f>B28-C28</x:f>
        <x:v>21000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156000</x:v>
      </x:c>
      <x:c r="C29" s="7" t="n">
        <x:v>0</x:v>
      </x:c>
      <x:c r="D29" s="7" t="n">
        <x:f>B29-C29</x:f>
        <x:v>156000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32000</x:v>
      </x:c>
      <x:c r="C30" s="7" t="n">
        <x:v>17000</x:v>
      </x:c>
      <x:c r="D30" s="7" t="n">
        <x:f>B30-C30</x:f>
        <x:v>15000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72000</x:v>
      </x:c>
      <x:c r="C31" s="7" t="n">
        <x:v>38000</x:v>
      </x:c>
      <x:c r="D31" s="7" t="n">
        <x:f>B31-C31</x:f>
        <x:v>34000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8000</x:v>
      </x:c>
      <x:c r="C32" s="7" t="n">
        <x:v>0</x:v>
      </x:c>
      <x:c r="D32" s="7" t="n">
        <x:f>B32-C32</x:f>
        <x:v>8000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1072000</x:v>
      </x:c>
      <x:c r="C33" s="11" t="n">
        <x:f>SUM(C6:C32)</x:f>
        <x:v>515000</x:v>
      </x:c>
      <x:c r="D33" s="11" t="n">
        <x:f>B33-C33</x:f>
        <x:v>557000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11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9fdd44044943af"/>
  </x:tableParts>
</x:worksheet>
</file>

<file path=xl/worksheets/sheet117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NK225_U168_27　米国後の損益</x:v>
      </x:c>
      <x:c r="B2" s="2"/>
      <x:c r="C2" s="2"/>
      <x:c r="D2" s="2"/>
      <x:c r="E2" s="2"/>
      <x:c r="F2" s="2"/>
    </x:row>
    <x:row r="3" ht="38" customHeight="1">
      <x:c r="A3" s="5" t="str">
        <x:v>逆行後の回収・240円猶予・方向再判断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158500</x:v>
      </x:c>
      <x:c r="C6" s="7" t="n">
        <x:v>0</x:v>
      </x:c>
      <x:c r="D6" s="7" t="n">
        <x:f>B6-C6</x:f>
        <x:v>158500</x:v>
      </x:c>
      <x:c r="E6" s="12" t="n">
        <x:v>83</x:v>
      </x:c>
      <x:c r="F6" s="14" t="n">
        <x:f>E6/10</x:f>
        <x:v>8.3</x:v>
      </x:c>
    </x:row>
    <x:row r="7" ht="25" customHeight="1">
      <x:c r="A7" s="2" t="str">
        <x:v>2026-09-22_Night</x:v>
      </x:c>
      <x:c r="B7" s="7" t="n">
        <x:v>22700</x:v>
      </x:c>
      <x:c r="C7" s="7" t="n">
        <x:v>0</x:v>
      </x:c>
      <x:c r="D7" s="7" t="n">
        <x:f>B7-C7</x:f>
        <x:v>22700</x:v>
      </x:c>
      <x:c r="E7" s="12" t="n">
        <x:v>155</x:v>
      </x:c>
      <x:c r="F7" s="14" t="n">
        <x:f>E7/10</x:f>
        <x:v>15.5</x:v>
      </x:c>
    </x:row>
    <x:row r="8" ht="25" customHeight="1">
      <x:c r="A8" s="2" t="str">
        <x:v>2026-09-23_Night</x:v>
      </x:c>
      <x:c r="B8" s="7" t="n">
        <x:v>30700</x:v>
      </x:c>
      <x:c r="C8" s="7" t="n">
        <x:v>0</x:v>
      </x:c>
      <x:c r="D8" s="7" t="n">
        <x:f>B8-C8</x:f>
        <x:v>30700</x:v>
      </x:c>
      <x:c r="E8" s="12" t="n">
        <x:v>159</x:v>
      </x:c>
      <x:c r="F8" s="14" t="n">
        <x:f>E8/10</x:f>
        <x:v>15.9</x:v>
      </x:c>
    </x:row>
    <x:row r="9" ht="25" customHeight="1">
      <x:c r="A9" s="2" t="str">
        <x:v>2026-09-24_Night</x:v>
      </x:c>
      <x:c r="B9" s="7" t="n">
        <x:v>13000</x:v>
      </x:c>
      <x:c r="C9" s="7" t="n">
        <x:v>0</x:v>
      </x:c>
      <x:c r="D9" s="7" t="n">
        <x:f>B9-C9</x:f>
        <x:v>13000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21000</x:v>
      </x:c>
      <x:c r="C10" s="7" t="n">
        <x:v>13800</x:v>
      </x:c>
      <x:c r="D10" s="7" t="n">
        <x:f>B10-C10</x:f>
        <x:v>7200</x:v>
      </x:c>
      <x:c r="E10" s="12" t="n">
        <x:v>66</x:v>
      </x:c>
      <x:c r="F10" s="14" t="n">
        <x:f>E10/10</x:f>
        <x:v>6.6</x:v>
      </x:c>
    </x:row>
    <x:row r="11" ht="25" customHeight="1">
      <x:c r="A11" s="2" t="str">
        <x:v>2026-09-28_Night</x:v>
      </x:c>
      <x:c r="B11" s="7" t="n">
        <x:v>30200</x:v>
      </x:c>
      <x:c r="C11" s="7" t="n">
        <x:v>72000</x:v>
      </x:c>
      <x:c r="D11" s="7" t="n">
        <x:f>B11-C11</x:f>
        <x:v>-41800</x:v>
      </x:c>
      <x:c r="E11" s="12" t="n">
        <x:v>85</x:v>
      </x:c>
      <x:c r="F11" s="14" t="n">
        <x:f>E11/10</x:f>
        <x:v>8.5</x:v>
      </x:c>
    </x:row>
    <x:row r="12" ht="25" customHeight="1">
      <x:c r="A12" s="2" t="str">
        <x:v>2026-09-29_Night</x:v>
      </x:c>
      <x:c r="B12" s="7" t="n">
        <x:v>92300</x:v>
      </x:c>
      <x:c r="C12" s="7" t="n">
        <x:v>23000</x:v>
      </x:c>
      <x:c r="D12" s="7" t="n">
        <x:f>B12-C12</x:f>
        <x:v>69300</x:v>
      </x:c>
      <x:c r="E12" s="12" t="n">
        <x:v>227</x:v>
      </x:c>
      <x:c r="F12" s="14" t="n">
        <x:f>E12/10</x:f>
        <x:v>22.7</x:v>
      </x:c>
    </x:row>
    <x:row r="13" ht="25" customHeight="1">
      <x:c r="A13" s="2" t="str">
        <x:v>2026-09-30_Night</x:v>
      </x:c>
      <x:c r="B13" s="7" t="n">
        <x:v>5500</x:v>
      </x:c>
      <x:c r="C13" s="7" t="n">
        <x:v>103200</x:v>
      </x:c>
      <x:c r="D13" s="7" t="n">
        <x:f>B13-C13</x:f>
        <x:v>-97700</x:v>
      </x:c>
      <x:c r="E13" s="12" t="n">
        <x:v>152</x:v>
      </x:c>
      <x:c r="F13" s="14" t="n">
        <x:f>E13/10</x:f>
        <x:v>15.2</x:v>
      </x:c>
    </x:row>
    <x:row r="14" ht="25" customHeight="1">
      <x:c r="A14" s="2" t="str">
        <x:v>2026-10-01_Night</x:v>
      </x:c>
      <x:c r="B14" s="7" t="n">
        <x:v>90700</x:v>
      </x:c>
      <x:c r="C14" s="7" t="n">
        <x:v>33600</x:v>
      </x:c>
      <x:c r="D14" s="7" t="n">
        <x:f>B14-C14</x:f>
        <x:v>57100</x:v>
      </x:c>
      <x:c r="E14" s="12" t="n">
        <x:v>216</x:v>
      </x:c>
      <x:c r="F14" s="14" t="n">
        <x:f>E14/10</x:f>
        <x:v>21.6</x:v>
      </x:c>
    </x:row>
    <x:row r="15" ht="25" customHeight="1">
      <x:c r="A15" s="2" t="str">
        <x:v>2026-10-02_Night</x:v>
      </x:c>
      <x:c r="B15" s="7" t="n">
        <x:v>175100</x:v>
      </x:c>
      <x:c r="C15" s="7" t="n">
        <x:v>201600</x:v>
      </x:c>
      <x:c r="D15" s="7" t="n">
        <x:f>B15-C15</x:f>
        <x:v>-26500</x:v>
      </x:c>
      <x:c r="E15" s="12" t="n">
        <x:v>438</x:v>
      </x:c>
      <x:c r="F15" s="14" t="n">
        <x:f>E15/10</x:f>
        <x:v>43.8</x:v>
      </x:c>
    </x:row>
    <x:row r="16" ht="25" customHeight="1">
      <x:c r="A16" s="2" t="str">
        <x:v>2026-10-05_Night</x:v>
      </x:c>
      <x:c r="B16" s="7" t="n">
        <x:v>32200</x:v>
      </x:c>
      <x:c r="C16" s="7" t="n">
        <x:v>49100</x:v>
      </x:c>
      <x:c r="D16" s="7" t="n">
        <x:f>B16-C16</x:f>
        <x:v>-16900</x:v>
      </x:c>
      <x:c r="E16" s="12" t="n">
        <x:v>245</x:v>
      </x:c>
      <x:c r="F16" s="14" t="n">
        <x:f>E16/10</x:f>
        <x:v>24.5</x:v>
      </x:c>
    </x:row>
    <x:row r="17" ht="25" customHeight="1">
      <x:c r="A17" s="2" t="str">
        <x:v>2026-10-06_Night</x:v>
      </x:c>
      <x:c r="B17" s="7" t="n">
        <x:v>5400</x:v>
      </x:c>
      <x:c r="C17" s="7" t="n">
        <x:v>93600</x:v>
      </x:c>
      <x:c r="D17" s="7" t="n">
        <x:f>B17-C17</x:f>
        <x:v>-88200</x:v>
      </x:c>
      <x:c r="E17" s="12" t="n">
        <x:v>119</x:v>
      </x:c>
      <x:c r="F17" s="14" t="n">
        <x:f>E17/10</x:f>
        <x:v>11.9</x:v>
      </x:c>
    </x:row>
    <x:row r="18" ht="25" customHeight="1">
      <x:c r="A18" s="2" t="str">
        <x:v>2026-10-07_Night</x:v>
      </x:c>
      <x:c r="B18" s="7" t="n">
        <x:v>0</x:v>
      </x:c>
      <x:c r="C18" s="7" t="n">
        <x:v>48000</x:v>
      </x:c>
      <x:c r="D18" s="7" t="n">
        <x:f>B18-C18</x:f>
        <x:v>-48000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259900</x:v>
      </x:c>
      <x:c r="C19" s="7" t="n">
        <x:v>97200</x:v>
      </x:c>
      <x:c r="D19" s="7" t="n">
        <x:f>B19-C19</x:f>
        <x:v>162700</x:v>
      </x:c>
      <x:c r="E19" s="12" t="n">
        <x:v>440</x:v>
      </x:c>
      <x:c r="F19" s="14" t="n">
        <x:f>E19/10</x:f>
        <x:v>44</x:v>
      </x:c>
    </x:row>
    <x:row r="20" ht="25" customHeight="1">
      <x:c r="A20" s="2" t="str">
        <x:v>2026-10-09_Night</x:v>
      </x:c>
      <x:c r="B20" s="7" t="n">
        <x:v>17700</x:v>
      </x:c>
      <x:c r="C20" s="7" t="n">
        <x:v>0</x:v>
      </x:c>
      <x:c r="D20" s="7" t="n">
        <x:f>B20-C20</x:f>
        <x:v>17700</x:v>
      </x:c>
      <x:c r="E20" s="12" t="n">
        <x:v>119</x:v>
      </x:c>
      <x:c r="F20" s="14" t="n">
        <x:f>E20/10</x:f>
        <x:v>11.9</x:v>
      </x:c>
    </x:row>
    <x:row r="21" ht="25" customHeight="1">
      <x:c r="A21" s="2" t="str">
        <x:v>2026-10-12_Night</x:v>
      </x:c>
      <x:c r="B21" s="7" t="n">
        <x:v>82000</x:v>
      </x:c>
      <x:c r="C21" s="7" t="n">
        <x:v>0</x:v>
      </x:c>
      <x:c r="D21" s="7" t="n">
        <x:f>B21-C21</x:f>
        <x:v>82000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7400</x:v>
      </x:c>
      <x:c r="C22" s="7" t="n">
        <x:v>0</x:v>
      </x:c>
      <x:c r="D22" s="7" t="n">
        <x:f>B22-C22</x:f>
        <x:v>7400</x:v>
      </x:c>
      <x:c r="E22" s="12" t="n">
        <x:v>143</x:v>
      </x:c>
      <x:c r="F22" s="14" t="n">
        <x:f>E22/10</x:f>
        <x:v>14.3</x:v>
      </x:c>
    </x:row>
    <x:row r="23" ht="25" customHeight="1">
      <x:c r="A23" s="2" t="str">
        <x:v>2026-10-14_Night</x:v>
      </x:c>
      <x:c r="B23" s="7" t="n">
        <x:v>250400</x:v>
      </x:c>
      <x:c r="C23" s="7" t="n">
        <x:v>48000</x:v>
      </x:c>
      <x:c r="D23" s="7" t="n">
        <x:f>B23-C23</x:f>
        <x:v>202400</x:v>
      </x:c>
      <x:c r="E23" s="12" t="n">
        <x:v>169</x:v>
      </x:c>
      <x:c r="F23" s="14" t="n">
        <x:f>E23/10</x:f>
        <x:v>16.9</x:v>
      </x:c>
    </x:row>
    <x:row r="24" ht="25" customHeight="1">
      <x:c r="A24" s="2" t="str">
        <x:v>2026-10-15_Night</x:v>
      </x:c>
      <x:c r="B24" s="7" t="n">
        <x:v>25300</x:v>
      </x:c>
      <x:c r="C24" s="7" t="n">
        <x:v>58800</x:v>
      </x:c>
      <x:c r="D24" s="7" t="n">
        <x:f>B24-C24</x:f>
        <x:v>-33500</x:v>
      </x:c>
      <x:c r="E24" s="12" t="n">
        <x:v>128</x:v>
      </x:c>
      <x:c r="F24" s="14" t="n">
        <x:f>E24/10</x:f>
        <x:v>12.8</x:v>
      </x:c>
    </x:row>
    <x:row r="25" ht="25" customHeight="1">
      <x:c r="A25" s="2" t="str">
        <x:v>2026-10-16_Night</x:v>
      </x:c>
      <x:c r="B25" s="7" t="n">
        <x:v>162100</x:v>
      </x:c>
      <x:c r="C25" s="7" t="n">
        <x:v>74400</x:v>
      </x:c>
      <x:c r="D25" s="7" t="n">
        <x:f>B25-C25</x:f>
        <x:v>87700</x:v>
      </x:c>
      <x:c r="E25" s="12" t="n">
        <x:v>504</x:v>
      </x:c>
      <x:c r="F25" s="14" t="n">
        <x:f>E25/10</x:f>
        <x:v>50.4</x:v>
      </x:c>
    </x:row>
    <x:row r="26" ht="25" customHeight="1">
      <x:c r="A26" s="2" t="str">
        <x:v>2026-10-19_Night</x:v>
      </x:c>
      <x:c r="B26" s="7" t="n">
        <x:v>136400</x:v>
      </x:c>
      <x:c r="C26" s="7" t="n">
        <x:v>31200</x:v>
      </x:c>
      <x:c r="D26" s="7" t="n">
        <x:f>B26-C26</x:f>
        <x:v>105200</x:v>
      </x:c>
      <x:c r="E26" s="12" t="n">
        <x:v>379</x:v>
      </x:c>
      <x:c r="F26" s="14" t="n">
        <x:f>E26/10</x:f>
        <x:v>37.9</x:v>
      </x:c>
    </x:row>
    <x:row r="27" ht="25" customHeight="1">
      <x:c r="A27" s="2" t="str">
        <x:v>2026-10-20_Night</x:v>
      </x:c>
      <x:c r="B27" s="7" t="n">
        <x:v>26400</x:v>
      </x:c>
      <x:c r="C27" s="7" t="n">
        <x:v>42400</x:v>
      </x:c>
      <x:c r="D27" s="7" t="n">
        <x:f>B27-C27</x:f>
        <x:v>-16000</x:v>
      </x:c>
      <x:c r="E27" s="12" t="n">
        <x:v>176</x:v>
      </x:c>
      <x:c r="F27" s="14" t="n">
        <x:f>E27/10</x:f>
        <x:v>17.6</x:v>
      </x:c>
    </x:row>
    <x:row r="28" ht="25" customHeight="1">
      <x:c r="A28" s="2" t="str">
        <x:v>2026-10-21_Night</x:v>
      </x:c>
      <x:c r="B28" s="7" t="n">
        <x:v>26700</x:v>
      </x:c>
      <x:c r="C28" s="7" t="n">
        <x:v>93600</x:v>
      </x:c>
      <x:c r="D28" s="7" t="n">
        <x:f>B28-C28</x:f>
        <x:v>-66900</x:v>
      </x:c>
      <x:c r="E28" s="12" t="n">
        <x:v>259</x:v>
      </x:c>
      <x:c r="F28" s="14" t="n">
        <x:f>E28/10</x:f>
        <x:v>25.9</x:v>
      </x:c>
    </x:row>
    <x:row r="29" ht="25" customHeight="1">
      <x:c r="A29" s="2" t="str">
        <x:v>2026-10-22_Night</x:v>
      </x:c>
      <x:c r="B29" s="7" t="n">
        <x:v>156000</x:v>
      </x:c>
      <x:c r="C29" s="7" t="n">
        <x:v>0</x:v>
      </x:c>
      <x:c r="D29" s="7" t="n">
        <x:f>B29-C29</x:f>
        <x:v>156000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59000</x:v>
      </x:c>
      <x:c r="C30" s="7" t="n">
        <x:v>23000</x:v>
      </x:c>
      <x:c r="D30" s="7" t="n">
        <x:f>B30-C30</x:f>
        <x:v>36000</x:v>
      </x:c>
      <x:c r="E30" s="12" t="n">
        <x:v>281</x:v>
      </x:c>
      <x:c r="F30" s="14" t="n">
        <x:f>E30/10</x:f>
        <x:v>28.1</x:v>
      </x:c>
    </x:row>
    <x:row r="31" ht="25" customHeight="1">
      <x:c r="A31" s="2" t="str">
        <x:v>2026-10-26_Night</x:v>
      </x:c>
      <x:c r="B31" s="7" t="n">
        <x:v>84400</x:v>
      </x:c>
      <x:c r="C31" s="7" t="n">
        <x:v>137800</x:v>
      </x:c>
      <x:c r="D31" s="7" t="n">
        <x:f>B31-C31</x:f>
        <x:v>-53400</x:v>
      </x:c>
      <x:c r="E31" s="12" t="n">
        <x:v>243</x:v>
      </x:c>
      <x:c r="F31" s="14" t="n">
        <x:f>E31/10</x:f>
        <x:v>24.3</x:v>
      </x:c>
    </x:row>
    <x:row r="32" ht="25" customHeight="1">
      <x:c r="A32" s="2" t="str">
        <x:v>2026-10-27_Night</x:v>
      </x:c>
      <x:c r="B32" s="7" t="n">
        <x:v>8000</x:v>
      </x:c>
      <x:c r="C32" s="7" t="n">
        <x:v>0</x:v>
      </x:c>
      <x:c r="D32" s="7" t="n">
        <x:f>B32-C32</x:f>
        <x:v>8000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1979000</x:v>
      </x:c>
      <x:c r="C33" s="11" t="n">
        <x:f>SUM(C6:C32)</x:f>
        <x:v>1244300</x:v>
      </x:c>
      <x:c r="D33" s="11" t="n">
        <x:f>B33-C33</x:f>
        <x:v>734700</x:v>
      </x:c>
      <x:c r="E33" s="13" t="n">
        <x:f>SUM(E6:E32)</x:f>
        <x:v>4966</x:v>
      </x:c>
      <x:c r="F33" s="15" t="n">
        <x:f>E33/10</x:f>
        <x:v>496.6</x:v>
      </x:c>
    </x:row>
  </x:sheetData>
  <x:mergeCells>
    <x:mergeCell ref="A2:F2"/>
    <x:mergeCell ref="A3:F3"/>
    <x:mergeCell ref="A4:F4"/>
  </x:mergeCells>
  <x:conditionalFormatting sqref="D6:D32">
    <x:cfRule type="cellIs" dxfId="11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ea00e065b1f4e46"/>
  </x:tableParts>
</x:worksheet>
</file>

<file path=xl/worksheets/sheet118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NK225_U168B_01　米国後の損益</x:v>
      </x:c>
      <x:c r="B2" s="2"/>
      <x:c r="C2" s="2"/>
      <x:c r="D2" s="2"/>
      <x:c r="E2" s="2"/>
      <x:c r="F2" s="2"/>
    </x:row>
    <x:row r="3" ht="38" customHeight="1">
      <x:c r="A3" s="5" t="str">
        <x:v>20円順行後は10円利益の床だけを維持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5000</x:v>
      </x:c>
      <x:c r="C6" s="7" t="n">
        <x:v>0</x:v>
      </x:c>
      <x:c r="D6" s="7" t="n">
        <x:f>B6-C6</x:f>
        <x:v>5000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10000</x:v>
      </x:c>
      <x:c r="C7" s="7" t="n">
        <x:v>0</x:v>
      </x:c>
      <x:c r="D7" s="7" t="n">
        <x:f>B7-C7</x:f>
        <x:v>10000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3000</x:v>
      </x:c>
      <x:c r="C8" s="7" t="n">
        <x:v>40000</x:v>
      </x:c>
      <x:c r="D8" s="7" t="n">
        <x:f>B8-C8</x:f>
        <x:v>-37000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2000</x:v>
      </x:c>
      <x:c r="C9" s="7" t="n">
        <x:v>0</x:v>
      </x:c>
      <x:c r="D9" s="7" t="n">
        <x:f>B9-C9</x:f>
        <x:v>2000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6000</x:v>
      </x:c>
      <x:c r="C10" s="7" t="n">
        <x:v>0</x:v>
      </x:c>
      <x:c r="D10" s="7" t="n">
        <x:f>B10-C10</x:f>
        <x:v>6000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2000</x:v>
      </x:c>
      <x:c r="C11" s="7" t="n">
        <x:v>42000</x:v>
      </x:c>
      <x:c r="D11" s="7" t="n">
        <x:f>B11-C11</x:f>
        <x:v>-40000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13000</x:v>
      </x:c>
      <x:c r="C12" s="7" t="n">
        <x:v>22000</x:v>
      </x:c>
      <x:c r="D12" s="7" t="n">
        <x:f>B12-C12</x:f>
        <x:v>-9000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12000</x:v>
      </x:c>
      <x:c r="C13" s="7" t="n">
        <x:v>0</x:v>
      </x:c>
      <x:c r="D13" s="7" t="n">
        <x:f>B13-C13</x:f>
        <x:v>12000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58000</x:v>
      </x:c>
      <x:c r="C14" s="7" t="n">
        <x:v>13000</x:v>
      </x:c>
      <x:c r="D14" s="7" t="n">
        <x:f>B14-C14</x:f>
        <x:v>45000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49000</x:v>
      </x:c>
      <x:c r="C15" s="7" t="n">
        <x:v>9000</x:v>
      </x:c>
      <x:c r="D15" s="7" t="n">
        <x:f>B15-C15</x:f>
        <x:v>40000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14000</x:v>
      </x:c>
      <x:c r="C16" s="7" t="n">
        <x:v>0</x:v>
      </x:c>
      <x:c r="D16" s="7" t="n">
        <x:f>B16-C16</x:f>
        <x:v>14000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3000</x:v>
      </x:c>
      <x:c r="C17" s="7" t="n">
        <x:v>35000</x:v>
      </x:c>
      <x:c r="D17" s="7" t="n">
        <x:f>B17-C17</x:f>
        <x:v>-32000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1000</x:v>
      </x:c>
      <x:c r="C18" s="7" t="n">
        <x:v>14000</x:v>
      </x:c>
      <x:c r="D18" s="7" t="n">
        <x:f>B18-C18</x:f>
        <x:v>-13000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48000</x:v>
      </x:c>
      <x:c r="C19" s="7" t="n">
        <x:v>12000</x:v>
      </x:c>
      <x:c r="D19" s="7" t="n">
        <x:f>B19-C19</x:f>
        <x:v>36000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10000</x:v>
      </x:c>
      <x:c r="C20" s="7" t="n">
        <x:v>0</x:v>
      </x:c>
      <x:c r="D20" s="7" t="n">
        <x:f>B20-C20</x:f>
        <x:v>10000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5000</x:v>
      </x:c>
      <x:c r="C21" s="7" t="n">
        <x:v>0</x:v>
      </x:c>
      <x:c r="D21" s="7" t="n">
        <x:f>B21-C21</x:f>
        <x:v>5000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0</x:v>
      </x:c>
      <x:c r="C22" s="7" t="n">
        <x:v>53000</x:v>
      </x:c>
      <x:c r="D22" s="7" t="n">
        <x:f>B22-C22</x:f>
        <x:v>-53000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13000</x:v>
      </x:c>
      <x:c r="C23" s="7" t="n">
        <x:v>18000</x:v>
      </x:c>
      <x:c r="D23" s="7" t="n">
        <x:f>B23-C23</x:f>
        <x:v>-5000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27000</x:v>
      </x:c>
      <x:c r="C24" s="7" t="n">
        <x:v>30000</x:v>
      </x:c>
      <x:c r="D24" s="7" t="n">
        <x:f>B24-C24</x:f>
        <x:v>-3000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32000</x:v>
      </x:c>
      <x:c r="C25" s="7" t="n">
        <x:v>0</x:v>
      </x:c>
      <x:c r="D25" s="7" t="n">
        <x:f>B25-C25</x:f>
        <x:v>32000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20000</x:v>
      </x:c>
      <x:c r="C26" s="7" t="n">
        <x:v>64000</x:v>
      </x:c>
      <x:c r="D26" s="7" t="n">
        <x:f>B26-C26</x:f>
        <x:v>-44000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12000</x:v>
      </x:c>
      <x:c r="C27" s="7" t="n">
        <x:v>0</x:v>
      </x:c>
      <x:c r="D27" s="7" t="n">
        <x:f>B27-C27</x:f>
        <x:v>12000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12000</x:v>
      </x:c>
      <x:c r="C28" s="7" t="n">
        <x:v>0</x:v>
      </x:c>
      <x:c r="D28" s="7" t="n">
        <x:f>B28-C28</x:f>
        <x:v>12000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61000</x:v>
      </x:c>
      <x:c r="C29" s="7" t="n">
        <x:v>0</x:v>
      </x:c>
      <x:c r="D29" s="7" t="n">
        <x:f>B29-C29</x:f>
        <x:v>61000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21000</x:v>
      </x:c>
      <x:c r="C30" s="7" t="n">
        <x:v>17000</x:v>
      </x:c>
      <x:c r="D30" s="7" t="n">
        <x:f>B30-C30</x:f>
        <x:v>4000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37000</x:v>
      </x:c>
      <x:c r="C31" s="7" t="n">
        <x:v>18000</x:v>
      </x:c>
      <x:c r="D31" s="7" t="n">
        <x:f>B31-C31</x:f>
        <x:v>19000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3000</x:v>
      </x:c>
      <x:c r="C32" s="7" t="n">
        <x:v>0</x:v>
      </x:c>
      <x:c r="D32" s="7" t="n">
        <x:f>B32-C32</x:f>
        <x:v>3000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479000</x:v>
      </x:c>
      <x:c r="C33" s="11" t="n">
        <x:f>SUM(C6:C32)</x:f>
        <x:v>387000</x:v>
      </x:c>
      <x:c r="D33" s="11" t="n">
        <x:f>B33-C33</x:f>
        <x:v>92000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11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0f7cfc57a26482d"/>
  </x:tableParts>
</x:worksheet>
</file>

<file path=xl/worksheets/sheet119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NK225_U168B_02　米国後の損益</x:v>
      </x:c>
      <x:c r="B2" s="2"/>
      <x:c r="C2" s="2"/>
      <x:c r="D2" s="2"/>
      <x:c r="E2" s="2"/>
      <x:c r="F2" s="2"/>
    </x:row>
    <x:row r="3" ht="38" customHeight="1">
      <x:c r="A3" s="5" t="str">
        <x:v>20円から最高利益の半分を守る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5000</x:v>
      </x:c>
      <x:c r="C6" s="7" t="n">
        <x:v>0</x:v>
      </x:c>
      <x:c r="D6" s="7" t="n">
        <x:f>B6-C6</x:f>
        <x:v>5000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10000</x:v>
      </x:c>
      <x:c r="C7" s="7" t="n">
        <x:v>0</x:v>
      </x:c>
      <x:c r="D7" s="7" t="n">
        <x:f>B7-C7</x:f>
        <x:v>10000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4000</x:v>
      </x:c>
      <x:c r="C8" s="7" t="n">
        <x:v>40000</x:v>
      </x:c>
      <x:c r="D8" s="7" t="n">
        <x:f>B8-C8</x:f>
        <x:v>-36000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2000</x:v>
      </x:c>
      <x:c r="C9" s="7" t="n">
        <x:v>0</x:v>
      </x:c>
      <x:c r="D9" s="7" t="n">
        <x:f>B9-C9</x:f>
        <x:v>2000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9000</x:v>
      </x:c>
      <x:c r="C10" s="7" t="n">
        <x:v>0</x:v>
      </x:c>
      <x:c r="D10" s="7" t="n">
        <x:f>B10-C10</x:f>
        <x:v>9000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2000</x:v>
      </x:c>
      <x:c r="C11" s="7" t="n">
        <x:v>42000</x:v>
      </x:c>
      <x:c r="D11" s="7" t="n">
        <x:f>B11-C11</x:f>
        <x:v>-40000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13000</x:v>
      </x:c>
      <x:c r="C12" s="7" t="n">
        <x:v>22000</x:v>
      </x:c>
      <x:c r="D12" s="7" t="n">
        <x:f>B12-C12</x:f>
        <x:v>-9000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12000</x:v>
      </x:c>
      <x:c r="C13" s="7" t="n">
        <x:v>0</x:v>
      </x:c>
      <x:c r="D13" s="7" t="n">
        <x:f>B13-C13</x:f>
        <x:v>12000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68000</x:v>
      </x:c>
      <x:c r="C14" s="7" t="n">
        <x:v>13000</x:v>
      </x:c>
      <x:c r="D14" s="7" t="n">
        <x:f>B14-C14</x:f>
        <x:v>55000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53000</x:v>
      </x:c>
      <x:c r="C15" s="7" t="n">
        <x:v>9000</x:v>
      </x:c>
      <x:c r="D15" s="7" t="n">
        <x:f>B15-C15</x:f>
        <x:v>44000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14000</x:v>
      </x:c>
      <x:c r="C16" s="7" t="n">
        <x:v>0</x:v>
      </x:c>
      <x:c r="D16" s="7" t="n">
        <x:f>B16-C16</x:f>
        <x:v>14000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3000</x:v>
      </x:c>
      <x:c r="C17" s="7" t="n">
        <x:v>35000</x:v>
      </x:c>
      <x:c r="D17" s="7" t="n">
        <x:f>B17-C17</x:f>
        <x:v>-32000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3000</x:v>
      </x:c>
      <x:c r="C18" s="7" t="n">
        <x:v>14000</x:v>
      </x:c>
      <x:c r="D18" s="7" t="n">
        <x:f>B18-C18</x:f>
        <x:v>-11000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30000</x:v>
      </x:c>
      <x:c r="C19" s="7" t="n">
        <x:v>12000</x:v>
      </x:c>
      <x:c r="D19" s="7" t="n">
        <x:f>B19-C19</x:f>
        <x:v>18000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10000</x:v>
      </x:c>
      <x:c r="C20" s="7" t="n">
        <x:v>0</x:v>
      </x:c>
      <x:c r="D20" s="7" t="n">
        <x:f>B20-C20</x:f>
        <x:v>10000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5000</x:v>
      </x:c>
      <x:c r="C21" s="7" t="n">
        <x:v>0</x:v>
      </x:c>
      <x:c r="D21" s="7" t="n">
        <x:f>B21-C21</x:f>
        <x:v>5000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0</x:v>
      </x:c>
      <x:c r="C22" s="7" t="n">
        <x:v>53000</x:v>
      </x:c>
      <x:c r="D22" s="7" t="n">
        <x:f>B22-C22</x:f>
        <x:v>-53000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13000</x:v>
      </x:c>
      <x:c r="C23" s="7" t="n">
        <x:v>18000</x:v>
      </x:c>
      <x:c r="D23" s="7" t="n">
        <x:f>B23-C23</x:f>
        <x:v>-5000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11000</x:v>
      </x:c>
      <x:c r="C24" s="7" t="n">
        <x:v>30000</x:v>
      </x:c>
      <x:c r="D24" s="7" t="n">
        <x:f>B24-C24</x:f>
        <x:v>-19000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38000</x:v>
      </x:c>
      <x:c r="C25" s="7" t="n">
        <x:v>0</x:v>
      </x:c>
      <x:c r="D25" s="7" t="n">
        <x:f>B25-C25</x:f>
        <x:v>38000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18000</x:v>
      </x:c>
      <x:c r="C26" s="7" t="n">
        <x:v>64000</x:v>
      </x:c>
      <x:c r="D26" s="7" t="n">
        <x:f>B26-C26</x:f>
        <x:v>-46000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24000</x:v>
      </x:c>
      <x:c r="C27" s="7" t="n">
        <x:v>0</x:v>
      </x:c>
      <x:c r="D27" s="7" t="n">
        <x:f>B27-C27</x:f>
        <x:v>24000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12000</x:v>
      </x:c>
      <x:c r="C28" s="7" t="n">
        <x:v>0</x:v>
      </x:c>
      <x:c r="D28" s="7" t="n">
        <x:f>B28-C28</x:f>
        <x:v>12000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52000</x:v>
      </x:c>
      <x:c r="C29" s="7" t="n">
        <x:v>0</x:v>
      </x:c>
      <x:c r="D29" s="7" t="n">
        <x:f>B29-C29</x:f>
        <x:v>52000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14000</x:v>
      </x:c>
      <x:c r="C30" s="7" t="n">
        <x:v>17000</x:v>
      </x:c>
      <x:c r="D30" s="7" t="n">
        <x:f>B30-C30</x:f>
        <x:v>-3000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21000</x:v>
      </x:c>
      <x:c r="C31" s="7" t="n">
        <x:v>18000</x:v>
      </x:c>
      <x:c r="D31" s="7" t="n">
        <x:f>B31-C31</x:f>
        <x:v>3000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3000</x:v>
      </x:c>
      <x:c r="C32" s="7" t="n">
        <x:v>0</x:v>
      </x:c>
      <x:c r="D32" s="7" t="n">
        <x:f>B32-C32</x:f>
        <x:v>3000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449000</x:v>
      </x:c>
      <x:c r="C33" s="11" t="n">
        <x:f>SUM(C6:C32)</x:f>
        <x:v>387000</x:v>
      </x:c>
      <x:c r="D33" s="11" t="n">
        <x:f>B33-C33</x:f>
        <x:v>62000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11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2f7d099ae184fc6"/>
  </x:tableParts>
</x:worksheet>
</file>

<file path=xl/worksheets/sheet120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NK225_U168B_03　米国後の損益</x:v>
      </x:c>
      <x:c r="B2" s="2"/>
      <x:c r="C2" s="2"/>
      <x:c r="D2" s="2"/>
      <x:c r="E2" s="2"/>
      <x:c r="F2" s="2"/>
    </x:row>
    <x:row r="3" ht="38" customHeight="1">
      <x:c r="A3" s="5" t="str">
        <x:v>20円から最高利益の75%を守る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5000</x:v>
      </x:c>
      <x:c r="C6" s="7" t="n">
        <x:v>0</x:v>
      </x:c>
      <x:c r="D6" s="7" t="n">
        <x:f>B6-C6</x:f>
        <x:v>5000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10000</x:v>
      </x:c>
      <x:c r="C7" s="7" t="n">
        <x:v>0</x:v>
      </x:c>
      <x:c r="D7" s="7" t="n">
        <x:f>B7-C7</x:f>
        <x:v>10000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5000</x:v>
      </x:c>
      <x:c r="C8" s="7" t="n">
        <x:v>40000</x:v>
      </x:c>
      <x:c r="D8" s="7" t="n">
        <x:f>B8-C8</x:f>
        <x:v>-35000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2000</x:v>
      </x:c>
      <x:c r="C9" s="7" t="n">
        <x:v>0</x:v>
      </x:c>
      <x:c r="D9" s="7" t="n">
        <x:f>B9-C9</x:f>
        <x:v>2000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17000</x:v>
      </x:c>
      <x:c r="C10" s="7" t="n">
        <x:v>0</x:v>
      </x:c>
      <x:c r="D10" s="7" t="n">
        <x:f>B10-C10</x:f>
        <x:v>17000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2000</x:v>
      </x:c>
      <x:c r="C11" s="7" t="n">
        <x:v>42000</x:v>
      </x:c>
      <x:c r="D11" s="7" t="n">
        <x:f>B11-C11</x:f>
        <x:v>-40000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13000</x:v>
      </x:c>
      <x:c r="C12" s="7" t="n">
        <x:v>22000</x:v>
      </x:c>
      <x:c r="D12" s="7" t="n">
        <x:f>B12-C12</x:f>
        <x:v>-9000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13000</x:v>
      </x:c>
      <x:c r="C13" s="7" t="n">
        <x:v>0</x:v>
      </x:c>
      <x:c r="D13" s="7" t="n">
        <x:f>B13-C13</x:f>
        <x:v>13000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21000</x:v>
      </x:c>
      <x:c r="C14" s="7" t="n">
        <x:v>13000</x:v>
      </x:c>
      <x:c r="D14" s="7" t="n">
        <x:f>B14-C14</x:f>
        <x:v>8000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37000</x:v>
      </x:c>
      <x:c r="C15" s="7" t="n">
        <x:v>9000</x:v>
      </x:c>
      <x:c r="D15" s="7" t="n">
        <x:f>B15-C15</x:f>
        <x:v>28000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20000</x:v>
      </x:c>
      <x:c r="C16" s="7" t="n">
        <x:v>0</x:v>
      </x:c>
      <x:c r="D16" s="7" t="n">
        <x:f>B16-C16</x:f>
        <x:v>20000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4000</x:v>
      </x:c>
      <x:c r="C17" s="7" t="n">
        <x:v>35000</x:v>
      </x:c>
      <x:c r="D17" s="7" t="n">
        <x:f>B17-C17</x:f>
        <x:v>-31000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2000</x:v>
      </x:c>
      <x:c r="C18" s="7" t="n">
        <x:v>14000</x:v>
      </x:c>
      <x:c r="D18" s="7" t="n">
        <x:f>B18-C18</x:f>
        <x:v>-12000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36000</x:v>
      </x:c>
      <x:c r="C19" s="7" t="n">
        <x:v>12000</x:v>
      </x:c>
      <x:c r="D19" s="7" t="n">
        <x:f>B19-C19</x:f>
        <x:v>24000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15000</x:v>
      </x:c>
      <x:c r="C20" s="7" t="n">
        <x:v>0</x:v>
      </x:c>
      <x:c r="D20" s="7" t="n">
        <x:f>B20-C20</x:f>
        <x:v>15000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5000</x:v>
      </x:c>
      <x:c r="C21" s="7" t="n">
        <x:v>0</x:v>
      </x:c>
      <x:c r="D21" s="7" t="n">
        <x:f>B21-C21</x:f>
        <x:v>5000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0</x:v>
      </x:c>
      <x:c r="C22" s="7" t="n">
        <x:v>53000</x:v>
      </x:c>
      <x:c r="D22" s="7" t="n">
        <x:f>B22-C22</x:f>
        <x:v>-53000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13000</x:v>
      </x:c>
      <x:c r="C23" s="7" t="n">
        <x:v>18000</x:v>
      </x:c>
      <x:c r="D23" s="7" t="n">
        <x:f>B23-C23</x:f>
        <x:v>-5000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12000</x:v>
      </x:c>
      <x:c r="C24" s="7" t="n">
        <x:v>30000</x:v>
      </x:c>
      <x:c r="D24" s="7" t="n">
        <x:f>B24-C24</x:f>
        <x:v>-18000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38000</x:v>
      </x:c>
      <x:c r="C25" s="7" t="n">
        <x:v>0</x:v>
      </x:c>
      <x:c r="D25" s="7" t="n">
        <x:f>B25-C25</x:f>
        <x:v>38000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23000</x:v>
      </x:c>
      <x:c r="C26" s="7" t="n">
        <x:v>64000</x:v>
      </x:c>
      <x:c r="D26" s="7" t="n">
        <x:f>B26-C26</x:f>
        <x:v>-41000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23000</x:v>
      </x:c>
      <x:c r="C27" s="7" t="n">
        <x:v>0</x:v>
      </x:c>
      <x:c r="D27" s="7" t="n">
        <x:f>B27-C27</x:f>
        <x:v>23000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12000</x:v>
      </x:c>
      <x:c r="C28" s="7" t="n">
        <x:v>0</x:v>
      </x:c>
      <x:c r="D28" s="7" t="n">
        <x:f>B28-C28</x:f>
        <x:v>12000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11000</x:v>
      </x:c>
      <x:c r="C29" s="7" t="n">
        <x:v>0</x:v>
      </x:c>
      <x:c r="D29" s="7" t="n">
        <x:f>B29-C29</x:f>
        <x:v>11000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13000</x:v>
      </x:c>
      <x:c r="C30" s="7" t="n">
        <x:v>17000</x:v>
      </x:c>
      <x:c r="D30" s="7" t="n">
        <x:f>B30-C30</x:f>
        <x:v>-4000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28000</x:v>
      </x:c>
      <x:c r="C31" s="7" t="n">
        <x:v>18000</x:v>
      </x:c>
      <x:c r="D31" s="7" t="n">
        <x:f>B31-C31</x:f>
        <x:v>10000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3000</x:v>
      </x:c>
      <x:c r="C32" s="7" t="n">
        <x:v>0</x:v>
      </x:c>
      <x:c r="D32" s="7" t="n">
        <x:f>B32-C32</x:f>
        <x:v>3000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383000</x:v>
      </x:c>
      <x:c r="C33" s="11" t="n">
        <x:f>SUM(C6:C32)</x:f>
        <x:v>387000</x:v>
      </x:c>
      <x:c r="D33" s="11" t="n">
        <x:f>B33-C33</x:f>
        <x:v>-4000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11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8567db2fb24d28"/>
  </x:tableParts>
</x:worksheet>
</file>

<file path=xl/worksheets/sheet121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NK225_U168B_04　米国後の損益</x:v>
      </x:c>
      <x:c r="B2" s="2"/>
      <x:c r="C2" s="2"/>
      <x:c r="D2" s="2"/>
      <x:c r="E2" s="2"/>
      <x:c r="F2" s="2"/>
    </x:row>
    <x:row r="3" ht="38" customHeight="1">
      <x:c r="A3" s="5" t="str">
        <x:v>大枚数ほど最高利益の保護割合を上げる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5000</x:v>
      </x:c>
      <x:c r="C6" s="7" t="n">
        <x:v>0</x:v>
      </x:c>
      <x:c r="D6" s="7" t="n">
        <x:f>B6-C6</x:f>
        <x:v>5000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10000</x:v>
      </x:c>
      <x:c r="C7" s="7" t="n">
        <x:v>0</x:v>
      </x:c>
      <x:c r="D7" s="7" t="n">
        <x:f>B7-C7</x:f>
        <x:v>10000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4000</x:v>
      </x:c>
      <x:c r="C8" s="7" t="n">
        <x:v>40000</x:v>
      </x:c>
      <x:c r="D8" s="7" t="n">
        <x:f>B8-C8</x:f>
        <x:v>-36000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2000</x:v>
      </x:c>
      <x:c r="C9" s="7" t="n">
        <x:v>0</x:v>
      </x:c>
      <x:c r="D9" s="7" t="n">
        <x:f>B9-C9</x:f>
        <x:v>2000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9000</x:v>
      </x:c>
      <x:c r="C10" s="7" t="n">
        <x:v>0</x:v>
      </x:c>
      <x:c r="D10" s="7" t="n">
        <x:f>B10-C10</x:f>
        <x:v>9000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2000</x:v>
      </x:c>
      <x:c r="C11" s="7" t="n">
        <x:v>42000</x:v>
      </x:c>
      <x:c r="D11" s="7" t="n">
        <x:f>B11-C11</x:f>
        <x:v>-40000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13000</x:v>
      </x:c>
      <x:c r="C12" s="7" t="n">
        <x:v>22000</x:v>
      </x:c>
      <x:c r="D12" s="7" t="n">
        <x:f>B12-C12</x:f>
        <x:v>-9000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12000</x:v>
      </x:c>
      <x:c r="C13" s="7" t="n">
        <x:v>0</x:v>
      </x:c>
      <x:c r="D13" s="7" t="n">
        <x:f>B13-C13</x:f>
        <x:v>12000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70000</x:v>
      </x:c>
      <x:c r="C14" s="7" t="n">
        <x:v>13000</x:v>
      </x:c>
      <x:c r="D14" s="7" t="n">
        <x:f>B14-C14</x:f>
        <x:v>57000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56000</x:v>
      </x:c>
      <x:c r="C15" s="7" t="n">
        <x:v>9000</x:v>
      </x:c>
      <x:c r="D15" s="7" t="n">
        <x:f>B15-C15</x:f>
        <x:v>47000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14000</x:v>
      </x:c>
      <x:c r="C16" s="7" t="n">
        <x:v>0</x:v>
      </x:c>
      <x:c r="D16" s="7" t="n">
        <x:f>B16-C16</x:f>
        <x:v>14000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3000</x:v>
      </x:c>
      <x:c r="C17" s="7" t="n">
        <x:v>35000</x:v>
      </x:c>
      <x:c r="D17" s="7" t="n">
        <x:f>B17-C17</x:f>
        <x:v>-32000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3000</x:v>
      </x:c>
      <x:c r="C18" s="7" t="n">
        <x:v>14000</x:v>
      </x:c>
      <x:c r="D18" s="7" t="n">
        <x:f>B18-C18</x:f>
        <x:v>-11000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35000</x:v>
      </x:c>
      <x:c r="C19" s="7" t="n">
        <x:v>12000</x:v>
      </x:c>
      <x:c r="D19" s="7" t="n">
        <x:f>B19-C19</x:f>
        <x:v>23000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10000</x:v>
      </x:c>
      <x:c r="C20" s="7" t="n">
        <x:v>0</x:v>
      </x:c>
      <x:c r="D20" s="7" t="n">
        <x:f>B20-C20</x:f>
        <x:v>10000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5000</x:v>
      </x:c>
      <x:c r="C21" s="7" t="n">
        <x:v>0</x:v>
      </x:c>
      <x:c r="D21" s="7" t="n">
        <x:f>B21-C21</x:f>
        <x:v>5000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0</x:v>
      </x:c>
      <x:c r="C22" s="7" t="n">
        <x:v>53000</x:v>
      </x:c>
      <x:c r="D22" s="7" t="n">
        <x:f>B22-C22</x:f>
        <x:v>-53000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13000</x:v>
      </x:c>
      <x:c r="C23" s="7" t="n">
        <x:v>18000</x:v>
      </x:c>
      <x:c r="D23" s="7" t="n">
        <x:f>B23-C23</x:f>
        <x:v>-5000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11000</x:v>
      </x:c>
      <x:c r="C24" s="7" t="n">
        <x:v>30000</x:v>
      </x:c>
      <x:c r="D24" s="7" t="n">
        <x:f>B24-C24</x:f>
        <x:v>-19000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42000</x:v>
      </x:c>
      <x:c r="C25" s="7" t="n">
        <x:v>0</x:v>
      </x:c>
      <x:c r="D25" s="7" t="n">
        <x:f>B25-C25</x:f>
        <x:v>42000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18000</x:v>
      </x:c>
      <x:c r="C26" s="7" t="n">
        <x:v>64000</x:v>
      </x:c>
      <x:c r="D26" s="7" t="n">
        <x:f>B26-C26</x:f>
        <x:v>-46000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27000</x:v>
      </x:c>
      <x:c r="C27" s="7" t="n">
        <x:v>0</x:v>
      </x:c>
      <x:c r="D27" s="7" t="n">
        <x:f>B27-C27</x:f>
        <x:v>27000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12000</x:v>
      </x:c>
      <x:c r="C28" s="7" t="n">
        <x:v>0</x:v>
      </x:c>
      <x:c r="D28" s="7" t="n">
        <x:f>B28-C28</x:f>
        <x:v>12000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52000</x:v>
      </x:c>
      <x:c r="C29" s="7" t="n">
        <x:v>0</x:v>
      </x:c>
      <x:c r="D29" s="7" t="n">
        <x:f>B29-C29</x:f>
        <x:v>52000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14000</x:v>
      </x:c>
      <x:c r="C30" s="7" t="n">
        <x:v>17000</x:v>
      </x:c>
      <x:c r="D30" s="7" t="n">
        <x:f>B30-C30</x:f>
        <x:v>-3000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21000</x:v>
      </x:c>
      <x:c r="C31" s="7" t="n">
        <x:v>18000</x:v>
      </x:c>
      <x:c r="D31" s="7" t="n">
        <x:f>B31-C31</x:f>
        <x:v>3000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3000</x:v>
      </x:c>
      <x:c r="C32" s="7" t="n">
        <x:v>0</x:v>
      </x:c>
      <x:c r="D32" s="7" t="n">
        <x:f>B32-C32</x:f>
        <x:v>3000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466000</x:v>
      </x:c>
      <x:c r="C33" s="11" t="n">
        <x:f>SUM(C6:C32)</x:f>
        <x:v>387000</x:v>
      </x:c>
      <x:c r="D33" s="11" t="n">
        <x:f>B33-C33</x:f>
        <x:v>79000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11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e03044dd6c04524"/>
  </x:tableParts>
</x:worksheet>
</file>

<file path=xl/worksheets/sheet122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NK225_U168B_05　米国後の損益</x:v>
      </x:c>
      <x:c r="B2" s="2"/>
      <x:c r="C2" s="2"/>
      <x:c r="D2" s="2"/>
      <x:c r="E2" s="2"/>
      <x:c r="F2" s="2"/>
    </x:row>
    <x:row r="3" ht="38" customHeight="1">
      <x:c r="A3" s="5" t="str">
        <x:v>半量を20円で回収し残りは10円床で伸ばす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5000</x:v>
      </x:c>
      <x:c r="C6" s="7" t="n">
        <x:v>0</x:v>
      </x:c>
      <x:c r="D6" s="7" t="n">
        <x:f>B6-C6</x:f>
        <x:v>5000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10000</x:v>
      </x:c>
      <x:c r="C7" s="7" t="n">
        <x:v>0</x:v>
      </x:c>
      <x:c r="D7" s="7" t="n">
        <x:f>B7-C7</x:f>
        <x:v>10000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5000</x:v>
      </x:c>
      <x:c r="C8" s="7" t="n">
        <x:v>40000</x:v>
      </x:c>
      <x:c r="D8" s="7" t="n">
        <x:f>B8-C8</x:f>
        <x:v>-35000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3000</x:v>
      </x:c>
      <x:c r="C9" s="7" t="n">
        <x:v>0</x:v>
      </x:c>
      <x:c r="D9" s="7" t="n">
        <x:f>B9-C9</x:f>
        <x:v>3000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9000</x:v>
      </x:c>
      <x:c r="C10" s="7" t="n">
        <x:v>0</x:v>
      </x:c>
      <x:c r="D10" s="7" t="n">
        <x:f>B10-C10</x:f>
        <x:v>9000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3000</x:v>
      </x:c>
      <x:c r="C11" s="7" t="n">
        <x:v>42000</x:v>
      </x:c>
      <x:c r="D11" s="7" t="n">
        <x:f>B11-C11</x:f>
        <x:v>-39000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15500</x:v>
      </x:c>
      <x:c r="C12" s="7" t="n">
        <x:v>22000</x:v>
      </x:c>
      <x:c r="D12" s="7" t="n">
        <x:f>B12-C12</x:f>
        <x:v>-6500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13000</x:v>
      </x:c>
      <x:c r="C13" s="7" t="n">
        <x:v>0</x:v>
      </x:c>
      <x:c r="D13" s="7" t="n">
        <x:f>B13-C13</x:f>
        <x:v>13000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40000</x:v>
      </x:c>
      <x:c r="C14" s="7" t="n">
        <x:v>13000</x:v>
      </x:c>
      <x:c r="D14" s="7" t="n">
        <x:f>B14-C14</x:f>
        <x:v>27000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50500</x:v>
      </x:c>
      <x:c r="C15" s="7" t="n">
        <x:v>9000</x:v>
      </x:c>
      <x:c r="D15" s="7" t="n">
        <x:f>B15-C15</x:f>
        <x:v>41500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22000</x:v>
      </x:c>
      <x:c r="C16" s="7" t="n">
        <x:v>0</x:v>
      </x:c>
      <x:c r="D16" s="7" t="n">
        <x:f>B16-C16</x:f>
        <x:v>22000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3500</x:v>
      </x:c>
      <x:c r="C17" s="7" t="n">
        <x:v>35000</x:v>
      </x:c>
      <x:c r="D17" s="7" t="n">
        <x:f>B17-C17</x:f>
        <x:v>-31500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1500</x:v>
      </x:c>
      <x:c r="C18" s="7" t="n">
        <x:v>14000</x:v>
      </x:c>
      <x:c r="D18" s="7" t="n">
        <x:f>B18-C18</x:f>
        <x:v>-12500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47000</x:v>
      </x:c>
      <x:c r="C19" s="7" t="n">
        <x:v>12000</x:v>
      </x:c>
      <x:c r="D19" s="7" t="n">
        <x:f>B19-C19</x:f>
        <x:v>35000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10000</x:v>
      </x:c>
      <x:c r="C20" s="7" t="n">
        <x:v>0</x:v>
      </x:c>
      <x:c r="D20" s="7" t="n">
        <x:f>B20-C20</x:f>
        <x:v>10000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7500</x:v>
      </x:c>
      <x:c r="C21" s="7" t="n">
        <x:v>0</x:v>
      </x:c>
      <x:c r="D21" s="7" t="n">
        <x:f>B21-C21</x:f>
        <x:v>7500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0</x:v>
      </x:c>
      <x:c r="C22" s="7" t="n">
        <x:v>53000</x:v>
      </x:c>
      <x:c r="D22" s="7" t="n">
        <x:f>B22-C22</x:f>
        <x:v>-53000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13000</x:v>
      </x:c>
      <x:c r="C23" s="7" t="n">
        <x:v>18000</x:v>
      </x:c>
      <x:c r="D23" s="7" t="n">
        <x:f>B23-C23</x:f>
        <x:v>-5000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19000</x:v>
      </x:c>
      <x:c r="C24" s="7" t="n">
        <x:v>30000</x:v>
      </x:c>
      <x:c r="D24" s="7" t="n">
        <x:f>B24-C24</x:f>
        <x:v>-11000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43000</x:v>
      </x:c>
      <x:c r="C25" s="7" t="n">
        <x:v>0</x:v>
      </x:c>
      <x:c r="D25" s="7" t="n">
        <x:f>B25-C25</x:f>
        <x:v>43000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23000</x:v>
      </x:c>
      <x:c r="C26" s="7" t="n">
        <x:v>64000</x:v>
      </x:c>
      <x:c r="D26" s="7" t="n">
        <x:f>B26-C26</x:f>
        <x:v>-41000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15000</x:v>
      </x:c>
      <x:c r="C27" s="7" t="n">
        <x:v>0</x:v>
      </x:c>
      <x:c r="D27" s="7" t="n">
        <x:f>B27-C27</x:f>
        <x:v>15000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17500</x:v>
      </x:c>
      <x:c r="C28" s="7" t="n">
        <x:v>0</x:v>
      </x:c>
      <x:c r="D28" s="7" t="n">
        <x:f>B28-C28</x:f>
        <x:v>17500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37500</x:v>
      </x:c>
      <x:c r="C29" s="7" t="n">
        <x:v>0</x:v>
      </x:c>
      <x:c r="D29" s="7" t="n">
        <x:f>B29-C29</x:f>
        <x:v>37500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20500</x:v>
      </x:c>
      <x:c r="C30" s="7" t="n">
        <x:v>17000</x:v>
      </x:c>
      <x:c r="D30" s="7" t="n">
        <x:f>B30-C30</x:f>
        <x:v>3500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31000</x:v>
      </x:c>
      <x:c r="C31" s="7" t="n">
        <x:v>18000</x:v>
      </x:c>
      <x:c r="D31" s="7" t="n">
        <x:f>B31-C31</x:f>
        <x:v>13000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3500</x:v>
      </x:c>
      <x:c r="C32" s="7" t="n">
        <x:v>0</x:v>
      </x:c>
      <x:c r="D32" s="7" t="n">
        <x:f>B32-C32</x:f>
        <x:v>3500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468500</x:v>
      </x:c>
      <x:c r="C33" s="11" t="n">
        <x:f>SUM(C6:C32)</x:f>
        <x:v>387000</x:v>
      </x:c>
      <x:c r="D33" s="11" t="n">
        <x:f>B33-C33</x:f>
        <x:v>81500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12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785f2f1d1074d56"/>
  </x:tableParts>
</x:worksheet>
</file>

<file path=xl/worksheets/sheet123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NK225_U168B_06　米国後の損益</x:v>
      </x:c>
      <x:c r="B2" s="2"/>
      <x:c r="C2" s="2"/>
      <x:c r="D2" s="2"/>
      <x:c r="E2" s="2"/>
      <x:c r="F2" s="2"/>
    </x:row>
    <x:row r="3" ht="38" customHeight="1">
      <x:c r="A3" s="5" t="str">
        <x:v>8割を20円で回収し残りは10円床で伸ばす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5000</x:v>
      </x:c>
      <x:c r="C6" s="7" t="n">
        <x:v>0</x:v>
      </x:c>
      <x:c r="D6" s="7" t="n">
        <x:f>B6-C6</x:f>
        <x:v>5000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10000</x:v>
      </x:c>
      <x:c r="C7" s="7" t="n">
        <x:v>0</x:v>
      </x:c>
      <x:c r="D7" s="7" t="n">
        <x:f>B7-C7</x:f>
        <x:v>10000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6200</x:v>
      </x:c>
      <x:c r="C8" s="7" t="n">
        <x:v>40000</x:v>
      </x:c>
      <x:c r="D8" s="7" t="n">
        <x:f>B8-C8</x:f>
        <x:v>-33800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3600</x:v>
      </x:c>
      <x:c r="C9" s="7" t="n">
        <x:v>0</x:v>
      </x:c>
      <x:c r="D9" s="7" t="n">
        <x:f>B9-C9</x:f>
        <x:v>3600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10800</x:v>
      </x:c>
      <x:c r="C10" s="7" t="n">
        <x:v>0</x:v>
      </x:c>
      <x:c r="D10" s="7" t="n">
        <x:f>B10-C10</x:f>
        <x:v>10800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3600</x:v>
      </x:c>
      <x:c r="C11" s="7" t="n">
        <x:v>42000</x:v>
      </x:c>
      <x:c r="D11" s="7" t="n">
        <x:f>B11-C11</x:f>
        <x:v>-38400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17000</x:v>
      </x:c>
      <x:c r="C12" s="7" t="n">
        <x:v>22000</x:v>
      </x:c>
      <x:c r="D12" s="7" t="n">
        <x:f>B12-C12</x:f>
        <x:v>-5000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13600</x:v>
      </x:c>
      <x:c r="C13" s="7" t="n">
        <x:v>0</x:v>
      </x:c>
      <x:c r="D13" s="7" t="n">
        <x:f>B13-C13</x:f>
        <x:v>13600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29200</x:v>
      </x:c>
      <x:c r="C14" s="7" t="n">
        <x:v>13000</x:v>
      </x:c>
      <x:c r="D14" s="7" t="n">
        <x:f>B14-C14</x:f>
        <x:v>16200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51400</x:v>
      </x:c>
      <x:c r="C15" s="7" t="n">
        <x:v>9000</x:v>
      </x:c>
      <x:c r="D15" s="7" t="n">
        <x:f>B15-C15</x:f>
        <x:v>42400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26800</x:v>
      </x:c>
      <x:c r="C16" s="7" t="n">
        <x:v>0</x:v>
      </x:c>
      <x:c r="D16" s="7" t="n">
        <x:f>B16-C16</x:f>
        <x:v>26800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3800</x:v>
      </x:c>
      <x:c r="C17" s="7" t="n">
        <x:v>35000</x:v>
      </x:c>
      <x:c r="D17" s="7" t="n">
        <x:f>B17-C17</x:f>
        <x:v>-31200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1800</x:v>
      </x:c>
      <x:c r="C18" s="7" t="n">
        <x:v>14000</x:v>
      </x:c>
      <x:c r="D18" s="7" t="n">
        <x:f>B18-C18</x:f>
        <x:v>-12200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46400</x:v>
      </x:c>
      <x:c r="C19" s="7" t="n">
        <x:v>12000</x:v>
      </x:c>
      <x:c r="D19" s="7" t="n">
        <x:f>B19-C19</x:f>
        <x:v>34400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10000</x:v>
      </x:c>
      <x:c r="C20" s="7" t="n">
        <x:v>0</x:v>
      </x:c>
      <x:c r="D20" s="7" t="n">
        <x:f>B20-C20</x:f>
        <x:v>10000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9000</x:v>
      </x:c>
      <x:c r="C21" s="7" t="n">
        <x:v>0</x:v>
      </x:c>
      <x:c r="D21" s="7" t="n">
        <x:f>B21-C21</x:f>
        <x:v>9000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0</x:v>
      </x:c>
      <x:c r="C22" s="7" t="n">
        <x:v>53000</x:v>
      </x:c>
      <x:c r="D22" s="7" t="n">
        <x:f>B22-C22</x:f>
        <x:v>-53000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13000</x:v>
      </x:c>
      <x:c r="C23" s="7" t="n">
        <x:v>18000</x:v>
      </x:c>
      <x:c r="D23" s="7" t="n">
        <x:f>B23-C23</x:f>
        <x:v>-5000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14200</x:v>
      </x:c>
      <x:c r="C24" s="7" t="n">
        <x:v>30000</x:v>
      </x:c>
      <x:c r="D24" s="7" t="n">
        <x:f>B24-C24</x:f>
        <x:v>-15800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49600</x:v>
      </x:c>
      <x:c r="C25" s="7" t="n">
        <x:v>0</x:v>
      </x:c>
      <x:c r="D25" s="7" t="n">
        <x:f>B25-C25</x:f>
        <x:v>49600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24800</x:v>
      </x:c>
      <x:c r="C26" s="7" t="n">
        <x:v>64000</x:v>
      </x:c>
      <x:c r="D26" s="7" t="n">
        <x:f>B26-C26</x:f>
        <x:v>-39200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16800</x:v>
      </x:c>
      <x:c r="C27" s="7" t="n">
        <x:v>0</x:v>
      </x:c>
      <x:c r="D27" s="7" t="n">
        <x:f>B27-C27</x:f>
        <x:v>16800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20800</x:v>
      </x:c>
      <x:c r="C28" s="7" t="n">
        <x:v>0</x:v>
      </x:c>
      <x:c r="D28" s="7" t="n">
        <x:f>B28-C28</x:f>
        <x:v>20800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23400</x:v>
      </x:c>
      <x:c r="C29" s="7" t="n">
        <x:v>0</x:v>
      </x:c>
      <x:c r="D29" s="7" t="n">
        <x:f>B29-C29</x:f>
        <x:v>23400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20200</x:v>
      </x:c>
      <x:c r="C30" s="7" t="n">
        <x:v>17000</x:v>
      </x:c>
      <x:c r="D30" s="7" t="n">
        <x:f>B30-C30</x:f>
        <x:v>3200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27400</x:v>
      </x:c>
      <x:c r="C31" s="7" t="n">
        <x:v>18000</x:v>
      </x:c>
      <x:c r="D31" s="7" t="n">
        <x:f>B31-C31</x:f>
        <x:v>9400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3800</x:v>
      </x:c>
      <x:c r="C32" s="7" t="n">
        <x:v>0</x:v>
      </x:c>
      <x:c r="D32" s="7" t="n">
        <x:f>B32-C32</x:f>
        <x:v>3800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462200</x:v>
      </x:c>
      <x:c r="C33" s="11" t="n">
        <x:f>SUM(C6:C32)</x:f>
        <x:v>387000</x:v>
      </x:c>
      <x:c r="D33" s="11" t="n">
        <x:f>B33-C33</x:f>
        <x:v>75200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12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175862fdcb4c1b"/>
  </x:tableParts>
</x:worksheet>
</file>

<file path=xl/worksheets/sheet124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NK225_U168B_07　米国後の損益</x:v>
      </x:c>
      <x:c r="B2" s="2"/>
      <x:c r="C2" s="2"/>
      <x:c r="D2" s="2"/>
      <x:c r="E2" s="2"/>
      <x:c r="F2" s="2"/>
    </x:row>
    <x:row r="3" ht="38" customHeight="1">
      <x:c r="A3" s="5" t="str">
        <x:v>半量20円回収・残りは最高利益の半分を守る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5000</x:v>
      </x:c>
      <x:c r="C6" s="7" t="n">
        <x:v>0</x:v>
      </x:c>
      <x:c r="D6" s="7" t="n">
        <x:f>B6-C6</x:f>
        <x:v>5000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10000</x:v>
      </x:c>
      <x:c r="C7" s="7" t="n">
        <x:v>0</x:v>
      </x:c>
      <x:c r="D7" s="7" t="n">
        <x:f>B7-C7</x:f>
        <x:v>10000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5500</x:v>
      </x:c>
      <x:c r="C8" s="7" t="n">
        <x:v>40000</x:v>
      </x:c>
      <x:c r="D8" s="7" t="n">
        <x:f>B8-C8</x:f>
        <x:v>-34500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3000</x:v>
      </x:c>
      <x:c r="C9" s="7" t="n">
        <x:v>0</x:v>
      </x:c>
      <x:c r="D9" s="7" t="n">
        <x:f>B9-C9</x:f>
        <x:v>3000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10500</x:v>
      </x:c>
      <x:c r="C10" s="7" t="n">
        <x:v>0</x:v>
      </x:c>
      <x:c r="D10" s="7" t="n">
        <x:f>B10-C10</x:f>
        <x:v>10500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3000</x:v>
      </x:c>
      <x:c r="C11" s="7" t="n">
        <x:v>42000</x:v>
      </x:c>
      <x:c r="D11" s="7" t="n">
        <x:f>B11-C11</x:f>
        <x:v>-39000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15500</x:v>
      </x:c>
      <x:c r="C12" s="7" t="n">
        <x:v>22000</x:v>
      </x:c>
      <x:c r="D12" s="7" t="n">
        <x:f>B12-C12</x:f>
        <x:v>-6500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13000</x:v>
      </x:c>
      <x:c r="C13" s="7" t="n">
        <x:v>0</x:v>
      </x:c>
      <x:c r="D13" s="7" t="n">
        <x:f>B13-C13</x:f>
        <x:v>13000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45000</x:v>
      </x:c>
      <x:c r="C14" s="7" t="n">
        <x:v>13000</x:v>
      </x:c>
      <x:c r="D14" s="7" t="n">
        <x:f>B14-C14</x:f>
        <x:v>32000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52500</x:v>
      </x:c>
      <x:c r="C15" s="7" t="n">
        <x:v>9000</x:v>
      </x:c>
      <x:c r="D15" s="7" t="n">
        <x:f>B15-C15</x:f>
        <x:v>43500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22000</x:v>
      </x:c>
      <x:c r="C16" s="7" t="n">
        <x:v>0</x:v>
      </x:c>
      <x:c r="D16" s="7" t="n">
        <x:f>B16-C16</x:f>
        <x:v>22000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3500</x:v>
      </x:c>
      <x:c r="C17" s="7" t="n">
        <x:v>35000</x:v>
      </x:c>
      <x:c r="D17" s="7" t="n">
        <x:f>B17-C17</x:f>
        <x:v>-31500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2500</x:v>
      </x:c>
      <x:c r="C18" s="7" t="n">
        <x:v>14000</x:v>
      </x:c>
      <x:c r="D18" s="7" t="n">
        <x:f>B18-C18</x:f>
        <x:v>-11500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38000</x:v>
      </x:c>
      <x:c r="C19" s="7" t="n">
        <x:v>12000</x:v>
      </x:c>
      <x:c r="D19" s="7" t="n">
        <x:f>B19-C19</x:f>
        <x:v>26000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10000</x:v>
      </x:c>
      <x:c r="C20" s="7" t="n">
        <x:v>0</x:v>
      </x:c>
      <x:c r="D20" s="7" t="n">
        <x:f>B20-C20</x:f>
        <x:v>10000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7500</x:v>
      </x:c>
      <x:c r="C21" s="7" t="n">
        <x:v>0</x:v>
      </x:c>
      <x:c r="D21" s="7" t="n">
        <x:f>B21-C21</x:f>
        <x:v>7500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0</x:v>
      </x:c>
      <x:c r="C22" s="7" t="n">
        <x:v>53000</x:v>
      </x:c>
      <x:c r="D22" s="7" t="n">
        <x:f>B22-C22</x:f>
        <x:v>-53000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13000</x:v>
      </x:c>
      <x:c r="C23" s="7" t="n">
        <x:v>18000</x:v>
      </x:c>
      <x:c r="D23" s="7" t="n">
        <x:f>B23-C23</x:f>
        <x:v>-5000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11000</x:v>
      </x:c>
      <x:c r="C24" s="7" t="n">
        <x:v>30000</x:v>
      </x:c>
      <x:c r="D24" s="7" t="n">
        <x:f>B24-C24</x:f>
        <x:v>-19000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46000</x:v>
      </x:c>
      <x:c r="C25" s="7" t="n">
        <x:v>0</x:v>
      </x:c>
      <x:c r="D25" s="7" t="n">
        <x:f>B25-C25</x:f>
        <x:v>46000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22000</x:v>
      </x:c>
      <x:c r="C26" s="7" t="n">
        <x:v>64000</x:v>
      </x:c>
      <x:c r="D26" s="7" t="n">
        <x:f>B26-C26</x:f>
        <x:v>-42000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21000</x:v>
      </x:c>
      <x:c r="C27" s="7" t="n">
        <x:v>0</x:v>
      </x:c>
      <x:c r="D27" s="7" t="n">
        <x:f>B27-C27</x:f>
        <x:v>21000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17500</x:v>
      </x:c>
      <x:c r="C28" s="7" t="n">
        <x:v>0</x:v>
      </x:c>
      <x:c r="D28" s="7" t="n">
        <x:f>B28-C28</x:f>
        <x:v>17500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33000</x:v>
      </x:c>
      <x:c r="C29" s="7" t="n">
        <x:v>0</x:v>
      </x:c>
      <x:c r="D29" s="7" t="n">
        <x:f>B29-C29</x:f>
        <x:v>33000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17000</x:v>
      </x:c>
      <x:c r="C30" s="7" t="n">
        <x:v>17000</x:v>
      </x:c>
      <x:c r="D30" s="7" t="n">
        <x:f>B30-C30</x:f>
        <x:v>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23000</x:v>
      </x:c>
      <x:c r="C31" s="7" t="n">
        <x:v>18000</x:v>
      </x:c>
      <x:c r="D31" s="7" t="n">
        <x:f>B31-C31</x:f>
        <x:v>5000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3500</x:v>
      </x:c>
      <x:c r="C32" s="7" t="n">
        <x:v>0</x:v>
      </x:c>
      <x:c r="D32" s="7" t="n">
        <x:f>B32-C32</x:f>
        <x:v>3500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453500</x:v>
      </x:c>
      <x:c r="C33" s="11" t="n">
        <x:f>SUM(C6:C32)</x:f>
        <x:v>387000</x:v>
      </x:c>
      <x:c r="D33" s="11" t="n">
        <x:f>B33-C33</x:f>
        <x:v>66500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12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fc6c97d7d04e5b"/>
  </x:tableParts>
</x:worksheet>
</file>

<file path=xl/worksheets/sheet125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NK225_U168B_08　米国後の損益</x:v>
      </x:c>
      <x:c r="B2" s="2"/>
      <x:c r="C2" s="2"/>
      <x:c r="D2" s="2"/>
      <x:c r="E2" s="2"/>
      <x:c r="F2" s="2"/>
    </x:row>
    <x:row r="3" ht="38" customHeight="1">
      <x:c r="A3" s="5" t="str">
        <x:v>8割20円回収・残りは最高利益の半分を守る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5000</x:v>
      </x:c>
      <x:c r="C6" s="7" t="n">
        <x:v>0</x:v>
      </x:c>
      <x:c r="D6" s="7" t="n">
        <x:f>B6-C6</x:f>
        <x:v>5000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10000</x:v>
      </x:c>
      <x:c r="C7" s="7" t="n">
        <x:v>0</x:v>
      </x:c>
      <x:c r="D7" s="7" t="n">
        <x:f>B7-C7</x:f>
        <x:v>10000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6400</x:v>
      </x:c>
      <x:c r="C8" s="7" t="n">
        <x:v>40000</x:v>
      </x:c>
      <x:c r="D8" s="7" t="n">
        <x:f>B8-C8</x:f>
        <x:v>-33600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3600</x:v>
      </x:c>
      <x:c r="C9" s="7" t="n">
        <x:v>0</x:v>
      </x:c>
      <x:c r="D9" s="7" t="n">
        <x:f>B9-C9</x:f>
        <x:v>3600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11400</x:v>
      </x:c>
      <x:c r="C10" s="7" t="n">
        <x:v>0</x:v>
      </x:c>
      <x:c r="D10" s="7" t="n">
        <x:f>B10-C10</x:f>
        <x:v>11400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3600</x:v>
      </x:c>
      <x:c r="C11" s="7" t="n">
        <x:v>42000</x:v>
      </x:c>
      <x:c r="D11" s="7" t="n">
        <x:f>B11-C11</x:f>
        <x:v>-38400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17000</x:v>
      </x:c>
      <x:c r="C12" s="7" t="n">
        <x:v>22000</x:v>
      </x:c>
      <x:c r="D12" s="7" t="n">
        <x:f>B12-C12</x:f>
        <x:v>-5000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13600</x:v>
      </x:c>
      <x:c r="C13" s="7" t="n">
        <x:v>0</x:v>
      </x:c>
      <x:c r="D13" s="7" t="n">
        <x:f>B13-C13</x:f>
        <x:v>13600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31200</x:v>
      </x:c>
      <x:c r="C14" s="7" t="n">
        <x:v>13000</x:v>
      </x:c>
      <x:c r="D14" s="7" t="n">
        <x:f>B14-C14</x:f>
        <x:v>18200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52200</x:v>
      </x:c>
      <x:c r="C15" s="7" t="n">
        <x:v>9000</x:v>
      </x:c>
      <x:c r="D15" s="7" t="n">
        <x:f>B15-C15</x:f>
        <x:v>43200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26800</x:v>
      </x:c>
      <x:c r="C16" s="7" t="n">
        <x:v>0</x:v>
      </x:c>
      <x:c r="D16" s="7" t="n">
        <x:f>B16-C16</x:f>
        <x:v>26800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3800</x:v>
      </x:c>
      <x:c r="C17" s="7" t="n">
        <x:v>35000</x:v>
      </x:c>
      <x:c r="D17" s="7" t="n">
        <x:f>B17-C17</x:f>
        <x:v>-31200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2200</x:v>
      </x:c>
      <x:c r="C18" s="7" t="n">
        <x:v>14000</x:v>
      </x:c>
      <x:c r="D18" s="7" t="n">
        <x:f>B18-C18</x:f>
        <x:v>-11800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42800</x:v>
      </x:c>
      <x:c r="C19" s="7" t="n">
        <x:v>12000</x:v>
      </x:c>
      <x:c r="D19" s="7" t="n">
        <x:f>B19-C19</x:f>
        <x:v>30800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10000</x:v>
      </x:c>
      <x:c r="C20" s="7" t="n">
        <x:v>0</x:v>
      </x:c>
      <x:c r="D20" s="7" t="n">
        <x:f>B20-C20</x:f>
        <x:v>10000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9000</x:v>
      </x:c>
      <x:c r="C21" s="7" t="n">
        <x:v>0</x:v>
      </x:c>
      <x:c r="D21" s="7" t="n">
        <x:f>B21-C21</x:f>
        <x:v>9000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0</x:v>
      </x:c>
      <x:c r="C22" s="7" t="n">
        <x:v>53000</x:v>
      </x:c>
      <x:c r="D22" s="7" t="n">
        <x:f>B22-C22</x:f>
        <x:v>-53000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13000</x:v>
      </x:c>
      <x:c r="C23" s="7" t="n">
        <x:v>18000</x:v>
      </x:c>
      <x:c r="D23" s="7" t="n">
        <x:f>B23-C23</x:f>
        <x:v>-5000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11000</x:v>
      </x:c>
      <x:c r="C24" s="7" t="n">
        <x:v>30000</x:v>
      </x:c>
      <x:c r="D24" s="7" t="n">
        <x:f>B24-C24</x:f>
        <x:v>-19000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50800</x:v>
      </x:c>
      <x:c r="C25" s="7" t="n">
        <x:v>0</x:v>
      </x:c>
      <x:c r="D25" s="7" t="n">
        <x:f>B25-C25</x:f>
        <x:v>50800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24400</x:v>
      </x:c>
      <x:c r="C26" s="7" t="n">
        <x:v>64000</x:v>
      </x:c>
      <x:c r="D26" s="7" t="n">
        <x:f>B26-C26</x:f>
        <x:v>-39600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19200</x:v>
      </x:c>
      <x:c r="C27" s="7" t="n">
        <x:v>0</x:v>
      </x:c>
      <x:c r="D27" s="7" t="n">
        <x:f>B27-C27</x:f>
        <x:v>19200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20800</x:v>
      </x:c>
      <x:c r="C28" s="7" t="n">
        <x:v>0</x:v>
      </x:c>
      <x:c r="D28" s="7" t="n">
        <x:f>B28-C28</x:f>
        <x:v>20800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21600</x:v>
      </x:c>
      <x:c r="C29" s="7" t="n">
        <x:v>0</x:v>
      </x:c>
      <x:c r="D29" s="7" t="n">
        <x:f>B29-C29</x:f>
        <x:v>21600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18800</x:v>
      </x:c>
      <x:c r="C30" s="7" t="n">
        <x:v>17000</x:v>
      </x:c>
      <x:c r="D30" s="7" t="n">
        <x:f>B30-C30</x:f>
        <x:v>1800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24200</x:v>
      </x:c>
      <x:c r="C31" s="7" t="n">
        <x:v>18000</x:v>
      </x:c>
      <x:c r="D31" s="7" t="n">
        <x:f>B31-C31</x:f>
        <x:v>6200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3800</x:v>
      </x:c>
      <x:c r="C32" s="7" t="n">
        <x:v>0</x:v>
      </x:c>
      <x:c r="D32" s="7" t="n">
        <x:f>B32-C32</x:f>
        <x:v>3800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456200</x:v>
      </x:c>
      <x:c r="C33" s="11" t="n">
        <x:f>SUM(C6:C32)</x:f>
        <x:v>387000</x:v>
      </x:c>
      <x:c r="D33" s="11" t="n">
        <x:f>B33-C33</x:f>
        <x:v>69200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12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48cabf878ae44dd"/>
  </x:tableParts>
</x:worksheet>
</file>

<file path=xl/worksheets/sheet126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NK225_U168B_09　米国後の損益</x:v>
      </x:c>
      <x:c r="B2" s="2"/>
      <x:c r="C2" s="2"/>
      <x:c r="D2" s="2"/>
      <x:c r="E2" s="2"/>
      <x:c r="F2" s="2"/>
    </x:row>
    <x:row r="3" ht="38" customHeight="1">
      <x:c r="A3" s="5" t="str">
        <x:v>実逆行を経た玉の10円利益床・240円猶予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5000</x:v>
      </x:c>
      <x:c r="C6" s="7" t="n">
        <x:v>0</x:v>
      </x:c>
      <x:c r="D6" s="7" t="n">
        <x:f>B6-C6</x:f>
        <x:v>5000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10000</x:v>
      </x:c>
      <x:c r="C7" s="7" t="n">
        <x:v>0</x:v>
      </x:c>
      <x:c r="D7" s="7" t="n">
        <x:f>B7-C7</x:f>
        <x:v>10000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9000</x:v>
      </x:c>
      <x:c r="C8" s="7" t="n">
        <x:v>0</x:v>
      </x:c>
      <x:c r="D8" s="7" t="n">
        <x:f>B8-C8</x:f>
        <x:v>9000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5000</x:v>
      </x:c>
      <x:c r="C9" s="7" t="n">
        <x:v>0</x:v>
      </x:c>
      <x:c r="D9" s="7" t="n">
        <x:f>B9-C9</x:f>
        <x:v>5000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18000</x:v>
      </x:c>
      <x:c r="C10" s="7" t="n">
        <x:v>0</x:v>
      </x:c>
      <x:c r="D10" s="7" t="n">
        <x:f>B10-C10</x:f>
        <x:v>18000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11000</x:v>
      </x:c>
      <x:c r="C11" s="7" t="n">
        <x:v>72000</x:v>
      </x:c>
      <x:c r="D11" s="7" t="n">
        <x:f>B11-C11</x:f>
        <x:v>-61000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31000</x:v>
      </x:c>
      <x:c r="C12" s="7" t="n">
        <x:v>23000</x:v>
      </x:c>
      <x:c r="D12" s="7" t="n">
        <x:f>B12-C12</x:f>
        <x:v>8000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12000</x:v>
      </x:c>
      <x:c r="C13" s="7" t="n">
        <x:v>0</x:v>
      </x:c>
      <x:c r="D13" s="7" t="n">
        <x:f>B13-C13</x:f>
        <x:v>12000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58000</x:v>
      </x:c>
      <x:c r="C14" s="7" t="n">
        <x:v>24000</x:v>
      </x:c>
      <x:c r="D14" s="7" t="n">
        <x:f>B14-C14</x:f>
        <x:v>34000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151000</x:v>
      </x:c>
      <x:c r="C15" s="7" t="n">
        <x:v>24000</x:v>
      </x:c>
      <x:c r="D15" s="7" t="n">
        <x:f>B15-C15</x:f>
        <x:v>127000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23000</x:v>
      </x:c>
      <x:c r="C16" s="7" t="n">
        <x:v>0</x:v>
      </x:c>
      <x:c r="D16" s="7" t="n">
        <x:f>B16-C16</x:f>
        <x:v>23000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8000</x:v>
      </x:c>
      <x:c r="C17" s="7" t="n">
        <x:v>0</x:v>
      </x:c>
      <x:c r="D17" s="7" t="n">
        <x:f>B17-C17</x:f>
        <x:v>8000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0</x:v>
      </x:c>
      <x:c r="C18" s="7" t="n">
        <x:v>48000</x:v>
      </x:c>
      <x:c r="D18" s="7" t="n">
        <x:f>B18-C18</x:f>
        <x:v>-48000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221000</x:v>
      </x:c>
      <x:c r="C19" s="7" t="n">
        <x:v>48000</x:v>
      </x:c>
      <x:c r="D19" s="7" t="n">
        <x:f>B19-C19</x:f>
        <x:v>173000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10000</x:v>
      </x:c>
      <x:c r="C20" s="7" t="n">
        <x:v>0</x:v>
      </x:c>
      <x:c r="D20" s="7" t="n">
        <x:f>B20-C20</x:f>
        <x:v>10000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82000</x:v>
      </x:c>
      <x:c r="C21" s="7" t="n">
        <x:v>0</x:v>
      </x:c>
      <x:c r="D21" s="7" t="n">
        <x:f>B21-C21</x:f>
        <x:v>82000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12000</x:v>
      </x:c>
      <x:c r="C22" s="7" t="n">
        <x:v>0</x:v>
      </x:c>
      <x:c r="D22" s="7" t="n">
        <x:f>B22-C22</x:f>
        <x:v>12000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12000</x:v>
      </x:c>
      <x:c r="C23" s="7" t="n">
        <x:v>48000</x:v>
      </x:c>
      <x:c r="D23" s="7" t="n">
        <x:f>B23-C23</x:f>
        <x:v>-36000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25000</x:v>
      </x:c>
      <x:c r="C24" s="7" t="n">
        <x:v>30000</x:v>
      </x:c>
      <x:c r="D24" s="7" t="n">
        <x:f>B24-C24</x:f>
        <x:v>-5000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95000</x:v>
      </x:c>
      <x:c r="C25" s="7" t="n">
        <x:v>0</x:v>
      </x:c>
      <x:c r="D25" s="7" t="n">
        <x:f>B25-C25</x:f>
        <x:v>95000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34000</x:v>
      </x:c>
      <x:c r="C26" s="7" t="n">
        <x:v>0</x:v>
      </x:c>
      <x:c r="D26" s="7" t="n">
        <x:f>B26-C26</x:f>
        <x:v>34000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12000</x:v>
      </x:c>
      <x:c r="C27" s="7" t="n">
        <x:v>0</x:v>
      </x:c>
      <x:c r="D27" s="7" t="n">
        <x:f>B27-C27</x:f>
        <x:v>12000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12000</x:v>
      </x:c>
      <x:c r="C28" s="7" t="n">
        <x:v>0</x:v>
      </x:c>
      <x:c r="D28" s="7" t="n">
        <x:f>B28-C28</x:f>
        <x:v>12000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156000</x:v>
      </x:c>
      <x:c r="C29" s="7" t="n">
        <x:v>0</x:v>
      </x:c>
      <x:c r="D29" s="7" t="n">
        <x:f>B29-C29</x:f>
        <x:v>156000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22000</x:v>
      </x:c>
      <x:c r="C30" s="7" t="n">
        <x:v>23000</x:v>
      </x:c>
      <x:c r="D30" s="7" t="n">
        <x:f>B30-C30</x:f>
        <x:v>-1000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83000</x:v>
      </x:c>
      <x:c r="C31" s="7" t="n">
        <x:v>48000</x:v>
      </x:c>
      <x:c r="D31" s="7" t="n">
        <x:f>B31-C31</x:f>
        <x:v>35000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8000</x:v>
      </x:c>
      <x:c r="C32" s="7" t="n">
        <x:v>0</x:v>
      </x:c>
      <x:c r="D32" s="7" t="n">
        <x:f>B32-C32</x:f>
        <x:v>8000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1125000</x:v>
      </x:c>
      <x:c r="C33" s="11" t="n">
        <x:f>SUM(C6:C32)</x:f>
        <x:v>388000</x:v>
      </x:c>
      <x:c r="D33" s="11" t="n">
        <x:f>B33-C33</x:f>
        <x:v>737000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12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ac4002c470548c0"/>
  </x:tableParts>
</x:worksheet>
</file>

<file path=xl/worksheets/sheet127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NK225_U168B_10　米国後の損益</x:v>
      </x:c>
      <x:c r="B2" s="2"/>
      <x:c r="C2" s="2"/>
      <x:c r="D2" s="2"/>
      <x:c r="E2" s="2"/>
      <x:c r="F2" s="2"/>
    </x:row>
    <x:row r="3" ht="38" customHeight="1">
      <x:c r="A3" s="5" t="str">
        <x:v>240円まで猶予し10円利益を直接回収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5000</x:v>
      </x:c>
      <x:c r="C6" s="7" t="n">
        <x:v>0</x:v>
      </x:c>
      <x:c r="D6" s="7" t="n">
        <x:f>B6-C6</x:f>
        <x:v>5000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5000</x:v>
      </x:c>
      <x:c r="C7" s="7" t="n">
        <x:v>0</x:v>
      </x:c>
      <x:c r="D7" s="7" t="n">
        <x:f>B7-C7</x:f>
        <x:v>5000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10000</x:v>
      </x:c>
      <x:c r="C8" s="7" t="n">
        <x:v>0</x:v>
      </x:c>
      <x:c r="D8" s="7" t="n">
        <x:f>B8-C8</x:f>
        <x:v>10000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2000</x:v>
      </x:c>
      <x:c r="C9" s="7" t="n">
        <x:v>0</x:v>
      </x:c>
      <x:c r="D9" s="7" t="n">
        <x:f>B9-C9</x:f>
        <x:v>2000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5000</x:v>
      </x:c>
      <x:c r="C10" s="7" t="n">
        <x:v>0</x:v>
      </x:c>
      <x:c r="D10" s="7" t="n">
        <x:f>B10-C10</x:f>
        <x:v>5000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3000</x:v>
      </x:c>
      <x:c r="C11" s="7" t="n">
        <x:v>72000</x:v>
      </x:c>
      <x:c r="D11" s="7" t="n">
        <x:f>B11-C11</x:f>
        <x:v>-69000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12000</x:v>
      </x:c>
      <x:c r="C12" s="7" t="n">
        <x:v>23000</x:v>
      </x:c>
      <x:c r="D12" s="7" t="n">
        <x:f>B12-C12</x:f>
        <x:v>-11000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1000</x:v>
      </x:c>
      <x:c r="C13" s="7" t="n">
        <x:v>0</x:v>
      </x:c>
      <x:c r="D13" s="7" t="n">
        <x:f>B13-C13</x:f>
        <x:v>1000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11000</x:v>
      </x:c>
      <x:c r="C14" s="7" t="n">
        <x:v>24000</x:v>
      </x:c>
      <x:c r="D14" s="7" t="n">
        <x:f>B14-C14</x:f>
        <x:v>-13000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23000</x:v>
      </x:c>
      <x:c r="C15" s="7" t="n">
        <x:v>0</x:v>
      </x:c>
      <x:c r="D15" s="7" t="n">
        <x:f>B15-C15</x:f>
        <x:v>23000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11000</x:v>
      </x:c>
      <x:c r="C16" s="7" t="n">
        <x:v>0</x:v>
      </x:c>
      <x:c r="D16" s="7" t="n">
        <x:f>B16-C16</x:f>
        <x:v>11000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2000</x:v>
      </x:c>
      <x:c r="C17" s="7" t="n">
        <x:v>0</x:v>
      </x:c>
      <x:c r="D17" s="7" t="n">
        <x:f>B17-C17</x:f>
        <x:v>2000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1000</x:v>
      </x:c>
      <x:c r="C18" s="7" t="n">
        <x:v>24000</x:v>
      </x:c>
      <x:c r="D18" s="7" t="n">
        <x:f>B18-C18</x:f>
        <x:v>-23000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17000</x:v>
      </x:c>
      <x:c r="C19" s="7" t="n">
        <x:v>48000</x:v>
      </x:c>
      <x:c r="D19" s="7" t="n">
        <x:f>B19-C19</x:f>
        <x:v>-31000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5000</x:v>
      </x:c>
      <x:c r="C20" s="7" t="n">
        <x:v>0</x:v>
      </x:c>
      <x:c r="D20" s="7" t="n">
        <x:f>B20-C20</x:f>
        <x:v>5000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5000</x:v>
      </x:c>
      <x:c r="C21" s="7" t="n">
        <x:v>0</x:v>
      </x:c>
      <x:c r="D21" s="7" t="n">
        <x:f>B21-C21</x:f>
        <x:v>5000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5000</x:v>
      </x:c>
      <x:c r="C22" s="7" t="n">
        <x:v>0</x:v>
      </x:c>
      <x:c r="D22" s="7" t="n">
        <x:f>B22-C22</x:f>
        <x:v>5000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9000</x:v>
      </x:c>
      <x:c r="C23" s="7" t="n">
        <x:v>0</x:v>
      </x:c>
      <x:c r="D23" s="7" t="n">
        <x:f>B23-C23</x:f>
        <x:v>9000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6000</x:v>
      </x:c>
      <x:c r="C24" s="7" t="n">
        <x:v>30000</x:v>
      </x:c>
      <x:c r="D24" s="7" t="n">
        <x:f>B24-C24</x:f>
        <x:v>-24000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19000</x:v>
      </x:c>
      <x:c r="C25" s="7" t="n">
        <x:v>0</x:v>
      </x:c>
      <x:c r="D25" s="7" t="n">
        <x:f>B25-C25</x:f>
        <x:v>19000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18000</x:v>
      </x:c>
      <x:c r="C26" s="7" t="n">
        <x:v>0</x:v>
      </x:c>
      <x:c r="D26" s="7" t="n">
        <x:f>B26-C26</x:f>
        <x:v>18000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10000</x:v>
      </x:c>
      <x:c r="C27" s="7" t="n">
        <x:v>0</x:v>
      </x:c>
      <x:c r="D27" s="7" t="n">
        <x:f>B27-C27</x:f>
        <x:v>10000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12000</x:v>
      </x:c>
      <x:c r="C28" s="7" t="n">
        <x:v>0</x:v>
      </x:c>
      <x:c r="D28" s="7" t="n">
        <x:f>B28-C28</x:f>
        <x:v>12000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7000</x:v>
      </x:c>
      <x:c r="C29" s="7" t="n">
        <x:v>0</x:v>
      </x:c>
      <x:c r="D29" s="7" t="n">
        <x:f>B29-C29</x:f>
        <x:v>7000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5000</x:v>
      </x:c>
      <x:c r="C30" s="7" t="n">
        <x:v>23000</x:v>
      </x:c>
      <x:c r="D30" s="7" t="n">
        <x:f>B30-C30</x:f>
        <x:v>-18000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15000</x:v>
      </x:c>
      <x:c r="C31" s="7" t="n">
        <x:v>0</x:v>
      </x:c>
      <x:c r="D31" s="7" t="n">
        <x:f>B31-C31</x:f>
        <x:v>15000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1000</x:v>
      </x:c>
      <x:c r="C32" s="7" t="n">
        <x:v>0</x:v>
      </x:c>
      <x:c r="D32" s="7" t="n">
        <x:f>B32-C32</x:f>
        <x:v>1000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225000</x:v>
      </x:c>
      <x:c r="C33" s="11" t="n">
        <x:f>SUM(C6:C32)</x:f>
        <x:v>244000</x:v>
      </x:c>
      <x:c r="D33" s="11" t="n">
        <x:f>B33-C33</x:f>
        <x:v>-19000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12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62fc1d46fc943cd"/>
  </x:tableParts>
</x:worksheet>
</file>

<file path=xl/worksheets/sheet128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NK225_U168B_11　米国後の損益</x:v>
      </x:c>
      <x:c r="B2" s="2"/>
      <x:c r="C2" s="2"/>
      <x:c r="D2" s="2"/>
      <x:c r="E2" s="2"/>
      <x:c r="F2" s="2"/>
    </x:row>
    <x:row r="3" ht="38" customHeight="1">
      <x:c r="A3" s="5" t="str">
        <x:v>240円まで猶予し20円利益を直接回収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5000</x:v>
      </x:c>
      <x:c r="C6" s="7" t="n">
        <x:v>0</x:v>
      </x:c>
      <x:c r="D6" s="7" t="n">
        <x:f>B6-C6</x:f>
        <x:v>5000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10000</x:v>
      </x:c>
      <x:c r="C7" s="7" t="n">
        <x:v>0</x:v>
      </x:c>
      <x:c r="D7" s="7" t="n">
        <x:f>B7-C7</x:f>
        <x:v>10000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17000</x:v>
      </x:c>
      <x:c r="C8" s="7" t="n">
        <x:v>0</x:v>
      </x:c>
      <x:c r="D8" s="7" t="n">
        <x:f>B8-C8</x:f>
        <x:v>17000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4000</x:v>
      </x:c>
      <x:c r="C9" s="7" t="n">
        <x:v>0</x:v>
      </x:c>
      <x:c r="D9" s="7" t="n">
        <x:f>B9-C9</x:f>
        <x:v>4000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12000</x:v>
      </x:c>
      <x:c r="C10" s="7" t="n">
        <x:v>0</x:v>
      </x:c>
      <x:c r="D10" s="7" t="n">
        <x:f>B10-C10</x:f>
        <x:v>12000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6000</x:v>
      </x:c>
      <x:c r="C11" s="7" t="n">
        <x:v>72000</x:v>
      </x:c>
      <x:c r="D11" s="7" t="n">
        <x:f>B11-C11</x:f>
        <x:v>-66000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20000</x:v>
      </x:c>
      <x:c r="C12" s="7" t="n">
        <x:v>23000</x:v>
      </x:c>
      <x:c r="D12" s="7" t="n">
        <x:f>B12-C12</x:f>
        <x:v>-3000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14000</x:v>
      </x:c>
      <x:c r="C13" s="7" t="n">
        <x:v>0</x:v>
      </x:c>
      <x:c r="D13" s="7" t="n">
        <x:f>B13-C13</x:f>
        <x:v>14000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22000</x:v>
      </x:c>
      <x:c r="C14" s="7" t="n">
        <x:v>24000</x:v>
      </x:c>
      <x:c r="D14" s="7" t="n">
        <x:f>B14-C14</x:f>
        <x:v>-2000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53000</x:v>
      </x:c>
      <x:c r="C15" s="7" t="n">
        <x:v>0</x:v>
      </x:c>
      <x:c r="D15" s="7" t="n">
        <x:f>B15-C15</x:f>
        <x:v>53000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30000</x:v>
      </x:c>
      <x:c r="C16" s="7" t="n">
        <x:v>0</x:v>
      </x:c>
      <x:c r="D16" s="7" t="n">
        <x:f>B16-C16</x:f>
        <x:v>30000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14000</x:v>
      </x:c>
      <x:c r="C17" s="7" t="n">
        <x:v>0</x:v>
      </x:c>
      <x:c r="D17" s="7" t="n">
        <x:f>B17-C17</x:f>
        <x:v>14000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2000</x:v>
      </x:c>
      <x:c r="C18" s="7" t="n">
        <x:v>24000</x:v>
      </x:c>
      <x:c r="D18" s="7" t="n">
        <x:f>B18-C18</x:f>
        <x:v>-22000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46000</x:v>
      </x:c>
      <x:c r="C19" s="7" t="n">
        <x:v>48000</x:v>
      </x:c>
      <x:c r="D19" s="7" t="n">
        <x:f>B19-C19</x:f>
        <x:v>-2000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10000</x:v>
      </x:c>
      <x:c r="C20" s="7" t="n">
        <x:v>0</x:v>
      </x:c>
      <x:c r="D20" s="7" t="n">
        <x:f>B20-C20</x:f>
        <x:v>10000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10000</x:v>
      </x:c>
      <x:c r="C21" s="7" t="n">
        <x:v>0</x:v>
      </x:c>
      <x:c r="D21" s="7" t="n">
        <x:f>B21-C21</x:f>
        <x:v>10000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11000</x:v>
      </x:c>
      <x:c r="C22" s="7" t="n">
        <x:v>0</x:v>
      </x:c>
      <x:c r="D22" s="7" t="n">
        <x:f>B22-C22</x:f>
        <x:v>11000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13000</x:v>
      </x:c>
      <x:c r="C23" s="7" t="n">
        <x:v>48000</x:v>
      </x:c>
      <x:c r="D23" s="7" t="n">
        <x:f>B23-C23</x:f>
        <x:v>-35000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11000</x:v>
      </x:c>
      <x:c r="C24" s="7" t="n">
        <x:v>30000</x:v>
      </x:c>
      <x:c r="D24" s="7" t="n">
        <x:f>B24-C24</x:f>
        <x:v>-19000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54000</x:v>
      </x:c>
      <x:c r="C25" s="7" t="n">
        <x:v>0</x:v>
      </x:c>
      <x:c r="D25" s="7" t="n">
        <x:f>B25-C25</x:f>
        <x:v>54000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37000</x:v>
      </x:c>
      <x:c r="C26" s="7" t="n">
        <x:v>0</x:v>
      </x:c>
      <x:c r="D26" s="7" t="n">
        <x:f>B26-C26</x:f>
        <x:v>37000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18000</x:v>
      </x:c>
      <x:c r="C27" s="7" t="n">
        <x:v>0</x:v>
      </x:c>
      <x:c r="D27" s="7" t="n">
        <x:f>B27-C27</x:f>
        <x:v>18000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23000</x:v>
      </x:c>
      <x:c r="C28" s="7" t="n">
        <x:v>0</x:v>
      </x:c>
      <x:c r="D28" s="7" t="n">
        <x:f>B28-C28</x:f>
        <x:v>23000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14000</x:v>
      </x:c>
      <x:c r="C29" s="7" t="n">
        <x:v>0</x:v>
      </x:c>
      <x:c r="D29" s="7" t="n">
        <x:f>B29-C29</x:f>
        <x:v>14000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20000</x:v>
      </x:c>
      <x:c r="C30" s="7" t="n">
        <x:v>23000</x:v>
      </x:c>
      <x:c r="D30" s="7" t="n">
        <x:f>B30-C30</x:f>
        <x:v>-3000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29000</x:v>
      </x:c>
      <x:c r="C31" s="7" t="n">
        <x:v>0</x:v>
      </x:c>
      <x:c r="D31" s="7" t="n">
        <x:f>B31-C31</x:f>
        <x:v>29000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4000</x:v>
      </x:c>
      <x:c r="C32" s="7" t="n">
        <x:v>0</x:v>
      </x:c>
      <x:c r="D32" s="7" t="n">
        <x:f>B32-C32</x:f>
        <x:v>4000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509000</x:v>
      </x:c>
      <x:c r="C33" s="11" t="n">
        <x:f>SUM(C6:C32)</x:f>
        <x:v>292000</x:v>
      </x:c>
      <x:c r="D33" s="11" t="n">
        <x:f>B33-C33</x:f>
        <x:v>217000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12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6ff348d3a44191"/>
  </x:tableParts>
</x:worksheet>
</file>

<file path=xl/worksheets/sheet129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NK225_U168B_12　米国後の損益</x:v>
      </x:c>
      <x:c r="B2" s="2"/>
      <x:c r="C2" s="2"/>
      <x:c r="D2" s="2"/>
      <x:c r="E2" s="2"/>
      <x:c r="F2" s="2"/>
    </x:row>
    <x:row r="3" ht="38" customHeight="1">
      <x:c r="A3" s="5" t="str">
        <x:v>240円猶予・大枚数ほど浅い金額基準の直接回収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5000</x:v>
      </x:c>
      <x:c r="C6" s="7" t="n">
        <x:v>0</x:v>
      </x:c>
      <x:c r="D6" s="7" t="n">
        <x:f>B6-C6</x:f>
        <x:v>5000</x:v>
      </x:c>
      <x:c r="E6" s="12" t="n">
        <x:v>50</x:v>
      </x:c>
      <x:c r="F6" s="14" t="n">
        <x:f>E6/10</x:f>
        <x:v>5</x:v>
      </x:c>
    </x:row>
    <x:row r="7" ht="25" customHeight="1">
      <x:c r="A7" s="2" t="str">
        <x:v>2026-09-22_Night</x:v>
      </x:c>
      <x:c r="B7" s="7" t="n">
        <x:v>10000</x:v>
      </x:c>
      <x:c r="C7" s="7" t="n">
        <x:v>0</x:v>
      </x:c>
      <x:c r="D7" s="7" t="n">
        <x:f>B7-C7</x:f>
        <x:v>10000</x:v>
      </x:c>
      <x:c r="E7" s="12" t="n">
        <x:v>50</x:v>
      </x:c>
      <x:c r="F7" s="14" t="n">
        <x:f>E7/10</x:f>
        <x:v>5</x:v>
      </x:c>
    </x:row>
    <x:row r="8" ht="25" customHeight="1">
      <x:c r="A8" s="2" t="str">
        <x:v>2026-09-23_Night</x:v>
      </x:c>
      <x:c r="B8" s="7" t="n">
        <x:v>18000</x:v>
      </x:c>
      <x:c r="C8" s="7" t="n">
        <x:v>0</x:v>
      </x:c>
      <x:c r="D8" s="7" t="n">
        <x:f>B8-C8</x:f>
        <x:v>18000</x:v>
      </x:c>
      <x:c r="E8" s="12" t="n">
        <x:v>70</x:v>
      </x:c>
      <x:c r="F8" s="14" t="n">
        <x:f>E8/10</x:f>
        <x:v>7</x:v>
      </x:c>
    </x:row>
    <x:row r="9" ht="25" customHeight="1">
      <x:c r="A9" s="2" t="str">
        <x:v>2026-09-24_Night</x:v>
      </x:c>
      <x:c r="B9" s="7" t="n">
        <x:v>7000</x:v>
      </x:c>
      <x:c r="C9" s="7" t="n">
        <x:v>0</x:v>
      </x:c>
      <x:c r="D9" s="7" t="n">
        <x:f>B9-C9</x:f>
        <x:v>7000</x:v>
      </x:c>
      <x:c r="E9" s="12" t="n">
        <x:v>20</x:v>
      </x:c>
      <x:c r="F9" s="14" t="n">
        <x:f>E9/10</x:f>
        <x:v>2</x:v>
      </x:c>
    </x:row>
    <x:row r="10" ht="25" customHeight="1">
      <x:c r="A10" s="2" t="str">
        <x:v>2026-09-25_Night</x:v>
      </x:c>
      <x:c r="B10" s="7" t="n">
        <x:v>14000</x:v>
      </x:c>
      <x:c r="C10" s="7" t="n">
        <x:v>0</x:v>
      </x:c>
      <x:c r="D10" s="7" t="n">
        <x:f>B10-C10</x:f>
        <x:v>14000</x:v>
      </x:c>
      <x:c r="E10" s="12" t="n">
        <x:v>60</x:v>
      </x:c>
      <x:c r="F10" s="14" t="n">
        <x:f>E10/10</x:f>
        <x:v>6</x:v>
      </x:c>
    </x:row>
    <x:row r="11" ht="25" customHeight="1">
      <x:c r="A11" s="2" t="str">
        <x:v>2026-09-28_Night</x:v>
      </x:c>
      <x:c r="B11" s="7" t="n">
        <x:v>11000</x:v>
      </x:c>
      <x:c r="C11" s="7" t="n">
        <x:v>72000</x:v>
      </x:c>
      <x:c r="D11" s="7" t="n">
        <x:f>B11-C11</x:f>
        <x:v>-61000</x:v>
      </x:c>
      <x:c r="E11" s="12" t="n">
        <x:v>60</x:v>
      </x:c>
      <x:c r="F11" s="14" t="n">
        <x:f>E11/10</x:f>
        <x:v>6</x:v>
      </x:c>
    </x:row>
    <x:row r="12" ht="25" customHeight="1">
      <x:c r="A12" s="2" t="str">
        <x:v>2026-09-29_Night</x:v>
      </x:c>
      <x:c r="B12" s="7" t="n">
        <x:v>26000</x:v>
      </x:c>
      <x:c r="C12" s="7" t="n">
        <x:v>23000</x:v>
      </x:c>
      <x:c r="D12" s="7" t="n">
        <x:f>B12-C12</x:f>
        <x:v>3000</x:v>
      </x:c>
      <x:c r="E12" s="12" t="n">
        <x:v>140</x:v>
      </x:c>
      <x:c r="F12" s="14" t="n">
        <x:f>E12/10</x:f>
        <x:v>14</x:v>
      </x:c>
    </x:row>
    <x:row r="13" ht="25" customHeight="1">
      <x:c r="A13" s="2" t="str">
        <x:v>2026-09-30_Night</x:v>
      </x:c>
      <x:c r="B13" s="7" t="n">
        <x:v>16000</x:v>
      </x:c>
      <x:c r="C13" s="7" t="n">
        <x:v>0</x:v>
      </x:c>
      <x:c r="D13" s="7" t="n">
        <x:f>B13-C13</x:f>
        <x:v>16000</x:v>
      </x:c>
      <x:c r="E13" s="12" t="n">
        <x:v>70</x:v>
      </x:c>
      <x:c r="F13" s="14" t="n">
        <x:f>E13/10</x:f>
        <x:v>7</x:v>
      </x:c>
    </x:row>
    <x:row r="14" ht="25" customHeight="1">
      <x:c r="A14" s="2" t="str">
        <x:v>2026-10-01_Night</x:v>
      </x:c>
      <x:c r="B14" s="7" t="n">
        <x:v>42000</x:v>
      </x:c>
      <x:c r="C14" s="7" t="n">
        <x:v>24000</x:v>
      </x:c>
      <x:c r="D14" s="7" t="n">
        <x:f>B14-C14</x:f>
        <x:v>18000</x:v>
      </x:c>
      <x:c r="E14" s="12" t="n">
        <x:v>120</x:v>
      </x:c>
      <x:c r="F14" s="14" t="n">
        <x:f>E14/10</x:f>
        <x:v>12</x:v>
      </x:c>
    </x:row>
    <x:row r="15" ht="25" customHeight="1">
      <x:c r="A15" s="2" t="str">
        <x:v>2026-10-02_Night</x:v>
      </x:c>
      <x:c r="B15" s="7" t="n">
        <x:v>81000</x:v>
      </x:c>
      <x:c r="C15" s="7" t="n">
        <x:v>48000</x:v>
      </x:c>
      <x:c r="D15" s="7" t="n">
        <x:f>B15-C15</x:f>
        <x:v>33000</x:v>
      </x:c>
      <x:c r="E15" s="12" t="n">
        <x:v>280</x:v>
      </x:c>
      <x:c r="F15" s="14" t="n">
        <x:f>E15/10</x:f>
        <x:v>28</x:v>
      </x:c>
    </x:row>
    <x:row r="16" ht="25" customHeight="1">
      <x:c r="A16" s="2" t="str">
        <x:v>2026-10-05_Night</x:v>
      </x:c>
      <x:c r="B16" s="7" t="n">
        <x:v>31000</x:v>
      </x:c>
      <x:c r="C16" s="7" t="n">
        <x:v>48000</x:v>
      </x:c>
      <x:c r="D16" s="7" t="n">
        <x:f>B16-C16</x:f>
        <x:v>-17000</x:v>
      </x:c>
      <x:c r="E16" s="12" t="n">
        <x:v>140</x:v>
      </x:c>
      <x:c r="F16" s="14" t="n">
        <x:f>E16/10</x:f>
        <x:v>14</x:v>
      </x:c>
    </x:row>
    <x:row r="17" ht="25" customHeight="1">
      <x:c r="A17" s="2" t="str">
        <x:v>2026-10-06_Night</x:v>
      </x:c>
      <x:c r="B17" s="7" t="n">
        <x:v>16000</x:v>
      </x:c>
      <x:c r="C17" s="7" t="n">
        <x:v>0</x:v>
      </x:c>
      <x:c r="D17" s="7" t="n">
        <x:f>B17-C17</x:f>
        <x:v>16000</x:v>
      </x:c>
      <x:c r="E17" s="12" t="n">
        <x:v>70</x:v>
      </x:c>
      <x:c r="F17" s="14" t="n">
        <x:f>E17/10</x:f>
        <x:v>7</x:v>
      </x:c>
    </x:row>
    <x:row r="18" ht="25" customHeight="1">
      <x:c r="A18" s="2" t="str">
        <x:v>2026-10-07_Night</x:v>
      </x:c>
      <x:c r="B18" s="7" t="n">
        <x:v>4000</x:v>
      </x:c>
      <x:c r="C18" s="7" t="n">
        <x:v>24000</x:v>
      </x:c>
      <x:c r="D18" s="7" t="n">
        <x:f>B18-C18</x:f>
        <x:v>-20000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61000</x:v>
      </x:c>
      <x:c r="C19" s="7" t="n">
        <x:v>72000</x:v>
      </x:c>
      <x:c r="D19" s="7" t="n">
        <x:f>B19-C19</x:f>
        <x:v>-11000</x:v>
      </x:c>
      <x:c r="E19" s="12" t="n">
        <x:v>280</x:v>
      </x:c>
      <x:c r="F19" s="14" t="n">
        <x:f>E19/10</x:f>
        <x:v>28</x:v>
      </x:c>
    </x:row>
    <x:row r="20" ht="25" customHeight="1">
      <x:c r="A20" s="2" t="str">
        <x:v>2026-10-09_Night</x:v>
      </x:c>
      <x:c r="B20" s="7" t="n">
        <x:v>10000</x:v>
      </x:c>
      <x:c r="C20" s="7" t="n">
        <x:v>0</x:v>
      </x:c>
      <x:c r="D20" s="7" t="n">
        <x:f>B20-C20</x:f>
        <x:v>10000</x:v>
      </x:c>
      <x:c r="E20" s="12" t="n">
        <x:v>50</x:v>
      </x:c>
      <x:c r="F20" s="14" t="n">
        <x:f>E20/10</x:f>
        <x:v>5</x:v>
      </x:c>
    </x:row>
    <x:row r="21" ht="25" customHeight="1">
      <x:c r="A21" s="2" t="str">
        <x:v>2026-10-12_Night</x:v>
      </x:c>
      <x:c r="B21" s="7" t="n">
        <x:v>10000</x:v>
      </x:c>
      <x:c r="C21" s="7" t="n">
        <x:v>0</x:v>
      </x:c>
      <x:c r="D21" s="7" t="n">
        <x:f>B21-C21</x:f>
        <x:v>10000</x:v>
      </x:c>
      <x:c r="E21" s="12" t="n">
        <x:v>50</x:v>
      </x:c>
      <x:c r="F21" s="14" t="n">
        <x:f>E21/10</x:f>
        <x:v>5</x:v>
      </x:c>
    </x:row>
    <x:row r="22" ht="25" customHeight="1">
      <x:c r="A22" s="2" t="str">
        <x:v>2026-10-13_Night</x:v>
      </x:c>
      <x:c r="B22" s="7" t="n">
        <x:v>14000</x:v>
      </x:c>
      <x:c r="C22" s="7" t="n">
        <x:v>0</x:v>
      </x:c>
      <x:c r="D22" s="7" t="n">
        <x:f>B22-C22</x:f>
        <x:v>14000</x:v>
      </x:c>
      <x:c r="E22" s="12" t="n">
        <x:v>60</x:v>
      </x:c>
      <x:c r="F22" s="14" t="n">
        <x:f>E22/10</x:f>
        <x:v>6</x:v>
      </x:c>
    </x:row>
    <x:row r="23" ht="25" customHeight="1">
      <x:c r="A23" s="2" t="str">
        <x:v>2026-10-14_Night</x:v>
      </x:c>
      <x:c r="B23" s="7" t="n">
        <x:v>17000</x:v>
      </x:c>
      <x:c r="C23" s="7" t="n">
        <x:v>48000</x:v>
      </x:c>
      <x:c r="D23" s="7" t="n">
        <x:f>B23-C23</x:f>
        <x:v>-31000</x:v>
      </x:c>
      <x:c r="E23" s="12" t="n">
        <x:v>90</x:v>
      </x:c>
      <x:c r="F23" s="14" t="n">
        <x:f>E23/10</x:f>
        <x:v>9</x:v>
      </x:c>
    </x:row>
    <x:row r="24" ht="25" customHeight="1">
      <x:c r="A24" s="2" t="str">
        <x:v>2026-10-15_Night</x:v>
      </x:c>
      <x:c r="B24" s="7" t="n">
        <x:v>25000</x:v>
      </x:c>
      <x:c r="C24" s="7" t="n">
        <x:v>30000</x:v>
      </x:c>
      <x:c r="D24" s="7" t="n">
        <x:f>B24-C24</x:f>
        <x:v>-5000</x:v>
      </x:c>
      <x:c r="E24" s="12" t="n">
        <x:v>70</x:v>
      </x:c>
      <x:c r="F24" s="14" t="n">
        <x:f>E24/10</x:f>
        <x:v>7</x:v>
      </x:c>
    </x:row>
    <x:row r="25" ht="25" customHeight="1">
      <x:c r="A25" s="2" t="str">
        <x:v>2026-10-16_Night</x:v>
      </x:c>
      <x:c r="B25" s="7" t="n">
        <x:v>70000</x:v>
      </x:c>
      <x:c r="C25" s="7" t="n">
        <x:v>24000</x:v>
      </x:c>
      <x:c r="D25" s="7" t="n">
        <x:f>B25-C25</x:f>
        <x:v>46000</x:v>
      </x:c>
      <x:c r="E25" s="12" t="n">
        <x:v>270</x:v>
      </x:c>
      <x:c r="F25" s="14" t="n">
        <x:f>E25/10</x:f>
        <x:v>27</x:v>
      </x:c>
    </x:row>
    <x:row r="26" ht="25" customHeight="1">
      <x:c r="A26" s="2" t="str">
        <x:v>2026-10-19_Night</x:v>
      </x:c>
      <x:c r="B26" s="7" t="n">
        <x:v>61000</x:v>
      </x:c>
      <x:c r="C26" s="7" t="n">
        <x:v>24000</x:v>
      </x:c>
      <x:c r="D26" s="7" t="n">
        <x:f>B26-C26</x:f>
        <x:v>37000</x:v>
      </x:c>
      <x:c r="E26" s="12" t="n">
        <x:v>210</x:v>
      </x:c>
      <x:c r="F26" s="14" t="n">
        <x:f>E26/10</x:f>
        <x:v>21</x:v>
      </x:c>
    </x:row>
    <x:row r="27" ht="25" customHeight="1">
      <x:c r="A27" s="2" t="str">
        <x:v>2026-10-20_Night</x:v>
      </x:c>
      <x:c r="B27" s="7" t="n">
        <x:v>34000</x:v>
      </x:c>
      <x:c r="C27" s="7" t="n">
        <x:v>0</x:v>
      </x:c>
      <x:c r="D27" s="7" t="n">
        <x:f>B27-C27</x:f>
        <x:v>34000</x:v>
      </x:c>
      <x:c r="E27" s="12" t="n">
        <x:v>100</x:v>
      </x:c>
      <x:c r="F27" s="14" t="n">
        <x:f>E27/10</x:f>
        <x:v>10</x:v>
      </x:c>
    </x:row>
    <x:row r="28" ht="25" customHeight="1">
      <x:c r="A28" s="2" t="str">
        <x:v>2026-10-21_Night</x:v>
      </x:c>
      <x:c r="B28" s="7" t="n">
        <x:v>28000</x:v>
      </x:c>
      <x:c r="C28" s="7" t="n">
        <x:v>0</x:v>
      </x:c>
      <x:c r="D28" s="7" t="n">
        <x:f>B28-C28</x:f>
        <x:v>28000</x:v>
      </x:c>
      <x:c r="E28" s="12" t="n">
        <x:v>120</x:v>
      </x:c>
      <x:c r="F28" s="14" t="n">
        <x:f>E28/10</x:f>
        <x:v>12</x:v>
      </x:c>
    </x:row>
    <x:row r="29" ht="25" customHeight="1">
      <x:c r="A29" s="2" t="str">
        <x:v>2026-10-22_Night</x:v>
      </x:c>
      <x:c r="B29" s="7" t="n">
        <x:v>17000</x:v>
      </x:c>
      <x:c r="C29" s="7" t="n">
        <x:v>0</x:v>
      </x:c>
      <x:c r="D29" s="7" t="n">
        <x:f>B29-C29</x:f>
        <x:v>17000</x:v>
      </x:c>
      <x:c r="E29" s="12" t="n">
        <x:v>70</x:v>
      </x:c>
      <x:c r="F29" s="14" t="n">
        <x:f>E29/10</x:f>
        <x:v>7</x:v>
      </x:c>
    </x:row>
    <x:row r="30" ht="25" customHeight="1">
      <x:c r="A30" s="2" t="str">
        <x:v>2026-10-23_Night</x:v>
      </x:c>
      <x:c r="B30" s="7" t="n">
        <x:v>28000</x:v>
      </x:c>
      <x:c r="C30" s="7" t="n">
        <x:v>23000</x:v>
      </x:c>
      <x:c r="D30" s="7" t="n">
        <x:f>B30-C30</x:f>
        <x:v>5000</x:v>
      </x:c>
      <x:c r="E30" s="12" t="n">
        <x:v>110</x:v>
      </x:c>
      <x:c r="F30" s="14" t="n">
        <x:f>E30/10</x:f>
        <x:v>11</x:v>
      </x:c>
    </x:row>
    <x:row r="31" ht="25" customHeight="1">
      <x:c r="A31" s="2" t="str">
        <x:v>2026-10-26_Night</x:v>
      </x:c>
      <x:c r="B31" s="7" t="n">
        <x:v>46000</x:v>
      </x:c>
      <x:c r="C31" s="7" t="n">
        <x:v>66000</x:v>
      </x:c>
      <x:c r="D31" s="7" t="n">
        <x:f>B31-C31</x:f>
        <x:v>-20000</x:v>
      </x:c>
      <x:c r="E31" s="12" t="n">
        <x:v>160</x:v>
      </x:c>
      <x:c r="F31" s="14" t="n">
        <x:f>E31/10</x:f>
        <x:v>16</x:v>
      </x:c>
    </x:row>
    <x:row r="32" ht="25" customHeight="1">
      <x:c r="A32" s="2" t="str">
        <x:v>2026-10-27_Night</x:v>
      </x:c>
      <x:c r="B32" s="7" t="n">
        <x:v>7000</x:v>
      </x:c>
      <x:c r="C32" s="7" t="n">
        <x:v>0</x:v>
      </x:c>
      <x:c r="D32" s="7" t="n">
        <x:f>B32-C32</x:f>
        <x:v>7000</x:v>
      </x:c>
      <x:c r="E32" s="12" t="n">
        <x:v>20</x:v>
      </x:c>
      <x:c r="F32" s="14" t="n">
        <x:f>E32/10</x:f>
        <x:v>2</x:v>
      </x:c>
    </x:row>
    <x:row r="33" ht="25" customHeight="1">
      <x:c r="A33" s="10" t="str">
        <x:v>合計</x:v>
      </x:c>
      <x:c r="B33" s="11" t="n">
        <x:f>SUM(B6:B32)</x:f>
        <x:v>709000</x:v>
      </x:c>
      <x:c r="C33" s="11" t="n">
        <x:f>SUM(C6:C32)</x:f>
        <x:v>526000</x:v>
      </x:c>
      <x:c r="D33" s="11" t="n">
        <x:f>B33-C33</x:f>
        <x:v>183000</x:v>
      </x:c>
      <x:c r="E33" s="13" t="n">
        <x:f>SUM(E6:E32)</x:f>
        <x:v>2810</x:v>
      </x:c>
      <x:c r="F33" s="15" t="n">
        <x:f>E33/10</x:f>
        <x:v>281</x:v>
      </x:c>
    </x:row>
  </x:sheetData>
  <x:mergeCells>
    <x:mergeCell ref="A2:F2"/>
    <x:mergeCell ref="A3:F3"/>
    <x:mergeCell ref="A4:F4"/>
  </x:mergeCells>
  <x:conditionalFormatting sqref="D6:D32">
    <x:cfRule type="cellIs" dxfId="12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03beadff8ac4c3d"/>
  </x:tableParts>
</x:worksheet>
</file>

<file path=xl/worksheets/sheet130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NK225_U168B_13　米国後の損益</x:v>
      </x:c>
      <x:c r="B2" s="2"/>
      <x:c r="C2" s="2"/>
      <x:c r="D2" s="2"/>
      <x:c r="E2" s="2"/>
      <x:c r="F2" s="2"/>
    </x:row>
    <x:row r="3" ht="38" customHeight="1">
      <x:c r="A3" s="5" t="str">
        <x:v>20円直接回収後は直近方向を確認し再参加・損失50円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18200</x:v>
      </x:c>
      <x:c r="C6" s="7" t="n">
        <x:v>16500</x:v>
      </x:c>
      <x:c r="D6" s="7" t="n">
        <x:f>B6-C6</x:f>
        <x:v>1700</x:v>
      </x:c>
      <x:c r="E6" s="12" t="n">
        <x:v>149</x:v>
      </x:c>
      <x:c r="F6" s="14" t="n">
        <x:f>E6/10</x:f>
        <x:v>14.9</x:v>
      </x:c>
    </x:row>
    <x:row r="7" ht="25" customHeight="1">
      <x:c r="A7" s="2" t="str">
        <x:v>2026-09-22_Night</x:v>
      </x:c>
      <x:c r="B7" s="7" t="n">
        <x:v>23200</x:v>
      </x:c>
      <x:c r="C7" s="7" t="n">
        <x:v>0</x:v>
      </x:c>
      <x:c r="D7" s="7" t="n">
        <x:f>B7-C7</x:f>
        <x:v>23200</x:v>
      </x:c>
      <x:c r="E7" s="12" t="n">
        <x:v>127</x:v>
      </x:c>
      <x:c r="F7" s="14" t="n">
        <x:f>E7/10</x:f>
        <x:v>12.7</x:v>
      </x:c>
    </x:row>
    <x:row r="8" ht="25" customHeight="1">
      <x:c r="A8" s="2" t="str">
        <x:v>2026-09-23_Night</x:v>
      </x:c>
      <x:c r="B8" s="7" t="n">
        <x:v>36400</x:v>
      </x:c>
      <x:c r="C8" s="7" t="n">
        <x:v>5000</x:v>
      </x:c>
      <x:c r="D8" s="7" t="n">
        <x:f>B8-C8</x:f>
        <x:v>31400</x:v>
      </x:c>
      <x:c r="E8" s="12" t="n">
        <x:v>165</x:v>
      </x:c>
      <x:c r="F8" s="14" t="n">
        <x:f>E8/10</x:f>
        <x:v>16.5</x:v>
      </x:c>
    </x:row>
    <x:row r="9" ht="25" customHeight="1">
      <x:c r="A9" s="2" t="str">
        <x:v>2026-09-24_Night</x:v>
      </x:c>
      <x:c r="B9" s="7" t="n">
        <x:v>6000</x:v>
      </x:c>
      <x:c r="C9" s="7" t="n">
        <x:v>3000</x:v>
      </x:c>
      <x:c r="D9" s="7" t="n">
        <x:f>B9-C9</x:f>
        <x:v>3000</x:v>
      </x:c>
      <x:c r="E9" s="12" t="n">
        <x:v>36</x:v>
      </x:c>
      <x:c r="F9" s="14" t="n">
        <x:f>E9/10</x:f>
        <x:v>3.6</x:v>
      </x:c>
    </x:row>
    <x:row r="10" ht="25" customHeight="1">
      <x:c r="A10" s="2" t="str">
        <x:v>2026-09-25_Night</x:v>
      </x:c>
      <x:c r="B10" s="7" t="n">
        <x:v>22000</x:v>
      </x:c>
      <x:c r="C10" s="7" t="n">
        <x:v>18900</x:v>
      </x:c>
      <x:c r="D10" s="7" t="n">
        <x:f>B10-C10</x:f>
        <x:v>3100</x:v>
      </x:c>
      <x:c r="E10" s="12" t="n">
        <x:v>149</x:v>
      </x:c>
      <x:c r="F10" s="14" t="n">
        <x:f>E10/10</x:f>
        <x:v>14.9</x:v>
      </x:c>
    </x:row>
    <x:row r="11" ht="25" customHeight="1">
      <x:c r="A11" s="2" t="str">
        <x:v>2026-09-28_Night</x:v>
      </x:c>
      <x:c r="B11" s="7" t="n">
        <x:v>12000</x:v>
      </x:c>
      <x:c r="C11" s="7" t="n">
        <x:v>82000</x:v>
      </x:c>
      <x:c r="D11" s="7" t="n">
        <x:f>B11-C11</x:f>
        <x:v>-70000</x:v>
      </x:c>
      <x:c r="E11" s="12" t="n">
        <x:v>110</x:v>
      </x:c>
      <x:c r="F11" s="14" t="n">
        <x:f>E11/10</x:f>
        <x:v>11</x:v>
      </x:c>
    </x:row>
    <x:row r="12" ht="25" customHeight="1">
      <x:c r="A12" s="2" t="str">
        <x:v>2026-09-29_Night</x:v>
      </x:c>
      <x:c r="B12" s="7" t="n">
        <x:v>27000</x:v>
      </x:c>
      <x:c r="C12" s="7" t="n">
        <x:v>72200</x:v>
      </x:c>
      <x:c r="D12" s="7" t="n">
        <x:f>B12-C12</x:f>
        <x:v>-45200</x:v>
      </x:c>
      <x:c r="E12" s="12" t="n">
        <x:v>305</x:v>
      </x:c>
      <x:c r="F12" s="14" t="n">
        <x:f>E12/10</x:f>
        <x:v>30.5</x:v>
      </x:c>
    </x:row>
    <x:row r="13" ht="25" customHeight="1">
      <x:c r="A13" s="2" t="str">
        <x:v>2026-09-30_Night</x:v>
      </x:c>
      <x:c r="B13" s="7" t="n">
        <x:v>24000</x:v>
      </x:c>
      <x:c r="C13" s="7" t="n">
        <x:v>34000</x:v>
      </x:c>
      <x:c r="D13" s="7" t="n">
        <x:f>B13-C13</x:f>
        <x:v>-10000</x:v>
      </x:c>
      <x:c r="E13" s="12" t="n">
        <x:v>190</x:v>
      </x:c>
      <x:c r="F13" s="14" t="n">
        <x:f>E13/10</x:f>
        <x:v>19</x:v>
      </x:c>
    </x:row>
    <x:row r="14" ht="25" customHeight="1">
      <x:c r="A14" s="2" t="str">
        <x:v>2026-10-01_Night</x:v>
      </x:c>
      <x:c r="B14" s="7" t="n">
        <x:v>53900</x:v>
      </x:c>
      <x:c r="C14" s="7" t="n">
        <x:v>44000</x:v>
      </x:c>
      <x:c r="D14" s="7" t="n">
        <x:f>B14-C14</x:f>
        <x:v>9900</x:v>
      </x:c>
      <x:c r="E14" s="12" t="n">
        <x:v>326</x:v>
      </x:c>
      <x:c r="F14" s="14" t="n">
        <x:f>E14/10</x:f>
        <x:v>32.6</x:v>
      </x:c>
    </x:row>
    <x:row r="15" ht="25" customHeight="1">
      <x:c r="A15" s="2" t="str">
        <x:v>2026-10-02_Night</x:v>
      </x:c>
      <x:c r="B15" s="7" t="n">
        <x:v>125200</x:v>
      </x:c>
      <x:c r="C15" s="7" t="n">
        <x:v>71100</x:v>
      </x:c>
      <x:c r="D15" s="7" t="n">
        <x:f>B15-C15</x:f>
        <x:v>54100</x:v>
      </x:c>
      <x:c r="E15" s="12" t="n">
        <x:v>786</x:v>
      </x:c>
      <x:c r="F15" s="14" t="n">
        <x:f>E15/10</x:f>
        <x:v>78.6</x:v>
      </x:c>
    </x:row>
    <x:row r="16" ht="25" customHeight="1">
      <x:c r="A16" s="2" t="str">
        <x:v>2026-10-05_Night</x:v>
      </x:c>
      <x:c r="B16" s="7" t="n">
        <x:v>48400</x:v>
      </x:c>
      <x:c r="C16" s="7" t="n">
        <x:v>34100</x:v>
      </x:c>
      <x:c r="D16" s="7" t="n">
        <x:f>B16-C16</x:f>
        <x:v>14300</x:v>
      </x:c>
      <x:c r="E16" s="12" t="n">
        <x:v>311</x:v>
      </x:c>
      <x:c r="F16" s="14" t="n">
        <x:f>E16/10</x:f>
        <x:v>31.1</x:v>
      </x:c>
    </x:row>
    <x:row r="17" ht="25" customHeight="1">
      <x:c r="A17" s="2" t="str">
        <x:v>2026-10-06_Night</x:v>
      </x:c>
      <x:c r="B17" s="7" t="n">
        <x:v>18500</x:v>
      </x:c>
      <x:c r="C17" s="7" t="n">
        <x:v>16000</x:v>
      </x:c>
      <x:c r="D17" s="7" t="n">
        <x:f>B17-C17</x:f>
        <x:v>2500</x:v>
      </x:c>
      <x:c r="E17" s="12" t="n">
        <x:v>141</x:v>
      </x:c>
      <x:c r="F17" s="14" t="n">
        <x:f>E17/10</x:f>
        <x:v>14.1</x:v>
      </x:c>
    </x:row>
    <x:row r="18" ht="25" customHeight="1">
      <x:c r="A18" s="2" t="str">
        <x:v>2026-10-07_Night</x:v>
      </x:c>
      <x:c r="B18" s="7" t="n">
        <x:v>4000</x:v>
      </x:c>
      <x:c r="C18" s="7" t="n">
        <x:v>24000</x:v>
      </x:c>
      <x:c r="D18" s="7" t="n">
        <x:f>B18-C18</x:f>
        <x:v>-20000</x:v>
      </x:c>
      <x:c r="E18" s="12" t="n">
        <x:v>30</x:v>
      </x:c>
      <x:c r="F18" s="14" t="n">
        <x:f>E18/10</x:f>
        <x:v>3</x:v>
      </x:c>
    </x:row>
    <x:row r="19" ht="25" customHeight="1">
      <x:c r="A19" s="2" t="str">
        <x:v>2026-10-08_Night</x:v>
      </x:c>
      <x:c r="B19" s="7" t="n">
        <x:v>75400</x:v>
      </x:c>
      <x:c r="C19" s="7" t="n">
        <x:v>146500</x:v>
      </x:c>
      <x:c r="D19" s="7" t="n">
        <x:f>B19-C19</x:f>
        <x:v>-71100</x:v>
      </x:c>
      <x:c r="E19" s="12" t="n">
        <x:v>620</x:v>
      </x:c>
      <x:c r="F19" s="14" t="n">
        <x:f>E19/10</x:f>
        <x:v>62</x:v>
      </x:c>
    </x:row>
    <x:row r="20" ht="25" customHeight="1">
      <x:c r="A20" s="2" t="str">
        <x:v>2026-10-09_Night</x:v>
      </x:c>
      <x:c r="B20" s="7" t="n">
        <x:v>10000</x:v>
      </x:c>
      <x:c r="C20" s="7" t="n">
        <x:v>16500</x:v>
      </x:c>
      <x:c r="D20" s="7" t="n">
        <x:f>B20-C20</x:f>
        <x:v>-6500</x:v>
      </x:c>
      <x:c r="E20" s="12" t="n">
        <x:v>83</x:v>
      </x:c>
      <x:c r="F20" s="14" t="n">
        <x:f>E20/10</x:f>
        <x:v>8.3</x:v>
      </x:c>
    </x:row>
    <x:row r="21" ht="25" customHeight="1">
      <x:c r="A21" s="2" t="str">
        <x:v>2026-10-12_Night</x:v>
      </x:c>
      <x:c r="B21" s="7" t="n">
        <x:v>23200</x:v>
      </x:c>
      <x:c r="C21" s="7" t="n">
        <x:v>0</x:v>
      </x:c>
      <x:c r="D21" s="7" t="n">
        <x:f>B21-C21</x:f>
        <x:v>23200</x:v>
      </x:c>
      <x:c r="E21" s="12" t="n">
        <x:v>127</x:v>
      </x:c>
      <x:c r="F21" s="14" t="n">
        <x:f>E21/10</x:f>
        <x:v>12.7</x:v>
      </x:c>
    </x:row>
    <x:row r="22" ht="25" customHeight="1">
      <x:c r="A22" s="2" t="str">
        <x:v>2026-10-13_Night</x:v>
      </x:c>
      <x:c r="B22" s="7" t="n">
        <x:v>26400</x:v>
      </x:c>
      <x:c r="C22" s="7" t="n">
        <x:v>3000</x:v>
      </x:c>
      <x:c r="D22" s="7" t="n">
        <x:f>B22-C22</x:f>
        <x:v>23400</x:v>
      </x:c>
      <x:c r="E22" s="12" t="n">
        <x:v>143</x:v>
      </x:c>
      <x:c r="F22" s="14" t="n">
        <x:f>E22/10</x:f>
        <x:v>14.3</x:v>
      </x:c>
    </x:row>
    <x:row r="23" ht="25" customHeight="1">
      <x:c r="A23" s="2" t="str">
        <x:v>2026-10-14_Night</x:v>
      </x:c>
      <x:c r="B23" s="7" t="n">
        <x:v>19200</x:v>
      </x:c>
      <x:c r="C23" s="7" t="n">
        <x:v>66500</x:v>
      </x:c>
      <x:c r="D23" s="7" t="n">
        <x:f>B23-C23</x:f>
        <x:v>-47300</x:v>
      </x:c>
      <x:c r="E23" s="12" t="n">
        <x:v>163</x:v>
      </x:c>
      <x:c r="F23" s="14" t="n">
        <x:f>E23/10</x:f>
        <x:v>16.3</x:v>
      </x:c>
    </x:row>
    <x:row r="24" ht="25" customHeight="1">
      <x:c r="A24" s="2" t="str">
        <x:v>2026-10-15_Night</x:v>
      </x:c>
      <x:c r="B24" s="7" t="n">
        <x:v>23600</x:v>
      </x:c>
      <x:c r="C24" s="7" t="n">
        <x:v>44200</x:v>
      </x:c>
      <x:c r="D24" s="7" t="n">
        <x:f>B24-C24</x:f>
        <x:v>-20600</x:v>
      </x:c>
      <x:c r="E24" s="12" t="n">
        <x:v>173</x:v>
      </x:c>
      <x:c r="F24" s="14" t="n">
        <x:f>E24/10</x:f>
        <x:v>17.3</x:v>
      </x:c>
    </x:row>
    <x:row r="25" ht="25" customHeight="1">
      <x:c r="A25" s="2" t="str">
        <x:v>2026-10-16_Night</x:v>
      </x:c>
      <x:c r="B25" s="7" t="n">
        <x:v>80200</x:v>
      </x:c>
      <x:c r="C25" s="7" t="n">
        <x:v>102900</x:v>
      </x:c>
      <x:c r="D25" s="7" t="n">
        <x:f>B25-C25</x:f>
        <x:v>-22700</x:v>
      </x:c>
      <x:c r="E25" s="12" t="n">
        <x:v>623</x:v>
      </x:c>
      <x:c r="F25" s="14" t="n">
        <x:f>E25/10</x:f>
        <x:v>62.3</x:v>
      </x:c>
    </x:row>
    <x:row r="26" ht="25" customHeight="1">
      <x:c r="A26" s="2" t="str">
        <x:v>2026-10-19_Night</x:v>
      </x:c>
      <x:c r="B26" s="7" t="n">
        <x:v>61100</x:v>
      </x:c>
      <x:c r="C26" s="7" t="n">
        <x:v>77500</x:v>
      </x:c>
      <x:c r="D26" s="7" t="n">
        <x:f>B26-C26</x:f>
        <x:v>-16400</x:v>
      </x:c>
      <x:c r="E26" s="12" t="n">
        <x:v>522</x:v>
      </x:c>
      <x:c r="F26" s="14" t="n">
        <x:f>E26/10</x:f>
        <x:v>52.2</x:v>
      </x:c>
    </x:row>
    <x:row r="27" ht="25" customHeight="1">
      <x:c r="A27" s="2" t="str">
        <x:v>2026-10-20_Night</x:v>
      </x:c>
      <x:c r="B27" s="7" t="n">
        <x:v>24000</x:v>
      </x:c>
      <x:c r="C27" s="7" t="n">
        <x:v>50000</x:v>
      </x:c>
      <x:c r="D27" s="7" t="n">
        <x:f>B27-C27</x:f>
        <x:v>-26000</x:v>
      </x:c>
      <x:c r="E27" s="12" t="n">
        <x:v>230</x:v>
      </x:c>
      <x:c r="F27" s="14" t="n">
        <x:f>E27/10</x:f>
        <x:v>23</x:v>
      </x:c>
    </x:row>
    <x:row r="28" ht="25" customHeight="1">
      <x:c r="A28" s="2" t="str">
        <x:v>2026-10-21_Night</x:v>
      </x:c>
      <x:c r="B28" s="7" t="n">
        <x:v>62000</x:v>
      </x:c>
      <x:c r="C28" s="7" t="n">
        <x:v>22500</x:v>
      </x:c>
      <x:c r="D28" s="7" t="n">
        <x:f>B28-C28</x:f>
        <x:v>39500</x:v>
      </x:c>
      <x:c r="E28" s="12" t="n">
        <x:v>410</x:v>
      </x:c>
      <x:c r="F28" s="14" t="n">
        <x:f>E28/10</x:f>
        <x:v>41</x:v>
      </x:c>
    </x:row>
    <x:row r="29" ht="25" customHeight="1">
      <x:c r="A29" s="2" t="str">
        <x:v>2026-10-22_Night</x:v>
      </x:c>
      <x:c r="B29" s="7" t="n">
        <x:v>34400</x:v>
      </x:c>
      <x:c r="C29" s="7" t="n">
        <x:v>16000</x:v>
      </x:c>
      <x:c r="D29" s="7" t="n">
        <x:f>B29-C29</x:f>
        <x:v>18400</x:v>
      </x:c>
      <x:c r="E29" s="12" t="n">
        <x:v>204</x:v>
      </x:c>
      <x:c r="F29" s="14" t="n">
        <x:f>E29/10</x:f>
        <x:v>20.4</x:v>
      </x:c>
    </x:row>
    <x:row r="30" ht="25" customHeight="1">
      <x:c r="A30" s="2" t="str">
        <x:v>2026-10-23_Night</x:v>
      </x:c>
      <x:c r="B30" s="7" t="n">
        <x:v>28200</x:v>
      </x:c>
      <x:c r="C30" s="7" t="n">
        <x:v>65000</x:v>
      </x:c>
      <x:c r="D30" s="7" t="n">
        <x:f>B30-C30</x:f>
        <x:v>-36800</x:v>
      </x:c>
      <x:c r="E30" s="12" t="n">
        <x:v>240</x:v>
      </x:c>
      <x:c r="F30" s="14" t="n">
        <x:f>E30/10</x:f>
        <x:v>24</x:v>
      </x:c>
    </x:row>
    <x:row r="31" ht="25" customHeight="1">
      <x:c r="A31" s="2" t="str">
        <x:v>2026-10-26_Night</x:v>
      </x:c>
      <x:c r="B31" s="7" t="n">
        <x:v>43600</x:v>
      </x:c>
      <x:c r="C31" s="7" t="n">
        <x:v>60500</x:v>
      </x:c>
      <x:c r="D31" s="7" t="n">
        <x:f>B31-C31</x:f>
        <x:v>-16900</x:v>
      </x:c>
      <x:c r="E31" s="12" t="n">
        <x:v>356</x:v>
      </x:c>
      <x:c r="F31" s="14" t="n">
        <x:f>E31/10</x:f>
        <x:v>35.6</x:v>
      </x:c>
    </x:row>
    <x:row r="32" ht="25" customHeight="1">
      <x:c r="A32" s="2" t="str">
        <x:v>2026-10-27_Night</x:v>
      </x:c>
      <x:c r="B32" s="7" t="n">
        <x:v>6000</x:v>
      </x:c>
      <x:c r="C32" s="7" t="n">
        <x:v>6000</x:v>
      </x:c>
      <x:c r="D32" s="7" t="n">
        <x:f>B32-C32</x:f>
        <x:v>0</x:v>
      </x:c>
      <x:c r="E32" s="12" t="n">
        <x:v>42</x:v>
      </x:c>
      <x:c r="F32" s="14" t="n">
        <x:f>E32/10</x:f>
        <x:v>4.2</x:v>
      </x:c>
    </x:row>
    <x:row r="33" ht="25" customHeight="1">
      <x:c r="A33" s="10" t="str">
        <x:v>合計</x:v>
      </x:c>
      <x:c r="B33" s="11" t="n">
        <x:f>SUM(B6:B32)</x:f>
        <x:v>936100</x:v>
      </x:c>
      <x:c r="C33" s="11" t="n">
        <x:f>SUM(C6:C32)</x:f>
        <x:v>1097900</x:v>
      </x:c>
      <x:c r="D33" s="11" t="n">
        <x:f>B33-C33</x:f>
        <x:v>-161800</x:v>
      </x:c>
      <x:c r="E33" s="13" t="n">
        <x:f>SUM(E6:E32)</x:f>
        <x:v>6761</x:v>
      </x:c>
      <x:c r="F33" s="15" t="n">
        <x:f>E33/10</x:f>
        <x:v>676.1</x:v>
      </x:c>
    </x:row>
  </x:sheetData>
  <x:mergeCells>
    <x:mergeCell ref="A2:F2"/>
    <x:mergeCell ref="A3:F3"/>
    <x:mergeCell ref="A4:F4"/>
  </x:mergeCells>
  <x:conditionalFormatting sqref="D6:D32">
    <x:cfRule type="cellIs" dxfId="12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cca46a67d204751"/>
  </x:tableParts>
</x:worksheet>
</file>

<file path=xl/worksheets/sheet131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NK225_U168B_14　米国後の損益</x:v>
      </x:c>
      <x:c r="B2" s="2"/>
      <x:c r="C2" s="2"/>
      <x:c r="D2" s="2"/>
      <x:c r="E2" s="2"/>
      <x:c r="F2" s="2"/>
    </x:row>
    <x:row r="3" ht="38" customHeight="1">
      <x:c r="A3" s="5" t="str">
        <x:v>8割回収と割合床・直近方向の再参加・損失50円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6300</x:v>
      </x:c>
      <x:c r="C6" s="7" t="n">
        <x:v>500</x:v>
      </x:c>
      <x:c r="D6" s="7" t="n">
        <x:f>B6-C6</x:f>
        <x:v>5800</x:v>
      </x:c>
      <x:c r="E6" s="12" t="n">
        <x:v>59</x:v>
      </x:c>
      <x:c r="F6" s="14" t="n">
        <x:f>E6/10</x:f>
        <x:v>5.9</x:v>
      </x:c>
    </x:row>
    <x:row r="7" ht="25" customHeight="1">
      <x:c r="A7" s="2" t="str">
        <x:v>2026-09-22_Night</x:v>
      </x:c>
      <x:c r="B7" s="7" t="n">
        <x:v>11200</x:v>
      </x:c>
      <x:c r="C7" s="7" t="n">
        <x:v>0</x:v>
      </x:c>
      <x:c r="D7" s="7" t="n">
        <x:f>B7-C7</x:f>
        <x:v>11200</x:v>
      </x:c>
      <x:c r="E7" s="12" t="n">
        <x:v>58</x:v>
      </x:c>
      <x:c r="F7" s="14" t="n">
        <x:f>E7/10</x:f>
        <x:v>5.8</x:v>
      </x:c>
    </x:row>
    <x:row r="8" ht="25" customHeight="1">
      <x:c r="A8" s="2" t="str">
        <x:v>2026-09-23_Night</x:v>
      </x:c>
      <x:c r="B8" s="7" t="n">
        <x:v>18000</x:v>
      </x:c>
      <x:c r="C8" s="7" t="n">
        <x:v>1000</x:v>
      </x:c>
      <x:c r="D8" s="7" t="n">
        <x:f>B8-C8</x:f>
        <x:v>17000</x:v>
      </x:c>
      <x:c r="E8" s="12" t="n">
        <x:v>81</x:v>
      </x:c>
      <x:c r="F8" s="14" t="n">
        <x:f>E8/10</x:f>
        <x:v>8.1</x:v>
      </x:c>
    </x:row>
    <x:row r="9" ht="25" customHeight="1">
      <x:c r="A9" s="2" t="str">
        <x:v>2026-09-24_Night</x:v>
      </x:c>
      <x:c r="B9" s="7" t="n">
        <x:v>4000</x:v>
      </x:c>
      <x:c r="C9" s="7" t="n">
        <x:v>500</x:v>
      </x:c>
      <x:c r="D9" s="7" t="n">
        <x:f>B9-C9</x:f>
        <x:v>3500</x:v>
      </x:c>
      <x:c r="E9" s="12" t="n">
        <x:v>23</x:v>
      </x:c>
      <x:c r="F9" s="14" t="n">
        <x:f>E9/10</x:f>
        <x:v>2.3</x:v>
      </x:c>
    </x:row>
    <x:row r="10" ht="25" customHeight="1">
      <x:c r="A10" s="2" t="str">
        <x:v>2026-09-25_Night</x:v>
      </x:c>
      <x:c r="B10" s="7" t="n">
        <x:v>11500</x:v>
      </x:c>
      <x:c r="C10" s="7" t="n">
        <x:v>3400</x:v>
      </x:c>
      <x:c r="D10" s="7" t="n">
        <x:f>B10-C10</x:f>
        <x:v>8100</x:v>
      </x:c>
      <x:c r="E10" s="12" t="n">
        <x:v>68</x:v>
      </x:c>
      <x:c r="F10" s="14" t="n">
        <x:f>E10/10</x:f>
        <x:v>6.8</x:v>
      </x:c>
    </x:row>
    <x:row r="11" ht="25" customHeight="1">
      <x:c r="A11" s="2" t="str">
        <x:v>2026-09-28_Night</x:v>
      </x:c>
      <x:c r="B11" s="7" t="n">
        <x:v>6000</x:v>
      </x:c>
      <x:c r="C11" s="7" t="n">
        <x:v>74000</x:v>
      </x:c>
      <x:c r="D11" s="7" t="n">
        <x:f>B11-C11</x:f>
        <x:v>-68000</x:v>
      </x:c>
      <x:c r="E11" s="12" t="n">
        <x:v>68</x:v>
      </x:c>
      <x:c r="F11" s="14" t="n">
        <x:f>E11/10</x:f>
        <x:v>6.8</x:v>
      </x:c>
    </x:row>
    <x:row r="12" ht="25" customHeight="1">
      <x:c r="A12" s="2" t="str">
        <x:v>2026-09-29_Night</x:v>
      </x:c>
      <x:c r="B12" s="7" t="n">
        <x:v>21000</x:v>
      </x:c>
      <x:c r="C12" s="7" t="n">
        <x:v>26900</x:v>
      </x:c>
      <x:c r="D12" s="7" t="n">
        <x:f>B12-C12</x:f>
        <x:v>-5900</x:v>
      </x:c>
      <x:c r="E12" s="12" t="n">
        <x:v>164</x:v>
      </x:c>
      <x:c r="F12" s="14" t="n">
        <x:f>E12/10</x:f>
        <x:v>16.4</x:v>
      </x:c>
    </x:row>
    <x:row r="13" ht="25" customHeight="1">
      <x:c r="A13" s="2" t="str">
        <x:v>2026-09-30_Night</x:v>
      </x:c>
      <x:c r="B13" s="7" t="n">
        <x:v>15400</x:v>
      </x:c>
      <x:c r="C13" s="7" t="n">
        <x:v>1800</x:v>
      </x:c>
      <x:c r="D13" s="7" t="n">
        <x:f>B13-C13</x:f>
        <x:v>13600</x:v>
      </x:c>
      <x:c r="E13" s="12" t="n">
        <x:v>84</x:v>
      </x:c>
      <x:c r="F13" s="14" t="n">
        <x:f>E13/10</x:f>
        <x:v>8.4</x:v>
      </x:c>
    </x:row>
    <x:row r="14" ht="25" customHeight="1">
      <x:c r="A14" s="2" t="str">
        <x:v>2026-10-01_Night</x:v>
      </x:c>
      <x:c r="B14" s="7" t="n">
        <x:v>33400</x:v>
      </x:c>
      <x:c r="C14" s="7" t="n">
        <x:v>28000</x:v>
      </x:c>
      <x:c r="D14" s="7" t="n">
        <x:f>B14-C14</x:f>
        <x:v>5400</x:v>
      </x:c>
      <x:c r="E14" s="12" t="n">
        <x:v>139</x:v>
      </x:c>
      <x:c r="F14" s="14" t="n">
        <x:f>E14/10</x:f>
        <x:v>13.9</x:v>
      </x:c>
    </x:row>
    <x:row r="15" ht="25" customHeight="1">
      <x:c r="A15" s="2" t="str">
        <x:v>2026-10-02_Night</x:v>
      </x:c>
      <x:c r="B15" s="7" t="n">
        <x:v>55300</x:v>
      </x:c>
      <x:c r="C15" s="7" t="n">
        <x:v>13900</x:v>
      </x:c>
      <x:c r="D15" s="7" t="n">
        <x:f>B15-C15</x:f>
        <x:v>41400</x:v>
      </x:c>
      <x:c r="E15" s="12" t="n">
        <x:v>322</x:v>
      </x:c>
      <x:c r="F15" s="14" t="n">
        <x:f>E15/10</x:f>
        <x:v>32.2</x:v>
      </x:c>
    </x:row>
    <x:row r="16" ht="25" customHeight="1">
      <x:c r="A16" s="2" t="str">
        <x:v>2026-10-05_Night</x:v>
      </x:c>
      <x:c r="B16" s="7" t="n">
        <x:v>29500</x:v>
      </x:c>
      <x:c r="C16" s="7" t="n">
        <x:v>2500</x:v>
      </x:c>
      <x:c r="D16" s="7" t="n">
        <x:f>B16-C16</x:f>
        <x:v>27000</x:v>
      </x:c>
      <x:c r="E16" s="12" t="n">
        <x:v>163</x:v>
      </x:c>
      <x:c r="F16" s="14" t="n">
        <x:f>E16/10</x:f>
        <x:v>16.3</x:v>
      </x:c>
    </x:row>
    <x:row r="17" ht="25" customHeight="1">
      <x:c r="A17" s="2" t="str">
        <x:v>2026-10-06_Night</x:v>
      </x:c>
      <x:c r="B17" s="7" t="n">
        <x:v>13500</x:v>
      </x:c>
      <x:c r="C17" s="7" t="n">
        <x:v>1500</x:v>
      </x:c>
      <x:c r="D17" s="7" t="n">
        <x:f>B17-C17</x:f>
        <x:v>12000</x:v>
      </x:c>
      <x:c r="E17" s="12" t="n">
        <x:v>80</x:v>
      </x:c>
      <x:c r="F17" s="14" t="n">
        <x:f>E17/10</x:f>
        <x:v>8</x:v>
      </x:c>
    </x:row>
    <x:row r="18" ht="25" customHeight="1">
      <x:c r="A18" s="2" t="str">
        <x:v>2026-10-07_Night</x:v>
      </x:c>
      <x:c r="B18" s="7" t="n">
        <x:v>2200</x:v>
      </x:c>
      <x:c r="C18" s="7" t="n">
        <x:v>24000</x:v>
      </x:c>
      <x:c r="D18" s="7" t="n">
        <x:f>B18-C18</x:f>
        <x:v>-21800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47900</x:v>
      </x:c>
      <x:c r="C19" s="7" t="n">
        <x:v>56800</x:v>
      </x:c>
      <x:c r="D19" s="7" t="n">
        <x:f>B19-C19</x:f>
        <x:v>-8900</x:v>
      </x:c>
      <x:c r="E19" s="12" t="n">
        <x:v>330</x:v>
      </x:c>
      <x:c r="F19" s="14" t="n">
        <x:f>E19/10</x:f>
        <x:v>33</x:v>
      </x:c>
    </x:row>
    <x:row r="20" ht="25" customHeight="1">
      <x:c r="A20" s="2" t="str">
        <x:v>2026-10-09_Night</x:v>
      </x:c>
      <x:c r="B20" s="7" t="n">
        <x:v>11000</x:v>
      </x:c>
      <x:c r="C20" s="7" t="n">
        <x:v>400</x:v>
      </x:c>
      <x:c r="D20" s="7" t="n">
        <x:f>B20-C20</x:f>
        <x:v>10600</x:v>
      </x:c>
      <x:c r="E20" s="12" t="n">
        <x:v>57</x:v>
      </x:c>
      <x:c r="F20" s="14" t="n">
        <x:f>E20/10</x:f>
        <x:v>5.7</x:v>
      </x:c>
    </x:row>
    <x:row r="21" ht="25" customHeight="1">
      <x:c r="A21" s="2" t="str">
        <x:v>2026-10-12_Night</x:v>
      </x:c>
      <x:c r="B21" s="7" t="n">
        <x:v>10300</x:v>
      </x:c>
      <x:c r="C21" s="7" t="n">
        <x:v>0</x:v>
      </x:c>
      <x:c r="D21" s="7" t="n">
        <x:f>B21-C21</x:f>
        <x:v>10300</x:v>
      </x:c>
      <x:c r="E21" s="12" t="n">
        <x:v>58</x:v>
      </x:c>
      <x:c r="F21" s="14" t="n">
        <x:f>E21/10</x:f>
        <x:v>5.8</x:v>
      </x:c>
    </x:row>
    <x:row r="22" ht="25" customHeight="1">
      <x:c r="A22" s="2" t="str">
        <x:v>2026-10-13_Night</x:v>
      </x:c>
      <x:c r="B22" s="7" t="n">
        <x:v>12600</x:v>
      </x:c>
      <x:c r="C22" s="7" t="n">
        <x:v>500</x:v>
      </x:c>
      <x:c r="D22" s="7" t="n">
        <x:f>B22-C22</x:f>
        <x:v>12100</x:v>
      </x:c>
      <x:c r="E22" s="12" t="n">
        <x:v>69</x:v>
      </x:c>
      <x:c r="F22" s="14" t="n">
        <x:f>E22/10</x:f>
        <x:v>6.9</x:v>
      </x:c>
    </x:row>
    <x:row r="23" ht="25" customHeight="1">
      <x:c r="A23" s="2" t="str">
        <x:v>2026-10-14_Night</x:v>
      </x:c>
      <x:c r="B23" s="7" t="n">
        <x:v>13600</x:v>
      </x:c>
      <x:c r="C23" s="7" t="n">
        <x:v>52000</x:v>
      </x:c>
      <x:c r="D23" s="7" t="n">
        <x:f>B23-C23</x:f>
        <x:v>-38400</x:v>
      </x:c>
      <x:c r="E23" s="12" t="n">
        <x:v>102</x:v>
      </x:c>
      <x:c r="F23" s="14" t="n">
        <x:f>E23/10</x:f>
        <x:v>10.2</x:v>
      </x:c>
    </x:row>
    <x:row r="24" ht="25" customHeight="1">
      <x:c r="A24" s="2" t="str">
        <x:v>2026-10-15_Night</x:v>
      </x:c>
      <x:c r="B24" s="7" t="n">
        <x:v>11800</x:v>
      </x:c>
      <x:c r="C24" s="7" t="n">
        <x:v>33500</x:v>
      </x:c>
      <x:c r="D24" s="7" t="n">
        <x:f>B24-C24</x:f>
        <x:v>-21700</x:v>
      </x:c>
      <x:c r="E24" s="12" t="n">
        <x:v>82</x:v>
      </x:c>
      <x:c r="F24" s="14" t="n">
        <x:f>E24/10</x:f>
        <x:v>8.2</x:v>
      </x:c>
    </x:row>
    <x:row r="25" ht="25" customHeight="1">
      <x:c r="A25" s="2" t="str">
        <x:v>2026-10-16_Night</x:v>
      </x:c>
      <x:c r="B25" s="7" t="n">
        <x:v>55100</x:v>
      </x:c>
      <x:c r="C25" s="7" t="n">
        <x:v>12800</x:v>
      </x:c>
      <x:c r="D25" s="7" t="n">
        <x:f>B25-C25</x:f>
        <x:v>42300</x:v>
      </x:c>
      <x:c r="E25" s="12" t="n">
        <x:v>322</x:v>
      </x:c>
      <x:c r="F25" s="14" t="n">
        <x:f>E25/10</x:f>
        <x:v>32.2</x:v>
      </x:c>
    </x:row>
    <x:row r="26" ht="25" customHeight="1">
      <x:c r="A26" s="2" t="str">
        <x:v>2026-10-19_Night</x:v>
      </x:c>
      <x:c r="B26" s="7" t="n">
        <x:v>37600</x:v>
      </x:c>
      <x:c r="C26" s="7" t="n">
        <x:v>13000</x:v>
      </x:c>
      <x:c r="D26" s="7" t="n">
        <x:f>B26-C26</x:f>
        <x:v>24600</x:v>
      </x:c>
      <x:c r="E26" s="12" t="n">
        <x:v>254</x:v>
      </x:c>
      <x:c r="F26" s="14" t="n">
        <x:f>E26/10</x:f>
        <x:v>25.4</x:v>
      </x:c>
    </x:row>
    <x:row r="27" ht="25" customHeight="1">
      <x:c r="A27" s="2" t="str">
        <x:v>2026-10-20_Night</x:v>
      </x:c>
      <x:c r="B27" s="7" t="n">
        <x:v>20300</x:v>
      </x:c>
      <x:c r="C27" s="7" t="n">
        <x:v>5500</x:v>
      </x:c>
      <x:c r="D27" s="7" t="n">
        <x:f>B27-C27</x:f>
        <x:v>14800</x:v>
      </x:c>
      <x:c r="E27" s="12" t="n">
        <x:v>116</x:v>
      </x:c>
      <x:c r="F27" s="14" t="n">
        <x:f>E27/10</x:f>
        <x:v>11.6</x:v>
      </x:c>
    </x:row>
    <x:row r="28" ht="25" customHeight="1">
      <x:c r="A28" s="2" t="str">
        <x:v>2026-10-21_Night</x:v>
      </x:c>
      <x:c r="B28" s="7" t="n">
        <x:v>22900</x:v>
      </x:c>
      <x:c r="C28" s="7" t="n">
        <x:v>4500</x:v>
      </x:c>
      <x:c r="D28" s="7" t="n">
        <x:f>B28-C28</x:f>
        <x:v>18400</x:v>
      </x:c>
      <x:c r="E28" s="12" t="n">
        <x:v>143</x:v>
      </x:c>
      <x:c r="F28" s="14" t="n">
        <x:f>E28/10</x:f>
        <x:v>14.3</x:v>
      </x:c>
    </x:row>
    <x:row r="29" ht="25" customHeight="1">
      <x:c r="A29" s="2" t="str">
        <x:v>2026-10-22_Night</x:v>
      </x:c>
      <x:c r="B29" s="7" t="n">
        <x:v>23000</x:v>
      </x:c>
      <x:c r="C29" s="7" t="n">
        <x:v>1000</x:v>
      </x:c>
      <x:c r="D29" s="7" t="n">
        <x:f>B29-C29</x:f>
        <x:v>22000</x:v>
      </x:c>
      <x:c r="E29" s="12" t="n">
        <x:v>81</x:v>
      </x:c>
      <x:c r="F29" s="14" t="n">
        <x:f>E29/10</x:f>
        <x:v>8.1</x:v>
      </x:c>
    </x:row>
    <x:row r="30" ht="25" customHeight="1">
      <x:c r="A30" s="2" t="str">
        <x:v>2026-10-23_Night</x:v>
      </x:c>
      <x:c r="B30" s="7" t="n">
        <x:v>19700</x:v>
      </x:c>
      <x:c r="C30" s="7" t="n">
        <x:v>29400</x:v>
      </x:c>
      <x:c r="D30" s="7" t="n">
        <x:f>B30-C30</x:f>
        <x:v>-9700</x:v>
      </x:c>
      <x:c r="E30" s="12" t="n">
        <x:v>129</x:v>
      </x:c>
      <x:c r="F30" s="14" t="n">
        <x:f>E30/10</x:f>
        <x:v>12.9</x:v>
      </x:c>
    </x:row>
    <x:row r="31" ht="25" customHeight="1">
      <x:c r="A31" s="2" t="str">
        <x:v>2026-10-26_Night</x:v>
      </x:c>
      <x:c r="B31" s="7" t="n">
        <x:v>30800</x:v>
      </x:c>
      <x:c r="C31" s="7" t="n">
        <x:v>7300</x:v>
      </x:c>
      <x:c r="D31" s="7" t="n">
        <x:f>B31-C31</x:f>
        <x:v>23500</x:v>
      </x:c>
      <x:c r="E31" s="12" t="n">
        <x:v>190</x:v>
      </x:c>
      <x:c r="F31" s="14" t="n">
        <x:f>E31/10</x:f>
        <x:v>19</x:v>
      </x:c>
    </x:row>
    <x:row r="32" ht="25" customHeight="1">
      <x:c r="A32" s="2" t="str">
        <x:v>2026-10-27_Night</x:v>
      </x:c>
      <x:c r="B32" s="7" t="n">
        <x:v>4200</x:v>
      </x:c>
      <x:c r="C32" s="7" t="n">
        <x:v>900</x:v>
      </x:c>
      <x:c r="D32" s="7" t="n">
        <x:f>B32-C32</x:f>
        <x:v>3300</x:v>
      </x:c>
      <x:c r="E32" s="12" t="n">
        <x:v>25</x:v>
      </x:c>
      <x:c r="F32" s="14" t="n">
        <x:f>E32/10</x:f>
        <x:v>2.5</x:v>
      </x:c>
    </x:row>
    <x:row r="33" ht="25" customHeight="1">
      <x:c r="A33" s="10" t="str">
        <x:v>合計</x:v>
      </x:c>
      <x:c r="B33" s="11" t="n">
        <x:f>SUM(B6:B32)</x:f>
        <x:v>548100</x:v>
      </x:c>
      <x:c r="C33" s="11" t="n">
        <x:f>SUM(C6:C32)</x:f>
        <x:v>395600</x:v>
      </x:c>
      <x:c r="D33" s="11" t="n">
        <x:f>B33-C33</x:f>
        <x:v>152500</x:v>
      </x:c>
      <x:c r="E33" s="13" t="n">
        <x:f>SUM(E6:E32)</x:f>
        <x:v>3287</x:v>
      </x:c>
      <x:c r="F33" s="15" t="n">
        <x:f>E33/10</x:f>
        <x:v>328.7</x:v>
      </x:c>
    </x:row>
  </x:sheetData>
  <x:mergeCells>
    <x:mergeCell ref="A2:F2"/>
    <x:mergeCell ref="A3:F3"/>
    <x:mergeCell ref="A4:F4"/>
  </x:mergeCells>
  <x:conditionalFormatting sqref="D6:D32">
    <x:cfRule type="cellIs" dxfId="12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23b3de3a6ff4fb2"/>
  </x:tableParts>
</x:worksheet>
</file>

<file path=xl/worksheets/sheet132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NK225_U168B_15　米国後の損益</x:v>
      </x:c>
      <x:c r="B2" s="2"/>
      <x:c r="C2" s="2"/>
      <x:c r="D2" s="2"/>
      <x:c r="E2" s="2"/>
      <x:c r="F2" s="2"/>
    </x:row>
    <x:row r="3" ht="38" customHeight="1">
      <x:c r="A3" s="5" t="str">
        <x:v>20円回収後の再参加を回収益半分の損失予算で制御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6600</x:v>
      </x:c>
      <x:c r="C6" s="7" t="n">
        <x:v>2500</x:v>
      </x:c>
      <x:c r="D6" s="7" t="n">
        <x:f>B6-C6</x:f>
        <x:v>4100</x:v>
      </x:c>
      <x:c r="E6" s="12" t="n">
        <x:v>63</x:v>
      </x:c>
      <x:c r="F6" s="14" t="n">
        <x:f>E6/10</x:f>
        <x:v>6.3</x:v>
      </x:c>
    </x:row>
    <x:row r="7" ht="25" customHeight="1">
      <x:c r="A7" s="2" t="str">
        <x:v>2026-09-22_Night</x:v>
      </x:c>
      <x:c r="B7" s="7" t="n">
        <x:v>14500</x:v>
      </x:c>
      <x:c r="C7" s="7" t="n">
        <x:v>0</x:v>
      </x:c>
      <x:c r="D7" s="7" t="n">
        <x:f>B7-C7</x:f>
        <x:v>14500</x:v>
      </x:c>
      <x:c r="E7" s="12" t="n">
        <x:v>78</x:v>
      </x:c>
      <x:c r="F7" s="14" t="n">
        <x:f>E7/10</x:f>
        <x:v>7.8</x:v>
      </x:c>
    </x:row>
    <x:row r="8" ht="25" customHeight="1">
      <x:c r="A8" s="2" t="str">
        <x:v>2026-09-23_Night</x:v>
      </x:c>
      <x:c r="B8" s="7" t="n">
        <x:v>24000</x:v>
      </x:c>
      <x:c r="C8" s="7" t="n">
        <x:v>2000</x:v>
      </x:c>
      <x:c r="D8" s="7" t="n">
        <x:f>B8-C8</x:f>
        <x:v>22000</x:v>
      </x:c>
      <x:c r="E8" s="12" t="n">
        <x:v>107</x:v>
      </x:c>
      <x:c r="F8" s="14" t="n">
        <x:f>E8/10</x:f>
        <x:v>10.7</x:v>
      </x:c>
    </x:row>
    <x:row r="9" ht="25" customHeight="1">
      <x:c r="A9" s="2" t="str">
        <x:v>2026-09-24_Night</x:v>
      </x:c>
      <x:c r="B9" s="7" t="n">
        <x:v>4200</x:v>
      </x:c>
      <x:c r="C9" s="7" t="n">
        <x:v>500</x:v>
      </x:c>
      <x:c r="D9" s="7" t="n">
        <x:f>B9-C9</x:f>
        <x:v>3700</x:v>
      </x:c>
      <x:c r="E9" s="12" t="n">
        <x:v>22</x:v>
      </x:c>
      <x:c r="F9" s="14" t="n">
        <x:f>E9/10</x:f>
        <x:v>2.2</x:v>
      </x:c>
    </x:row>
    <x:row r="10" ht="25" customHeight="1">
      <x:c r="A10" s="2" t="str">
        <x:v>2026-09-25_Night</x:v>
      </x:c>
      <x:c r="B10" s="7" t="n">
        <x:v>13600</x:v>
      </x:c>
      <x:c r="C10" s="7" t="n">
        <x:v>4900</x:v>
      </x:c>
      <x:c r="D10" s="7" t="n">
        <x:f>B10-C10</x:f>
        <x:v>8700</x:v>
      </x:c>
      <x:c r="E10" s="12" t="n">
        <x:v>78</x:v>
      </x:c>
      <x:c r="F10" s="14" t="n">
        <x:f>E10/10</x:f>
        <x:v>7.8</x:v>
      </x:c>
    </x:row>
    <x:row r="11" ht="25" customHeight="1">
      <x:c r="A11" s="2" t="str">
        <x:v>2026-09-28_Night</x:v>
      </x:c>
      <x:c r="B11" s="7" t="n">
        <x:v>6800</x:v>
      </x:c>
      <x:c r="C11" s="7" t="n">
        <x:v>73500</x:v>
      </x:c>
      <x:c r="D11" s="7" t="n">
        <x:f>B11-C11</x:f>
        <x:v>-66700</x:v>
      </x:c>
      <x:c r="E11" s="12" t="n">
        <x:v>67</x:v>
      </x:c>
      <x:c r="F11" s="14" t="n">
        <x:f>E11/10</x:f>
        <x:v>6.7</x:v>
      </x:c>
    </x:row>
    <x:row r="12" ht="25" customHeight="1">
      <x:c r="A12" s="2" t="str">
        <x:v>2026-09-29_Night</x:v>
      </x:c>
      <x:c r="B12" s="7" t="n">
        <x:v>21000</x:v>
      </x:c>
      <x:c r="C12" s="7" t="n">
        <x:v>30100</x:v>
      </x:c>
      <x:c r="D12" s="7" t="n">
        <x:f>B12-C12</x:f>
        <x:v>-9100</x:v>
      </x:c>
      <x:c r="E12" s="12" t="n">
        <x:v>164</x:v>
      </x:c>
      <x:c r="F12" s="14" t="n">
        <x:f>E12/10</x:f>
        <x:v>16.4</x:v>
      </x:c>
    </x:row>
    <x:row r="13" ht="25" customHeight="1">
      <x:c r="A13" s="2" t="str">
        <x:v>2026-09-30_Night</x:v>
      </x:c>
      <x:c r="B13" s="7" t="n">
        <x:v>15600</x:v>
      </x:c>
      <x:c r="C13" s="7" t="n">
        <x:v>5400</x:v>
      </x:c>
      <x:c r="D13" s="7" t="n">
        <x:f>B13-C13</x:f>
        <x:v>10200</x:v>
      </x:c>
      <x:c r="E13" s="12" t="n">
        <x:v>89</x:v>
      </x:c>
      <x:c r="F13" s="14" t="n">
        <x:f>E13/10</x:f>
        <x:v>8.9</x:v>
      </x:c>
    </x:row>
    <x:row r="14" ht="25" customHeight="1">
      <x:c r="A14" s="2" t="str">
        <x:v>2026-10-01_Night</x:v>
      </x:c>
      <x:c r="B14" s="7" t="n">
        <x:v>28100</x:v>
      </x:c>
      <x:c r="C14" s="7" t="n">
        <x:v>26500</x:v>
      </x:c>
      <x:c r="D14" s="7" t="n">
        <x:f>B14-C14</x:f>
        <x:v>1600</x:v>
      </x:c>
      <x:c r="E14" s="12" t="n">
        <x:v>157</x:v>
      </x:c>
      <x:c r="F14" s="14" t="n">
        <x:f>E14/10</x:f>
        <x:v>15.7</x:v>
      </x:c>
    </x:row>
    <x:row r="15" ht="25" customHeight="1">
      <x:c r="A15" s="2" t="str">
        <x:v>2026-10-02_Night</x:v>
      </x:c>
      <x:c r="B15" s="7" t="n">
        <x:v>64700</x:v>
      </x:c>
      <x:c r="C15" s="7" t="n">
        <x:v>11600</x:v>
      </x:c>
      <x:c r="D15" s="7" t="n">
        <x:f>B15-C15</x:f>
        <x:v>53100</x:v>
      </x:c>
      <x:c r="E15" s="12" t="n">
        <x:v>363</x:v>
      </x:c>
      <x:c r="F15" s="14" t="n">
        <x:f>E15/10</x:f>
        <x:v>36.3</x:v>
      </x:c>
    </x:row>
    <x:row r="16" ht="25" customHeight="1">
      <x:c r="A16" s="2" t="str">
        <x:v>2026-10-05_Night</x:v>
      </x:c>
      <x:c r="B16" s="7" t="n">
        <x:v>33300</x:v>
      </x:c>
      <x:c r="C16" s="7" t="n">
        <x:v>9300</x:v>
      </x:c>
      <x:c r="D16" s="7" t="n">
        <x:f>B16-C16</x:f>
        <x:v>24000</x:v>
      </x:c>
      <x:c r="E16" s="12" t="n">
        <x:v>177</x:v>
      </x:c>
      <x:c r="F16" s="14" t="n">
        <x:f>E16/10</x:f>
        <x:v>17.7</x:v>
      </x:c>
    </x:row>
    <x:row r="17" ht="25" customHeight="1">
      <x:c r="A17" s="2" t="str">
        <x:v>2026-10-06_Night</x:v>
      </x:c>
      <x:c r="B17" s="7" t="n">
        <x:v>15000</x:v>
      </x:c>
      <x:c r="C17" s="7" t="n">
        <x:v>5500</x:v>
      </x:c>
      <x:c r="D17" s="7" t="n">
        <x:f>B17-C17</x:f>
        <x:v>9500</x:v>
      </x:c>
      <x:c r="E17" s="12" t="n">
        <x:v>90</x:v>
      </x:c>
      <x:c r="F17" s="14" t="n">
        <x:f>E17/10</x:f>
        <x:v>9</x:v>
      </x:c>
    </x:row>
    <x:row r="18" ht="25" customHeight="1">
      <x:c r="A18" s="2" t="str">
        <x:v>2026-10-07_Night</x:v>
      </x:c>
      <x:c r="B18" s="7" t="n">
        <x:v>2200</x:v>
      </x:c>
      <x:c r="C18" s="7" t="n">
        <x:v>24000</x:v>
      </x:c>
      <x:c r="D18" s="7" t="n">
        <x:f>B18-C18</x:f>
        <x:v>-21800</x:v>
      </x:c>
      <x:c r="E18" s="12" t="n">
        <x:v>21</x:v>
      </x:c>
      <x:c r="F18" s="14" t="n">
        <x:f>E18/10</x:f>
        <x:v>2.1</x:v>
      </x:c>
    </x:row>
    <x:row r="19" ht="25" customHeight="1">
      <x:c r="A19" s="2" t="str">
        <x:v>2026-10-08_Night</x:v>
      </x:c>
      <x:c r="B19" s="7" t="n">
        <x:v>50900</x:v>
      </x:c>
      <x:c r="C19" s="7" t="n">
        <x:v>61500</x:v>
      </x:c>
      <x:c r="D19" s="7" t="n">
        <x:f>B19-C19</x:f>
        <x:v>-10600</x:v>
      </x:c>
      <x:c r="E19" s="12" t="n">
        <x:v>331</x:v>
      </x:c>
      <x:c r="F19" s="14" t="n">
        <x:f>E19/10</x:f>
        <x:v>33.1</x:v>
      </x:c>
    </x:row>
    <x:row r="20" ht="25" customHeight="1">
      <x:c r="A20" s="2" t="str">
        <x:v>2026-10-09_Night</x:v>
      </x:c>
      <x:c r="B20" s="7" t="n">
        <x:v>10000</x:v>
      </x:c>
      <x:c r="C20" s="7" t="n">
        <x:v>4000</x:v>
      </x:c>
      <x:c r="D20" s="7" t="n">
        <x:f>B20-C20</x:f>
        <x:v>6000</x:v>
      </x:c>
      <x:c r="E20" s="12" t="n">
        <x:v>58</x:v>
      </x:c>
      <x:c r="F20" s="14" t="n">
        <x:f>E20/10</x:f>
        <x:v>5.8</x:v>
      </x:c>
    </x:row>
    <x:row r="21" ht="25" customHeight="1">
      <x:c r="A21" s="2" t="str">
        <x:v>2026-10-12_Night</x:v>
      </x:c>
      <x:c r="B21" s="7" t="n">
        <x:v>14500</x:v>
      </x:c>
      <x:c r="C21" s="7" t="n">
        <x:v>0</x:v>
      </x:c>
      <x:c r="D21" s="7" t="n">
        <x:f>B21-C21</x:f>
        <x:v>14500</x:v>
      </x:c>
      <x:c r="E21" s="12" t="n">
        <x:v>78</x:v>
      </x:c>
      <x:c r="F21" s="14" t="n">
        <x:f>E21/10</x:f>
        <x:v>7.8</x:v>
      </x:c>
    </x:row>
    <x:row r="22" ht="25" customHeight="1">
      <x:c r="A22" s="2" t="str">
        <x:v>2026-10-13_Night</x:v>
      </x:c>
      <x:c r="B22" s="7" t="n">
        <x:v>16200</x:v>
      </x:c>
      <x:c r="C22" s="7" t="n">
        <x:v>0</x:v>
      </x:c>
      <x:c r="D22" s="7" t="n">
        <x:f>B22-C22</x:f>
        <x:v>16200</x:v>
      </x:c>
      <x:c r="E22" s="12" t="n">
        <x:v>86</x:v>
      </x:c>
      <x:c r="F22" s="14" t="n">
        <x:f>E22/10</x:f>
        <x:v>8.6</x:v>
      </x:c>
    </x:row>
    <x:row r="23" ht="25" customHeight="1">
      <x:c r="A23" s="2" t="str">
        <x:v>2026-10-14_Night</x:v>
      </x:c>
      <x:c r="B23" s="7" t="n">
        <x:v>13400</x:v>
      </x:c>
      <x:c r="C23" s="7" t="n">
        <x:v>53000</x:v>
      </x:c>
      <x:c r="D23" s="7" t="n">
        <x:f>B23-C23</x:f>
        <x:v>-39600</x:v>
      </x:c>
      <x:c r="E23" s="12" t="n">
        <x:v>102</x:v>
      </x:c>
      <x:c r="F23" s="14" t="n">
        <x:f>E23/10</x:f>
        <x:v>10.2</x:v>
      </x:c>
    </x:row>
    <x:row r="24" ht="25" customHeight="1">
      <x:c r="A24" s="2" t="str">
        <x:v>2026-10-15_Night</x:v>
      </x:c>
      <x:c r="B24" s="7" t="n">
        <x:v>12800</x:v>
      </x:c>
      <x:c r="C24" s="7" t="n">
        <x:v>32600</x:v>
      </x:c>
      <x:c r="D24" s="7" t="n">
        <x:f>B24-C24</x:f>
        <x:v>-19800</x:v>
      </x:c>
      <x:c r="E24" s="12" t="n">
        <x:v>86</x:v>
      </x:c>
      <x:c r="F24" s="14" t="n">
        <x:f>E24/10</x:f>
        <x:v>8.6</x:v>
      </x:c>
    </x:row>
    <x:row r="25" ht="25" customHeight="1">
      <x:c r="A25" s="2" t="str">
        <x:v>2026-10-16_Night</x:v>
      </x:c>
      <x:c r="B25" s="7" t="n">
        <x:v>58700</x:v>
      </x:c>
      <x:c r="C25" s="7" t="n">
        <x:v>19300</x:v>
      </x:c>
      <x:c r="D25" s="7" t="n">
        <x:f>B25-C25</x:f>
        <x:v>39400</x:v>
      </x:c>
      <x:c r="E25" s="12" t="n">
        <x:v>335</x:v>
      </x:c>
      <x:c r="F25" s="14" t="n">
        <x:f>E25/10</x:f>
        <x:v>33.5</x:v>
      </x:c>
    </x:row>
    <x:row r="26" ht="25" customHeight="1">
      <x:c r="A26" s="2" t="str">
        <x:v>2026-10-19_Night</x:v>
      </x:c>
      <x:c r="B26" s="7" t="n">
        <x:v>40300</x:v>
      </x:c>
      <x:c r="C26" s="7" t="n">
        <x:v>13000</x:v>
      </x:c>
      <x:c r="D26" s="7" t="n">
        <x:f>B26-C26</x:f>
        <x:v>27300</x:v>
      </x:c>
      <x:c r="E26" s="12" t="n">
        <x:v>259</x:v>
      </x:c>
      <x:c r="F26" s="14" t="n">
        <x:f>E26/10</x:f>
        <x:v>25.9</x:v>
      </x:c>
    </x:row>
    <x:row r="27" ht="25" customHeight="1">
      <x:c r="A27" s="2" t="str">
        <x:v>2026-10-20_Night</x:v>
      </x:c>
      <x:c r="B27" s="7" t="n">
        <x:v>18800</x:v>
      </x:c>
      <x:c r="C27" s="7" t="n">
        <x:v>5000</x:v>
      </x:c>
      <x:c r="D27" s="7" t="n">
        <x:f>B27-C27</x:f>
        <x:v>13800</x:v>
      </x:c>
      <x:c r="E27" s="12" t="n">
        <x:v>114</x:v>
      </x:c>
      <x:c r="F27" s="14" t="n">
        <x:f>E27/10</x:f>
        <x:v>11.4</x:v>
      </x:c>
    </x:row>
    <x:row r="28" ht="25" customHeight="1">
      <x:c r="A28" s="2" t="str">
        <x:v>2026-10-21_Night</x:v>
      </x:c>
      <x:c r="B28" s="7" t="n">
        <x:v>30400</x:v>
      </x:c>
      <x:c r="C28" s="7" t="n">
        <x:v>6500</x:v>
      </x:c>
      <x:c r="D28" s="7" t="n">
        <x:f>B28-C28</x:f>
        <x:v>23900</x:v>
      </x:c>
      <x:c r="E28" s="12" t="n">
        <x:v>179</x:v>
      </x:c>
      <x:c r="F28" s="14" t="n">
        <x:f>E28/10</x:f>
        <x:v>17.9</x:v>
      </x:c>
    </x:row>
    <x:row r="29" ht="25" customHeight="1">
      <x:c r="A29" s="2" t="str">
        <x:v>2026-10-22_Night</x:v>
      </x:c>
      <x:c r="B29" s="7" t="n">
        <x:v>18200</x:v>
      </x:c>
      <x:c r="C29" s="7" t="n">
        <x:v>6500</x:v>
      </x:c>
      <x:c r="D29" s="7" t="n">
        <x:f>B29-C29</x:f>
        <x:v>11700</x:v>
      </x:c>
      <x:c r="E29" s="12" t="n">
        <x:v>104</x:v>
      </x:c>
      <x:c r="F29" s="14" t="n">
        <x:f>E29/10</x:f>
        <x:v>10.4</x:v>
      </x:c>
    </x:row>
    <x:row r="30" ht="25" customHeight="1">
      <x:c r="A30" s="2" t="str">
        <x:v>2026-10-23_Night</x:v>
      </x:c>
      <x:c r="B30" s="7" t="n">
        <x:v>20900</x:v>
      </x:c>
      <x:c r="C30" s="7" t="n">
        <x:v>30000</x:v>
      </x:c>
      <x:c r="D30" s="7" t="n">
        <x:f>B30-C30</x:f>
        <x:v>-9100</x:v>
      </x:c>
      <x:c r="E30" s="12" t="n">
        <x:v>129</x:v>
      </x:c>
      <x:c r="F30" s="14" t="n">
        <x:f>E30/10</x:f>
        <x:v>12.9</x:v>
      </x:c>
    </x:row>
    <x:row r="31" ht="25" customHeight="1">
      <x:c r="A31" s="2" t="str">
        <x:v>2026-10-26_Night</x:v>
      </x:c>
      <x:c r="B31" s="7" t="n">
        <x:v>30400</x:v>
      </x:c>
      <x:c r="C31" s="7" t="n">
        <x:v>8900</x:v>
      </x:c>
      <x:c r="D31" s="7" t="n">
        <x:f>B31-C31</x:f>
        <x:v>21500</x:v>
      </x:c>
      <x:c r="E31" s="12" t="n">
        <x:v>185</x:v>
      </x:c>
      <x:c r="F31" s="14" t="n">
        <x:f>E31/10</x:f>
        <x:v>18.5</x:v>
      </x:c>
    </x:row>
    <x:row r="32" ht="25" customHeight="1">
      <x:c r="A32" s="2" t="str">
        <x:v>2026-10-27_Night</x:v>
      </x:c>
      <x:c r="B32" s="7" t="n">
        <x:v>4200</x:v>
      </x:c>
      <x:c r="C32" s="7" t="n">
        <x:v>1000</x:v>
      </x:c>
      <x:c r="D32" s="7" t="n">
        <x:f>B32-C32</x:f>
        <x:v>3200</x:v>
      </x:c>
      <x:c r="E32" s="12" t="n">
        <x:v>23</x:v>
      </x:c>
      <x:c r="F32" s="14" t="n">
        <x:f>E32/10</x:f>
        <x:v>2.3</x:v>
      </x:c>
    </x:row>
    <x:row r="33" ht="25" customHeight="1">
      <x:c r="A33" s="10" t="str">
        <x:v>合計</x:v>
      </x:c>
      <x:c r="B33" s="11" t="n">
        <x:f>SUM(B6:B32)</x:f>
        <x:v>589300</x:v>
      </x:c>
      <x:c r="C33" s="11" t="n">
        <x:f>SUM(C6:C32)</x:f>
        <x:v>437100</x:v>
      </x:c>
      <x:c r="D33" s="11" t="n">
        <x:f>B33-C33</x:f>
        <x:v>152200</x:v>
      </x:c>
      <x:c r="E33" s="13" t="n">
        <x:f>SUM(E6:E32)</x:f>
        <x:v>3545</x:v>
      </x:c>
      <x:c r="F33" s="15" t="n">
        <x:f>E33/10</x:f>
        <x:v>354.5</x:v>
      </x:c>
    </x:row>
  </x:sheetData>
  <x:mergeCells>
    <x:mergeCell ref="A2:F2"/>
    <x:mergeCell ref="A3:F3"/>
    <x:mergeCell ref="A4:F4"/>
  </x:mergeCells>
  <x:conditionalFormatting sqref="D6:D32">
    <x:cfRule type="cellIs" dxfId="13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a7bf535980e4a21"/>
  </x:tableParts>
</x:worksheet>
</file>

<file path=xl/worksheets/sheet133.xml><?xml version="1.0" encoding="utf-8"?>
<x:worksheet xmlns:x="http://schemas.openxmlformats.org/spreadsheetml/2006/main">
  <x:sheetPr>
    <x:tabColor rgb="FF6658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NK225_U168B_16　米国後の損益</x:v>
      </x:c>
      <x:c r="B2" s="2"/>
      <x:c r="C2" s="2"/>
      <x:c r="D2" s="2"/>
      <x:c r="E2" s="2"/>
      <x:c r="F2" s="2"/>
    </x:row>
    <x:row r="3" ht="38" customHeight="1">
      <x:c r="A3" s="5" t="str">
        <x:v>8割回収と割合床・回収益予算で12回まで再判断</x:v>
      </x:c>
      <x:c r="B3" s="5"/>
      <x:c r="C3" s="5"/>
      <x:c r="D3" s="5"/>
      <x:c r="E3" s="5"/>
      <x:c r="F3" s="5"/>
    </x:row>
    <x:row r="4" ht="38" customHeight="1">
      <x:c r="A4" s="5" t="str">
        <x:v>損失は正額。新規枚数は延べ約定枚数。mini換算はmicro÷10で、実miniの整数発注結果ではありません。</x:v>
      </x:c>
      <x:c r="B4" s="5"/>
      <x:c r="C4" s="5"/>
      <x:c r="D4" s="5"/>
      <x:c r="E4" s="5"/>
      <x:c r="F4" s="5"/>
    </x:row>
    <x:row r="5" ht="42" customHeight="1">
      <x:c r="A5" s="27" t="str">
        <x:v>セッション</x:v>
      </x:c>
      <x:c r="B5" s="27" t="str">
        <x:v>利益（円）</x:v>
      </x:c>
      <x:c r="C5" s="27" t="str">
        <x:v>損失（円）</x:v>
      </x:c>
      <x:c r="D5" s="27" t="str">
        <x:v>収支（円）</x:v>
      </x:c>
      <x:c r="E5" s="27" t="str">
        <x:v>新規枚数（micro）</x:v>
      </x:c>
      <x:c r="F5" s="27" t="str">
        <x:v>新規枚数（mini換算）</x:v>
      </x:c>
    </x:row>
    <x:row r="6" ht="25" customHeight="1">
      <x:c r="A6" s="2" t="str">
        <x:v>2026-09-21_Night</x:v>
      </x:c>
      <x:c r="B6" s="7" t="n">
        <x:v>6400</x:v>
      </x:c>
      <x:c r="C6" s="7" t="n">
        <x:v>2500</x:v>
      </x:c>
      <x:c r="D6" s="7" t="n">
        <x:f>B6-C6</x:f>
        <x:v>3900</x:v>
      </x:c>
      <x:c r="E6" s="12" t="n">
        <x:v>63</x:v>
      </x:c>
      <x:c r="F6" s="14" t="n">
        <x:f>E6/10</x:f>
        <x:v>6.3</x:v>
      </x:c>
    </x:row>
    <x:row r="7" ht="25" customHeight="1">
      <x:c r="A7" s="2" t="str">
        <x:v>2026-09-22_Night</x:v>
      </x:c>
      <x:c r="B7" s="7" t="n">
        <x:v>14000</x:v>
      </x:c>
      <x:c r="C7" s="7" t="n">
        <x:v>5500</x:v>
      </x:c>
      <x:c r="D7" s="7" t="n">
        <x:f>B7-C7</x:f>
        <x:v>8500</x:v>
      </x:c>
      <x:c r="E7" s="12" t="n">
        <x:v>88</x:v>
      </x:c>
      <x:c r="F7" s="14" t="n">
        <x:f>E7/10</x:f>
        <x:v>8.8</x:v>
      </x:c>
    </x:row>
    <x:row r="8" ht="25" customHeight="1">
      <x:c r="A8" s="2" t="str">
        <x:v>2026-09-23_Night</x:v>
      </x:c>
      <x:c r="B8" s="7" t="n">
        <x:v>18400</x:v>
      </x:c>
      <x:c r="C8" s="7" t="n">
        <x:v>6300</x:v>
      </x:c>
      <x:c r="D8" s="7" t="n">
        <x:f>B8-C8</x:f>
        <x:v>12100</x:v>
      </x:c>
      <x:c r="E8" s="12" t="n">
        <x:v>93</x:v>
      </x:c>
      <x:c r="F8" s="14" t="n">
        <x:f>E8/10</x:f>
        <x:v>9.3</x:v>
      </x:c>
    </x:row>
    <x:row r="9" ht="25" customHeight="1">
      <x:c r="A9" s="2" t="str">
        <x:v>2026-09-24_Night</x:v>
      </x:c>
      <x:c r="B9" s="7" t="n">
        <x:v>3800</x:v>
      </x:c>
      <x:c r="C9" s="7" t="n">
        <x:v>500</x:v>
      </x:c>
      <x:c r="D9" s="7" t="n">
        <x:f>B9-C9</x:f>
        <x:v>3300</x:v>
      </x:c>
      <x:c r="E9" s="12" t="n">
        <x:v>22</x:v>
      </x:c>
      <x:c r="F9" s="14" t="n">
        <x:f>E9/10</x:f>
        <x:v>2.2</x:v>
      </x:c>
    </x:row>
    <x:row r="10" ht="25" customHeight="1">
      <x:c r="A10" s="2" t="str">
        <x:v>2026-09-25_Night</x:v>
      </x:c>
      <x:c r="B10" s="7" t="n">
        <x:v>11600</x:v>
      </x:c>
      <x:c r="C10" s="7" t="n">
        <x:v>4300</x:v>
      </x:c>
      <x:c r="D10" s="7" t="n">
        <x:f>B10-C10</x:f>
        <x:v>7300</x:v>
      </x:c>
      <x:c r="E10" s="12" t="n">
        <x:v>71</x:v>
      </x:c>
      <x:c r="F10" s="14" t="n">
        <x:f>E10/10</x:f>
        <x:v>7.1</x:v>
      </x:c>
    </x:row>
    <x:row r="11" ht="25" customHeight="1">
      <x:c r="A11" s="2" t="str">
        <x:v>2026-09-28_Night</x:v>
      </x:c>
      <x:c r="B11" s="7" t="n">
        <x:v>6200</x:v>
      </x:c>
      <x:c r="C11" s="7" t="n">
        <x:v>74500</x:v>
      </x:c>
      <x:c r="D11" s="7" t="n">
        <x:f>B11-C11</x:f>
        <x:v>-68300</x:v>
      </x:c>
      <x:c r="E11" s="12" t="n">
        <x:v>70</x:v>
      </x:c>
      <x:c r="F11" s="14" t="n">
        <x:f>E11/10</x:f>
        <x:v>7</x:v>
      </x:c>
    </x:row>
    <x:row r="12" ht="25" customHeight="1">
      <x:c r="A12" s="2" t="str">
        <x:v>2026-09-29_Night</x:v>
      </x:c>
      <x:c r="B12" s="7" t="n">
        <x:v>20200</x:v>
      </x:c>
      <x:c r="C12" s="7" t="n">
        <x:v>29500</x:v>
      </x:c>
      <x:c r="D12" s="7" t="n">
        <x:f>B12-C12</x:f>
        <x:v>-9300</x:v>
      </x:c>
      <x:c r="E12" s="12" t="n">
        <x:v>163</x:v>
      </x:c>
      <x:c r="F12" s="14" t="n">
        <x:f>E12/10</x:f>
        <x:v>16.3</x:v>
      </x:c>
    </x:row>
    <x:row r="13" ht="25" customHeight="1">
      <x:c r="A13" s="2" t="str">
        <x:v>2026-09-30_Night</x:v>
      </x:c>
      <x:c r="B13" s="7" t="n">
        <x:v>15000</x:v>
      </x:c>
      <x:c r="C13" s="7" t="n">
        <x:v>5400</x:v>
      </x:c>
      <x:c r="D13" s="7" t="n">
        <x:f>B13-C13</x:f>
        <x:v>9600</x:v>
      </x:c>
      <x:c r="E13" s="12" t="n">
        <x:v>89</x:v>
      </x:c>
      <x:c r="F13" s="14" t="n">
        <x:f>E13/10</x:f>
        <x:v>8.9</x:v>
      </x:c>
    </x:row>
    <x:row r="14" ht="25" customHeight="1">
      <x:c r="A14" s="2" t="str">
        <x:v>2026-10-01_Night</x:v>
      </x:c>
      <x:c r="B14" s="7" t="n">
        <x:v>37400</x:v>
      </x:c>
      <x:c r="C14" s="7" t="n">
        <x:v>37000</x:v>
      </x:c>
      <x:c r="D14" s="7" t="n">
        <x:f>B14-C14</x:f>
        <x:v>400</x:v>
      </x:c>
      <x:c r="E14" s="12" t="n">
        <x:v>169</x:v>
      </x:c>
      <x:c r="F14" s="14" t="n">
        <x:f>E14/10</x:f>
        <x:v>16.9</x:v>
      </x:c>
    </x:row>
    <x:row r="15" ht="25" customHeight="1">
      <x:c r="A15" s="2" t="str">
        <x:v>2026-10-02_Night</x:v>
      </x:c>
      <x:c r="B15" s="7" t="n">
        <x:v>55400</x:v>
      </x:c>
      <x:c r="C15" s="7" t="n">
        <x:v>15000</x:v>
      </x:c>
      <x:c r="D15" s="7" t="n">
        <x:f>B15-C15</x:f>
        <x:v>40400</x:v>
      </x:c>
      <x:c r="E15" s="12" t="n">
        <x:v>326</x:v>
      </x:c>
      <x:c r="F15" s="14" t="n">
        <x:f>E15/10</x:f>
        <x:v>32.6</x:v>
      </x:c>
    </x:row>
    <x:row r="16" ht="25" customHeight="1">
      <x:c r="A16" s="2" t="str">
        <x:v>2026-10-05_Night</x:v>
      </x:c>
      <x:c r="B16" s="7" t="n">
        <x:v>36900</x:v>
      </x:c>
      <x:c r="C16" s="7" t="n">
        <x:v>12400</x:v>
      </x:c>
      <x:c r="D16" s="7" t="n">
        <x:f>B16-C16</x:f>
        <x:v>24500</x:v>
      </x:c>
      <x:c r="E16" s="12" t="n">
        <x:v>227</x:v>
      </x:c>
      <x:c r="F16" s="14" t="n">
        <x:f>E16/10</x:f>
        <x:v>22.7</x:v>
      </x:c>
    </x:row>
    <x:row r="17" ht="25" customHeight="1">
      <x:c r="A17" s="2" t="str">
        <x:v>2026-10-06_Night</x:v>
      </x:c>
      <x:c r="B17" s="7" t="n">
        <x:v>13600</x:v>
      </x:c>
      <x:c r="C17" s="7" t="n">
        <x:v>5000</x:v>
      </x:c>
      <x:c r="D17" s="7" t="n">
        <x:f>B17-C17</x:f>
        <x:v>8600</x:v>
      </x:c>
      <x:c r="E17" s="12" t="n">
        <x:v>88</x:v>
      </x:c>
      <x:c r="F17" s="14" t="n">
        <x:f>E17/10</x:f>
        <x:v>8.8</x:v>
      </x:c>
    </x:row>
    <x:row r="18" ht="25" customHeight="1">
      <x:c r="A18" s="2" t="str">
        <x:v>2026-10-07_Night</x:v>
      </x:c>
      <x:c r="B18" s="7" t="n">
        <x:v>2200</x:v>
      </x:c>
      <x:c r="C18" s="7" t="n">
        <x:v>24000</x:v>
      </x:c>
      <x:c r="D18" s="7" t="n">
        <x:f>B18-C18</x:f>
        <x:v>-21800</x:v>
      </x:c>
      <x:c r="E18" s="12" t="n">
        <x:v>20</x:v>
      </x:c>
      <x:c r="F18" s="14" t="n">
        <x:f>E18/10</x:f>
        <x:v>2</x:v>
      </x:c>
    </x:row>
    <x:row r="19" ht="25" customHeight="1">
      <x:c r="A19" s="2" t="str">
        <x:v>2026-10-08_Night</x:v>
      </x:c>
      <x:c r="B19" s="7" t="n">
        <x:v>51600</x:v>
      </x:c>
      <x:c r="C19" s="7" t="n">
        <x:v>63800</x:v>
      </x:c>
      <x:c r="D19" s="7" t="n">
        <x:f>B19-C19</x:f>
        <x:v>-12200</x:v>
      </x:c>
      <x:c r="E19" s="12" t="n">
        <x:v>366</x:v>
      </x:c>
      <x:c r="F19" s="14" t="n">
        <x:f>E19/10</x:f>
        <x:v>36.6</x:v>
      </x:c>
    </x:row>
    <x:row r="20" ht="25" customHeight="1">
      <x:c r="A20" s="2" t="str">
        <x:v>2026-10-09_Night</x:v>
      </x:c>
      <x:c r="B20" s="7" t="n">
        <x:v>11400</x:v>
      </x:c>
      <x:c r="C20" s="7" t="n">
        <x:v>3600</x:v>
      </x:c>
      <x:c r="D20" s="7" t="n">
        <x:f>B20-C20</x:f>
        <x:v>7800</x:v>
      </x:c>
      <x:c r="E20" s="12" t="n">
        <x:v>67</x:v>
      </x:c>
      <x:c r="F20" s="14" t="n">
        <x:f>E20/10</x:f>
        <x:v>6.7</x:v>
      </x:c>
    </x:row>
    <x:row r="21" ht="25" customHeight="1">
      <x:c r="A21" s="2" t="str">
        <x:v>2026-10-12_Night</x:v>
      </x:c>
      <x:c r="B21" s="7" t="n">
        <x:v>11600</x:v>
      </x:c>
      <x:c r="C21" s="7" t="n">
        <x:v>4500</x:v>
      </x:c>
      <x:c r="D21" s="7" t="n">
        <x:f>B21-C21</x:f>
        <x:v>7100</x:v>
      </x:c>
      <x:c r="E21" s="12" t="n">
        <x:v>74</x:v>
      </x:c>
      <x:c r="F21" s="14" t="n">
        <x:f>E21/10</x:f>
        <x:v>7.4</x:v>
      </x:c>
    </x:row>
    <x:row r="22" ht="25" customHeight="1">
      <x:c r="A22" s="2" t="str">
        <x:v>2026-10-13_Night</x:v>
      </x:c>
      <x:c r="B22" s="7" t="n">
        <x:v>16000</x:v>
      </x:c>
      <x:c r="C22" s="7" t="n">
        <x:v>6500</x:v>
      </x:c>
      <x:c r="D22" s="7" t="n">
        <x:f>B22-C22</x:f>
        <x:v>9500</x:v>
      </x:c>
      <x:c r="E22" s="12" t="n">
        <x:v>99</x:v>
      </x:c>
      <x:c r="F22" s="14" t="n">
        <x:f>E22/10</x:f>
        <x:v>9.9</x:v>
      </x:c>
    </x:row>
    <x:row r="23" ht="25" customHeight="1">
      <x:c r="A23" s="2" t="str">
        <x:v>2026-10-14_Night</x:v>
      </x:c>
      <x:c r="B23" s="7" t="n">
        <x:v>13600</x:v>
      </x:c>
      <x:c r="C23" s="7" t="n">
        <x:v>53000</x:v>
      </x:c>
      <x:c r="D23" s="7" t="n">
        <x:f>B23-C23</x:f>
        <x:v>-39400</x:v>
      </x:c>
      <x:c r="E23" s="12" t="n">
        <x:v>104</x:v>
      </x:c>
      <x:c r="F23" s="14" t="n">
        <x:f>E23/10</x:f>
        <x:v>10.4</x:v>
      </x:c>
    </x:row>
    <x:row r="24" ht="25" customHeight="1">
      <x:c r="A24" s="2" t="str">
        <x:v>2026-10-15_Night</x:v>
      </x:c>
      <x:c r="B24" s="7" t="n">
        <x:v>13400</x:v>
      </x:c>
      <x:c r="C24" s="7" t="n">
        <x:v>34500</x:v>
      </x:c>
      <x:c r="D24" s="7" t="n">
        <x:f>B24-C24</x:f>
        <x:v>-21100</x:v>
      </x:c>
      <x:c r="E24" s="12" t="n">
        <x:v>93</x:v>
      </x:c>
      <x:c r="F24" s="14" t="n">
        <x:f>E24/10</x:f>
        <x:v>9.3</x:v>
      </x:c>
    </x:row>
    <x:row r="25" ht="25" customHeight="1">
      <x:c r="A25" s="2" t="str">
        <x:v>2026-10-16_Night</x:v>
      </x:c>
      <x:c r="B25" s="7" t="n">
        <x:v>55500</x:v>
      </x:c>
      <x:c r="C25" s="7" t="n">
        <x:v>16800</x:v>
      </x:c>
      <x:c r="D25" s="7" t="n">
        <x:f>B25-C25</x:f>
        <x:v>38700</x:v>
      </x:c>
      <x:c r="E25" s="12" t="n">
        <x:v>330</x:v>
      </x:c>
      <x:c r="F25" s="14" t="n">
        <x:f>E25/10</x:f>
        <x:v>33</x:v>
      </x:c>
    </x:row>
    <x:row r="26" ht="25" customHeight="1">
      <x:c r="A26" s="2" t="str">
        <x:v>2026-10-19_Night</x:v>
      </x:c>
      <x:c r="B26" s="7" t="n">
        <x:v>37300</x:v>
      </x:c>
      <x:c r="C26" s="7" t="n">
        <x:v>11500</x:v>
      </x:c>
      <x:c r="D26" s="7" t="n">
        <x:f>B26-C26</x:f>
        <x:v>25800</x:v>
      </x:c>
      <x:c r="E26" s="12" t="n">
        <x:v>252</x:v>
      </x:c>
      <x:c r="F26" s="14" t="n">
        <x:f>E26/10</x:f>
        <x:v>25.2</x:v>
      </x:c>
    </x:row>
    <x:row r="27" ht="25" customHeight="1">
      <x:c r="A27" s="2" t="str">
        <x:v>2026-10-20_Night</x:v>
      </x:c>
      <x:c r="B27" s="7" t="n">
        <x:v>21800</x:v>
      </x:c>
      <x:c r="C27" s="7" t="n">
        <x:v>3000</x:v>
      </x:c>
      <x:c r="D27" s="7" t="n">
        <x:f>B27-C27</x:f>
        <x:v>18800</x:v>
      </x:c>
      <x:c r="E27" s="12" t="n">
        <x:v>121</x:v>
      </x:c>
      <x:c r="F27" s="14" t="n">
        <x:f>E27/10</x:f>
        <x:v>12.1</x:v>
      </x:c>
    </x:row>
    <x:row r="28" ht="25" customHeight="1">
      <x:c r="A28" s="2" t="str">
        <x:v>2026-10-21_Night</x:v>
      </x:c>
      <x:c r="B28" s="7" t="n">
        <x:v>27700</x:v>
      </x:c>
      <x:c r="C28" s="7" t="n">
        <x:v>10500</x:v>
      </x:c>
      <x:c r="D28" s="7" t="n">
        <x:f>B28-C28</x:f>
        <x:v>17200</x:v>
      </x:c>
      <x:c r="E28" s="12" t="n">
        <x:v>178</x:v>
      </x:c>
      <x:c r="F28" s="14" t="n">
        <x:f>E28/10</x:f>
        <x:v>17.8</x:v>
      </x:c>
    </x:row>
    <x:row r="29" ht="25" customHeight="1">
      <x:c r="A29" s="2" t="str">
        <x:v>2026-10-22_Night</x:v>
      </x:c>
      <x:c r="B29" s="7" t="n">
        <x:v>24500</x:v>
      </x:c>
      <x:c r="C29" s="7" t="n">
        <x:v>5000</x:v>
      </x:c>
      <x:c r="D29" s="7" t="n">
        <x:f>B29-C29</x:f>
        <x:v>19500</x:v>
      </x:c>
      <x:c r="E29" s="12" t="n">
        <x:v>97</x:v>
      </x:c>
      <x:c r="F29" s="14" t="n">
        <x:f>E29/10</x:f>
        <x:v>9.7</x:v>
      </x:c>
    </x:row>
    <x:row r="30" ht="25" customHeight="1">
      <x:c r="A30" s="2" t="str">
        <x:v>2026-10-23_Night</x:v>
      </x:c>
      <x:c r="B30" s="7" t="n">
        <x:v>20100</x:v>
      </x:c>
      <x:c r="C30" s="7" t="n">
        <x:v>28900</x:v>
      </x:c>
      <x:c r="D30" s="7" t="n">
        <x:f>B30-C30</x:f>
        <x:v>-8800</x:v>
      </x:c>
      <x:c r="E30" s="12" t="n">
        <x:v>131</x:v>
      </x:c>
      <x:c r="F30" s="14" t="n">
        <x:f>E30/10</x:f>
        <x:v>13.1</x:v>
      </x:c>
    </x:row>
    <x:row r="31" ht="25" customHeight="1">
      <x:c r="A31" s="2" t="str">
        <x:v>2026-10-26_Night</x:v>
      </x:c>
      <x:c r="B31" s="7" t="n">
        <x:v>30400</x:v>
      </x:c>
      <x:c r="C31" s="7" t="n">
        <x:v>8600</x:v>
      </x:c>
      <x:c r="D31" s="7" t="n">
        <x:f>B31-C31</x:f>
        <x:v>21800</x:v>
      </x:c>
      <x:c r="E31" s="12" t="n">
        <x:v>192</x:v>
      </x:c>
      <x:c r="F31" s="14" t="n">
        <x:f>E31/10</x:f>
        <x:v>19.2</x:v>
      </x:c>
    </x:row>
    <x:row r="32" ht="25" customHeight="1">
      <x:c r="A32" s="2" t="str">
        <x:v>2026-10-27_Night</x:v>
      </x:c>
      <x:c r="B32" s="7" t="n">
        <x:v>3900</x:v>
      </x:c>
      <x:c r="C32" s="7" t="n">
        <x:v>1000</x:v>
      </x:c>
      <x:c r="D32" s="7" t="n">
        <x:f>B32-C32</x:f>
        <x:v>2900</x:v>
      </x:c>
      <x:c r="E32" s="12" t="n">
        <x:v>23</x:v>
      </x:c>
      <x:c r="F32" s="14" t="n">
        <x:f>E32/10</x:f>
        <x:v>2.3</x:v>
      </x:c>
    </x:row>
    <x:row r="33" ht="25" customHeight="1">
      <x:c r="A33" s="10" t="str">
        <x:v>合計</x:v>
      </x:c>
      <x:c r="B33" s="11" t="n">
        <x:f>SUM(B6:B32)</x:f>
        <x:v>579900</x:v>
      </x:c>
      <x:c r="C33" s="11" t="n">
        <x:f>SUM(C6:C32)</x:f>
        <x:v>473100</x:v>
      </x:c>
      <x:c r="D33" s="11" t="n">
        <x:f>B33-C33</x:f>
        <x:v>106800</x:v>
      </x:c>
      <x:c r="E33" s="13" t="n">
        <x:f>SUM(E6:E32)</x:f>
        <x:v>3616</x:v>
      </x:c>
      <x:c r="F33" s="15" t="n">
        <x:f>E33/10</x:f>
        <x:v>361.6</x:v>
      </x:c>
    </x:row>
  </x:sheetData>
  <x:mergeCells>
    <x:mergeCell ref="A2:F2"/>
    <x:mergeCell ref="A3:F3"/>
    <x:mergeCell ref="A4:F4"/>
  </x:mergeCells>
  <x:conditionalFormatting sqref="D6:D32">
    <x:cfRule type="cellIs" dxfId="13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920824ed0274074"/>
  </x:tableParts>
</x:worksheet>
</file>