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51dc986d7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1117208e8e9b4dff"/>
    <x:sheet xmlns:r="http://schemas.openxmlformats.org/officeDocument/2006/relationships" name="日経_S00" sheetId="2" r:id="R75e9f9ac4c9d4dfa"/>
    <x:sheet xmlns:r="http://schemas.openxmlformats.org/officeDocument/2006/relationships" name="日経_N00" sheetId="3" r:id="Ra6d911bafe564ae7"/>
    <x:sheet xmlns:r="http://schemas.openxmlformats.org/officeDocument/2006/relationships" name="日経_H01" sheetId="4" r:id="R557b603f2d704163"/>
    <x:sheet xmlns:r="http://schemas.openxmlformats.org/officeDocument/2006/relationships" name="日経_H09" sheetId="5" r:id="R7bc52ad395a047d7"/>
    <x:sheet xmlns:r="http://schemas.openxmlformats.org/officeDocument/2006/relationships" name="日経_H05" sheetId="6" r:id="R582db276aba849ea"/>
    <x:sheet xmlns:r="http://schemas.openxmlformats.org/officeDocument/2006/relationships" name="日経_H02" sheetId="7" r:id="R55d2e032a3334f61"/>
    <x:sheet xmlns:r="http://schemas.openxmlformats.org/officeDocument/2006/relationships" name="日経_H03" sheetId="8" r:id="R4561aab23ee54af3"/>
    <x:sheet xmlns:r="http://schemas.openxmlformats.org/officeDocument/2006/relationships" name="日経_H04" sheetId="9" r:id="R24c7e5abf64c4819"/>
    <x:sheet xmlns:r="http://schemas.openxmlformats.org/officeDocument/2006/relationships" name="日経_H06" sheetId="10" r:id="R07f935ba30e9486d"/>
    <x:sheet xmlns:r="http://schemas.openxmlformats.org/officeDocument/2006/relationships" name="日経_H07" sheetId="11" r:id="R27035f634d80429a"/>
    <x:sheet xmlns:r="http://schemas.openxmlformats.org/officeDocument/2006/relationships" name="日経_H08" sheetId="12" r:id="Ra3aafd7b9e02482b"/>
    <x:sheet xmlns:r="http://schemas.openxmlformats.org/officeDocument/2006/relationships" name="日経_H10" sheetId="13" r:id="R3d38e20543b14a26"/>
    <x:sheet xmlns:r="http://schemas.openxmlformats.org/officeDocument/2006/relationships" name="日経_H11" sheetId="14" r:id="R76d0dce79d86488d"/>
    <x:sheet xmlns:r="http://schemas.openxmlformats.org/officeDocument/2006/relationships" name="日経_H12" sheetId="15" r:id="Reb9de7f58708468e"/>
    <x:sheet xmlns:r="http://schemas.openxmlformats.org/officeDocument/2006/relationships" name="日経_H13" sheetId="16" r:id="R17d2eed408b64f58"/>
    <x:sheet xmlns:r="http://schemas.openxmlformats.org/officeDocument/2006/relationships" name="日経_H14" sheetId="17" r:id="Rb75226a6403845eb"/>
    <x:sheet xmlns:r="http://schemas.openxmlformats.org/officeDocument/2006/relationships" name="日経_H15" sheetId="18" r:id="R88ae7c317b5648e4"/>
    <x:sheet xmlns:r="http://schemas.openxmlformats.org/officeDocument/2006/relationships" name="日経_H16" sheetId="19" r:id="Rcc90174af9c54c9d"/>
    <x:sheet xmlns:r="http://schemas.openxmlformats.org/officeDocument/2006/relationships" name="日経_H17" sheetId="20" r:id="Rba79365303fb4dab"/>
    <x:sheet xmlns:r="http://schemas.openxmlformats.org/officeDocument/2006/relationships" name="日経_H18" sheetId="21" r:id="Rc0966218932d42e3"/>
    <x:sheet xmlns:r="http://schemas.openxmlformats.org/officeDocument/2006/relationships" name="日経_H19" sheetId="22" r:id="R5305a6c0a57e49aa"/>
    <x:sheet xmlns:r="http://schemas.openxmlformats.org/officeDocument/2006/relationships" name="日経_H20" sheetId="23" r:id="R09e11d5a03624bfe"/>
    <x:sheet xmlns:r="http://schemas.openxmlformats.org/officeDocument/2006/relationships" name="日経_H21" sheetId="24" r:id="R90f73f7b51604db6"/>
    <x:sheet xmlns:r="http://schemas.openxmlformats.org/officeDocument/2006/relationships" name="日経_H22" sheetId="25" r:id="Rab7fa1a4c5fc4fe7"/>
    <x:sheet xmlns:r="http://schemas.openxmlformats.org/officeDocument/2006/relationships" name="日経_H23" sheetId="26" r:id="R213e7b2f97964e1c"/>
    <x:sheet xmlns:r="http://schemas.openxmlformats.org/officeDocument/2006/relationships" name="日経_H24" sheetId="27" r:id="Re93b96b3a9fc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—&quot;"/>
    <x:numFmt numFmtId="201" formatCode="0"/>
  </x:numFmts>
  <x:fonts count="6">
    <x:font>
      <x:sz val="11"/>
      <x:name val="Carlito"/>
    </x:font>
    <x:font>
      <x:sz val="10"/>
      <x:color rgb="FF20384D"/>
      <x:name val="Yu Gothic"/>
    </x:font>
    <x:font>
      <x:b/>
      <x:sz val="14"/>
      <x:color rgb="FF20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0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9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78dc7bac142f4" /><Relationship Type="http://schemas.openxmlformats.org/officeDocument/2006/relationships/theme" Target="/xl/theme/theme1.xml" Id="R924dcd801a9f4bcf" /><Relationship Type="http://schemas.openxmlformats.org/officeDocument/2006/relationships/sharedStrings" Target="/xl/sharedStrings.xml" Id="R60e553ec22504229" /><Relationship Type="http://schemas.openxmlformats.org/officeDocument/2006/relationships/worksheet" Target="/xl/worksheets/sheet1.xml" Id="R1117208e8e9b4dff" /><Relationship Type="http://schemas.openxmlformats.org/officeDocument/2006/relationships/worksheet" Target="/xl/worksheets/sheet2.xml" Id="R75e9f9ac4c9d4dfa" /><Relationship Type="http://schemas.openxmlformats.org/officeDocument/2006/relationships/worksheet" Target="/xl/worksheets/sheet3.xml" Id="Ra6d911bafe564ae7" /><Relationship Type="http://schemas.openxmlformats.org/officeDocument/2006/relationships/worksheet" Target="/xl/worksheets/sheet4.xml" Id="R557b603f2d704163" /><Relationship Type="http://schemas.openxmlformats.org/officeDocument/2006/relationships/worksheet" Target="/xl/worksheets/sheet5.xml" Id="R7bc52ad395a047d7" /><Relationship Type="http://schemas.openxmlformats.org/officeDocument/2006/relationships/worksheet" Target="/xl/worksheets/sheet6.xml" Id="R582db276aba849ea" /><Relationship Type="http://schemas.openxmlformats.org/officeDocument/2006/relationships/worksheet" Target="/xl/worksheets/sheet7.xml" Id="R55d2e032a3334f61" /><Relationship Type="http://schemas.openxmlformats.org/officeDocument/2006/relationships/worksheet" Target="/xl/worksheets/sheet8.xml" Id="R4561aab23ee54af3" /><Relationship Type="http://schemas.openxmlformats.org/officeDocument/2006/relationships/worksheet" Target="/xl/worksheets/sheet9.xml" Id="R24c7e5abf64c4819" /><Relationship Type="http://schemas.openxmlformats.org/officeDocument/2006/relationships/worksheet" Target="/xl/worksheets/sheet10.xml" Id="R07f935ba30e9486d" /><Relationship Type="http://schemas.openxmlformats.org/officeDocument/2006/relationships/worksheet" Target="/xl/worksheets/sheet11.xml" Id="R27035f634d80429a" /><Relationship Type="http://schemas.openxmlformats.org/officeDocument/2006/relationships/worksheet" Target="/xl/worksheets/sheet12.xml" Id="Ra3aafd7b9e02482b" /><Relationship Type="http://schemas.openxmlformats.org/officeDocument/2006/relationships/worksheet" Target="/xl/worksheets/sheet13.xml" Id="R3d38e20543b14a26" /><Relationship Type="http://schemas.openxmlformats.org/officeDocument/2006/relationships/worksheet" Target="/xl/worksheets/sheet14.xml" Id="R76d0dce79d86488d" /><Relationship Type="http://schemas.openxmlformats.org/officeDocument/2006/relationships/worksheet" Target="/xl/worksheets/sheet15.xml" Id="Reb9de7f58708468e" /><Relationship Type="http://schemas.openxmlformats.org/officeDocument/2006/relationships/worksheet" Target="/xl/worksheets/sheet16.xml" Id="R17d2eed408b64f58" /><Relationship Type="http://schemas.openxmlformats.org/officeDocument/2006/relationships/worksheet" Target="/xl/worksheets/sheet17.xml" Id="Rb75226a6403845eb" /><Relationship Type="http://schemas.openxmlformats.org/officeDocument/2006/relationships/worksheet" Target="/xl/worksheets/sheet18.xml" Id="R88ae7c317b5648e4" /><Relationship Type="http://schemas.openxmlformats.org/officeDocument/2006/relationships/worksheet" Target="/xl/worksheets/sheet19.xml" Id="Rcc90174af9c54c9d" /><Relationship Type="http://schemas.openxmlformats.org/officeDocument/2006/relationships/worksheet" Target="/xl/worksheets/sheet20.xml" Id="Rba79365303fb4dab" /><Relationship Type="http://schemas.openxmlformats.org/officeDocument/2006/relationships/worksheet" Target="/xl/worksheets/sheet21.xml" Id="Rc0966218932d42e3" /><Relationship Type="http://schemas.openxmlformats.org/officeDocument/2006/relationships/worksheet" Target="/xl/worksheets/sheet22.xml" Id="R5305a6c0a57e49aa" /><Relationship Type="http://schemas.openxmlformats.org/officeDocument/2006/relationships/worksheet" Target="/xl/worksheets/sheet23.xml" Id="R09e11d5a03624bfe" /><Relationship Type="http://schemas.openxmlformats.org/officeDocument/2006/relationships/worksheet" Target="/xl/worksheets/sheet24.xml" Id="R90f73f7b51604db6" /><Relationship Type="http://schemas.openxmlformats.org/officeDocument/2006/relationships/worksheet" Target="/xl/worksheets/sheet25.xml" Id="Rab7fa1a4c5fc4fe7" /><Relationship Type="http://schemas.openxmlformats.org/officeDocument/2006/relationships/worksheet" Target="/xl/worksheets/sheet26.xml" Id="R213e7b2f97964e1c" /><Relationship Type="http://schemas.openxmlformats.org/officeDocument/2006/relationships/worksheet" Target="/xl/worksheets/sheet27.xml" Id="Re93b96b3a9fc4852" /></Relationships>
</file>

<file path=xl/tables/table1.xml><?xml version="1.0" encoding="utf-8"?>
<x:table xmlns:x="http://schemas.openxmlformats.org/spreadsheetml/2006/main" id="27" name="R162_comparison" displayName="R162_comparison" ref="A5:M109" headerRowCount="1" totalsRowCount="0" totalsRowShown="0">
  <x:autoFilter ref="A5:M109"/>
  <x:tableColumns count="13">
    <x:tableColumn id="1" name="対象"/>
    <x:tableColumn id="2" name="手法"/>
    <x:tableColumn id="3" name="事前選択"/>
    <x:tableColumn id="4" name="利益（円）"/>
    <x:tableColumn id="5" name="損失（円）"/>
    <x:tableColumn id="6" name="収支（円）"/>
    <x:tableColumn id="7" name="赤字場数"/>
    <x:tableColumn id="8" name="無取引場数"/>
    <x:tableColumn id="9" name="平均赤字（円）"/>
    <x:tableColumn id="10" name="最大赤字（円）"/>
    <x:tableColumn id="11" name="場内最悪収支（円）"/>
    <x:tableColumn id="12" name="最大下落額（円）"/>
    <x:tableColumn id="13" name="大勝ち3場除外収支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162_S00" displayName="R162_S00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162_N00" displayName="R162_N00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162_H01" displayName="R162_H01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162_H09" displayName="R162_H09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162_H05" displayName="R162_H05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162_H02" displayName="R162_H02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R162_H03" displayName="R162_H03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R162_H04" displayName="R162_H04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R162_H06" displayName="R162_H06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R162_H07" displayName="R162_H07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R162_H08" displayName="R162_H08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R162_H10" displayName="R162_H10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R162_H11" displayName="R162_H11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R162_H12" displayName="R162_H12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R162_H13" displayName="R162_H13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R162_H14" displayName="R162_H14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R162_H15" displayName="R162_H15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R162_H16" displayName="R162_H16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R162_H17" displayName="R162_H17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R162_H18" displayName="R162_H18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R162_H19" displayName="R162_H19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R162_H20" displayName="R162_H20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R162_H21" displayName="R162_H21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R162_H22" displayName="R162_H22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R162_H23" displayName="R162_H23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R162_H24" displayName="R162_H24" ref="A5:L58" headerRowCount="1" totalsRowCount="0" totalsRowShown="0">
  <x:autoFilter ref="A5:L58"/>
  <x:tableColumns count="12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主玉収支（円）"/>
    <x:tableColumn id="8" name="カバー収支（円）"/>
    <x:tableColumn id="9" name="場内最悪収支（円）"/>
    <x:tableColumn id="10" name="最大下落額（円）"/>
    <x:tableColumn id="11" name="主玉新規回数"/>
    <x:tableColumn id="12" name="カバー新規回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776de8327d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6d3784c93f45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1c3972787f4e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7e9a8b5bca4e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d75b6238f042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cfa08879801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4aa3c4ea67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637385e192d4f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91f8389005d4a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b08856393345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123c30077bc4e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f5103655a0c42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7de8f1c322a4d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54811ea8cfe4da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d507b6d84ee42b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33b6ad41a06418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be3e6e6beb74d9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a07007347524fc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64efe990dd549f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c6f37231db3446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028b8177b354fc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ce39e5f16a445a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9ae3c2ca2c3479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efe9c9314864bb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0a3d77db79649f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2a07b24ee63841e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f4265cb0f9284c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主玉と短期カバーの比較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mini買10・売10枚まで／費用0。損益は主＋カバーの全玉合計。場内最悪は確定＋全玉含み、最大下落は当場ピークから。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前40場の選択：H01・H09・H05。採用の意味ではなく、後13場も既知の追加開発資料。場末は直前6分BBO代理。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5" customHeight="1">
      <x:c r="A5" s="10" t="str">
        <x:v>対象</x:v>
      </x:c>
      <x:c r="B5" s="10" t="str">
        <x:v>手法</x:v>
      </x:c>
      <x:c r="C5" s="10" t="str">
        <x:v>事前選択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赤字場数</x:v>
      </x:c>
      <x:c r="H5" s="10" t="str">
        <x:v>無取引場数</x:v>
      </x:c>
      <x:c r="I5" s="10" t="str">
        <x:v>平均赤字（円）</x:v>
      </x:c>
      <x:c r="J5" s="10" t="str">
        <x:v>最大赤字（円）</x:v>
      </x:c>
      <x:c r="K5" s="10" t="str">
        <x:v>場内最悪収支（円）</x:v>
      </x:c>
      <x:c r="L5" s="10" t="str">
        <x:v>最大下落額（円）</x:v>
      </x:c>
      <x:c r="M5" s="10" t="str">
        <x:v>大勝ち3場除外収支（円）</x:v>
      </x:c>
    </x:row>
    <x:row r="6" ht="25" customHeight="1">
      <x:c r="A6" s="18" t="str">
        <x:v>全53場</x:v>
      </x:c>
      <x:c r="B6" s="18" t="str">
        <x:v>S00</x:v>
      </x:c>
      <x:c r="C6" s="19" t="str"/>
      <x:c r="D6" s="6" t="n">
        <x:f>SUM('日経_S00'!C6:C58)</x:f>
        <x:v>45290000</x:v>
      </x:c>
      <x:c r="E6" s="6" t="n">
        <x:f>SUM('日経_S00'!D6:D58)</x:f>
        <x:v>76690000</x:v>
      </x:c>
      <x:c r="F6" s="6" t="n">
        <x:f>D6-E6</x:f>
        <x:v>-31400000</x:v>
      </x:c>
      <x:c r="G6" s="11" t="n">
        <x:v>44</x:v>
      </x:c>
      <x:c r="H6" s="11" t="n">
        <x:v>2</x:v>
      </x:c>
      <x:c r="I6" s="6" t="n">
        <x:v>727045.4545454546</x:v>
      </x:c>
      <x:c r="J6" s="6" t="n">
        <x:v>2140000</x:v>
      </x:c>
      <x:c r="K6" s="6" t="n">
        <x:v>-2430000</x:v>
      </x:c>
      <x:c r="L6" s="6" t="n">
        <x:v>2440000</x:v>
      </x:c>
      <x:c r="M6" s="6" t="n">
        <x:v>-31840000</x:v>
      </x:c>
    </x:row>
    <x:row r="7" ht="25" customHeight="1">
      <x:c r="A7" s="18" t="str">
        <x:v>全53場</x:v>
      </x:c>
      <x:c r="B7" s="18" t="str">
        <x:v>N00</x:v>
      </x:c>
      <x:c r="C7" s="19" t="str"/>
      <x:c r="D7" s="6" t="n">
        <x:f>SUM('日経_N00'!C6:C58)</x:f>
        <x:v>31050000</x:v>
      </x:c>
      <x:c r="E7" s="6" t="n">
        <x:f>SUM('日経_N00'!D6:D58)</x:f>
        <x:v>37120000</x:v>
      </x:c>
      <x:c r="F7" s="6" t="n">
        <x:f>D7-E7</x:f>
        <x:v>-6070000</x:v>
      </x:c>
      <x:c r="G7" s="11" t="n">
        <x:v>31</x:v>
      </x:c>
      <x:c r="H7" s="11" t="n">
        <x:v>2</x:v>
      </x:c>
      <x:c r="I7" s="6" t="n">
        <x:v>342258.06451612903</x:v>
      </x:c>
      <x:c r="J7" s="6" t="n">
        <x:v>1410000</x:v>
      </x:c>
      <x:c r="K7" s="6" t="n">
        <x:v>-1610000</x:v>
      </x:c>
      <x:c r="L7" s="6" t="n">
        <x:v>1830000</x:v>
      </x:c>
      <x:c r="M7" s="6" t="n">
        <x:v>-8280000</x:v>
      </x:c>
    </x:row>
    <x:row r="8" ht="25" customHeight="1">
      <x:c r="A8" s="18" t="str">
        <x:v>全53場</x:v>
      </x:c>
      <x:c r="B8" s="18" t="str">
        <x:v>H01</x:v>
      </x:c>
      <x:c r="C8" s="19" t="str">
        <x:v>前40場選択</x:v>
      </x:c>
      <x:c r="D8" s="6" t="n">
        <x:f>SUM('日経_H01'!C6:C58)</x:f>
        <x:v>34379000</x:v>
      </x:c>
      <x:c r="E8" s="6" t="n">
        <x:f>SUM('日経_H01'!D6:D58)</x:f>
        <x:v>45858000</x:v>
      </x:c>
      <x:c r="F8" s="6" t="n">
        <x:f>D8-E8</x:f>
        <x:v>-11479000</x:v>
      </x:c>
      <x:c r="G8" s="11" t="n">
        <x:v>39</x:v>
      </x:c>
      <x:c r="H8" s="11" t="n">
        <x:v>2</x:v>
      </x:c>
      <x:c r="I8" s="6" t="n">
        <x:v>334487.1794871795</x:v>
      </x:c>
      <x:c r="J8" s="6" t="n">
        <x:v>1481000</x:v>
      </x:c>
      <x:c r="K8" s="6" t="n">
        <x:v>-1681000</x:v>
      </x:c>
      <x:c r="L8" s="6" t="n">
        <x:v>1696000</x:v>
      </x:c>
      <x:c r="M8" s="6" t="n">
        <x:v>-12431000</x:v>
      </x:c>
    </x:row>
    <x:row r="9" ht="25" customHeight="1">
      <x:c r="A9" s="18" t="str">
        <x:v>全53場</x:v>
      </x:c>
      <x:c r="B9" s="18" t="str">
        <x:v>H09</x:v>
      </x:c>
      <x:c r="C9" s="19" t="str">
        <x:v>前40場選択</x:v>
      </x:c>
      <x:c r="D9" s="6" t="n">
        <x:f>SUM('日経_H09'!C6:C58)</x:f>
        <x:v>32680000</x:v>
      </x:c>
      <x:c r="E9" s="6" t="n">
        <x:f>SUM('日経_H09'!D6:D58)</x:f>
        <x:v>42427000</x:v>
      </x:c>
      <x:c r="F9" s="6" t="n">
        <x:f>D9-E9</x:f>
        <x:v>-9747000</x:v>
      </x:c>
      <x:c r="G9" s="11" t="n">
        <x:v>37</x:v>
      </x:c>
      <x:c r="H9" s="11" t="n">
        <x:v>2</x:v>
      </x:c>
      <x:c r="I9" s="6" t="n">
        <x:v>326675.6756756757</x:v>
      </x:c>
      <x:c r="J9" s="6" t="n">
        <x:v>1433000</x:v>
      </x:c>
      <x:c r="K9" s="6" t="n">
        <x:v>-1633000</x:v>
      </x:c>
      <x:c r="L9" s="6" t="n">
        <x:v>1761000</x:v>
      </x:c>
      <x:c r="M9" s="6" t="n">
        <x:v>-11151000</x:v>
      </x:c>
    </x:row>
    <x:row r="10" ht="25" customHeight="1">
      <x:c r="A10" s="18" t="str">
        <x:v>全53場</x:v>
      </x:c>
      <x:c r="B10" s="18" t="str">
        <x:v>H05</x:v>
      </x:c>
      <x:c r="C10" s="19" t="str">
        <x:v>前40場選択</x:v>
      </x:c>
      <x:c r="D10" s="6" t="n">
        <x:f>SUM('日経_H05'!C6:C58)</x:f>
        <x:v>32918000</x:v>
      </x:c>
      <x:c r="E10" s="6" t="n">
        <x:f>SUM('日経_H05'!D6:D58)</x:f>
        <x:v>44349000</x:v>
      </x:c>
      <x:c r="F10" s="6" t="n">
        <x:f>D10-E10</x:f>
        <x:v>-11431000</x:v>
      </x:c>
      <x:c r="G10" s="11" t="n">
        <x:v>38</x:v>
      </x:c>
      <x:c r="H10" s="11" t="n">
        <x:v>2</x:v>
      </x:c>
      <x:c r="I10" s="6" t="n">
        <x:v>341289.4736842105</x:v>
      </x:c>
      <x:c r="J10" s="6" t="n">
        <x:v>1423000</x:v>
      </x:c>
      <x:c r="K10" s="6" t="n">
        <x:v>-1623000</x:v>
      </x:c>
      <x:c r="L10" s="6" t="n">
        <x:v>1734000</x:v>
      </x:c>
      <x:c r="M10" s="6" t="n">
        <x:v>-12472000</x:v>
      </x:c>
    </x:row>
    <x:row r="11" ht="25" customHeight="1">
      <x:c r="A11" s="18" t="str">
        <x:v>全53場</x:v>
      </x:c>
      <x:c r="B11" s="18" t="str">
        <x:v>H02</x:v>
      </x:c>
      <x:c r="C11" s="19" t="str"/>
      <x:c r="D11" s="6" t="n">
        <x:f>SUM('日経_H02'!C6:C58)</x:f>
        <x:v>36135000</x:v>
      </x:c>
      <x:c r="E11" s="6" t="n">
        <x:f>SUM('日経_H02'!D6:D58)</x:f>
        <x:v>57284000</x:v>
      </x:c>
      <x:c r="F11" s="6" t="n">
        <x:f>D11-E11</x:f>
        <x:v>-21149000</x:v>
      </x:c>
      <x:c r="G11" s="11" t="n">
        <x:v>45</x:v>
      </x:c>
      <x:c r="H11" s="11" t="n">
        <x:v>2</x:v>
      </x:c>
      <x:c r="I11" s="6" t="n">
        <x:v>485377.77777777775</x:v>
      </x:c>
      <x:c r="J11" s="6" t="n">
        <x:v>1209000</x:v>
      </x:c>
      <x:c r="K11" s="6" t="n">
        <x:v>-1374000</x:v>
      </x:c>
      <x:c r="L11" s="6" t="n">
        <x:v>1374000</x:v>
      </x:c>
      <x:c r="M11" s="6" t="n">
        <x:v>-21767000</x:v>
      </x:c>
    </x:row>
    <x:row r="12" ht="25" customHeight="1">
      <x:c r="A12" s="18" t="str">
        <x:v>全53場</x:v>
      </x:c>
      <x:c r="B12" s="18" t="str">
        <x:v>H03</x:v>
      </x:c>
      <x:c r="C12" s="19" t="str"/>
      <x:c r="D12" s="6" t="n">
        <x:f>SUM('日経_H03'!C6:C58)</x:f>
        <x:v>36465000</x:v>
      </x:c>
      <x:c r="E12" s="6" t="n">
        <x:f>SUM('日経_H03'!D6:D58)</x:f>
        <x:v>46991000</x:v>
      </x:c>
      <x:c r="F12" s="6" t="n">
        <x:f>D12-E12</x:f>
        <x:v>-10526000</x:v>
      </x:c>
      <x:c r="G12" s="11" t="n">
        <x:v>39</x:v>
      </x:c>
      <x:c r="H12" s="11" t="n">
        <x:v>2</x:v>
      </x:c>
      <x:c r="I12" s="6" t="n">
        <x:v>314384.6153846154</x:v>
      </x:c>
      <x:c r="J12" s="6" t="n">
        <x:v>1458000</x:v>
      </x:c>
      <x:c r="K12" s="6" t="n">
        <x:v>-1658000</x:v>
      </x:c>
      <x:c r="L12" s="6" t="n">
        <x:v>1664000</x:v>
      </x:c>
      <x:c r="M12" s="6" t="n">
        <x:v>-11567000</x:v>
      </x:c>
    </x:row>
    <x:row r="13" ht="25" customHeight="1">
      <x:c r="A13" s="18" t="str">
        <x:v>全53場</x:v>
      </x:c>
      <x:c r="B13" s="18" t="str">
        <x:v>H04</x:v>
      </x:c>
      <x:c r="C13" s="19" t="str"/>
      <x:c r="D13" s="6" t="n">
        <x:f>SUM('日経_H04'!C6:C58)</x:f>
        <x:v>42949000</x:v>
      </x:c>
      <x:c r="E13" s="6" t="n">
        <x:f>SUM('日経_H04'!D6:D58)</x:f>
        <x:v>56345000</x:v>
      </x:c>
      <x:c r="F13" s="6" t="n">
        <x:f>D13-E13</x:f>
        <x:v>-13396000</x:v>
      </x:c>
      <x:c r="G13" s="11" t="n">
        <x:v>45</x:v>
      </x:c>
      <x:c r="H13" s="11" t="n">
        <x:v>2</x:v>
      </x:c>
      <x:c r="I13" s="6" t="n">
        <x:v>326088.8888888889</x:v>
      </x:c>
      <x:c r="J13" s="6" t="n">
        <x:v>1039000</x:v>
      </x:c>
      <x:c r="K13" s="6" t="n">
        <x:v>-1069000</x:v>
      </x:c>
      <x:c r="L13" s="6" t="n">
        <x:v>1119000</x:v>
      </x:c>
      <x:c r="M13" s="6" t="n">
        <x:v>-14489000</x:v>
      </x:c>
    </x:row>
    <x:row r="14" ht="25" customHeight="1">
      <x:c r="A14" s="18" t="str">
        <x:v>全53場</x:v>
      </x:c>
      <x:c r="B14" s="18" t="str">
        <x:v>H06</x:v>
      </x:c>
      <x:c r="C14" s="19" t="str"/>
      <x:c r="D14" s="6" t="n">
        <x:f>SUM('日経_H06'!C6:C58)</x:f>
        <x:v>34103000</x:v>
      </x:c>
      <x:c r="E14" s="6" t="n">
        <x:f>SUM('日経_H06'!D6:D58)</x:f>
        <x:v>49513000</x:v>
      </x:c>
      <x:c r="F14" s="6" t="n">
        <x:f>D14-E14</x:f>
        <x:v>-15410000</x:v>
      </x:c>
      <x:c r="G14" s="11" t="n">
        <x:v>42</x:v>
      </x:c>
      <x:c r="H14" s="11" t="n">
        <x:v>2</x:v>
      </x:c>
      <x:c r="I14" s="6" t="n">
        <x:v>409023.8095238095</x:v>
      </x:c>
      <x:c r="J14" s="6" t="n">
        <x:v>1168000</x:v>
      </x:c>
      <x:c r="K14" s="6" t="n">
        <x:v>-1344000</x:v>
      </x:c>
      <x:c r="L14" s="6" t="n">
        <x:v>1444000</x:v>
      </x:c>
      <x:c r="M14" s="6" t="n">
        <x:v>-16583000</x:v>
      </x:c>
    </x:row>
    <x:row r="15" ht="25" customHeight="1">
      <x:c r="A15" s="18" t="str">
        <x:v>全53場</x:v>
      </x:c>
      <x:c r="B15" s="18" t="str">
        <x:v>H07</x:v>
      </x:c>
      <x:c r="C15" s="19" t="str"/>
      <x:c r="D15" s="6" t="n">
        <x:f>SUM('日経_H07'!C6:C58)</x:f>
        <x:v>35157000</x:v>
      </x:c>
      <x:c r="E15" s="6" t="n">
        <x:f>SUM('日経_H07'!D6:D58)</x:f>
        <x:v>45213000</x:v>
      </x:c>
      <x:c r="F15" s="6" t="n">
        <x:f>D15-E15</x:f>
        <x:v>-10056000</x:v>
      </x:c>
      <x:c r="G15" s="11" t="n">
        <x:v>39</x:v>
      </x:c>
      <x:c r="H15" s="11" t="n">
        <x:v>2</x:v>
      </x:c>
      <x:c r="I15" s="6" t="n">
        <x:v>306589.74358974356</x:v>
      </x:c>
      <x:c r="J15" s="6" t="n">
        <x:v>1415000</x:v>
      </x:c>
      <x:c r="K15" s="6" t="n">
        <x:v>-1615000</x:v>
      </x:c>
      <x:c r="L15" s="6" t="n">
        <x:v>1707000</x:v>
      </x:c>
      <x:c r="M15" s="6" t="n">
        <x:v>-11235000</x:v>
      </x:c>
    </x:row>
    <x:row r="16" ht="25" customHeight="1">
      <x:c r="A16" s="18" t="str">
        <x:v>全53場</x:v>
      </x:c>
      <x:c r="B16" s="18" t="str">
        <x:v>H08</x:v>
      </x:c>
      <x:c r="C16" s="19" t="str"/>
      <x:c r="D16" s="6" t="n">
        <x:f>SUM('日経_H08'!C6:C58)</x:f>
        <x:v>38344000</x:v>
      </x:c>
      <x:c r="E16" s="6" t="n">
        <x:f>SUM('日経_H08'!D6:D58)</x:f>
        <x:v>50808000</x:v>
      </x:c>
      <x:c r="F16" s="6" t="n">
        <x:f>D16-E16</x:f>
        <x:v>-12464000</x:v>
      </x:c>
      <x:c r="G16" s="11" t="n">
        <x:v>41</x:v>
      </x:c>
      <x:c r="H16" s="11" t="n">
        <x:v>2</x:v>
      </x:c>
      <x:c r="I16" s="6" t="n">
        <x:v>353853.65853658534</x:v>
      </x:c>
      <x:c r="J16" s="6" t="n">
        <x:v>1155000</x:v>
      </x:c>
      <x:c r="K16" s="6" t="n">
        <x:v>-1185000</x:v>
      </x:c>
      <x:c r="L16" s="6" t="n">
        <x:v>1400000</x:v>
      </x:c>
      <x:c r="M16" s="6" t="n">
        <x:v>-13624000</x:v>
      </x:c>
    </x:row>
    <x:row r="17" ht="25" customHeight="1">
      <x:c r="A17" s="18" t="str">
        <x:v>全53場</x:v>
      </x:c>
      <x:c r="B17" s="18" t="str">
        <x:v>H10</x:v>
      </x:c>
      <x:c r="C17" s="19" t="str"/>
      <x:c r="D17" s="6" t="n">
        <x:f>SUM('日経_H10'!C6:C58)</x:f>
        <x:v>32334000</x:v>
      </x:c>
      <x:c r="E17" s="6" t="n">
        <x:f>SUM('日経_H10'!D6:D58)</x:f>
        <x:v>44671000</x:v>
      </x:c>
      <x:c r="F17" s="6" t="n">
        <x:f>D17-E17</x:f>
        <x:v>-12337000</x:v>
      </x:c>
      <x:c r="G17" s="11" t="n">
        <x:v>41</x:v>
      </x:c>
      <x:c r="H17" s="11" t="n">
        <x:v>2</x:v>
      </x:c>
      <x:c r="I17" s="6" t="n">
        <x:v>363292.68292682926</x:v>
      </x:c>
      <x:c r="J17" s="6" t="n">
        <x:v>1326000</x:v>
      </x:c>
      <x:c r="K17" s="6" t="n">
        <x:v>-1393000</x:v>
      </x:c>
      <x:c r="L17" s="6" t="n">
        <x:v>1560000</x:v>
      </x:c>
      <x:c r="M17" s="6" t="n">
        <x:v>-13985000</x:v>
      </x:c>
    </x:row>
    <x:row r="18" ht="25" customHeight="1">
      <x:c r="A18" s="18" t="str">
        <x:v>全53場</x:v>
      </x:c>
      <x:c r="B18" s="18" t="str">
        <x:v>H11</x:v>
      </x:c>
      <x:c r="C18" s="19" t="str"/>
      <x:c r="D18" s="6" t="n">
        <x:f>SUM('日経_H11'!C6:C58)</x:f>
        <x:v>34365000</x:v>
      </x:c>
      <x:c r="E18" s="6" t="n">
        <x:f>SUM('日経_H11'!D6:D58)</x:f>
        <x:v>43396000</x:v>
      </x:c>
      <x:c r="F18" s="6" t="n">
        <x:f>D18-E18</x:f>
        <x:v>-9031000</x:v>
      </x:c>
      <x:c r="G18" s="11" t="n">
        <x:v>38</x:v>
      </x:c>
      <x:c r="H18" s="11" t="n">
        <x:v>2</x:v>
      </x:c>
      <x:c r="I18" s="6" t="n">
        <x:v>304157.8947368421</x:v>
      </x:c>
      <x:c r="J18" s="6" t="n">
        <x:v>1403000</x:v>
      </x:c>
      <x:c r="K18" s="6" t="n">
        <x:v>-1603000</x:v>
      </x:c>
      <x:c r="L18" s="6" t="n">
        <x:v>1733000</x:v>
      </x:c>
      <x:c r="M18" s="6" t="n">
        <x:v>-10470000</x:v>
      </x:c>
    </x:row>
    <x:row r="19" ht="25" customHeight="1">
      <x:c r="A19" s="18" t="str">
        <x:v>全53場</x:v>
      </x:c>
      <x:c r="B19" s="18" t="str">
        <x:v>H12</x:v>
      </x:c>
      <x:c r="C19" s="19" t="str"/>
      <x:c r="D19" s="6" t="n">
        <x:f>SUM('日経_H12'!C6:C58)</x:f>
        <x:v>35372000</x:v>
      </x:c>
      <x:c r="E19" s="6" t="n">
        <x:f>SUM('日経_H12'!D6:D58)</x:f>
        <x:v>44102000</x:v>
      </x:c>
      <x:c r="F19" s="6" t="n">
        <x:f>D19-E19</x:f>
        <x:v>-8730000</x:v>
      </x:c>
      <x:c r="G19" s="11" t="n">
        <x:v>38</x:v>
      </x:c>
      <x:c r="H19" s="11" t="n">
        <x:v>2</x:v>
      </x:c>
      <x:c r="I19" s="6" t="n">
        <x:v>308052.63157894736</x:v>
      </x:c>
      <x:c r="J19" s="6" t="n">
        <x:v>997000</x:v>
      </x:c>
      <x:c r="K19" s="6" t="n">
        <x:v>-1126000</x:v>
      </x:c>
      <x:c r="L19" s="6" t="n">
        <x:v>1250000</x:v>
      </x:c>
      <x:c r="M19" s="6" t="n">
        <x:v>-10270000</x:v>
      </x:c>
    </x:row>
    <x:row r="20" ht="25" customHeight="1">
      <x:c r="A20" s="18" t="str">
        <x:v>全53場</x:v>
      </x:c>
      <x:c r="B20" s="18" t="str">
        <x:v>H13</x:v>
      </x:c>
      <x:c r="C20" s="19" t="str"/>
      <x:c r="D20" s="6" t="n">
        <x:f>SUM('日経_H13'!C6:C58)</x:f>
        <x:v>31542000</x:v>
      </x:c>
      <x:c r="E20" s="6" t="n">
        <x:f>SUM('日経_H13'!D6:D58)</x:f>
        <x:v>58333000</x:v>
      </x:c>
      <x:c r="F20" s="6" t="n">
        <x:f>D20-E20</x:f>
        <x:v>-26791000</x:v>
      </x:c>
      <x:c r="G20" s="11" t="n">
        <x:v>48</x:v>
      </x:c>
      <x:c r="H20" s="11" t="n">
        <x:v>2</x:v>
      </x:c>
      <x:c r="I20" s="6" t="n">
        <x:v>565020.8333333334</x:v>
      </x:c>
      <x:c r="J20" s="6" t="n">
        <x:v>2307000</x:v>
      </x:c>
      <x:c r="K20" s="6" t="n">
        <x:v>-2507000</x:v>
      </x:c>
      <x:c r="L20" s="6" t="n">
        <x:v>2507000</x:v>
      </x:c>
      <x:c r="M20" s="6" t="n">
        <x:v>-27121000</x:v>
      </x:c>
    </x:row>
    <x:row r="21" ht="25" customHeight="1">
      <x:c r="A21" s="18" t="str">
        <x:v>全53場</x:v>
      </x:c>
      <x:c r="B21" s="18" t="str">
        <x:v>H14</x:v>
      </x:c>
      <x:c r="C21" s="19" t="str"/>
      <x:c r="D21" s="6" t="n">
        <x:f>SUM('日経_H14'!C6:C58)</x:f>
        <x:v>31794000</x:v>
      </x:c>
      <x:c r="E21" s="6" t="n">
        <x:f>SUM('日経_H14'!D6:D58)</x:f>
        <x:v>61252000</x:v>
      </x:c>
      <x:c r="F21" s="6" t="n">
        <x:f>D21-E21</x:f>
        <x:v>-29458000</x:v>
      </x:c>
      <x:c r="G21" s="11" t="n">
        <x:v>42</x:v>
      </x:c>
      <x:c r="H21" s="11" t="n">
        <x:v>2</x:v>
      </x:c>
      <x:c r="I21" s="6" t="n">
        <x:v>739738.0952380953</x:v>
      </x:c>
      <x:c r="J21" s="6" t="n">
        <x:v>2702000</x:v>
      </x:c>
      <x:c r="K21" s="6" t="n">
        <x:v>-2902000</x:v>
      </x:c>
      <x:c r="L21" s="6" t="n">
        <x:v>2958000</x:v>
      </x:c>
      <x:c r="M21" s="6" t="n">
        <x:v>-30503000</x:v>
      </x:c>
    </x:row>
    <x:row r="22" ht="25" customHeight="1">
      <x:c r="A22" s="18" t="str">
        <x:v>全53場</x:v>
      </x:c>
      <x:c r="B22" s="18" t="str">
        <x:v>H15</x:v>
      </x:c>
      <x:c r="C22" s="19" t="str"/>
      <x:c r="D22" s="6" t="n">
        <x:f>SUM('日経_H15'!C6:C58)</x:f>
        <x:v>33463000</x:v>
      </x:c>
      <x:c r="E22" s="6" t="n">
        <x:f>SUM('日経_H15'!D6:D58)</x:f>
        <x:v>53364000</x:v>
      </x:c>
      <x:c r="F22" s="6" t="n">
        <x:f>D22-E22</x:f>
        <x:v>-19901000</x:v>
      </x:c>
      <x:c r="G22" s="11" t="n">
        <x:v>44</x:v>
      </x:c>
      <x:c r="H22" s="11" t="n">
        <x:v>2</x:v>
      </x:c>
      <x:c r="I22" s="6" t="n">
        <x:v>464613.63636363635</x:v>
      </x:c>
      <x:c r="J22" s="6" t="n">
        <x:v>1935000</x:v>
      </x:c>
      <x:c r="K22" s="6" t="n">
        <x:v>-2135000</x:v>
      </x:c>
      <x:c r="L22" s="6" t="n">
        <x:v>2135000</x:v>
      </x:c>
      <x:c r="M22" s="6" t="n">
        <x:v>-20401000</x:v>
      </x:c>
    </x:row>
    <x:row r="23" ht="25" customHeight="1">
      <x:c r="A23" s="18" t="str">
        <x:v>全53場</x:v>
      </x:c>
      <x:c r="B23" s="18" t="str">
        <x:v>H16</x:v>
      </x:c>
      <x:c r="C23" s="19" t="str"/>
      <x:c r="D23" s="6" t="n">
        <x:f>SUM('日経_H16'!C6:C58)</x:f>
        <x:v>35989000</x:v>
      </x:c>
      <x:c r="E23" s="6" t="n">
        <x:f>SUM('日経_H16'!D6:D58)</x:f>
        <x:v>64396000</x:v>
      </x:c>
      <x:c r="F23" s="6" t="n">
        <x:f>D23-E23</x:f>
        <x:v>-28407000</x:v>
      </x:c>
      <x:c r="G23" s="11" t="n">
        <x:v>43</x:v>
      </x:c>
      <x:c r="H23" s="11" t="n">
        <x:v>2</x:v>
      </x:c>
      <x:c r="I23" s="6" t="n">
        <x:v>696162.7906976744</x:v>
      </x:c>
      <x:c r="J23" s="6" t="n">
        <x:v>3028000</x:v>
      </x:c>
      <x:c r="K23" s="6" t="n">
        <x:v>-3258000</x:v>
      </x:c>
      <x:c r="L23" s="6" t="n">
        <x:v>3365000</x:v>
      </x:c>
      <x:c r="M23" s="6" t="n">
        <x:v>-29351000</x:v>
      </x:c>
    </x:row>
    <x:row r="24" ht="25" customHeight="1">
      <x:c r="A24" s="18" t="str">
        <x:v>全53場</x:v>
      </x:c>
      <x:c r="B24" s="18" t="str">
        <x:v>H17</x:v>
      </x:c>
      <x:c r="C24" s="19" t="str"/>
      <x:c r="D24" s="6" t="n">
        <x:f>SUM('日経_H17'!C6:C58)</x:f>
        <x:v>31440000</x:v>
      </x:c>
      <x:c r="E24" s="6" t="n">
        <x:f>SUM('日経_H17'!D6:D58)</x:f>
        <x:v>57738000</x:v>
      </x:c>
      <x:c r="F24" s="6" t="n">
        <x:f>D24-E24</x:f>
        <x:v>-26298000</x:v>
      </x:c>
      <x:c r="G24" s="11" t="n">
        <x:v>46</x:v>
      </x:c>
      <x:c r="H24" s="11" t="n">
        <x:v>2</x:v>
      </x:c>
      <x:c r="I24" s="6" t="n">
        <x:v>581652.1739130435</x:v>
      </x:c>
      <x:c r="J24" s="6" t="n">
        <x:v>1910000</x:v>
      </x:c>
      <x:c r="K24" s="6" t="n">
        <x:v>-2110000</x:v>
      </x:c>
      <x:c r="L24" s="6" t="n">
        <x:v>2130000</x:v>
      </x:c>
      <x:c r="M24" s="6" t="n">
        <x:v>-26720000</x:v>
      </x:c>
    </x:row>
    <x:row r="25" ht="25" customHeight="1">
      <x:c r="A25" s="18" t="str">
        <x:v>全53場</x:v>
      </x:c>
      <x:c r="B25" s="18" t="str">
        <x:v>H18</x:v>
      </x:c>
      <x:c r="C25" s="19" t="str"/>
      <x:c r="D25" s="6" t="n">
        <x:f>SUM('日経_H18'!C6:C58)</x:f>
        <x:v>31258000</x:v>
      </x:c>
      <x:c r="E25" s="6" t="n">
        <x:f>SUM('日経_H18'!D6:D58)</x:f>
        <x:v>48803000</x:v>
      </x:c>
      <x:c r="F25" s="6" t="n">
        <x:f>D25-E25</x:f>
        <x:v>-17545000</x:v>
      </x:c>
      <x:c r="G25" s="11" t="n">
        <x:v>41</x:v>
      </x:c>
      <x:c r="H25" s="11" t="n">
        <x:v>2</x:v>
      </x:c>
      <x:c r="I25" s="6" t="n">
        <x:v>500829.26829268294</x:v>
      </x:c>
      <x:c r="J25" s="6" t="n">
        <x:v>2030000</x:v>
      </x:c>
      <x:c r="K25" s="6" t="n">
        <x:v>-2230000</x:v>
      </x:c>
      <x:c r="L25" s="6" t="n">
        <x:v>2405000</x:v>
      </x:c>
      <x:c r="M25" s="6" t="n">
        <x:v>-19363000</x:v>
      </x:c>
    </x:row>
    <x:row r="26" ht="25" customHeight="1">
      <x:c r="A26" s="18" t="str">
        <x:v>全53場</x:v>
      </x:c>
      <x:c r="B26" s="18" t="str">
        <x:v>H19</x:v>
      </x:c>
      <x:c r="C26" s="19" t="str"/>
      <x:c r="D26" s="6" t="n">
        <x:f>SUM('日経_H19'!C6:C58)</x:f>
        <x:v>33619000</x:v>
      </x:c>
      <x:c r="E26" s="6" t="n">
        <x:f>SUM('日経_H19'!D6:D58)</x:f>
        <x:v>53015000</x:v>
      </x:c>
      <x:c r="F26" s="6" t="n">
        <x:f>D26-E26</x:f>
        <x:v>-19396000</x:v>
      </x:c>
      <x:c r="G26" s="11" t="n">
        <x:v>43</x:v>
      </x:c>
      <x:c r="H26" s="11" t="n">
        <x:v>2</x:v>
      </x:c>
      <x:c r="I26" s="6" t="n">
        <x:v>476395.3488372093</x:v>
      </x:c>
      <x:c r="J26" s="6" t="n">
        <x:v>1684000</x:v>
      </x:c>
      <x:c r="K26" s="6" t="n">
        <x:v>-1884000</x:v>
      </x:c>
      <x:c r="L26" s="6" t="n">
        <x:v>1927000</x:v>
      </x:c>
      <x:c r="M26" s="6" t="n">
        <x:v>-20094000</x:v>
      </x:c>
    </x:row>
    <x:row r="27" ht="25" customHeight="1">
      <x:c r="A27" s="18" t="str">
        <x:v>全53場</x:v>
      </x:c>
      <x:c r="B27" s="18" t="str">
        <x:v>H20</x:v>
      </x:c>
      <x:c r="C27" s="19" t="str"/>
      <x:c r="D27" s="6" t="n">
        <x:f>SUM('日経_H20'!C6:C58)</x:f>
        <x:v>33106000</x:v>
      </x:c>
      <x:c r="E27" s="6" t="n">
        <x:f>SUM('日経_H20'!D6:D58)</x:f>
        <x:v>49960000</x:v>
      </x:c>
      <x:c r="F27" s="6" t="n">
        <x:f>D27-E27</x:f>
        <x:v>-16854000</x:v>
      </x:c>
      <x:c r="G27" s="11" t="n">
        <x:v>39</x:v>
      </x:c>
      <x:c r="H27" s="11" t="n">
        <x:v>2</x:v>
      </x:c>
      <x:c r="I27" s="6" t="n">
        <x:v>507692.3076923077</x:v>
      </x:c>
      <x:c r="J27" s="6" t="n">
        <x:v>1794000</x:v>
      </x:c>
      <x:c r="K27" s="6" t="n">
        <x:v>-2007000</x:v>
      </x:c>
      <x:c r="L27" s="6" t="n">
        <x:v>2157000</x:v>
      </x:c>
      <x:c r="M27" s="6" t="n">
        <x:v>-18562000</x:v>
      </x:c>
    </x:row>
    <x:row r="28" ht="25" customHeight="1">
      <x:c r="A28" s="18" t="str">
        <x:v>全53場</x:v>
      </x:c>
      <x:c r="B28" s="18" t="str">
        <x:v>H21</x:v>
      </x:c>
      <x:c r="C28" s="19" t="str"/>
      <x:c r="D28" s="6" t="n">
        <x:f>SUM('日経_H21'!C6:C58)</x:f>
        <x:v>31470000</x:v>
      </x:c>
      <x:c r="E28" s="6" t="n">
        <x:f>SUM('日経_H21'!D6:D58)</x:f>
        <x:v>55603000</x:v>
      </x:c>
      <x:c r="F28" s="6" t="n">
        <x:f>D28-E28</x:f>
        <x:v>-24133000</x:v>
      </x:c>
      <x:c r="G28" s="11" t="n">
        <x:v>45</x:v>
      </x:c>
      <x:c r="H28" s="11" t="n">
        <x:v>2</x:v>
      </x:c>
      <x:c r="I28" s="6" t="n">
        <x:v>555933.3333333334</x:v>
      </x:c>
      <x:c r="J28" s="6" t="n">
        <x:v>1768000</x:v>
      </x:c>
      <x:c r="K28" s="6" t="n">
        <x:v>-1888000</x:v>
      </x:c>
      <x:c r="L28" s="6" t="n">
        <x:v>1986000</x:v>
      </x:c>
      <x:c r="M28" s="6" t="n">
        <x:v>-24709000</x:v>
      </x:c>
    </x:row>
    <x:row r="29" ht="25" customHeight="1">
      <x:c r="A29" s="18" t="str">
        <x:v>全53場</x:v>
      </x:c>
      <x:c r="B29" s="18" t="str">
        <x:v>H22</x:v>
      </x:c>
      <x:c r="C29" s="19" t="str"/>
      <x:c r="D29" s="6" t="n">
        <x:f>SUM('日経_H22'!C6:C58)</x:f>
        <x:v>31199000</x:v>
      </x:c>
      <x:c r="E29" s="6" t="n">
        <x:f>SUM('日経_H22'!D6:D58)</x:f>
        <x:v>44494000</x:v>
      </x:c>
      <x:c r="F29" s="6" t="n">
        <x:f>D29-E29</x:f>
        <x:v>-13295000</x:v>
      </x:c>
      <x:c r="G29" s="11" t="n">
        <x:v>39</x:v>
      </x:c>
      <x:c r="H29" s="11" t="n">
        <x:v>2</x:v>
      </x:c>
      <x:c r="I29" s="6" t="n">
        <x:v>430589.74358974356</x:v>
      </x:c>
      <x:c r="J29" s="6" t="n">
        <x:v>1769000</x:v>
      </x:c>
      <x:c r="K29" s="6" t="n">
        <x:v>-1959000</x:v>
      </x:c>
      <x:c r="L29" s="6" t="n">
        <x:v>2165000</x:v>
      </x:c>
      <x:c r="M29" s="6" t="n">
        <x:v>-15346000</x:v>
      </x:c>
    </x:row>
    <x:row r="30" ht="25" customHeight="1">
      <x:c r="A30" s="18" t="str">
        <x:v>全53場</x:v>
      </x:c>
      <x:c r="B30" s="18" t="str">
        <x:v>H23</x:v>
      </x:c>
      <x:c r="C30" s="19" t="str"/>
      <x:c r="D30" s="6" t="n">
        <x:f>SUM('日経_H23'!C6:C58)</x:f>
        <x:v>33374000</x:v>
      </x:c>
      <x:c r="E30" s="6" t="n">
        <x:f>SUM('日経_H23'!D6:D58)</x:f>
        <x:v>51192000</x:v>
      </x:c>
      <x:c r="F30" s="6" t="n">
        <x:f>D30-E30</x:f>
        <x:v>-17818000</x:v>
      </x:c>
      <x:c r="G30" s="11" t="n">
        <x:v>40</x:v>
      </x:c>
      <x:c r="H30" s="11" t="n">
        <x:v>2</x:v>
      </x:c>
      <x:c r="I30" s="6" t="n">
        <x:v>488725</x:v>
      </x:c>
      <x:c r="J30" s="6" t="n">
        <x:v>1566000</x:v>
      </x:c>
      <x:c r="K30" s="6" t="n">
        <x:v>-1766000</x:v>
      </x:c>
      <x:c r="L30" s="6" t="n">
        <x:v>1883000</x:v>
      </x:c>
      <x:c r="M30" s="6" t="n">
        <x:v>-18853000</x:v>
      </x:c>
    </x:row>
    <x:row r="31" ht="25" customHeight="1">
      <x:c r="A31" s="18" t="str">
        <x:v>全53場</x:v>
      </x:c>
      <x:c r="B31" s="18" t="str">
        <x:v>H24</x:v>
      </x:c>
      <x:c r="C31" s="19" t="str"/>
      <x:c r="D31" s="6" t="n">
        <x:f>SUM('日経_H24'!C6:C58)</x:f>
        <x:v>32431000</x:v>
      </x:c>
      <x:c r="E31" s="6" t="n">
        <x:f>SUM('日経_H24'!D6:D58)</x:f>
        <x:v>45127000</x:v>
      </x:c>
      <x:c r="F31" s="6" t="n">
        <x:f>D31-E31</x:f>
        <x:v>-12696000</x:v>
      </x:c>
      <x:c r="G31" s="11" t="n">
        <x:v>38</x:v>
      </x:c>
      <x:c r="H31" s="11" t="n">
        <x:v>2</x:v>
      </x:c>
      <x:c r="I31" s="6" t="n">
        <x:v>427473.6842105263</x:v>
      </x:c>
      <x:c r="J31" s="6" t="n">
        <x:v>1645000</x:v>
      </x:c>
      <x:c r="K31" s="6" t="n">
        <x:v>-1880000</x:v>
      </x:c>
      <x:c r="L31" s="6" t="n">
        <x:v>2041000</x:v>
      </x:c>
      <x:c r="M31" s="6" t="n">
        <x:v>-14760000</x:v>
      </x:c>
    </x:row>
    <x:row r="32" ht="25" customHeight="1">
      <x:c r="A32" s="18" t="str">
        <x:v>日中27場</x:v>
      </x:c>
      <x:c r="B32" s="18" t="str">
        <x:v>S00</x:v>
      </x:c>
      <x:c r="C32" s="19" t="str"/>
      <x:c r="D32" s="6" t="n">
        <x:f>SUM('日経_S00'!C6,'日経_S00'!C8,'日経_S00'!C10,'日経_S00'!C12,'日経_S00'!C14,'日経_S00'!C16,'日経_S00'!C18,'日経_S00'!C20,'日経_S00'!C22,'日経_S00'!C24,'日経_S00'!C26,'日経_S00'!C28,'日経_S00'!C30,'日経_S00'!C32,'日経_S00'!C34,'日経_S00'!C36,'日経_S00'!C38,'日経_S00'!C40,'日経_S00'!C42,'日経_S00'!C44,'日経_S00'!C46,'日経_S00'!C48,'日経_S00'!C50,'日経_S00'!C52,'日経_S00'!C54,'日経_S00'!C56,'日経_S00'!C58)</x:f>
        <x:v>6660000</x:v>
      </x:c>
      <x:c r="E32" s="6" t="n">
        <x:f>SUM('日経_S00'!D6,'日経_S00'!D8,'日経_S00'!D10,'日経_S00'!D12,'日経_S00'!D14,'日経_S00'!D16,'日経_S00'!D18,'日経_S00'!D20,'日経_S00'!D22,'日経_S00'!D24,'日経_S00'!D26,'日経_S00'!D28,'日経_S00'!D30,'日経_S00'!D32,'日経_S00'!D34,'日経_S00'!D36,'日経_S00'!D38,'日経_S00'!D40,'日経_S00'!D42,'日経_S00'!D44,'日経_S00'!D46,'日経_S00'!D48,'日経_S00'!D50,'日経_S00'!D52,'日経_S00'!D54,'日経_S00'!D56,'日経_S00'!D58)</x:f>
        <x:v>12650000</x:v>
      </x:c>
      <x:c r="F32" s="6" t="n">
        <x:f>D32-E32</x:f>
        <x:v>-5990000</x:v>
      </x:c>
      <x:c r="G32" s="11" t="n">
        <x:v>19</x:v>
      </x:c>
      <x:c r="H32" s="11" t="n">
        <x:v>2</x:v>
      </x:c>
      <x:c r="I32" s="6" t="n">
        <x:v>340000</x:v>
      </x:c>
      <x:c r="J32" s="6" t="n">
        <x:v>1590000</x:v>
      </x:c>
      <x:c r="K32" s="6" t="n">
        <x:v>-1590000</x:v>
      </x:c>
      <x:c r="L32" s="6" t="n">
        <x:v>1660000</x:v>
      </x:c>
      <x:c r="M32" s="6" t="n">
        <x:v>-6370000</x:v>
      </x:c>
    </x:row>
    <x:row r="33" ht="25" customHeight="1">
      <x:c r="A33" s="18" t="str">
        <x:v>日中27場</x:v>
      </x:c>
      <x:c r="B33" s="18" t="str">
        <x:v>N00</x:v>
      </x:c>
      <x:c r="C33" s="19" t="str"/>
      <x:c r="D33" s="6" t="n">
        <x:f>SUM('日経_N00'!C6,'日経_N00'!C8,'日経_N00'!C10,'日経_N00'!C12,'日経_N00'!C14,'日経_N00'!C16,'日経_N00'!C18,'日経_N00'!C20,'日経_N00'!C22,'日経_N00'!C24,'日経_N00'!C26,'日経_N00'!C28,'日経_N00'!C30,'日経_N00'!C32,'日経_N00'!C34,'日経_N00'!C36,'日経_N00'!C38,'日経_N00'!C40,'日経_N00'!C42,'日経_N00'!C44,'日経_N00'!C46,'日経_N00'!C48,'日経_N00'!C50,'日経_N00'!C52,'日経_N00'!C54,'日経_N00'!C56,'日経_N00'!C58)</x:f>
        <x:v>11100000</x:v>
      </x:c>
      <x:c r="E33" s="6" t="n">
        <x:f>SUM('日経_N00'!D6,'日経_N00'!D8,'日経_N00'!D10,'日経_N00'!D12,'日経_N00'!D14,'日経_N00'!D16,'日経_N00'!D18,'日経_N00'!D20,'日経_N00'!D22,'日経_N00'!D24,'日経_N00'!D26,'日経_N00'!D28,'日経_N00'!D30,'日経_N00'!D32,'日経_N00'!D34,'日経_N00'!D36,'日経_N00'!D38,'日経_N00'!D40,'日経_N00'!D42,'日経_N00'!D44,'日経_N00'!D46,'日経_N00'!D48,'日経_N00'!D50,'日経_N00'!D52,'日経_N00'!D54,'日経_N00'!D56,'日経_N00'!D58)</x:f>
        <x:v>13430000</x:v>
      </x:c>
      <x:c r="F33" s="6" t="n">
        <x:f>D33-E33</x:f>
        <x:v>-2330000</x:v>
      </x:c>
      <x:c r="G33" s="11" t="n">
        <x:v>12</x:v>
      </x:c>
      <x:c r="H33" s="11" t="n">
        <x:v>2</x:v>
      </x:c>
      <x:c r="I33" s="6" t="n">
        <x:v>526666.6666666666</x:v>
      </x:c>
      <x:c r="J33" s="6" t="n">
        <x:v>1410000</x:v>
      </x:c>
      <x:c r="K33" s="6" t="n">
        <x:v>-1610000</x:v>
      </x:c>
      <x:c r="L33" s="6" t="n">
        <x:v>1830000</x:v>
      </x:c>
      <x:c r="M33" s="6" t="n">
        <x:v>-4540000</x:v>
      </x:c>
    </x:row>
    <x:row r="34" ht="25" customHeight="1">
      <x:c r="A34" s="18" t="str">
        <x:v>日中27場</x:v>
      </x:c>
      <x:c r="B34" s="18" t="str">
        <x:v>H01</x:v>
      </x:c>
      <x:c r="C34" s="19" t="str">
        <x:v>前40場選択</x:v>
      </x:c>
      <x:c r="D34" s="6" t="n">
        <x:f>SUM('日経_H01'!C6,'日経_H01'!C8,'日経_H01'!C10,'日経_H01'!C12,'日経_H01'!C14,'日経_H01'!C16,'日経_H01'!C18,'日経_H01'!C20,'日経_H01'!C22,'日経_H01'!C24,'日経_H01'!C26,'日経_H01'!C28,'日経_H01'!C30,'日経_H01'!C32,'日経_H01'!C34,'日経_H01'!C36,'日経_H01'!C38,'日経_H01'!C40,'日経_H01'!C42,'日経_H01'!C44,'日経_H01'!C46,'日経_H01'!C48,'日経_H01'!C50,'日経_H01'!C52,'日経_H01'!C54,'日経_H01'!C56,'日経_H01'!C58)</x:f>
        <x:v>13570000</x:v>
      </x:c>
      <x:c r="E34" s="6" t="n">
        <x:f>SUM('日経_H01'!D6,'日経_H01'!D8,'日経_H01'!D10,'日経_H01'!D12,'日経_H01'!D14,'日経_H01'!D16,'日経_H01'!D18,'日経_H01'!D20,'日経_H01'!D22,'日経_H01'!D24,'日経_H01'!D26,'日経_H01'!D28,'日経_H01'!D30,'日経_H01'!D32,'日経_H01'!D34,'日経_H01'!D36,'日経_H01'!D38,'日経_H01'!D40,'日経_H01'!D42,'日経_H01'!D44,'日経_H01'!D46,'日経_H01'!D48,'日経_H01'!D50,'日経_H01'!D52,'日経_H01'!D54,'日経_H01'!D56,'日経_H01'!D58)</x:f>
        <x:v>19460000</x:v>
      </x:c>
      <x:c r="F34" s="6" t="n">
        <x:f>D34-E34</x:f>
        <x:v>-5890000</x:v>
      </x:c>
      <x:c r="G34" s="11" t="n">
        <x:v>16</x:v>
      </x:c>
      <x:c r="H34" s="11" t="n">
        <x:v>2</x:v>
      </x:c>
      <x:c r="I34" s="6" t="n">
        <x:v>448312.5</x:v>
      </x:c>
      <x:c r="J34" s="6" t="n">
        <x:v>1481000</x:v>
      </x:c>
      <x:c r="K34" s="6" t="n">
        <x:v>-1681000</x:v>
      </x:c>
      <x:c r="L34" s="6" t="n">
        <x:v>1696000</x:v>
      </x:c>
      <x:c r="M34" s="6" t="n">
        <x:v>-6842000</x:v>
      </x:c>
    </x:row>
    <x:row r="35" ht="25" customHeight="1">
      <x:c r="A35" s="18" t="str">
        <x:v>日中27場</x:v>
      </x:c>
      <x:c r="B35" s="18" t="str">
        <x:v>H09</x:v>
      </x:c>
      <x:c r="C35" s="19" t="str">
        <x:v>前40場選択</x:v>
      </x:c>
      <x:c r="D35" s="6" t="n">
        <x:f>SUM('日経_H09'!C6,'日経_H09'!C8,'日経_H09'!C10,'日経_H09'!C12,'日経_H09'!C14,'日経_H09'!C16,'日経_H09'!C18,'日経_H09'!C20,'日経_H09'!C22,'日経_H09'!C24,'日経_H09'!C26,'日経_H09'!C28,'日経_H09'!C30,'日経_H09'!C32,'日経_H09'!C34,'日経_H09'!C36,'日経_H09'!C38,'日経_H09'!C40,'日経_H09'!C42,'日経_H09'!C44,'日経_H09'!C46,'日経_H09'!C48,'日経_H09'!C50,'日経_H09'!C52,'日経_H09'!C54,'日経_H09'!C56,'日経_H09'!C58)</x:f>
        <x:v>12531000</x:v>
      </x:c>
      <x:c r="E35" s="6" t="n">
        <x:f>SUM('日経_H09'!D6,'日経_H09'!D8,'日経_H09'!D10,'日経_H09'!D12,'日経_H09'!D14,'日経_H09'!D16,'日経_H09'!D18,'日経_H09'!D20,'日経_H09'!D22,'日経_H09'!D24,'日経_H09'!D26,'日経_H09'!D28,'日経_H09'!D30,'日経_H09'!D32,'日経_H09'!D34,'日経_H09'!D36,'日経_H09'!D38,'日経_H09'!D40,'日経_H09'!D42,'日経_H09'!D44,'日経_H09'!D46,'日経_H09'!D48,'日経_H09'!D50,'日経_H09'!D52,'日経_H09'!D54,'日経_H09'!D56,'日経_H09'!D58)</x:f>
        <x:v>17127000</x:v>
      </x:c>
      <x:c r="F35" s="6" t="n">
        <x:f>D35-E35</x:f>
        <x:v>-4596000</x:v>
      </x:c>
      <x:c r="G35" s="11" t="n">
        <x:v>15</x:v>
      </x:c>
      <x:c r="H35" s="11" t="n">
        <x:v>2</x:v>
      </x:c>
      <x:c r="I35" s="6" t="n">
        <x:v>449266.6666666667</x:v>
      </x:c>
      <x:c r="J35" s="6" t="n">
        <x:v>1433000</x:v>
      </x:c>
      <x:c r="K35" s="6" t="n">
        <x:v>-1633000</x:v>
      </x:c>
      <x:c r="L35" s="6" t="n">
        <x:v>1761000</x:v>
      </x:c>
      <x:c r="M35" s="6" t="n">
        <x:v>-6000000</x:v>
      </x:c>
    </x:row>
    <x:row r="36" ht="25" customHeight="1">
      <x:c r="A36" s="18" t="str">
        <x:v>日中27場</x:v>
      </x:c>
      <x:c r="B36" s="18" t="str">
        <x:v>H05</x:v>
      </x:c>
      <x:c r="C36" s="19" t="str">
        <x:v>前40場選択</x:v>
      </x:c>
      <x:c r="D36" s="6" t="n">
        <x:f>SUM('日経_H05'!C6,'日経_H05'!C8,'日経_H05'!C10,'日経_H05'!C12,'日経_H05'!C14,'日経_H05'!C16,'日経_H05'!C18,'日経_H05'!C20,'日経_H05'!C22,'日経_H05'!C24,'日経_H05'!C26,'日経_H05'!C28,'日経_H05'!C30,'日経_H05'!C32,'日経_H05'!C34,'日経_H05'!C36,'日経_H05'!C38,'日経_H05'!C40,'日経_H05'!C42,'日経_H05'!C44,'日経_H05'!C46,'日経_H05'!C48,'日経_H05'!C50,'日経_H05'!C52,'日経_H05'!C54,'日経_H05'!C56,'日経_H05'!C58)</x:f>
        <x:v>12783000</x:v>
      </x:c>
      <x:c r="E36" s="6" t="n">
        <x:f>SUM('日経_H05'!D6,'日経_H05'!D8,'日経_H05'!D10,'日経_H05'!D12,'日経_H05'!D14,'日経_H05'!D16,'日経_H05'!D18,'日経_H05'!D20,'日経_H05'!D22,'日経_H05'!D24,'日経_H05'!D26,'日経_H05'!D28,'日経_H05'!D30,'日経_H05'!D32,'日経_H05'!D34,'日経_H05'!D36,'日経_H05'!D38,'日経_H05'!D40,'日経_H05'!D42,'日経_H05'!D44,'日経_H05'!D46,'日経_H05'!D48,'日経_H05'!D50,'日経_H05'!D52,'日経_H05'!D54,'日経_H05'!D56,'日経_H05'!D58)</x:f>
        <x:v>18471000</x:v>
      </x:c>
      <x:c r="F36" s="6" t="n">
        <x:f>D36-E36</x:f>
        <x:v>-5688000</x:v>
      </x:c>
      <x:c r="G36" s="11" t="n">
        <x:v>14</x:v>
      </x:c>
      <x:c r="H36" s="11" t="n">
        <x:v>2</x:v>
      </x:c>
      <x:c r="I36" s="6" t="n">
        <x:v>507214.28571428574</x:v>
      </x:c>
      <x:c r="J36" s="6" t="n">
        <x:v>1423000</x:v>
      </x:c>
      <x:c r="K36" s="6" t="n">
        <x:v>-1623000</x:v>
      </x:c>
      <x:c r="L36" s="6" t="n">
        <x:v>1734000</x:v>
      </x:c>
      <x:c r="M36" s="6" t="n">
        <x:v>-6729000</x:v>
      </x:c>
    </x:row>
    <x:row r="37" ht="25" customHeight="1">
      <x:c r="A37" s="18" t="str">
        <x:v>日中27場</x:v>
      </x:c>
      <x:c r="B37" s="18" t="str">
        <x:v>H02</x:v>
      </x:c>
      <x:c r="C37" s="19" t="str"/>
      <x:c r="D37" s="6" t="n">
        <x:f>SUM('日経_H02'!C6,'日経_H02'!C8,'日経_H02'!C10,'日経_H02'!C12,'日経_H02'!C14,'日経_H02'!C16,'日経_H02'!C18,'日経_H02'!C20,'日経_H02'!C22,'日経_H02'!C24,'日経_H02'!C26,'日経_H02'!C28,'日経_H02'!C30,'日経_H02'!C32,'日経_H02'!C34,'日経_H02'!C36,'日経_H02'!C38,'日経_H02'!C40,'日経_H02'!C42,'日経_H02'!C44,'日経_H02'!C46,'日経_H02'!C48,'日経_H02'!C50,'日経_H02'!C52,'日経_H02'!C54,'日経_H02'!C56,'日経_H02'!C58)</x:f>
        <x:v>15114000</x:v>
      </x:c>
      <x:c r="E37" s="6" t="n">
        <x:f>SUM('日経_H02'!D6,'日経_H02'!D8,'日経_H02'!D10,'日経_H02'!D12,'日経_H02'!D14,'日経_H02'!D16,'日経_H02'!D18,'日経_H02'!D20,'日経_H02'!D22,'日経_H02'!D24,'日経_H02'!D26,'日経_H02'!D28,'日経_H02'!D30,'日経_H02'!D32,'日経_H02'!D34,'日経_H02'!D36,'日経_H02'!D38,'日経_H02'!D40,'日経_H02'!D42,'日経_H02'!D44,'日経_H02'!D46,'日経_H02'!D48,'日経_H02'!D50,'日経_H02'!D52,'日経_H02'!D54,'日経_H02'!D56,'日経_H02'!D58)</x:f>
        <x:v>25802000</x:v>
      </x:c>
      <x:c r="F37" s="6" t="n">
        <x:f>D37-E37</x:f>
        <x:v>-10688000</x:v>
      </x:c>
      <x:c r="G37" s="11" t="n">
        <x:v>19</x:v>
      </x:c>
      <x:c r="H37" s="11" t="n">
        <x:v>2</x:v>
      </x:c>
      <x:c r="I37" s="6" t="n">
        <x:v>599000</x:v>
      </x:c>
      <x:c r="J37" s="6" t="n">
        <x:v>1209000</x:v>
      </x:c>
      <x:c r="K37" s="6" t="n">
        <x:v>-1374000</x:v>
      </x:c>
      <x:c r="L37" s="6" t="n">
        <x:v>1374000</x:v>
      </x:c>
      <x:c r="M37" s="6" t="n">
        <x:v>-11306000</x:v>
      </x:c>
    </x:row>
    <x:row r="38" ht="25" customHeight="1">
      <x:c r="A38" s="18" t="str">
        <x:v>日中27場</x:v>
      </x:c>
      <x:c r="B38" s="18" t="str">
        <x:v>H03</x:v>
      </x:c>
      <x:c r="C38" s="19" t="str"/>
      <x:c r="D38" s="6" t="n">
        <x:f>SUM('日経_H03'!C6,'日経_H03'!C8,'日経_H03'!C10,'日経_H03'!C12,'日経_H03'!C14,'日経_H03'!C16,'日経_H03'!C18,'日経_H03'!C20,'日経_H03'!C22,'日経_H03'!C24,'日経_H03'!C26,'日経_H03'!C28,'日経_H03'!C30,'日経_H03'!C32,'日経_H03'!C34,'日経_H03'!C36,'日経_H03'!C38,'日経_H03'!C40,'日経_H03'!C42,'日経_H03'!C44,'日経_H03'!C46,'日経_H03'!C48,'日経_H03'!C50,'日経_H03'!C52,'日経_H03'!C54,'日経_H03'!C56,'日経_H03'!C58)</x:f>
        <x:v>14946000</x:v>
      </x:c>
      <x:c r="E38" s="6" t="n">
        <x:f>SUM('日経_H03'!D6,'日経_H03'!D8,'日経_H03'!D10,'日経_H03'!D12,'日経_H03'!D14,'日経_H03'!D16,'日経_H03'!D18,'日経_H03'!D20,'日経_H03'!D22,'日経_H03'!D24,'日経_H03'!D26,'日経_H03'!D28,'日経_H03'!D30,'日経_H03'!D32,'日経_H03'!D34,'日経_H03'!D36,'日経_H03'!D38,'日経_H03'!D40,'日経_H03'!D42,'日経_H03'!D44,'日経_H03'!D46,'日経_H03'!D48,'日経_H03'!D50,'日経_H03'!D52,'日経_H03'!D54,'日経_H03'!D56,'日経_H03'!D58)</x:f>
        <x:v>19899000</x:v>
      </x:c>
      <x:c r="F38" s="6" t="n">
        <x:f>D38-E38</x:f>
        <x:v>-4953000</x:v>
      </x:c>
      <x:c r="G38" s="11" t="n">
        <x:v>16</x:v>
      </x:c>
      <x:c r="H38" s="11" t="n">
        <x:v>2</x:v>
      </x:c>
      <x:c r="I38" s="6" t="n">
        <x:v>404750</x:v>
      </x:c>
      <x:c r="J38" s="6" t="n">
        <x:v>1458000</x:v>
      </x:c>
      <x:c r="K38" s="6" t="n">
        <x:v>-1658000</x:v>
      </x:c>
      <x:c r="L38" s="6" t="n">
        <x:v>1664000</x:v>
      </x:c>
      <x:c r="M38" s="6" t="n">
        <x:v>-5994000</x:v>
      </x:c>
    </x:row>
    <x:row r="39" ht="25" customHeight="1">
      <x:c r="A39" s="18" t="str">
        <x:v>日中27場</x:v>
      </x:c>
      <x:c r="B39" s="18" t="str">
        <x:v>H04</x:v>
      </x:c>
      <x:c r="C39" s="19" t="str"/>
      <x:c r="D39" s="6" t="n">
        <x:f>SUM('日経_H04'!C6,'日経_H04'!C8,'日経_H04'!C10,'日経_H04'!C12,'日経_H04'!C14,'日経_H04'!C16,'日経_H04'!C18,'日経_H04'!C20,'日経_H04'!C22,'日経_H04'!C24,'日経_H04'!C26,'日経_H04'!C28,'日経_H04'!C30,'日経_H04'!C32,'日経_H04'!C34,'日経_H04'!C36,'日経_H04'!C38,'日経_H04'!C40,'日経_H04'!C42,'日経_H04'!C44,'日経_H04'!C46,'日経_H04'!C48,'日経_H04'!C50,'日経_H04'!C52,'日経_H04'!C54,'日経_H04'!C56,'日経_H04'!C58)</x:f>
        <x:v>18416000</x:v>
      </x:c>
      <x:c r="E39" s="6" t="n">
        <x:f>SUM('日経_H04'!D6,'日経_H04'!D8,'日経_H04'!D10,'日経_H04'!D12,'日経_H04'!D14,'日経_H04'!D16,'日経_H04'!D18,'日経_H04'!D20,'日経_H04'!D22,'日経_H04'!D24,'日経_H04'!D26,'日経_H04'!D28,'日経_H04'!D30,'日経_H04'!D32,'日経_H04'!D34,'日経_H04'!D36,'日経_H04'!D38,'日経_H04'!D40,'日経_H04'!D42,'日経_H04'!D44,'日経_H04'!D46,'日経_H04'!D48,'日経_H04'!D50,'日経_H04'!D52,'日経_H04'!D54,'日経_H04'!D56,'日経_H04'!D58)</x:f>
        <x:v>24246000</x:v>
      </x:c>
      <x:c r="F39" s="6" t="n">
        <x:f>D39-E39</x:f>
        <x:v>-5830000</x:v>
      </x:c>
      <x:c r="G39" s="11" t="n">
        <x:v>20</x:v>
      </x:c>
      <x:c r="H39" s="11" t="n">
        <x:v>2</x:v>
      </x:c>
      <x:c r="I39" s="6" t="n">
        <x:v>352050</x:v>
      </x:c>
      <x:c r="J39" s="6" t="n">
        <x:v>1039000</x:v>
      </x:c>
      <x:c r="K39" s="6" t="n">
        <x:v>-1069000</x:v>
      </x:c>
      <x:c r="L39" s="6" t="n">
        <x:v>1119000</x:v>
      </x:c>
      <x:c r="M39" s="6" t="n">
        <x:v>-6923000</x:v>
      </x:c>
    </x:row>
    <x:row r="40" ht="25" customHeight="1">
      <x:c r="A40" s="18" t="str">
        <x:v>日中27場</x:v>
      </x:c>
      <x:c r="B40" s="18" t="str">
        <x:v>H06</x:v>
      </x:c>
      <x:c r="C40" s="19" t="str"/>
      <x:c r="D40" s="6" t="n">
        <x:f>SUM('日経_H06'!C6,'日経_H06'!C8,'日経_H06'!C10,'日経_H06'!C12,'日経_H06'!C14,'日経_H06'!C16,'日経_H06'!C18,'日経_H06'!C20,'日経_H06'!C22,'日経_H06'!C24,'日経_H06'!C26,'日経_H06'!C28,'日経_H06'!C30,'日経_H06'!C32,'日経_H06'!C34,'日経_H06'!C36,'日経_H06'!C38,'日経_H06'!C40,'日経_H06'!C42,'日経_H06'!C44,'日経_H06'!C46,'日経_H06'!C48,'日経_H06'!C50,'日経_H06'!C52,'日経_H06'!C54,'日経_H06'!C56,'日経_H06'!C58)</x:f>
        <x:v>13370000</x:v>
      </x:c>
      <x:c r="E40" s="6" t="n">
        <x:f>SUM('日経_H06'!D6,'日経_H06'!D8,'日経_H06'!D10,'日経_H06'!D12,'日経_H06'!D14,'日経_H06'!D16,'日経_H06'!D18,'日経_H06'!D20,'日経_H06'!D22,'日経_H06'!D24,'日経_H06'!D26,'日経_H06'!D28,'日経_H06'!D30,'日経_H06'!D32,'日経_H06'!D34,'日経_H06'!D36,'日経_H06'!D38,'日経_H06'!D40,'日経_H06'!D42,'日経_H06'!D44,'日経_H06'!D46,'日経_H06'!D48,'日経_H06'!D50,'日経_H06'!D52,'日経_H06'!D54,'日経_H06'!D56,'日経_H06'!D58)</x:f>
        <x:v>20462000</x:v>
      </x:c>
      <x:c r="F40" s="6" t="n">
        <x:f>D40-E40</x:f>
        <x:v>-7092000</x:v>
      </x:c>
      <x:c r="G40" s="11" t="n">
        <x:v>16</x:v>
      </x:c>
      <x:c r="H40" s="11" t="n">
        <x:v>2</x:v>
      </x:c>
      <x:c r="I40" s="6" t="n">
        <x:v>553812.5</x:v>
      </x:c>
      <x:c r="J40" s="6" t="n">
        <x:v>1168000</x:v>
      </x:c>
      <x:c r="K40" s="6" t="n">
        <x:v>-1344000</x:v>
      </x:c>
      <x:c r="L40" s="6" t="n">
        <x:v>1444000</x:v>
      </x:c>
      <x:c r="M40" s="6" t="n">
        <x:v>-8265000</x:v>
      </x:c>
    </x:row>
    <x:row r="41" ht="25" customHeight="1">
      <x:c r="A41" s="18" t="str">
        <x:v>日中27場</x:v>
      </x:c>
      <x:c r="B41" s="18" t="str">
        <x:v>H07</x:v>
      </x:c>
      <x:c r="C41" s="19" t="str"/>
      <x:c r="D41" s="6" t="n">
        <x:f>SUM('日経_H07'!C6,'日経_H07'!C8,'日経_H07'!C10,'日経_H07'!C12,'日経_H07'!C14,'日経_H07'!C16,'日経_H07'!C18,'日経_H07'!C20,'日経_H07'!C22,'日経_H07'!C24,'日経_H07'!C26,'日経_H07'!C28,'日経_H07'!C30,'日経_H07'!C32,'日経_H07'!C34,'日経_H07'!C36,'日経_H07'!C38,'日経_H07'!C40,'日経_H07'!C42,'日経_H07'!C44,'日経_H07'!C46,'日経_H07'!C48,'日経_H07'!C50,'日経_H07'!C52,'日経_H07'!C54,'日経_H07'!C56,'日経_H07'!C58)</x:f>
        <x:v>14064000</x:v>
      </x:c>
      <x:c r="E41" s="6" t="n">
        <x:f>SUM('日経_H07'!D6,'日経_H07'!D8,'日経_H07'!D10,'日経_H07'!D12,'日経_H07'!D14,'日経_H07'!D16,'日経_H07'!D18,'日経_H07'!D20,'日経_H07'!D22,'日経_H07'!D24,'日経_H07'!D26,'日経_H07'!D28,'日経_H07'!D30,'日経_H07'!D32,'日経_H07'!D34,'日経_H07'!D36,'日経_H07'!D38,'日経_H07'!D40,'日経_H07'!D42,'日経_H07'!D44,'日経_H07'!D46,'日経_H07'!D48,'日経_H07'!D50,'日経_H07'!D52,'日経_H07'!D54,'日経_H07'!D56,'日経_H07'!D58)</x:f>
        <x:v>18789000</x:v>
      </x:c>
      <x:c r="F41" s="6" t="n">
        <x:f>D41-E41</x:f>
        <x:v>-4725000</x:v>
      </x:c>
      <x:c r="G41" s="11" t="n">
        <x:v>15</x:v>
      </x:c>
      <x:c r="H41" s="11" t="n">
        <x:v>2</x:v>
      </x:c>
      <x:c r="I41" s="6" t="n">
        <x:v>428133.3333333333</x:v>
      </x:c>
      <x:c r="J41" s="6" t="n">
        <x:v>1415000</x:v>
      </x:c>
      <x:c r="K41" s="6" t="n">
        <x:v>-1615000</x:v>
      </x:c>
      <x:c r="L41" s="6" t="n">
        <x:v>1707000</x:v>
      </x:c>
      <x:c r="M41" s="6" t="n">
        <x:v>-5884000</x:v>
      </x:c>
    </x:row>
    <x:row r="42" ht="25" customHeight="1">
      <x:c r="A42" s="18" t="str">
        <x:v>日中27場</x:v>
      </x:c>
      <x:c r="B42" s="18" t="str">
        <x:v>H08</x:v>
      </x:c>
      <x:c r="C42" s="19" t="str"/>
      <x:c r="D42" s="6" t="n">
        <x:f>SUM('日経_H08'!C6,'日経_H08'!C8,'日経_H08'!C10,'日経_H08'!C12,'日経_H08'!C14,'日経_H08'!C16,'日経_H08'!C18,'日経_H08'!C20,'日経_H08'!C22,'日経_H08'!C24,'日経_H08'!C26,'日経_H08'!C28,'日経_H08'!C30,'日経_H08'!C32,'日経_H08'!C34,'日経_H08'!C36,'日経_H08'!C38,'日経_H08'!C40,'日経_H08'!C42,'日経_H08'!C44,'日経_H08'!C46,'日経_H08'!C48,'日経_H08'!C50,'日経_H08'!C52,'日経_H08'!C54,'日経_H08'!C56,'日経_H08'!C58)</x:f>
        <x:v>15786000</x:v>
      </x:c>
      <x:c r="E42" s="6" t="n">
        <x:f>SUM('日経_H08'!D6,'日経_H08'!D8,'日経_H08'!D10,'日経_H08'!D12,'日経_H08'!D14,'日経_H08'!D16,'日経_H08'!D18,'日経_H08'!D20,'日経_H08'!D22,'日経_H08'!D24,'日経_H08'!D26,'日経_H08'!D28,'日経_H08'!D30,'日経_H08'!D32,'日経_H08'!D34,'日経_H08'!D36,'日経_H08'!D38,'日経_H08'!D40,'日経_H08'!D42,'日経_H08'!D44,'日経_H08'!D46,'日経_H08'!D48,'日経_H08'!D50,'日経_H08'!D52,'日経_H08'!D54,'日経_H08'!D56,'日経_H08'!D58)</x:f>
        <x:v>22280000</x:v>
      </x:c>
      <x:c r="F42" s="6" t="n">
        <x:f>D42-E42</x:f>
        <x:v>-6494000</x:v>
      </x:c>
      <x:c r="G42" s="11" t="n">
        <x:v>16</x:v>
      </x:c>
      <x:c r="H42" s="11" t="n">
        <x:v>2</x:v>
      </x:c>
      <x:c r="I42" s="6" t="n">
        <x:v>518000</x:v>
      </x:c>
      <x:c r="J42" s="6" t="n">
        <x:v>1155000</x:v>
      </x:c>
      <x:c r="K42" s="6" t="n">
        <x:v>-1185000</x:v>
      </x:c>
      <x:c r="L42" s="6" t="n">
        <x:v>1400000</x:v>
      </x:c>
      <x:c r="M42" s="6" t="n">
        <x:v>-7654000</x:v>
      </x:c>
    </x:row>
    <x:row r="43" ht="25" customHeight="1">
      <x:c r="A43" s="18" t="str">
        <x:v>日中27場</x:v>
      </x:c>
      <x:c r="B43" s="18" t="str">
        <x:v>H10</x:v>
      </x:c>
      <x:c r="C43" s="19" t="str"/>
      <x:c r="D43" s="6" t="n">
        <x:f>SUM('日経_H10'!C6,'日経_H10'!C8,'日経_H10'!C10,'日経_H10'!C12,'日経_H10'!C14,'日経_H10'!C16,'日経_H10'!C18,'日経_H10'!C20,'日経_H10'!C22,'日経_H10'!C24,'日経_H10'!C26,'日経_H10'!C28,'日経_H10'!C30,'日経_H10'!C32,'日経_H10'!C34,'日経_H10'!C36,'日経_H10'!C38,'日経_H10'!C40,'日経_H10'!C42,'日経_H10'!C44,'日経_H10'!C46,'日経_H10'!C48,'日経_H10'!C50,'日経_H10'!C52,'日経_H10'!C54,'日経_H10'!C56,'日経_H10'!C58)</x:f>
        <x:v>12475000</x:v>
      </x:c>
      <x:c r="E43" s="6" t="n">
        <x:f>SUM('日経_H10'!D6,'日経_H10'!D8,'日経_H10'!D10,'日経_H10'!D12,'日経_H10'!D14,'日経_H10'!D16,'日経_H10'!D18,'日経_H10'!D20,'日経_H10'!D22,'日経_H10'!D24,'日経_H10'!D26,'日経_H10'!D28,'日経_H10'!D30,'日経_H10'!D32,'日経_H10'!D34,'日経_H10'!D36,'日経_H10'!D38,'日経_H10'!D40,'日経_H10'!D42,'日経_H10'!D44,'日経_H10'!D46,'日経_H10'!D48,'日経_H10'!D50,'日経_H10'!D52,'日経_H10'!D54,'日経_H10'!D56,'日経_H10'!D58)</x:f>
        <x:v>17083000</x:v>
      </x:c>
      <x:c r="F43" s="6" t="n">
        <x:f>D43-E43</x:f>
        <x:v>-4608000</x:v>
      </x:c>
      <x:c r="G43" s="11" t="n">
        <x:v>15</x:v>
      </x:c>
      <x:c r="H43" s="11" t="n">
        <x:v>2</x:v>
      </x:c>
      <x:c r="I43" s="6" t="n">
        <x:v>477733.3333333333</x:v>
      </x:c>
      <x:c r="J43" s="6" t="n">
        <x:v>1326000</x:v>
      </x:c>
      <x:c r="K43" s="6" t="n">
        <x:v>-1393000</x:v>
      </x:c>
      <x:c r="L43" s="6" t="n">
        <x:v>1560000</x:v>
      </x:c>
      <x:c r="M43" s="6" t="n">
        <x:v>-6256000</x:v>
      </x:c>
    </x:row>
    <x:row r="44" ht="25" customHeight="1">
      <x:c r="A44" s="18" t="str">
        <x:v>日中27場</x:v>
      </x:c>
      <x:c r="B44" s="18" t="str">
        <x:v>H11</x:v>
      </x:c>
      <x:c r="C44" s="19" t="str"/>
      <x:c r="D44" s="6" t="n">
        <x:f>SUM('日経_H11'!C6,'日経_H11'!C8,'日経_H11'!C10,'日経_H11'!C12,'日経_H11'!C14,'日経_H11'!C16,'日経_H11'!C18,'日経_H11'!C20,'日経_H11'!C22,'日経_H11'!C24,'日経_H11'!C26,'日経_H11'!C28,'日経_H11'!C30,'日経_H11'!C32,'日経_H11'!C34,'日経_H11'!C36,'日経_H11'!C38,'日経_H11'!C40,'日経_H11'!C42,'日経_H11'!C44,'日経_H11'!C46,'日経_H11'!C48,'日経_H11'!C50,'日経_H11'!C52,'日経_H11'!C54,'日経_H11'!C56,'日経_H11'!C58)</x:f>
        <x:v>13379000</x:v>
      </x:c>
      <x:c r="E44" s="6" t="n">
        <x:f>SUM('日経_H11'!D6,'日経_H11'!D8,'日経_H11'!D10,'日経_H11'!D12,'日経_H11'!D14,'日経_H11'!D16,'日経_H11'!D18,'日経_H11'!D20,'日経_H11'!D22,'日経_H11'!D24,'日経_H11'!D26,'日経_H11'!D28,'日経_H11'!D30,'日経_H11'!D32,'日経_H11'!D34,'日経_H11'!D36,'日経_H11'!D38,'日経_H11'!D40,'日経_H11'!D42,'日経_H11'!D44,'日経_H11'!D46,'日経_H11'!D48,'日経_H11'!D50,'日経_H11'!D52,'日経_H11'!D54,'日経_H11'!D56,'日経_H11'!D58)</x:f>
        <x:v>17375000</x:v>
      </x:c>
      <x:c r="F44" s="6" t="n">
        <x:f>D44-E44</x:f>
        <x:v>-3996000</x:v>
      </x:c>
      <x:c r="G44" s="11" t="n">
        <x:v>15</x:v>
      </x:c>
      <x:c r="H44" s="11" t="n">
        <x:v>2</x:v>
      </x:c>
      <x:c r="I44" s="6" t="n">
        <x:v>422600</x:v>
      </x:c>
      <x:c r="J44" s="6" t="n">
        <x:v>1403000</x:v>
      </x:c>
      <x:c r="K44" s="6" t="n">
        <x:v>-1603000</x:v>
      </x:c>
      <x:c r="L44" s="6" t="n">
        <x:v>1733000</x:v>
      </x:c>
      <x:c r="M44" s="6" t="n">
        <x:v>-5435000</x:v>
      </x:c>
    </x:row>
    <x:row r="45" ht="25" customHeight="1">
      <x:c r="A45" s="18" t="str">
        <x:v>日中27場</x:v>
      </x:c>
      <x:c r="B45" s="18" t="str">
        <x:v>H12</x:v>
      </x:c>
      <x:c r="C45" s="19" t="str"/>
      <x:c r="D45" s="6" t="n">
        <x:f>SUM('日経_H12'!C6,'日経_H12'!C8,'日経_H12'!C10,'日経_H12'!C12,'日経_H12'!C14,'日経_H12'!C16,'日経_H12'!C18,'日経_H12'!C20,'日経_H12'!C22,'日経_H12'!C24,'日経_H12'!C26,'日経_H12'!C28,'日経_H12'!C30,'日経_H12'!C32,'日経_H12'!C34,'日経_H12'!C36,'日経_H12'!C38,'日経_H12'!C40,'日経_H12'!C42,'日経_H12'!C44,'日経_H12'!C46,'日経_H12'!C48,'日経_H12'!C50,'日経_H12'!C52,'日経_H12'!C54,'日経_H12'!C56,'日経_H12'!C58)</x:f>
        <x:v>14078000</x:v>
      </x:c>
      <x:c r="E45" s="6" t="n">
        <x:f>SUM('日経_H12'!D6,'日経_H12'!D8,'日経_H12'!D10,'日経_H12'!D12,'日経_H12'!D14,'日経_H12'!D16,'日経_H12'!D18,'日経_H12'!D20,'日経_H12'!D22,'日経_H12'!D24,'日経_H12'!D26,'日経_H12'!D28,'日経_H12'!D30,'日経_H12'!D32,'日経_H12'!D34,'日経_H12'!D36,'日経_H12'!D38,'日経_H12'!D40,'日経_H12'!D42,'日経_H12'!D44,'日経_H12'!D46,'日経_H12'!D48,'日経_H12'!D50,'日経_H12'!D52,'日経_H12'!D54,'日経_H12'!D56,'日経_H12'!D58)</x:f>
        <x:v>17584000</x:v>
      </x:c>
      <x:c r="F45" s="6" t="n">
        <x:f>D45-E45</x:f>
        <x:v>-3506000</x:v>
      </x:c>
      <x:c r="G45" s="11" t="n">
        <x:v>14</x:v>
      </x:c>
      <x:c r="H45" s="11" t="n">
        <x:v>2</x:v>
      </x:c>
      <x:c r="I45" s="6" t="n">
        <x:v>435714.28571428574</x:v>
      </x:c>
      <x:c r="J45" s="6" t="n">
        <x:v>997000</x:v>
      </x:c>
      <x:c r="K45" s="6" t="n">
        <x:v>-1126000</x:v>
      </x:c>
      <x:c r="L45" s="6" t="n">
        <x:v>1250000</x:v>
      </x:c>
      <x:c r="M45" s="6" t="n">
        <x:v>-5046000</x:v>
      </x:c>
    </x:row>
    <x:row r="46" ht="25" customHeight="1">
      <x:c r="A46" s="18" t="str">
        <x:v>日中27場</x:v>
      </x:c>
      <x:c r="B46" s="18" t="str">
        <x:v>H13</x:v>
      </x:c>
      <x:c r="C46" s="19" t="str"/>
      <x:c r="D46" s="6" t="n">
        <x:f>SUM('日経_H13'!C6,'日経_H13'!C8,'日経_H13'!C10,'日経_H13'!C12,'日経_H13'!C14,'日経_H13'!C16,'日経_H13'!C18,'日経_H13'!C20,'日経_H13'!C22,'日経_H13'!C24,'日経_H13'!C26,'日経_H13'!C28,'日経_H13'!C30,'日経_H13'!C32,'日経_H13'!C34,'日経_H13'!C36,'日経_H13'!C38,'日経_H13'!C40,'日経_H13'!C42,'日経_H13'!C44,'日経_H13'!C46,'日経_H13'!C48,'日経_H13'!C50,'日経_H13'!C52,'日経_H13'!C54,'日経_H13'!C56,'日経_H13'!C58)</x:f>
        <x:v>11561000</x:v>
      </x:c>
      <x:c r="E46" s="6" t="n">
        <x:f>SUM('日経_H13'!D6,'日経_H13'!D8,'日経_H13'!D10,'日経_H13'!D12,'日経_H13'!D14,'日経_H13'!D16,'日経_H13'!D18,'日経_H13'!D20,'日経_H13'!D22,'日経_H13'!D24,'日経_H13'!D26,'日経_H13'!D28,'日経_H13'!D30,'日経_H13'!D32,'日経_H13'!D34,'日経_H13'!D36,'日経_H13'!D38,'日経_H13'!D40,'日経_H13'!D42,'日経_H13'!D44,'日経_H13'!D46,'日経_H13'!D48,'日経_H13'!D50,'日経_H13'!D52,'日経_H13'!D54,'日経_H13'!D56,'日経_H13'!D58)</x:f>
        <x:v>30139000</x:v>
      </x:c>
      <x:c r="F46" s="6" t="n">
        <x:f>D46-E46</x:f>
        <x:v>-18578000</x:v>
      </x:c>
      <x:c r="G46" s="11" t="n">
        <x:v>23</x:v>
      </x:c>
      <x:c r="H46" s="11" t="n">
        <x:v>2</x:v>
      </x:c>
      <x:c r="I46" s="6" t="n">
        <x:v>818000</x:v>
      </x:c>
      <x:c r="J46" s="6" t="n">
        <x:v>2307000</x:v>
      </x:c>
      <x:c r="K46" s="6" t="n">
        <x:v>-2507000</x:v>
      </x:c>
      <x:c r="L46" s="6" t="n">
        <x:v>2507000</x:v>
      </x:c>
      <x:c r="M46" s="6" t="n">
        <x:v>-18814000</x:v>
      </x:c>
    </x:row>
    <x:row r="47" ht="25" customHeight="1">
      <x:c r="A47" s="18" t="str">
        <x:v>日中27場</x:v>
      </x:c>
      <x:c r="B47" s="18" t="str">
        <x:v>H14</x:v>
      </x:c>
      <x:c r="C47" s="19" t="str"/>
      <x:c r="D47" s="6" t="n">
        <x:f>SUM('日経_H14'!C6,'日経_H14'!C8,'日経_H14'!C10,'日経_H14'!C12,'日経_H14'!C14,'日経_H14'!C16,'日経_H14'!C18,'日経_H14'!C20,'日経_H14'!C22,'日経_H14'!C24,'日経_H14'!C26,'日経_H14'!C28,'日経_H14'!C30,'日経_H14'!C32,'日経_H14'!C34,'日経_H14'!C36,'日経_H14'!C38,'日経_H14'!C40,'日経_H14'!C42,'日経_H14'!C44,'日経_H14'!C46,'日経_H14'!C48,'日経_H14'!C50,'日経_H14'!C52,'日経_H14'!C54,'日経_H14'!C56,'日経_H14'!C58)</x:f>
        <x:v>11450000</x:v>
      </x:c>
      <x:c r="E47" s="6" t="n">
        <x:f>SUM('日経_H14'!D6,'日経_H14'!D8,'日経_H14'!D10,'日経_H14'!D12,'日経_H14'!D14,'日経_H14'!D16,'日経_H14'!D18,'日経_H14'!D20,'日経_H14'!D22,'日経_H14'!D24,'日経_H14'!D26,'日経_H14'!D28,'日経_H14'!D30,'日経_H14'!D32,'日経_H14'!D34,'日経_H14'!D36,'日経_H14'!D38,'日経_H14'!D40,'日経_H14'!D42,'日経_H14'!D44,'日経_H14'!D46,'日経_H14'!D48,'日経_H14'!D50,'日経_H14'!D52,'日経_H14'!D54,'日経_H14'!D56,'日経_H14'!D58)</x:f>
        <x:v>27990000</x:v>
      </x:c>
      <x:c r="F47" s="6" t="n">
        <x:f>D47-E47</x:f>
        <x:v>-16540000</x:v>
      </x:c>
      <x:c r="G47" s="11" t="n">
        <x:v>17</x:v>
      </x:c>
      <x:c r="H47" s="11" t="n">
        <x:v>2</x:v>
      </x:c>
      <x:c r="I47" s="6" t="n">
        <x:v>1067058.8235294118</x:v>
      </x:c>
      <x:c r="J47" s="6" t="n">
        <x:v>2702000</x:v>
      </x:c>
      <x:c r="K47" s="6" t="n">
        <x:v>-2902000</x:v>
      </x:c>
      <x:c r="L47" s="6" t="n">
        <x:v>2958000</x:v>
      </x:c>
      <x:c r="M47" s="6" t="n">
        <x:v>-17585000</x:v>
      </x:c>
    </x:row>
    <x:row r="48" ht="25" customHeight="1">
      <x:c r="A48" s="18" t="str">
        <x:v>日中27場</x:v>
      </x:c>
      <x:c r="B48" s="18" t="str">
        <x:v>H15</x:v>
      </x:c>
      <x:c r="C48" s="19" t="str"/>
      <x:c r="D48" s="6" t="n">
        <x:f>SUM('日経_H15'!C6,'日経_H15'!C8,'日経_H15'!C10,'日経_H15'!C12,'日経_H15'!C14,'日経_H15'!C16,'日経_H15'!C18,'日経_H15'!C20,'日経_H15'!C22,'日経_H15'!C24,'日経_H15'!C26,'日経_H15'!C28,'日経_H15'!C30,'日経_H15'!C32,'日経_H15'!C34,'日経_H15'!C36,'日経_H15'!C38,'日経_H15'!C40,'日経_H15'!C42,'日経_H15'!C44,'日経_H15'!C46,'日経_H15'!C48,'日経_H15'!C50,'日経_H15'!C52,'日経_H15'!C54,'日経_H15'!C56,'日経_H15'!C58)</x:f>
        <x:v>12896000</x:v>
      </x:c>
      <x:c r="E48" s="6" t="n">
        <x:f>SUM('日経_H15'!D6,'日経_H15'!D8,'日経_H15'!D10,'日経_H15'!D12,'日経_H15'!D14,'日経_H15'!D16,'日経_H15'!D18,'日経_H15'!D20,'日経_H15'!D22,'日経_H15'!D24,'日経_H15'!D26,'日経_H15'!D28,'日経_H15'!D30,'日経_H15'!D32,'日経_H15'!D34,'日経_H15'!D36,'日経_H15'!D38,'日経_H15'!D40,'日経_H15'!D42,'日経_H15'!D44,'日経_H15'!D46,'日経_H15'!D48,'日経_H15'!D50,'日経_H15'!D52,'日経_H15'!D54,'日経_H15'!D56,'日経_H15'!D58)</x:f>
        <x:v>25958000</x:v>
      </x:c>
      <x:c r="F48" s="6" t="n">
        <x:f>D48-E48</x:f>
        <x:v>-13062000</x:v>
      </x:c>
      <x:c r="G48" s="11" t="n">
        <x:v>21</x:v>
      </x:c>
      <x:c r="H48" s="11" t="n">
        <x:v>2</x:v>
      </x:c>
      <x:c r="I48" s="6" t="n">
        <x:v>641809.5238095238</x:v>
      </x:c>
      <x:c r="J48" s="6" t="n">
        <x:v>1935000</x:v>
      </x:c>
      <x:c r="K48" s="6" t="n">
        <x:v>-2135000</x:v>
      </x:c>
      <x:c r="L48" s="6" t="n">
        <x:v>2135000</x:v>
      </x:c>
      <x:c r="M48" s="6" t="n">
        <x:v>-13468000</x:v>
      </x:c>
    </x:row>
    <x:row r="49" ht="25" customHeight="1">
      <x:c r="A49" s="18" t="str">
        <x:v>日中27場</x:v>
      </x:c>
      <x:c r="B49" s="18" t="str">
        <x:v>H16</x:v>
      </x:c>
      <x:c r="C49" s="19" t="str"/>
      <x:c r="D49" s="6" t="n">
        <x:f>SUM('日経_H16'!C6,'日経_H16'!C8,'日経_H16'!C10,'日経_H16'!C12,'日経_H16'!C14,'日経_H16'!C16,'日経_H16'!C18,'日経_H16'!C20,'日経_H16'!C22,'日経_H16'!C24,'日経_H16'!C26,'日経_H16'!C28,'日経_H16'!C30,'日経_H16'!C32,'日経_H16'!C34,'日経_H16'!C36,'日経_H16'!C38,'日経_H16'!C40,'日経_H16'!C42,'日経_H16'!C44,'日経_H16'!C46,'日経_H16'!C48,'日経_H16'!C50,'日経_H16'!C52,'日経_H16'!C54,'日経_H16'!C56,'日経_H16'!C58)</x:f>
        <x:v>14488000</x:v>
      </x:c>
      <x:c r="E49" s="6" t="n">
        <x:f>SUM('日経_H16'!D6,'日経_H16'!D8,'日経_H16'!D10,'日経_H16'!D12,'日経_H16'!D14,'日経_H16'!D16,'日経_H16'!D18,'日経_H16'!D20,'日経_H16'!D22,'日経_H16'!D24,'日経_H16'!D26,'日経_H16'!D28,'日経_H16'!D30,'日経_H16'!D32,'日経_H16'!D34,'日経_H16'!D36,'日経_H16'!D38,'日経_H16'!D40,'日経_H16'!D42,'日経_H16'!D44,'日経_H16'!D46,'日経_H16'!D48,'日経_H16'!D50,'日経_H16'!D52,'日経_H16'!D54,'日経_H16'!D56,'日経_H16'!D58)</x:f>
        <x:v>31340000</x:v>
      </x:c>
      <x:c r="F49" s="6" t="n">
        <x:f>D49-E49</x:f>
        <x:v>-16852000</x:v>
      </x:c>
      <x:c r="G49" s="11" t="n">
        <x:v>18</x:v>
      </x:c>
      <x:c r="H49" s="11" t="n">
        <x:v>2</x:v>
      </x:c>
      <x:c r="I49" s="6" t="n">
        <x:v>1019222.2222222222</x:v>
      </x:c>
      <x:c r="J49" s="6" t="n">
        <x:v>3028000</x:v>
      </x:c>
      <x:c r="K49" s="6" t="n">
        <x:v>-3258000</x:v>
      </x:c>
      <x:c r="L49" s="6" t="n">
        <x:v>3365000</x:v>
      </x:c>
      <x:c r="M49" s="6" t="n">
        <x:v>-17796000</x:v>
      </x:c>
    </x:row>
    <x:row r="50" ht="25" customHeight="1">
      <x:c r="A50" s="18" t="str">
        <x:v>日中27場</x:v>
      </x:c>
      <x:c r="B50" s="18" t="str">
        <x:v>H17</x:v>
      </x:c>
      <x:c r="C50" s="19" t="str"/>
      <x:c r="D50" s="6" t="n">
        <x:f>SUM('日経_H17'!C6,'日経_H17'!C8,'日経_H17'!C10,'日経_H17'!C12,'日経_H17'!C14,'日経_H17'!C16,'日経_H17'!C18,'日経_H17'!C20,'日経_H17'!C22,'日経_H17'!C24,'日経_H17'!C26,'日経_H17'!C28,'日経_H17'!C30,'日経_H17'!C32,'日経_H17'!C34,'日経_H17'!C36,'日経_H17'!C38,'日経_H17'!C40,'日経_H17'!C42,'日経_H17'!C44,'日経_H17'!C46,'日経_H17'!C48,'日経_H17'!C50,'日経_H17'!C52,'日経_H17'!C54,'日経_H17'!C56,'日経_H17'!C58)</x:f>
        <x:v>11488000</x:v>
      </x:c>
      <x:c r="E50" s="6" t="n">
        <x:f>SUM('日経_H17'!D6,'日経_H17'!D8,'日経_H17'!D10,'日経_H17'!D12,'日経_H17'!D14,'日経_H17'!D16,'日経_H17'!D18,'日経_H17'!D20,'日経_H17'!D22,'日経_H17'!D24,'日経_H17'!D26,'日経_H17'!D28,'日経_H17'!D30,'日経_H17'!D32,'日経_H17'!D34,'日経_H17'!D36,'日経_H17'!D38,'日経_H17'!D40,'日経_H17'!D42,'日経_H17'!D44,'日経_H17'!D46,'日経_H17'!D48,'日経_H17'!D50,'日経_H17'!D52,'日経_H17'!D54,'日経_H17'!D56,'日経_H17'!D58)</x:f>
        <x:v>30334000</x:v>
      </x:c>
      <x:c r="F50" s="6" t="n">
        <x:f>D50-E50</x:f>
        <x:v>-18846000</x:v>
      </x:c>
      <x:c r="G50" s="11" t="n">
        <x:v>21</x:v>
      </x:c>
      <x:c r="H50" s="11" t="n">
        <x:v>2</x:v>
      </x:c>
      <x:c r="I50" s="6" t="n">
        <x:v>912238.0952380953</x:v>
      </x:c>
      <x:c r="J50" s="6" t="n">
        <x:v>1910000</x:v>
      </x:c>
      <x:c r="K50" s="6" t="n">
        <x:v>-2110000</x:v>
      </x:c>
      <x:c r="L50" s="6" t="n">
        <x:v>2130000</x:v>
      </x:c>
      <x:c r="M50" s="6" t="n">
        <x:v>-19145000</x:v>
      </x:c>
    </x:row>
    <x:row r="51" ht="25" customHeight="1">
      <x:c r="A51" s="18" t="str">
        <x:v>日中27場</x:v>
      </x:c>
      <x:c r="B51" s="18" t="str">
        <x:v>H18</x:v>
      </x:c>
      <x:c r="C51" s="19" t="str"/>
      <x:c r="D51" s="6" t="n">
        <x:f>SUM('日経_H18'!C6,'日経_H18'!C8,'日経_H18'!C10,'日経_H18'!C12,'日経_H18'!C14,'日経_H18'!C16,'日経_H18'!C18,'日経_H18'!C20,'日経_H18'!C22,'日経_H18'!C24,'日経_H18'!C26,'日経_H18'!C28,'日経_H18'!C30,'日経_H18'!C32,'日経_H18'!C34,'日経_H18'!C36,'日経_H18'!C38,'日経_H18'!C40,'日経_H18'!C42,'日経_H18'!C44,'日経_H18'!C46,'日経_H18'!C48,'日経_H18'!C50,'日経_H18'!C52,'日経_H18'!C54,'日経_H18'!C56,'日経_H18'!C58)</x:f>
        <x:v>11219000</x:v>
      </x:c>
      <x:c r="E51" s="6" t="n">
        <x:f>SUM('日経_H18'!D6,'日経_H18'!D8,'日経_H18'!D10,'日経_H18'!D12,'日経_H18'!D14,'日経_H18'!D16,'日経_H18'!D18,'日経_H18'!D20,'日経_H18'!D22,'日経_H18'!D24,'日経_H18'!D26,'日経_H18'!D28,'日経_H18'!D30,'日経_H18'!D32,'日経_H18'!D34,'日経_H18'!D36,'日経_H18'!D38,'日経_H18'!D40,'日経_H18'!D42,'日経_H18'!D44,'日経_H18'!D46,'日経_H18'!D48,'日経_H18'!D50,'日経_H18'!D52,'日経_H18'!D54,'日経_H18'!D56,'日経_H18'!D58)</x:f>
        <x:v>19766000</x:v>
      </x:c>
      <x:c r="F51" s="6" t="n">
        <x:f>D51-E51</x:f>
        <x:v>-8547000</x:v>
      </x:c>
      <x:c r="G51" s="11" t="n">
        <x:v>16</x:v>
      </x:c>
      <x:c r="H51" s="11" t="n">
        <x:v>2</x:v>
      </x:c>
      <x:c r="I51" s="6" t="n">
        <x:v>716500</x:v>
      </x:c>
      <x:c r="J51" s="6" t="n">
        <x:v>2030000</x:v>
      </x:c>
      <x:c r="K51" s="6" t="n">
        <x:v>-2230000</x:v>
      </x:c>
      <x:c r="L51" s="6" t="n">
        <x:v>2405000</x:v>
      </x:c>
      <x:c r="M51" s="6" t="n">
        <x:v>-10365000</x:v>
      </x:c>
    </x:row>
    <x:row r="52" ht="25" customHeight="1">
      <x:c r="A52" s="18" t="str">
        <x:v>日中27場</x:v>
      </x:c>
      <x:c r="B52" s="18" t="str">
        <x:v>H19</x:v>
      </x:c>
      <x:c r="C52" s="19" t="str"/>
      <x:c r="D52" s="6" t="n">
        <x:f>SUM('日経_H19'!C6,'日経_H19'!C8,'日経_H19'!C10,'日経_H19'!C12,'日経_H19'!C14,'日経_H19'!C16,'日経_H19'!C18,'日経_H19'!C20,'日経_H19'!C22,'日経_H19'!C24,'日経_H19'!C26,'日経_H19'!C28,'日経_H19'!C30,'日経_H19'!C32,'日経_H19'!C34,'日経_H19'!C36,'日経_H19'!C38,'日経_H19'!C40,'日経_H19'!C42,'日経_H19'!C44,'日経_H19'!C46,'日経_H19'!C48,'日経_H19'!C50,'日経_H19'!C52,'日経_H19'!C54,'日経_H19'!C56,'日経_H19'!C58)</x:f>
        <x:v>13041000</x:v>
      </x:c>
      <x:c r="E52" s="6" t="n">
        <x:f>SUM('日経_H19'!D6,'日経_H19'!D8,'日経_H19'!D10,'日経_H19'!D12,'日経_H19'!D14,'日経_H19'!D16,'日経_H19'!D18,'日経_H19'!D20,'日経_H19'!D22,'日経_H19'!D24,'日経_H19'!D26,'日経_H19'!D28,'日経_H19'!D30,'日経_H19'!D32,'日経_H19'!D34,'日経_H19'!D36,'日経_H19'!D38,'日経_H19'!D40,'日経_H19'!D42,'日経_H19'!D44,'日経_H19'!D46,'日経_H19'!D48,'日経_H19'!D50,'日経_H19'!D52,'日経_H19'!D54,'日経_H19'!D56,'日経_H19'!D58)</x:f>
        <x:v>26009000</x:v>
      </x:c>
      <x:c r="F52" s="6" t="n">
        <x:f>D52-E52</x:f>
        <x:v>-12968000</x:v>
      </x:c>
      <x:c r="G52" s="11" t="n">
        <x:v>20</x:v>
      </x:c>
      <x:c r="H52" s="11" t="n">
        <x:v>2</x:v>
      </x:c>
      <x:c r="I52" s="6" t="n">
        <x:v>691950</x:v>
      </x:c>
      <x:c r="J52" s="6" t="n">
        <x:v>1684000</x:v>
      </x:c>
      <x:c r="K52" s="6" t="n">
        <x:v>-1884000</x:v>
      </x:c>
      <x:c r="L52" s="6" t="n">
        <x:v>1927000</x:v>
      </x:c>
      <x:c r="M52" s="6" t="n">
        <x:v>-13666000</x:v>
      </x:c>
    </x:row>
    <x:row r="53" ht="25" customHeight="1">
      <x:c r="A53" s="18" t="str">
        <x:v>日中27場</x:v>
      </x:c>
      <x:c r="B53" s="18" t="str">
        <x:v>H20</x:v>
      </x:c>
      <x:c r="C53" s="19" t="str"/>
      <x:c r="D53" s="6" t="n">
        <x:f>SUM('日経_H20'!C6,'日経_H20'!C8,'日経_H20'!C10,'日経_H20'!C12,'日経_H20'!C14,'日経_H20'!C16,'日経_H20'!C18,'日経_H20'!C20,'日経_H20'!C22,'日経_H20'!C24,'日経_H20'!C26,'日経_H20'!C28,'日経_H20'!C30,'日経_H20'!C32,'日経_H20'!C34,'日経_H20'!C36,'日経_H20'!C38,'日経_H20'!C40,'日経_H20'!C42,'日経_H20'!C44,'日経_H20'!C46,'日経_H20'!C48,'日経_H20'!C50,'日経_H20'!C52,'日経_H20'!C54,'日経_H20'!C56,'日経_H20'!C58)</x:f>
        <x:v>12340000</x:v>
      </x:c>
      <x:c r="E53" s="6" t="n">
        <x:f>SUM('日経_H20'!D6,'日経_H20'!D8,'日経_H20'!D10,'日経_H20'!D12,'日経_H20'!D14,'日経_H20'!D16,'日経_H20'!D18,'日経_H20'!D20,'日経_H20'!D22,'日経_H20'!D24,'日経_H20'!D26,'日経_H20'!D28,'日経_H20'!D30,'日経_H20'!D32,'日経_H20'!D34,'日経_H20'!D36,'日経_H20'!D38,'日経_H20'!D40,'日経_H20'!D42,'日経_H20'!D44,'日経_H20'!D46,'日経_H20'!D48,'日経_H20'!D50,'日経_H20'!D52,'日経_H20'!D54,'日経_H20'!D56,'日経_H20'!D58)</x:f>
        <x:v>20703000</x:v>
      </x:c>
      <x:c r="F53" s="6" t="n">
        <x:f>D53-E53</x:f>
        <x:v>-8363000</x:v>
      </x:c>
      <x:c r="G53" s="11" t="n">
        <x:v>16</x:v>
      </x:c>
      <x:c r="H53" s="11" t="n">
        <x:v>2</x:v>
      </x:c>
      <x:c r="I53" s="6" t="n">
        <x:v>692750</x:v>
      </x:c>
      <x:c r="J53" s="6" t="n">
        <x:v>1794000</x:v>
      </x:c>
      <x:c r="K53" s="6" t="n">
        <x:v>-2007000</x:v>
      </x:c>
      <x:c r="L53" s="6" t="n">
        <x:v>2157000</x:v>
      </x:c>
      <x:c r="M53" s="6" t="n">
        <x:v>-10071000</x:v>
      </x:c>
    </x:row>
    <x:row r="54" ht="25" customHeight="1">
      <x:c r="A54" s="18" t="str">
        <x:v>日中27場</x:v>
      </x:c>
      <x:c r="B54" s="18" t="str">
        <x:v>H21</x:v>
      </x:c>
      <x:c r="C54" s="19" t="str"/>
      <x:c r="D54" s="6" t="n">
        <x:f>SUM('日経_H21'!C6,'日経_H21'!C8,'日経_H21'!C10,'日経_H21'!C12,'日経_H21'!C14,'日経_H21'!C16,'日経_H21'!C18,'日経_H21'!C20,'日経_H21'!C22,'日経_H21'!C24,'日経_H21'!C26,'日経_H21'!C28,'日経_H21'!C30,'日経_H21'!C32,'日経_H21'!C34,'日経_H21'!C36,'日経_H21'!C38,'日経_H21'!C40,'日経_H21'!C42,'日経_H21'!C44,'日経_H21'!C46,'日経_H21'!C48,'日経_H21'!C50,'日経_H21'!C52,'日経_H21'!C54,'日経_H21'!C56,'日経_H21'!C58)</x:f>
        <x:v>11395000</x:v>
      </x:c>
      <x:c r="E54" s="6" t="n">
        <x:f>SUM('日経_H21'!D6,'日経_H21'!D8,'日経_H21'!D10,'日経_H21'!D12,'日経_H21'!D14,'日経_H21'!D16,'日経_H21'!D18,'日経_H21'!D20,'日経_H21'!D22,'日経_H21'!D24,'日経_H21'!D26,'日経_H21'!D28,'日経_H21'!D30,'日経_H21'!D32,'日経_H21'!D34,'日経_H21'!D36,'日経_H21'!D38,'日経_H21'!D40,'日経_H21'!D42,'日経_H21'!D44,'日経_H21'!D46,'日経_H21'!D48,'日経_H21'!D50,'日経_H21'!D52,'日経_H21'!D54,'日経_H21'!D56,'日経_H21'!D58)</x:f>
        <x:v>27535000</x:v>
      </x:c>
      <x:c r="F54" s="6" t="n">
        <x:f>D54-E54</x:f>
        <x:v>-16140000</x:v>
      </x:c>
      <x:c r="G54" s="11" t="n">
        <x:v>19</x:v>
      </x:c>
      <x:c r="H54" s="11" t="n">
        <x:v>2</x:v>
      </x:c>
      <x:c r="I54" s="6" t="n">
        <x:v>896000</x:v>
      </x:c>
      <x:c r="J54" s="6" t="n">
        <x:v>1768000</x:v>
      </x:c>
      <x:c r="K54" s="6" t="n">
        <x:v>-1888000</x:v>
      </x:c>
      <x:c r="L54" s="6" t="n">
        <x:v>1986000</x:v>
      </x:c>
      <x:c r="M54" s="6" t="n">
        <x:v>-16716000</x:v>
      </x:c>
    </x:row>
    <x:row r="55" ht="25" customHeight="1">
      <x:c r="A55" s="18" t="str">
        <x:v>日中27場</x:v>
      </x:c>
      <x:c r="B55" s="18" t="str">
        <x:v>H22</x:v>
      </x:c>
      <x:c r="C55" s="19" t="str"/>
      <x:c r="D55" s="6" t="n">
        <x:f>SUM('日経_H22'!C6,'日経_H22'!C8,'日経_H22'!C10,'日経_H22'!C12,'日経_H22'!C14,'日経_H22'!C16,'日経_H22'!C18,'日経_H22'!C20,'日経_H22'!C22,'日経_H22'!C24,'日経_H22'!C26,'日経_H22'!C28,'日経_H22'!C30,'日経_H22'!C32,'日経_H22'!C34,'日経_H22'!C36,'日経_H22'!C38,'日経_H22'!C40,'日経_H22'!C42,'日経_H22'!C44,'日経_H22'!C46,'日経_H22'!C48,'日経_H22'!C50,'日経_H22'!C52,'日経_H22'!C54,'日経_H22'!C56,'日経_H22'!C58)</x:f>
        <x:v>11187000</x:v>
      </x:c>
      <x:c r="E55" s="6" t="n">
        <x:f>SUM('日経_H22'!D6,'日経_H22'!D8,'日経_H22'!D10,'日経_H22'!D12,'日経_H22'!D14,'日経_H22'!D16,'日経_H22'!D18,'日経_H22'!D20,'日経_H22'!D22,'日経_H22'!D24,'日経_H22'!D26,'日経_H22'!D28,'日経_H22'!D30,'日経_H22'!D32,'日経_H22'!D34,'日経_H22'!D36,'日経_H22'!D38,'日経_H22'!D40,'日経_H22'!D42,'日経_H22'!D44,'日経_H22'!D46,'日経_H22'!D48,'日経_H22'!D50,'日経_H22'!D52,'日経_H22'!D54,'日経_H22'!D56,'日経_H22'!D58)</x:f>
        <x:v>17324000</x:v>
      </x:c>
      <x:c r="F55" s="6" t="n">
        <x:f>D55-E55</x:f>
        <x:v>-6137000</x:v>
      </x:c>
      <x:c r="G55" s="11" t="n">
        <x:v>16</x:v>
      </x:c>
      <x:c r="H55" s="11" t="n">
        <x:v>2</x:v>
      </x:c>
      <x:c r="I55" s="6" t="n">
        <x:v>590000</x:v>
      </x:c>
      <x:c r="J55" s="6" t="n">
        <x:v>1769000</x:v>
      </x:c>
      <x:c r="K55" s="6" t="n">
        <x:v>-1959000</x:v>
      </x:c>
      <x:c r="L55" s="6" t="n">
        <x:v>2165000</x:v>
      </x:c>
      <x:c r="M55" s="6" t="n">
        <x:v>-8188000</x:v>
      </x:c>
    </x:row>
    <x:row r="56" ht="25" customHeight="1">
      <x:c r="A56" s="18" t="str">
        <x:v>日中27場</x:v>
      </x:c>
      <x:c r="B56" s="18" t="str">
        <x:v>H23</x:v>
      </x:c>
      <x:c r="C56" s="19" t="str"/>
      <x:c r="D56" s="6" t="n">
        <x:f>SUM('日経_H23'!C6,'日経_H23'!C8,'日経_H23'!C10,'日経_H23'!C12,'日経_H23'!C14,'日経_H23'!C16,'日経_H23'!C18,'日経_H23'!C20,'日経_H23'!C22,'日経_H23'!C24,'日経_H23'!C26,'日経_H23'!C28,'日経_H23'!C30,'日経_H23'!C32,'日経_H23'!C34,'日経_H23'!C36,'日経_H23'!C38,'日経_H23'!C40,'日経_H23'!C42,'日経_H23'!C44,'日経_H23'!C46,'日経_H23'!C48,'日経_H23'!C50,'日経_H23'!C52,'日経_H23'!C54,'日経_H23'!C56,'日経_H23'!C58)</x:f>
        <x:v>12875000</x:v>
      </x:c>
      <x:c r="E56" s="6" t="n">
        <x:f>SUM('日経_H23'!D6,'日経_H23'!D8,'日経_H23'!D10,'日経_H23'!D12,'日経_H23'!D14,'日経_H23'!D16,'日経_H23'!D18,'日経_H23'!D20,'日経_H23'!D22,'日経_H23'!D24,'日経_H23'!D26,'日経_H23'!D28,'日経_H23'!D30,'日経_H23'!D32,'日経_H23'!D34,'日経_H23'!D36,'日経_H23'!D38,'日経_H23'!D40,'日経_H23'!D42,'日経_H23'!D44,'日経_H23'!D46,'日経_H23'!D48,'日経_H23'!D50,'日経_H23'!D52,'日経_H23'!D54,'日経_H23'!D56,'日経_H23'!D58)</x:f>
        <x:v>24241000</x:v>
      </x:c>
      <x:c r="F56" s="6" t="n">
        <x:f>D56-E56</x:f>
        <x:v>-11366000</x:v>
      </x:c>
      <x:c r="G56" s="11" t="n">
        <x:v>18</x:v>
      </x:c>
      <x:c r="H56" s="11" t="n">
        <x:v>2</x:v>
      </x:c>
      <x:c r="I56" s="6" t="n">
        <x:v>724222.2222222222</x:v>
      </x:c>
      <x:c r="J56" s="6" t="n">
        <x:v>1566000</x:v>
      </x:c>
      <x:c r="K56" s="6" t="n">
        <x:v>-1766000</x:v>
      </x:c>
      <x:c r="L56" s="6" t="n">
        <x:v>1883000</x:v>
      </x:c>
      <x:c r="M56" s="6" t="n">
        <x:v>-12401000</x:v>
      </x:c>
    </x:row>
    <x:row r="57" ht="25" customHeight="1">
      <x:c r="A57" s="18" t="str">
        <x:v>日中27場</x:v>
      </x:c>
      <x:c r="B57" s="18" t="str">
        <x:v>H24</x:v>
      </x:c>
      <x:c r="C57" s="19" t="str"/>
      <x:c r="D57" s="6" t="n">
        <x:f>SUM('日経_H24'!C6,'日経_H24'!C8,'日経_H24'!C10,'日経_H24'!C12,'日経_H24'!C14,'日経_H24'!C16,'日経_H24'!C18,'日経_H24'!C20,'日経_H24'!C22,'日経_H24'!C24,'日経_H24'!C26,'日経_H24'!C28,'日経_H24'!C30,'日経_H24'!C32,'日経_H24'!C34,'日経_H24'!C36,'日経_H24'!C38,'日経_H24'!C40,'日経_H24'!C42,'日経_H24'!C44,'日経_H24'!C46,'日経_H24'!C48,'日経_H24'!C50,'日経_H24'!C52,'日経_H24'!C54,'日経_H24'!C56,'日経_H24'!C58)</x:f>
        <x:v>11828000</x:v>
      </x:c>
      <x:c r="E57" s="6" t="n">
        <x:f>SUM('日経_H24'!D6,'日経_H24'!D8,'日経_H24'!D10,'日経_H24'!D12,'日経_H24'!D14,'日経_H24'!D16,'日経_H24'!D18,'日経_H24'!D20,'日経_H24'!D22,'日経_H24'!D24,'日経_H24'!D26,'日経_H24'!D28,'日経_H24'!D30,'日経_H24'!D32,'日経_H24'!D34,'日経_H24'!D36,'日経_H24'!D38,'日経_H24'!D40,'日経_H24'!D42,'日経_H24'!D44,'日経_H24'!D46,'日経_H24'!D48,'日経_H24'!D50,'日経_H24'!D52,'日経_H24'!D54,'日経_H24'!D56,'日経_H24'!D58)</x:f>
        <x:v>17533000</x:v>
      </x:c>
      <x:c r="F57" s="6" t="n">
        <x:f>D57-E57</x:f>
        <x:v>-5705000</x:v>
      </x:c>
      <x:c r="G57" s="11" t="n">
        <x:v>16</x:v>
      </x:c>
      <x:c r="H57" s="11" t="n">
        <x:v>2</x:v>
      </x:c>
      <x:c r="I57" s="6" t="n">
        <x:v>563000</x:v>
      </x:c>
      <x:c r="J57" s="6" t="n">
        <x:v>1645000</x:v>
      </x:c>
      <x:c r="K57" s="6" t="n">
        <x:v>-1880000</x:v>
      </x:c>
      <x:c r="L57" s="6" t="n">
        <x:v>2041000</x:v>
      </x:c>
      <x:c r="M57" s="6" t="n">
        <x:v>-7769000</x:v>
      </x:c>
    </x:row>
    <x:row r="58" ht="25" customHeight="1">
      <x:c r="A58" s="18" t="str">
        <x:v>夜間26場</x:v>
      </x:c>
      <x:c r="B58" s="18" t="str">
        <x:v>S00</x:v>
      </x:c>
      <x:c r="C58" s="19" t="str"/>
      <x:c r="D58" s="6" t="n">
        <x:f>SUM('日経_S00'!C7,'日経_S00'!C9,'日経_S00'!C11,'日経_S00'!C13,'日経_S00'!C15,'日経_S00'!C17,'日経_S00'!C19,'日経_S00'!C21,'日経_S00'!C23,'日経_S00'!C25,'日経_S00'!C27,'日経_S00'!C29,'日経_S00'!C31,'日経_S00'!C33,'日経_S00'!C35,'日経_S00'!C37,'日経_S00'!C39,'日経_S00'!C41,'日経_S00'!C43,'日経_S00'!C45,'日経_S00'!C47,'日経_S00'!C49,'日経_S00'!C51,'日経_S00'!C53,'日経_S00'!C55,'日経_S00'!C57)</x:f>
        <x:v>38630000</x:v>
      </x:c>
      <x:c r="E58" s="6" t="n">
        <x:f>SUM('日経_S00'!D7,'日経_S00'!D9,'日経_S00'!D11,'日経_S00'!D13,'日経_S00'!D15,'日経_S00'!D17,'日経_S00'!D19,'日経_S00'!D21,'日経_S00'!D23,'日経_S00'!D25,'日経_S00'!D27,'日経_S00'!D29,'日経_S00'!D31,'日経_S00'!D33,'日経_S00'!D35,'日経_S00'!D37,'日経_S00'!D39,'日経_S00'!D41,'日経_S00'!D43,'日経_S00'!D45,'日経_S00'!D47,'日経_S00'!D49,'日経_S00'!D51,'日経_S00'!D53,'日経_S00'!D55,'日経_S00'!D57)</x:f>
        <x:v>64040000</x:v>
      </x:c>
      <x:c r="F58" s="6" t="n">
        <x:f>D58-E58</x:f>
        <x:v>-25410000</x:v>
      </x:c>
      <x:c r="G58" s="11" t="n">
        <x:v>25</x:v>
      </x:c>
      <x:c r="H58" s="11" t="n">
        <x:v>0</x:v>
      </x:c>
      <x:c r="I58" s="6" t="n">
        <x:v>1021200</x:v>
      </x:c>
      <x:c r="J58" s="6" t="n">
        <x:v>2140000</x:v>
      </x:c>
      <x:c r="K58" s="6" t="n">
        <x:v>-2430000</x:v>
      </x:c>
      <x:c r="L58" s="6" t="n">
        <x:v>2440000</x:v>
      </x:c>
      <x:c r="M58" s="6" t="n">
        <x:v>-25530000</x:v>
      </x:c>
    </x:row>
    <x:row r="59" ht="25" customHeight="1">
      <x:c r="A59" s="18" t="str">
        <x:v>夜間26場</x:v>
      </x:c>
      <x:c r="B59" s="18" t="str">
        <x:v>N00</x:v>
      </x:c>
      <x:c r="C59" s="19" t="str"/>
      <x:c r="D59" s="6" t="n">
        <x:f>SUM('日経_N00'!C7,'日経_N00'!C9,'日経_N00'!C11,'日経_N00'!C13,'日経_N00'!C15,'日経_N00'!C17,'日経_N00'!C19,'日経_N00'!C21,'日経_N00'!C23,'日経_N00'!C25,'日経_N00'!C27,'日経_N00'!C29,'日経_N00'!C31,'日経_N00'!C33,'日経_N00'!C35,'日経_N00'!C37,'日経_N00'!C39,'日経_N00'!C41,'日経_N00'!C43,'日経_N00'!C45,'日経_N00'!C47,'日経_N00'!C49,'日経_N00'!C51,'日経_N00'!C53,'日経_N00'!C55,'日経_N00'!C57)</x:f>
        <x:v>19950000</x:v>
      </x:c>
      <x:c r="E59" s="6" t="n">
        <x:f>SUM('日経_N00'!D7,'日経_N00'!D9,'日経_N00'!D11,'日経_N00'!D13,'日経_N00'!D15,'日経_N00'!D17,'日経_N00'!D19,'日経_N00'!D21,'日経_N00'!D23,'日経_N00'!D25,'日経_N00'!D27,'日経_N00'!D29,'日経_N00'!D31,'日経_N00'!D33,'日経_N00'!D35,'日経_N00'!D37,'日経_N00'!D39,'日経_N00'!D41,'日経_N00'!D43,'日経_N00'!D45,'日経_N00'!D47,'日経_N00'!D49,'日経_N00'!D51,'日経_N00'!D53,'日経_N00'!D55,'日経_N00'!D57)</x:f>
        <x:v>23690000</x:v>
      </x:c>
      <x:c r="F59" s="6" t="n">
        <x:f>D59-E59</x:f>
        <x:v>-3740000</x:v>
      </x:c>
      <x:c r="G59" s="11" t="n">
        <x:v>19</x:v>
      </x:c>
      <x:c r="H59" s="11" t="n">
        <x:v>0</x:v>
      </x:c>
      <x:c r="I59" s="6" t="n">
        <x:v>225789.47368421053</x:v>
      </x:c>
      <x:c r="J59" s="6" t="n">
        <x:v>500000</x:v>
      </x:c>
      <x:c r="K59" s="6" t="n">
        <x:v>-540000</x:v>
      </x:c>
      <x:c r="L59" s="6" t="n">
        <x:v>730000</x:v>
      </x:c>
      <x:c r="M59" s="6" t="n">
        <x:v>-4210000</x:v>
      </x:c>
    </x:row>
    <x:row r="60" ht="25" customHeight="1">
      <x:c r="A60" s="18" t="str">
        <x:v>夜間26場</x:v>
      </x:c>
      <x:c r="B60" s="18" t="str">
        <x:v>H01</x:v>
      </x:c>
      <x:c r="C60" s="19" t="str">
        <x:v>前40場選択</x:v>
      </x:c>
      <x:c r="D60" s="6" t="n">
        <x:f>SUM('日経_H01'!C7,'日経_H01'!C9,'日経_H01'!C11,'日経_H01'!C13,'日経_H01'!C15,'日経_H01'!C17,'日経_H01'!C19,'日経_H01'!C21,'日経_H01'!C23,'日経_H01'!C25,'日経_H01'!C27,'日経_H01'!C29,'日経_H01'!C31,'日経_H01'!C33,'日経_H01'!C35,'日経_H01'!C37,'日経_H01'!C39,'日経_H01'!C41,'日経_H01'!C43,'日経_H01'!C45,'日経_H01'!C47,'日経_H01'!C49,'日経_H01'!C51,'日経_H01'!C53,'日経_H01'!C55,'日経_H01'!C57)</x:f>
        <x:v>20809000</x:v>
      </x:c>
      <x:c r="E60" s="6" t="n">
        <x:f>SUM('日経_H01'!D7,'日経_H01'!D9,'日経_H01'!D11,'日経_H01'!D13,'日経_H01'!D15,'日経_H01'!D17,'日経_H01'!D19,'日経_H01'!D21,'日経_H01'!D23,'日経_H01'!D25,'日経_H01'!D27,'日経_H01'!D29,'日経_H01'!D31,'日経_H01'!D33,'日経_H01'!D35,'日経_H01'!D37,'日経_H01'!D39,'日経_H01'!D41,'日経_H01'!D43,'日経_H01'!D45,'日経_H01'!D47,'日経_H01'!D49,'日経_H01'!D51,'日経_H01'!D53,'日経_H01'!D55,'日経_H01'!D57)</x:f>
        <x:v>26398000</x:v>
      </x:c>
      <x:c r="F60" s="6" t="n">
        <x:f>D60-E60</x:f>
        <x:v>-5589000</x:v>
      </x:c>
      <x:c r="G60" s="11" t="n">
        <x:v>23</x:v>
      </x:c>
      <x:c r="H60" s="11" t="n">
        <x:v>0</x:v>
      </x:c>
      <x:c r="I60" s="6" t="n">
        <x:v>255304.34782608695</x:v>
      </x:c>
      <x:c r="J60" s="6" t="n">
        <x:v>693000</x:v>
      </x:c>
      <x:c r="K60" s="6" t="n">
        <x:v>-723000</x:v>
      </x:c>
      <x:c r="L60" s="6" t="n">
        <x:v>733000</x:v>
      </x:c>
      <x:c r="M60" s="6" t="n">
        <x:v>-5872000</x:v>
      </x:c>
    </x:row>
    <x:row r="61" ht="25" customHeight="1">
      <x:c r="A61" s="18" t="str">
        <x:v>夜間26場</x:v>
      </x:c>
      <x:c r="B61" s="18" t="str">
        <x:v>H09</x:v>
      </x:c>
      <x:c r="C61" s="19" t="str">
        <x:v>前40場選択</x:v>
      </x:c>
      <x:c r="D61" s="6" t="n">
        <x:f>SUM('日経_H09'!C7,'日経_H09'!C9,'日経_H09'!C11,'日経_H09'!C13,'日経_H09'!C15,'日経_H09'!C17,'日経_H09'!C19,'日経_H09'!C21,'日経_H09'!C23,'日経_H09'!C25,'日経_H09'!C27,'日経_H09'!C29,'日経_H09'!C31,'日経_H09'!C33,'日経_H09'!C35,'日経_H09'!C37,'日経_H09'!C39,'日経_H09'!C41,'日経_H09'!C43,'日経_H09'!C45,'日経_H09'!C47,'日経_H09'!C49,'日経_H09'!C51,'日経_H09'!C53,'日経_H09'!C55,'日経_H09'!C57)</x:f>
        <x:v>20149000</x:v>
      </x:c>
      <x:c r="E61" s="6" t="n">
        <x:f>SUM('日経_H09'!D7,'日経_H09'!D9,'日経_H09'!D11,'日経_H09'!D13,'日経_H09'!D15,'日経_H09'!D17,'日経_H09'!D19,'日経_H09'!D21,'日経_H09'!D23,'日経_H09'!D25,'日経_H09'!D27,'日経_H09'!D29,'日経_H09'!D31,'日経_H09'!D33,'日経_H09'!D35,'日経_H09'!D37,'日経_H09'!D39,'日経_H09'!D41,'日経_H09'!D43,'日経_H09'!D45,'日経_H09'!D47,'日経_H09'!D49,'日経_H09'!D51,'日経_H09'!D53,'日経_H09'!D55,'日経_H09'!D57)</x:f>
        <x:v>25300000</x:v>
      </x:c>
      <x:c r="F61" s="6" t="n">
        <x:f>D61-E61</x:f>
        <x:v>-5151000</x:v>
      </x:c>
      <x:c r="G61" s="11" t="n">
        <x:v>22</x:v>
      </x:c>
      <x:c r="H61" s="11" t="n">
        <x:v>0</x:v>
      </x:c>
      <x:c r="I61" s="6" t="n">
        <x:v>243090.9090909091</x:v>
      </x:c>
      <x:c r="J61" s="6" t="n">
        <x:v>692000</x:v>
      </x:c>
      <x:c r="K61" s="6" t="n">
        <x:v>-722000</x:v>
      </x:c>
      <x:c r="L61" s="6" t="n">
        <x:v>771000</x:v>
      </x:c>
      <x:c r="M61" s="6" t="n">
        <x:v>-5331000</x:v>
      </x:c>
    </x:row>
    <x:row r="62" ht="25" customHeight="1">
      <x:c r="A62" s="18" t="str">
        <x:v>夜間26場</x:v>
      </x:c>
      <x:c r="B62" s="18" t="str">
        <x:v>H05</x:v>
      </x:c>
      <x:c r="C62" s="19" t="str">
        <x:v>前40場選択</x:v>
      </x:c>
      <x:c r="D62" s="6" t="n">
        <x:f>SUM('日経_H05'!C7,'日経_H05'!C9,'日経_H05'!C11,'日経_H05'!C13,'日経_H05'!C15,'日経_H05'!C17,'日経_H05'!C19,'日経_H05'!C21,'日経_H05'!C23,'日経_H05'!C25,'日経_H05'!C27,'日経_H05'!C29,'日経_H05'!C31,'日経_H05'!C33,'日経_H05'!C35,'日経_H05'!C37,'日経_H05'!C39,'日経_H05'!C41,'日経_H05'!C43,'日経_H05'!C45,'日経_H05'!C47,'日経_H05'!C49,'日経_H05'!C51,'日経_H05'!C53,'日経_H05'!C55,'日経_H05'!C57)</x:f>
        <x:v>20135000</x:v>
      </x:c>
      <x:c r="E62" s="6" t="n">
        <x:f>SUM('日経_H05'!D7,'日経_H05'!D9,'日経_H05'!D11,'日経_H05'!D13,'日経_H05'!D15,'日経_H05'!D17,'日経_H05'!D19,'日経_H05'!D21,'日経_H05'!D23,'日経_H05'!D25,'日経_H05'!D27,'日経_H05'!D29,'日経_H05'!D31,'日経_H05'!D33,'日経_H05'!D35,'日経_H05'!D37,'日経_H05'!D39,'日経_H05'!D41,'日経_H05'!D43,'日経_H05'!D45,'日経_H05'!D47,'日経_H05'!D49,'日経_H05'!D51,'日経_H05'!D53,'日経_H05'!D55,'日経_H05'!D57)</x:f>
        <x:v>25878000</x:v>
      </x:c>
      <x:c r="F62" s="6" t="n">
        <x:f>D62-E62</x:f>
        <x:v>-5743000</x:v>
      </x:c>
      <x:c r="G62" s="11" t="n">
        <x:v>24</x:v>
      </x:c>
      <x:c r="H62" s="11" t="n">
        <x:v>0</x:v>
      </x:c>
      <x:c r="I62" s="6" t="n">
        <x:v>244500</x:v>
      </x:c>
      <x:c r="J62" s="6" t="n">
        <x:v>678000</x:v>
      </x:c>
      <x:c r="K62" s="6" t="n">
        <x:v>-708000</x:v>
      </x:c>
      <x:c r="L62" s="6" t="n">
        <x:v>730000</x:v>
      </x:c>
      <x:c r="M62" s="6" t="n">
        <x:v>-5868000</x:v>
      </x:c>
    </x:row>
    <x:row r="63" ht="25" customHeight="1">
      <x:c r="A63" s="18" t="str">
        <x:v>夜間26場</x:v>
      </x:c>
      <x:c r="B63" s="18" t="str">
        <x:v>H02</x:v>
      </x:c>
      <x:c r="C63" s="19" t="str"/>
      <x:c r="D63" s="6" t="n">
        <x:f>SUM('日経_H02'!C7,'日経_H02'!C9,'日経_H02'!C11,'日経_H02'!C13,'日経_H02'!C15,'日経_H02'!C17,'日経_H02'!C19,'日経_H02'!C21,'日経_H02'!C23,'日経_H02'!C25,'日経_H02'!C27,'日経_H02'!C29,'日経_H02'!C31,'日経_H02'!C33,'日経_H02'!C35,'日経_H02'!C37,'日経_H02'!C39,'日経_H02'!C41,'日経_H02'!C43,'日経_H02'!C45,'日経_H02'!C47,'日経_H02'!C49,'日経_H02'!C51,'日経_H02'!C53,'日経_H02'!C55,'日経_H02'!C57)</x:f>
        <x:v>21021000</x:v>
      </x:c>
      <x:c r="E63" s="6" t="n">
        <x:f>SUM('日経_H02'!D7,'日経_H02'!D9,'日経_H02'!D11,'日経_H02'!D13,'日経_H02'!D15,'日経_H02'!D17,'日経_H02'!D19,'日経_H02'!D21,'日経_H02'!D23,'日経_H02'!D25,'日経_H02'!D27,'日経_H02'!D29,'日経_H02'!D31,'日経_H02'!D33,'日経_H02'!D35,'日経_H02'!D37,'日経_H02'!D39,'日経_H02'!D41,'日経_H02'!D43,'日経_H02'!D45,'日経_H02'!D47,'日経_H02'!D49,'日経_H02'!D51,'日経_H02'!D53,'日経_H02'!D55,'日経_H02'!D57)</x:f>
        <x:v>31482000</x:v>
      </x:c>
      <x:c r="F63" s="6" t="n">
        <x:f>D63-E63</x:f>
        <x:v>-10461000</x:v>
      </x:c>
      <x:c r="G63" s="11" t="n">
        <x:v>26</x:v>
      </x:c>
      <x:c r="H63" s="11" t="n">
        <x:v>0</x:v>
      </x:c>
      <x:c r="I63" s="6" t="n">
        <x:v>402346.1538461539</x:v>
      </x:c>
      <x:c r="J63" s="6" t="n">
        <x:v>955000</x:v>
      </x:c>
      <x:c r="K63" s="6" t="n">
        <x:v>-975000</x:v>
      </x:c>
      <x:c r="L63" s="6" t="n">
        <x:v>1062000</x:v>
      </x:c>
      <x:c r="M63" s="6" t="n">
        <x:v>-10461000</x:v>
      </x:c>
    </x:row>
    <x:row r="64" ht="25" customHeight="1">
      <x:c r="A64" s="18" t="str">
        <x:v>夜間26場</x:v>
      </x:c>
      <x:c r="B64" s="18" t="str">
        <x:v>H03</x:v>
      </x:c>
      <x:c r="C64" s="19" t="str"/>
      <x:c r="D64" s="6" t="n">
        <x:f>SUM('日経_H03'!C7,'日経_H03'!C9,'日経_H03'!C11,'日経_H03'!C13,'日経_H03'!C15,'日経_H03'!C17,'日経_H03'!C19,'日経_H03'!C21,'日経_H03'!C23,'日経_H03'!C25,'日経_H03'!C27,'日経_H03'!C29,'日経_H03'!C31,'日経_H03'!C33,'日経_H03'!C35,'日経_H03'!C37,'日経_H03'!C39,'日経_H03'!C41,'日経_H03'!C43,'日経_H03'!C45,'日経_H03'!C47,'日経_H03'!C49,'日経_H03'!C51,'日経_H03'!C53,'日経_H03'!C55,'日経_H03'!C57)</x:f>
        <x:v>21519000</x:v>
      </x:c>
      <x:c r="E64" s="6" t="n">
        <x:f>SUM('日経_H03'!D7,'日経_H03'!D9,'日経_H03'!D11,'日経_H03'!D13,'日経_H03'!D15,'日経_H03'!D17,'日経_H03'!D19,'日経_H03'!D21,'日経_H03'!D23,'日経_H03'!D25,'日経_H03'!D27,'日経_H03'!D29,'日経_H03'!D31,'日経_H03'!D33,'日経_H03'!D35,'日経_H03'!D37,'日経_H03'!D39,'日経_H03'!D41,'日経_H03'!D43,'日経_H03'!D45,'日経_H03'!D47,'日経_H03'!D49,'日経_H03'!D51,'日経_H03'!D53,'日経_H03'!D55,'日経_H03'!D57)</x:f>
        <x:v>27092000</x:v>
      </x:c>
      <x:c r="F64" s="6" t="n">
        <x:f>D64-E64</x:f>
        <x:v>-5573000</x:v>
      </x:c>
      <x:c r="G64" s="11" t="n">
        <x:v>23</x:v>
      </x:c>
      <x:c r="H64" s="11" t="n">
        <x:v>0</x:v>
      </x:c>
      <x:c r="I64" s="6" t="n">
        <x:v>251521.73913043478</x:v>
      </x:c>
      <x:c r="J64" s="6" t="n">
        <x:v>668000</x:v>
      </x:c>
      <x:c r="K64" s="6" t="n">
        <x:v>-698000</x:v>
      </x:c>
      <x:c r="L64" s="6" t="n">
        <x:v>710000</x:v>
      </x:c>
      <x:c r="M64" s="6" t="n">
        <x:v>-5785000</x:v>
      </x:c>
    </x:row>
    <x:row r="65" ht="25" customHeight="1">
      <x:c r="A65" s="18" t="str">
        <x:v>夜間26場</x:v>
      </x:c>
      <x:c r="B65" s="18" t="str">
        <x:v>H04</x:v>
      </x:c>
      <x:c r="C65" s="19" t="str"/>
      <x:c r="D65" s="6" t="n">
        <x:f>SUM('日経_H04'!C7,'日経_H04'!C9,'日経_H04'!C11,'日経_H04'!C13,'日経_H04'!C15,'日経_H04'!C17,'日経_H04'!C19,'日経_H04'!C21,'日経_H04'!C23,'日経_H04'!C25,'日経_H04'!C27,'日経_H04'!C29,'日経_H04'!C31,'日経_H04'!C33,'日経_H04'!C35,'日経_H04'!C37,'日経_H04'!C39,'日経_H04'!C41,'日経_H04'!C43,'日経_H04'!C45,'日経_H04'!C47,'日経_H04'!C49,'日経_H04'!C51,'日経_H04'!C53,'日経_H04'!C55,'日経_H04'!C57)</x:f>
        <x:v>24533000</x:v>
      </x:c>
      <x:c r="E65" s="6" t="n">
        <x:f>SUM('日経_H04'!D7,'日経_H04'!D9,'日経_H04'!D11,'日経_H04'!D13,'日経_H04'!D15,'日経_H04'!D17,'日経_H04'!D19,'日経_H04'!D21,'日経_H04'!D23,'日経_H04'!D25,'日経_H04'!D27,'日経_H04'!D29,'日経_H04'!D31,'日経_H04'!D33,'日経_H04'!D35,'日経_H04'!D37,'日経_H04'!D39,'日経_H04'!D41,'日経_H04'!D43,'日経_H04'!D45,'日経_H04'!D47,'日経_H04'!D49,'日経_H04'!D51,'日経_H04'!D53,'日経_H04'!D55,'日経_H04'!D57)</x:f>
        <x:v>32099000</x:v>
      </x:c>
      <x:c r="F65" s="6" t="n">
        <x:f>D65-E65</x:f>
        <x:v>-7566000</x:v>
      </x:c>
      <x:c r="G65" s="11" t="n">
        <x:v>25</x:v>
      </x:c>
      <x:c r="H65" s="11" t="n">
        <x:v>0</x:v>
      </x:c>
      <x:c r="I65" s="6" t="n">
        <x:v>305320</x:v>
      </x:c>
      <x:c r="J65" s="6" t="n">
        <x:v>620000</x:v>
      </x:c>
      <x:c r="K65" s="6" t="n">
        <x:v>-710000</x:v>
      </x:c>
      <x:c r="L65" s="6" t="n">
        <x:v>753000</x:v>
      </x:c>
      <x:c r="M65" s="6" t="n">
        <x:v>-7633000</x:v>
      </x:c>
    </x:row>
    <x:row r="66" ht="25" customHeight="1">
      <x:c r="A66" s="18" t="str">
        <x:v>夜間26場</x:v>
      </x:c>
      <x:c r="B66" s="18" t="str">
        <x:v>H06</x:v>
      </x:c>
      <x:c r="C66" s="19" t="str"/>
      <x:c r="D66" s="6" t="n">
        <x:f>SUM('日経_H06'!C7,'日経_H06'!C9,'日経_H06'!C11,'日経_H06'!C13,'日経_H06'!C15,'日経_H06'!C17,'日経_H06'!C19,'日経_H06'!C21,'日経_H06'!C23,'日経_H06'!C25,'日経_H06'!C27,'日経_H06'!C29,'日経_H06'!C31,'日経_H06'!C33,'日経_H06'!C35,'日経_H06'!C37,'日経_H06'!C39,'日経_H06'!C41,'日経_H06'!C43,'日経_H06'!C45,'日経_H06'!C47,'日経_H06'!C49,'日経_H06'!C51,'日経_H06'!C53,'日経_H06'!C55,'日経_H06'!C57)</x:f>
        <x:v>20733000</x:v>
      </x:c>
      <x:c r="E66" s="6" t="n">
        <x:f>SUM('日経_H06'!D7,'日経_H06'!D9,'日経_H06'!D11,'日経_H06'!D13,'日経_H06'!D15,'日経_H06'!D17,'日経_H06'!D19,'日経_H06'!D21,'日経_H06'!D23,'日経_H06'!D25,'日経_H06'!D27,'日経_H06'!D29,'日経_H06'!D31,'日経_H06'!D33,'日経_H06'!D35,'日経_H06'!D37,'日経_H06'!D39,'日経_H06'!D41,'日経_H06'!D43,'日経_H06'!D45,'日経_H06'!D47,'日経_H06'!D49,'日経_H06'!D51,'日経_H06'!D53,'日経_H06'!D55,'日経_H06'!D57)</x:f>
        <x:v>29051000</x:v>
      </x:c>
      <x:c r="F66" s="6" t="n">
        <x:f>D66-E66</x:f>
        <x:v>-8318000</x:v>
      </x:c>
      <x:c r="G66" s="11" t="n">
        <x:v>26</x:v>
      </x:c>
      <x:c r="H66" s="11" t="n">
        <x:v>0</x:v>
      </x:c>
      <x:c r="I66" s="6" t="n">
        <x:v>319923.07692307694</x:v>
      </x:c>
      <x:c r="J66" s="6" t="n">
        <x:v>926000</x:v>
      </x:c>
      <x:c r="K66" s="6" t="n">
        <x:v>-956000</x:v>
      </x:c>
      <x:c r="L66" s="6" t="n">
        <x:v>966000</x:v>
      </x:c>
      <x:c r="M66" s="6" t="n">
        <x:v>-8318000</x:v>
      </x:c>
    </x:row>
    <x:row r="67" ht="25" customHeight="1">
      <x:c r="A67" s="18" t="str">
        <x:v>夜間26場</x:v>
      </x:c>
      <x:c r="B67" s="18" t="str">
        <x:v>H07</x:v>
      </x:c>
      <x:c r="C67" s="19" t="str"/>
      <x:c r="D67" s="6" t="n">
        <x:f>SUM('日経_H07'!C7,'日経_H07'!C9,'日経_H07'!C11,'日経_H07'!C13,'日経_H07'!C15,'日経_H07'!C17,'日経_H07'!C19,'日経_H07'!C21,'日経_H07'!C23,'日経_H07'!C25,'日経_H07'!C27,'日経_H07'!C29,'日経_H07'!C31,'日経_H07'!C33,'日経_H07'!C35,'日経_H07'!C37,'日経_H07'!C39,'日経_H07'!C41,'日経_H07'!C43,'日経_H07'!C45,'日経_H07'!C47,'日経_H07'!C49,'日経_H07'!C51,'日経_H07'!C53,'日経_H07'!C55,'日経_H07'!C57)</x:f>
        <x:v>21093000</x:v>
      </x:c>
      <x:c r="E67" s="6" t="n">
        <x:f>SUM('日経_H07'!D7,'日経_H07'!D9,'日経_H07'!D11,'日経_H07'!D13,'日経_H07'!D15,'日経_H07'!D17,'日経_H07'!D19,'日経_H07'!D21,'日経_H07'!D23,'日経_H07'!D25,'日経_H07'!D27,'日経_H07'!D29,'日経_H07'!D31,'日経_H07'!D33,'日経_H07'!D35,'日経_H07'!D37,'日経_H07'!D39,'日経_H07'!D41,'日経_H07'!D43,'日経_H07'!D45,'日経_H07'!D47,'日経_H07'!D49,'日経_H07'!D51,'日経_H07'!D53,'日経_H07'!D55,'日経_H07'!D57)</x:f>
        <x:v>26424000</x:v>
      </x:c>
      <x:c r="F67" s="6" t="n">
        <x:f>D67-E67</x:f>
        <x:v>-5331000</x:v>
      </x:c>
      <x:c r="G67" s="11" t="n">
        <x:v>24</x:v>
      </x:c>
      <x:c r="H67" s="11" t="n">
        <x:v>0</x:v>
      </x:c>
      <x:c r="I67" s="6" t="n">
        <x:v>230625</x:v>
      </x:c>
      <x:c r="J67" s="6" t="n">
        <x:v>649000</x:v>
      </x:c>
      <x:c r="K67" s="6" t="n">
        <x:v>-679000</x:v>
      </x:c>
      <x:c r="L67" s="6" t="n">
        <x:v>753000</x:v>
      </x:c>
      <x:c r="M67" s="6" t="n">
        <x:v>-5535000</x:v>
      </x:c>
    </x:row>
    <x:row r="68" ht="25" customHeight="1">
      <x:c r="A68" s="18" t="str">
        <x:v>夜間26場</x:v>
      </x:c>
      <x:c r="B68" s="18" t="str">
        <x:v>H08</x:v>
      </x:c>
      <x:c r="C68" s="19" t="str"/>
      <x:c r="D68" s="6" t="n">
        <x:f>SUM('日経_H08'!C7,'日経_H08'!C9,'日経_H08'!C11,'日経_H08'!C13,'日経_H08'!C15,'日経_H08'!C17,'日経_H08'!C19,'日経_H08'!C21,'日経_H08'!C23,'日経_H08'!C25,'日経_H08'!C27,'日経_H08'!C29,'日経_H08'!C31,'日経_H08'!C33,'日経_H08'!C35,'日経_H08'!C37,'日経_H08'!C39,'日経_H08'!C41,'日経_H08'!C43,'日経_H08'!C45,'日経_H08'!C47,'日経_H08'!C49,'日経_H08'!C51,'日経_H08'!C53,'日経_H08'!C55,'日経_H08'!C57)</x:f>
        <x:v>22558000</x:v>
      </x:c>
      <x:c r="E68" s="6" t="n">
        <x:f>SUM('日経_H08'!D7,'日経_H08'!D9,'日経_H08'!D11,'日経_H08'!D13,'日経_H08'!D15,'日経_H08'!D17,'日経_H08'!D19,'日経_H08'!D21,'日経_H08'!D23,'日経_H08'!D25,'日経_H08'!D27,'日経_H08'!D29,'日経_H08'!D31,'日経_H08'!D33,'日経_H08'!D35,'日経_H08'!D37,'日経_H08'!D39,'日経_H08'!D41,'日経_H08'!D43,'日経_H08'!D45,'日経_H08'!D47,'日経_H08'!D49,'日経_H08'!D51,'日経_H08'!D53,'日経_H08'!D55,'日経_H08'!D57)</x:f>
        <x:v>28528000</x:v>
      </x:c>
      <x:c r="F68" s="6" t="n">
        <x:f>D68-E68</x:f>
        <x:v>-5970000</x:v>
      </x:c>
      <x:c r="G68" s="11" t="n">
        <x:v>25</x:v>
      </x:c>
      <x:c r="H68" s="11" t="n">
        <x:v>0</x:v>
      </x:c>
      <x:c r="I68" s="6" t="n">
        <x:v>248800</x:v>
      </x:c>
      <x:c r="J68" s="6" t="n">
        <x:v>752000</x:v>
      </x:c>
      <x:c r="K68" s="6" t="n">
        <x:v>-782000</x:v>
      </x:c>
      <x:c r="L68" s="6" t="n">
        <x:v>792000</x:v>
      </x:c>
      <x:c r="M68" s="6" t="n">
        <x:v>-6220000</x:v>
      </x:c>
    </x:row>
    <x:row r="69" ht="25" customHeight="1">
      <x:c r="A69" s="18" t="str">
        <x:v>夜間26場</x:v>
      </x:c>
      <x:c r="B69" s="18" t="str">
        <x:v>H10</x:v>
      </x:c>
      <x:c r="C69" s="19" t="str"/>
      <x:c r="D69" s="6" t="n">
        <x:f>SUM('日経_H10'!C7,'日経_H10'!C9,'日経_H10'!C11,'日経_H10'!C13,'日経_H10'!C15,'日経_H10'!C17,'日経_H10'!C19,'日経_H10'!C21,'日経_H10'!C23,'日経_H10'!C25,'日経_H10'!C27,'日経_H10'!C29,'日経_H10'!C31,'日経_H10'!C33,'日経_H10'!C35,'日経_H10'!C37,'日経_H10'!C39,'日経_H10'!C41,'日経_H10'!C43,'日経_H10'!C45,'日経_H10'!C47,'日経_H10'!C49,'日経_H10'!C51,'日経_H10'!C53,'日経_H10'!C55,'日経_H10'!C57)</x:f>
        <x:v>19859000</x:v>
      </x:c>
      <x:c r="E69" s="6" t="n">
        <x:f>SUM('日経_H10'!D7,'日経_H10'!D9,'日経_H10'!D11,'日経_H10'!D13,'日経_H10'!D15,'日経_H10'!D17,'日経_H10'!D19,'日経_H10'!D21,'日経_H10'!D23,'日経_H10'!D25,'日経_H10'!D27,'日経_H10'!D29,'日経_H10'!D31,'日経_H10'!D33,'日経_H10'!D35,'日経_H10'!D37,'日経_H10'!D39,'日経_H10'!D41,'日経_H10'!D43,'日経_H10'!D45,'日経_H10'!D47,'日経_H10'!D49,'日経_H10'!D51,'日経_H10'!D53,'日経_H10'!D55,'日経_H10'!D57)</x:f>
        <x:v>27588000</x:v>
      </x:c>
      <x:c r="F69" s="6" t="n">
        <x:f>D69-E69</x:f>
        <x:v>-7729000</x:v>
      </x:c>
      <x:c r="G69" s="11" t="n">
        <x:v>26</x:v>
      </x:c>
      <x:c r="H69" s="11" t="n">
        <x:v>0</x:v>
      </x:c>
      <x:c r="I69" s="6" t="n">
        <x:v>297269.23076923075</x:v>
      </x:c>
      <x:c r="J69" s="6" t="n">
        <x:v>868000</x:v>
      </x:c>
      <x:c r="K69" s="6" t="n">
        <x:v>-898000</x:v>
      </x:c>
      <x:c r="L69" s="6" t="n">
        <x:v>908000</x:v>
      </x:c>
      <x:c r="M69" s="6" t="n">
        <x:v>-7729000</x:v>
      </x:c>
    </x:row>
    <x:row r="70" ht="25" customHeight="1">
      <x:c r="A70" s="18" t="str">
        <x:v>夜間26場</x:v>
      </x:c>
      <x:c r="B70" s="18" t="str">
        <x:v>H11</x:v>
      </x:c>
      <x:c r="C70" s="19" t="str"/>
      <x:c r="D70" s="6" t="n">
        <x:f>SUM('日経_H11'!C7,'日経_H11'!C9,'日経_H11'!C11,'日経_H11'!C13,'日経_H11'!C15,'日経_H11'!C17,'日経_H11'!C19,'日経_H11'!C21,'日経_H11'!C23,'日経_H11'!C25,'日経_H11'!C27,'日経_H11'!C29,'日経_H11'!C31,'日経_H11'!C33,'日経_H11'!C35,'日経_H11'!C37,'日経_H11'!C39,'日経_H11'!C41,'日経_H11'!C43,'日経_H11'!C45,'日経_H11'!C47,'日経_H11'!C49,'日経_H11'!C51,'日経_H11'!C53,'日経_H11'!C55,'日経_H11'!C57)</x:f>
        <x:v>20986000</x:v>
      </x:c>
      <x:c r="E70" s="6" t="n">
        <x:f>SUM('日経_H11'!D7,'日経_H11'!D9,'日経_H11'!D11,'日経_H11'!D13,'日経_H11'!D15,'日経_H11'!D17,'日経_H11'!D19,'日経_H11'!D21,'日経_H11'!D23,'日経_H11'!D25,'日経_H11'!D27,'日経_H11'!D29,'日経_H11'!D31,'日経_H11'!D33,'日経_H11'!D35,'日経_H11'!D37,'日経_H11'!D39,'日経_H11'!D41,'日経_H11'!D43,'日経_H11'!D45,'日経_H11'!D47,'日経_H11'!D49,'日経_H11'!D51,'日経_H11'!D53,'日経_H11'!D55,'日経_H11'!D57)</x:f>
        <x:v>26021000</x:v>
      </x:c>
      <x:c r="F70" s="6" t="n">
        <x:f>D70-E70</x:f>
        <x:v>-5035000</x:v>
      </x:c>
      <x:c r="G70" s="11" t="n">
        <x:v>23</x:v>
      </x:c>
      <x:c r="H70" s="11" t="n">
        <x:v>0</x:v>
      </x:c>
      <x:c r="I70" s="6" t="n">
        <x:v>226913.04347826086</x:v>
      </x:c>
      <x:c r="J70" s="6" t="n">
        <x:v>634000</x:v>
      </x:c>
      <x:c r="K70" s="6" t="n">
        <x:v>-664000</x:v>
      </x:c>
      <x:c r="L70" s="6" t="n">
        <x:v>741000</x:v>
      </x:c>
      <x:c r="M70" s="6" t="n">
        <x:v>-5219000</x:v>
      </x:c>
    </x:row>
    <x:row r="71" ht="25" customHeight="1">
      <x:c r="A71" s="18" t="str">
        <x:v>夜間26場</x:v>
      </x:c>
      <x:c r="B71" s="18" t="str">
        <x:v>H12</x:v>
      </x:c>
      <x:c r="C71" s="19" t="str"/>
      <x:c r="D71" s="6" t="n">
        <x:f>SUM('日経_H12'!C7,'日経_H12'!C9,'日経_H12'!C11,'日経_H12'!C13,'日経_H12'!C15,'日経_H12'!C17,'日経_H12'!C19,'日経_H12'!C21,'日経_H12'!C23,'日経_H12'!C25,'日経_H12'!C27,'日経_H12'!C29,'日経_H12'!C31,'日経_H12'!C33,'日経_H12'!C35,'日経_H12'!C37,'日経_H12'!C39,'日経_H12'!C41,'日経_H12'!C43,'日経_H12'!C45,'日経_H12'!C47,'日経_H12'!C49,'日経_H12'!C51,'日経_H12'!C53,'日経_H12'!C55,'日経_H12'!C57)</x:f>
        <x:v>21294000</x:v>
      </x:c>
      <x:c r="E71" s="6" t="n">
        <x:f>SUM('日経_H12'!D7,'日経_H12'!D9,'日経_H12'!D11,'日経_H12'!D13,'日経_H12'!D15,'日経_H12'!D17,'日経_H12'!D19,'日経_H12'!D21,'日経_H12'!D23,'日経_H12'!D25,'日経_H12'!D27,'日経_H12'!D29,'日経_H12'!D31,'日経_H12'!D33,'日経_H12'!D35,'日経_H12'!D37,'日経_H12'!D39,'日経_H12'!D41,'日経_H12'!D43,'日経_H12'!D45,'日経_H12'!D47,'日経_H12'!D49,'日経_H12'!D51,'日経_H12'!D53,'日経_H12'!D55,'日経_H12'!D57)</x:f>
        <x:v>26518000</x:v>
      </x:c>
      <x:c r="F71" s="6" t="n">
        <x:f>D71-E71</x:f>
        <x:v>-5224000</x:v>
      </x:c>
      <x:c r="G71" s="11" t="n">
        <x:v>24</x:v>
      </x:c>
      <x:c r="H71" s="11" t="n">
        <x:v>0</x:v>
      </x:c>
      <x:c r="I71" s="6" t="n">
        <x:v>233583.33333333334</x:v>
      </x:c>
      <x:c r="J71" s="6" t="n">
        <x:v>622000</x:v>
      </x:c>
      <x:c r="K71" s="6" t="n">
        <x:v>-652000</x:v>
      </x:c>
      <x:c r="L71" s="6" t="n">
        <x:v>662000</x:v>
      </x:c>
      <x:c r="M71" s="6" t="n">
        <x:v>-5606000</x:v>
      </x:c>
    </x:row>
    <x:row r="72" ht="25" customHeight="1">
      <x:c r="A72" s="18" t="str">
        <x:v>夜間26場</x:v>
      </x:c>
      <x:c r="B72" s="18" t="str">
        <x:v>H13</x:v>
      </x:c>
      <x:c r="C72" s="19" t="str"/>
      <x:c r="D72" s="6" t="n">
        <x:f>SUM('日経_H13'!C7,'日経_H13'!C9,'日経_H13'!C11,'日経_H13'!C13,'日経_H13'!C15,'日経_H13'!C17,'日経_H13'!C19,'日経_H13'!C21,'日経_H13'!C23,'日経_H13'!C25,'日経_H13'!C27,'日経_H13'!C29,'日経_H13'!C31,'日経_H13'!C33,'日経_H13'!C35,'日経_H13'!C37,'日経_H13'!C39,'日経_H13'!C41,'日経_H13'!C43,'日経_H13'!C45,'日経_H13'!C47,'日経_H13'!C49,'日経_H13'!C51,'日経_H13'!C53,'日経_H13'!C55,'日経_H13'!C57)</x:f>
        <x:v>19981000</x:v>
      </x:c>
      <x:c r="E72" s="6" t="n">
        <x:f>SUM('日経_H13'!D7,'日経_H13'!D9,'日経_H13'!D11,'日経_H13'!D13,'日経_H13'!D15,'日経_H13'!D17,'日経_H13'!D19,'日経_H13'!D21,'日経_H13'!D23,'日経_H13'!D25,'日経_H13'!D27,'日経_H13'!D29,'日経_H13'!D31,'日経_H13'!D33,'日経_H13'!D35,'日経_H13'!D37,'日経_H13'!D39,'日経_H13'!D41,'日経_H13'!D43,'日経_H13'!D45,'日経_H13'!D47,'日経_H13'!D49,'日経_H13'!D51,'日経_H13'!D53,'日経_H13'!D55,'日経_H13'!D57)</x:f>
        <x:v>28194000</x:v>
      </x:c>
      <x:c r="F72" s="6" t="n">
        <x:f>D72-E72</x:f>
        <x:v>-8213000</x:v>
      </x:c>
      <x:c r="G72" s="11" t="n">
        <x:v>25</x:v>
      </x:c>
      <x:c r="H72" s="11" t="n">
        <x:v>0</x:v>
      </x:c>
      <x:c r="I72" s="6" t="n">
        <x:v>332280</x:v>
      </x:c>
      <x:c r="J72" s="6" t="n">
        <x:v>846000</x:v>
      </x:c>
      <x:c r="K72" s="6" t="n">
        <x:v>-929000</x:v>
      </x:c>
      <x:c r="L72" s="6" t="n">
        <x:v>959000</x:v>
      </x:c>
      <x:c r="M72" s="6" t="n">
        <x:v>-8307000</x:v>
      </x:c>
    </x:row>
    <x:row r="73" ht="25" customHeight="1">
      <x:c r="A73" s="18" t="str">
        <x:v>夜間26場</x:v>
      </x:c>
      <x:c r="B73" s="18" t="str">
        <x:v>H14</x:v>
      </x:c>
      <x:c r="C73" s="19" t="str"/>
      <x:c r="D73" s="6" t="n">
        <x:f>SUM('日経_H14'!C7,'日経_H14'!C9,'日経_H14'!C11,'日経_H14'!C13,'日経_H14'!C15,'日経_H14'!C17,'日経_H14'!C19,'日経_H14'!C21,'日経_H14'!C23,'日経_H14'!C25,'日経_H14'!C27,'日経_H14'!C29,'日経_H14'!C31,'日経_H14'!C33,'日経_H14'!C35,'日経_H14'!C37,'日経_H14'!C39,'日経_H14'!C41,'日経_H14'!C43,'日経_H14'!C45,'日経_H14'!C47,'日経_H14'!C49,'日経_H14'!C51,'日経_H14'!C53,'日経_H14'!C55,'日経_H14'!C57)</x:f>
        <x:v>20344000</x:v>
      </x:c>
      <x:c r="E73" s="6" t="n">
        <x:f>SUM('日経_H14'!D7,'日経_H14'!D9,'日経_H14'!D11,'日経_H14'!D13,'日経_H14'!D15,'日経_H14'!D17,'日経_H14'!D19,'日経_H14'!D21,'日経_H14'!D23,'日経_H14'!D25,'日経_H14'!D27,'日経_H14'!D29,'日経_H14'!D31,'日経_H14'!D33,'日経_H14'!D35,'日経_H14'!D37,'日経_H14'!D39,'日経_H14'!D41,'日経_H14'!D43,'日経_H14'!D45,'日経_H14'!D47,'日経_H14'!D49,'日経_H14'!D51,'日経_H14'!D53,'日経_H14'!D55,'日経_H14'!D57)</x:f>
        <x:v>33262000</x:v>
      </x:c>
      <x:c r="F73" s="6" t="n">
        <x:f>D73-E73</x:f>
        <x:v>-12918000</x:v>
      </x:c>
      <x:c r="G73" s="11" t="n">
        <x:v>25</x:v>
      </x:c>
      <x:c r="H73" s="11" t="n">
        <x:v>0</x:v>
      </x:c>
      <x:c r="I73" s="6" t="n">
        <x:v>517160</x:v>
      </x:c>
      <x:c r="J73" s="6" t="n">
        <x:v>1754000</x:v>
      </x:c>
      <x:c r="K73" s="6" t="n">
        <x:v>-1784000</x:v>
      </x:c>
      <x:c r="L73" s="6" t="n">
        <x:v>1794000</x:v>
      </x:c>
      <x:c r="M73" s="6" t="n">
        <x:v>-12929000</x:v>
      </x:c>
    </x:row>
    <x:row r="74" ht="25" customHeight="1">
      <x:c r="A74" s="18" t="str">
        <x:v>夜間26場</x:v>
      </x:c>
      <x:c r="B74" s="18" t="str">
        <x:v>H15</x:v>
      </x:c>
      <x:c r="C74" s="19" t="str"/>
      <x:c r="D74" s="6" t="n">
        <x:f>SUM('日経_H15'!C7,'日経_H15'!C9,'日経_H15'!C11,'日経_H15'!C13,'日経_H15'!C15,'日経_H15'!C17,'日経_H15'!C19,'日経_H15'!C21,'日経_H15'!C23,'日経_H15'!C25,'日経_H15'!C27,'日経_H15'!C29,'日経_H15'!C31,'日経_H15'!C33,'日経_H15'!C35,'日経_H15'!C37,'日経_H15'!C39,'日経_H15'!C41,'日経_H15'!C43,'日経_H15'!C45,'日経_H15'!C47,'日経_H15'!C49,'日経_H15'!C51,'日経_H15'!C53,'日経_H15'!C55,'日経_H15'!C57)</x:f>
        <x:v>20567000</x:v>
      </x:c>
      <x:c r="E74" s="6" t="n">
        <x:f>SUM('日経_H15'!D7,'日経_H15'!D9,'日経_H15'!D11,'日経_H15'!D13,'日経_H15'!D15,'日経_H15'!D17,'日経_H15'!D19,'日経_H15'!D21,'日経_H15'!D23,'日経_H15'!D25,'日経_H15'!D27,'日経_H15'!D29,'日経_H15'!D31,'日経_H15'!D33,'日経_H15'!D35,'日経_H15'!D37,'日経_H15'!D39,'日経_H15'!D41,'日経_H15'!D43,'日経_H15'!D45,'日経_H15'!D47,'日経_H15'!D49,'日経_H15'!D51,'日経_H15'!D53,'日経_H15'!D55,'日経_H15'!D57)</x:f>
        <x:v>27406000</x:v>
      </x:c>
      <x:c r="F74" s="6" t="n">
        <x:f>D74-E74</x:f>
        <x:v>-6839000</x:v>
      </x:c>
      <x:c r="G74" s="11" t="n">
        <x:v>23</x:v>
      </x:c>
      <x:c r="H74" s="11" t="n">
        <x:v>0</x:v>
      </x:c>
      <x:c r="I74" s="6" t="n">
        <x:v>302826.0869565217</x:v>
      </x:c>
      <x:c r="J74" s="6" t="n">
        <x:v>702000</x:v>
      </x:c>
      <x:c r="K74" s="6" t="n">
        <x:v>-885000</x:v>
      </x:c>
      <x:c r="L74" s="6" t="n">
        <x:v>915000</x:v>
      </x:c>
      <x:c r="M74" s="6" t="n">
        <x:v>-6965000</x:v>
      </x:c>
    </x:row>
    <x:row r="75" ht="25" customHeight="1">
      <x:c r="A75" s="18" t="str">
        <x:v>夜間26場</x:v>
      </x:c>
      <x:c r="B75" s="18" t="str">
        <x:v>H16</x:v>
      </x:c>
      <x:c r="C75" s="19" t="str"/>
      <x:c r="D75" s="6" t="n">
        <x:f>SUM('日経_H16'!C7,'日経_H16'!C9,'日経_H16'!C11,'日経_H16'!C13,'日経_H16'!C15,'日経_H16'!C17,'日経_H16'!C19,'日経_H16'!C21,'日経_H16'!C23,'日経_H16'!C25,'日経_H16'!C27,'日経_H16'!C29,'日経_H16'!C31,'日経_H16'!C33,'日経_H16'!C35,'日経_H16'!C37,'日経_H16'!C39,'日経_H16'!C41,'日経_H16'!C43,'日経_H16'!C45,'日経_H16'!C47,'日経_H16'!C49,'日経_H16'!C51,'日経_H16'!C53,'日経_H16'!C55,'日経_H16'!C57)</x:f>
        <x:v>21501000</x:v>
      </x:c>
      <x:c r="E75" s="6" t="n">
        <x:f>SUM('日経_H16'!D7,'日経_H16'!D9,'日経_H16'!D11,'日経_H16'!D13,'日経_H16'!D15,'日経_H16'!D17,'日経_H16'!D19,'日経_H16'!D21,'日経_H16'!D23,'日経_H16'!D25,'日経_H16'!D27,'日経_H16'!D29,'日経_H16'!D31,'日経_H16'!D33,'日経_H16'!D35,'日経_H16'!D37,'日経_H16'!D39,'日経_H16'!D41,'日経_H16'!D43,'日経_H16'!D45,'日経_H16'!D47,'日経_H16'!D49,'日経_H16'!D51,'日経_H16'!D53,'日経_H16'!D55,'日経_H16'!D57)</x:f>
        <x:v>33056000</x:v>
      </x:c>
      <x:c r="F75" s="6" t="n">
        <x:f>D75-E75</x:f>
        <x:v>-11555000</x:v>
      </x:c>
      <x:c r="G75" s="11" t="n">
        <x:v>25</x:v>
      </x:c>
      <x:c r="H75" s="11" t="n">
        <x:v>0</x:v>
      </x:c>
      <x:c r="I75" s="6" t="n">
        <x:v>463560</x:v>
      </x:c>
      <x:c r="J75" s="6" t="n">
        <x:v>1684000</x:v>
      </x:c>
      <x:c r="K75" s="6" t="n">
        <x:v>-1714000</x:v>
      </x:c>
      <x:c r="L75" s="6" t="n">
        <x:v>1724000</x:v>
      </x:c>
      <x:c r="M75" s="6" t="n">
        <x:v>-11589000</x:v>
      </x:c>
    </x:row>
    <x:row r="76" ht="25" customHeight="1">
      <x:c r="A76" s="18" t="str">
        <x:v>夜間26場</x:v>
      </x:c>
      <x:c r="B76" s="18" t="str">
        <x:v>H17</x:v>
      </x:c>
      <x:c r="C76" s="19" t="str"/>
      <x:c r="D76" s="6" t="n">
        <x:f>SUM('日経_H17'!C7,'日経_H17'!C9,'日経_H17'!C11,'日経_H17'!C13,'日経_H17'!C15,'日経_H17'!C17,'日経_H17'!C19,'日経_H17'!C21,'日経_H17'!C23,'日経_H17'!C25,'日経_H17'!C27,'日経_H17'!C29,'日経_H17'!C31,'日経_H17'!C33,'日経_H17'!C35,'日経_H17'!C37,'日経_H17'!C39,'日経_H17'!C41,'日経_H17'!C43,'日経_H17'!C45,'日経_H17'!C47,'日経_H17'!C49,'日経_H17'!C51,'日経_H17'!C53,'日経_H17'!C55,'日経_H17'!C57)</x:f>
        <x:v>19952000</x:v>
      </x:c>
      <x:c r="E76" s="6" t="n">
        <x:f>SUM('日経_H17'!D7,'日経_H17'!D9,'日経_H17'!D11,'日経_H17'!D13,'日経_H17'!D15,'日経_H17'!D17,'日経_H17'!D19,'日経_H17'!D21,'日経_H17'!D23,'日経_H17'!D25,'日経_H17'!D27,'日経_H17'!D29,'日経_H17'!D31,'日経_H17'!D33,'日経_H17'!D35,'日経_H17'!D37,'日経_H17'!D39,'日経_H17'!D41,'日経_H17'!D43,'日経_H17'!D45,'日経_H17'!D47,'日経_H17'!D49,'日経_H17'!D51,'日経_H17'!D53,'日経_H17'!D55,'日経_H17'!D57)</x:f>
        <x:v>27404000</x:v>
      </x:c>
      <x:c r="F76" s="6" t="n">
        <x:f>D76-E76</x:f>
        <x:v>-7452000</x:v>
      </x:c>
      <x:c r="G76" s="11" t="n">
        <x:v>25</x:v>
      </x:c>
      <x:c r="H76" s="11" t="n">
        <x:v>0</x:v>
      </x:c>
      <x:c r="I76" s="6" t="n">
        <x:v>303960</x:v>
      </x:c>
      <x:c r="J76" s="6" t="n">
        <x:v>767000</x:v>
      </x:c>
      <x:c r="K76" s="6" t="n">
        <x:v>-797000</x:v>
      </x:c>
      <x:c r="L76" s="6" t="n">
        <x:v>807000</x:v>
      </x:c>
      <x:c r="M76" s="6" t="n">
        <x:v>-7599000</x:v>
      </x:c>
    </x:row>
    <x:row r="77" ht="25" customHeight="1">
      <x:c r="A77" s="18" t="str">
        <x:v>夜間26場</x:v>
      </x:c>
      <x:c r="B77" s="18" t="str">
        <x:v>H18</x:v>
      </x:c>
      <x:c r="C77" s="19" t="str"/>
      <x:c r="D77" s="6" t="n">
        <x:f>SUM('日経_H18'!C7,'日経_H18'!C9,'日経_H18'!C11,'日経_H18'!C13,'日経_H18'!C15,'日経_H18'!C17,'日経_H18'!C19,'日経_H18'!C21,'日経_H18'!C23,'日経_H18'!C25,'日経_H18'!C27,'日経_H18'!C29,'日経_H18'!C31,'日経_H18'!C33,'日経_H18'!C35,'日経_H18'!C37,'日経_H18'!C39,'日経_H18'!C41,'日経_H18'!C43,'日経_H18'!C45,'日経_H18'!C47,'日経_H18'!C49,'日経_H18'!C51,'日経_H18'!C53,'日経_H18'!C55,'日経_H18'!C57)</x:f>
        <x:v>20039000</x:v>
      </x:c>
      <x:c r="E77" s="6" t="n">
        <x:f>SUM('日経_H18'!D7,'日経_H18'!D9,'日経_H18'!D11,'日経_H18'!D13,'日経_H18'!D15,'日経_H18'!D17,'日経_H18'!D19,'日経_H18'!D21,'日経_H18'!D23,'日経_H18'!D25,'日経_H18'!D27,'日経_H18'!D29,'日経_H18'!D31,'日経_H18'!D33,'日経_H18'!D35,'日経_H18'!D37,'日経_H18'!D39,'日経_H18'!D41,'日経_H18'!D43,'日経_H18'!D45,'日経_H18'!D47,'日経_H18'!D49,'日経_H18'!D51,'日経_H18'!D53,'日経_H18'!D55,'日経_H18'!D57)</x:f>
        <x:v>29037000</x:v>
      </x:c>
      <x:c r="F77" s="6" t="n">
        <x:f>D77-E77</x:f>
        <x:v>-8998000</x:v>
      </x:c>
      <x:c r="G77" s="11" t="n">
        <x:v>25</x:v>
      </x:c>
      <x:c r="H77" s="11" t="n">
        <x:v>0</x:v>
      </x:c>
      <x:c r="I77" s="6" t="n">
        <x:v>362800</x:v>
      </x:c>
      <x:c r="J77" s="6" t="n">
        <x:v>1327000</x:v>
      </x:c>
      <x:c r="K77" s="6" t="n">
        <x:v>-1357000</x:v>
      </x:c>
      <x:c r="L77" s="6" t="n">
        <x:v>1367000</x:v>
      </x:c>
      <x:c r="M77" s="6" t="n">
        <x:v>-9070000</x:v>
      </x:c>
    </x:row>
    <x:row r="78" ht="25" customHeight="1">
      <x:c r="A78" s="18" t="str">
        <x:v>夜間26場</x:v>
      </x:c>
      <x:c r="B78" s="18" t="str">
        <x:v>H19</x:v>
      </x:c>
      <x:c r="C78" s="19" t="str"/>
      <x:c r="D78" s="6" t="n">
        <x:f>SUM('日経_H19'!C7,'日経_H19'!C9,'日経_H19'!C11,'日経_H19'!C13,'日経_H19'!C15,'日経_H19'!C17,'日経_H19'!C19,'日経_H19'!C21,'日経_H19'!C23,'日経_H19'!C25,'日経_H19'!C27,'日経_H19'!C29,'日経_H19'!C31,'日経_H19'!C33,'日経_H19'!C35,'日経_H19'!C37,'日経_H19'!C39,'日経_H19'!C41,'日経_H19'!C43,'日経_H19'!C45,'日経_H19'!C47,'日経_H19'!C49,'日経_H19'!C51,'日経_H19'!C53,'日経_H19'!C55,'日経_H19'!C57)</x:f>
        <x:v>20578000</x:v>
      </x:c>
      <x:c r="E78" s="6" t="n">
        <x:f>SUM('日経_H19'!D7,'日経_H19'!D9,'日経_H19'!D11,'日経_H19'!D13,'日経_H19'!D15,'日経_H19'!D17,'日経_H19'!D19,'日経_H19'!D21,'日経_H19'!D23,'日経_H19'!D25,'日経_H19'!D27,'日経_H19'!D29,'日経_H19'!D31,'日経_H19'!D33,'日経_H19'!D35,'日経_H19'!D37,'日経_H19'!D39,'日経_H19'!D41,'日経_H19'!D43,'日経_H19'!D45,'日経_H19'!D47,'日経_H19'!D49,'日経_H19'!D51,'日経_H19'!D53,'日経_H19'!D55,'日経_H19'!D57)</x:f>
        <x:v>27006000</x:v>
      </x:c>
      <x:c r="F78" s="6" t="n">
        <x:f>D78-E78</x:f>
        <x:v>-6428000</x:v>
      </x:c>
      <x:c r="G78" s="11" t="n">
        <x:v>23</x:v>
      </x:c>
      <x:c r="H78" s="11" t="n">
        <x:v>0</x:v>
      </x:c>
      <x:c r="I78" s="6" t="n">
        <x:v>288956.52173913043</x:v>
      </x:c>
      <x:c r="J78" s="6" t="n">
        <x:v>777000</x:v>
      </x:c>
      <x:c r="K78" s="6" t="n">
        <x:v>-807000</x:v>
      </x:c>
      <x:c r="L78" s="6" t="n">
        <x:v>817000</x:v>
      </x:c>
      <x:c r="M78" s="6" t="n">
        <x:v>-6646000</x:v>
      </x:c>
    </x:row>
    <x:row r="79" ht="25" customHeight="1">
      <x:c r="A79" s="18" t="str">
        <x:v>夜間26場</x:v>
      </x:c>
      <x:c r="B79" s="18" t="str">
        <x:v>H20</x:v>
      </x:c>
      <x:c r="C79" s="19" t="str"/>
      <x:c r="D79" s="6" t="n">
        <x:f>SUM('日経_H20'!C7,'日経_H20'!C9,'日経_H20'!C11,'日経_H20'!C13,'日経_H20'!C15,'日経_H20'!C17,'日経_H20'!C19,'日経_H20'!C21,'日経_H20'!C23,'日経_H20'!C25,'日経_H20'!C27,'日経_H20'!C29,'日経_H20'!C31,'日経_H20'!C33,'日経_H20'!C35,'日経_H20'!C37,'日経_H20'!C39,'日経_H20'!C41,'日経_H20'!C43,'日経_H20'!C45,'日経_H20'!C47,'日経_H20'!C49,'日経_H20'!C51,'日経_H20'!C53,'日経_H20'!C55,'日経_H20'!C57)</x:f>
        <x:v>20766000</x:v>
      </x:c>
      <x:c r="E79" s="6" t="n">
        <x:f>SUM('日経_H20'!D7,'日経_H20'!D9,'日経_H20'!D11,'日経_H20'!D13,'日経_H20'!D15,'日経_H20'!D17,'日経_H20'!D19,'日経_H20'!D21,'日経_H20'!D23,'日経_H20'!D25,'日経_H20'!D27,'日経_H20'!D29,'日経_H20'!D31,'日経_H20'!D33,'日経_H20'!D35,'日経_H20'!D37,'日経_H20'!D39,'日経_H20'!D41,'日経_H20'!D43,'日経_H20'!D45,'日経_H20'!D47,'日経_H20'!D49,'日経_H20'!D51,'日経_H20'!D53,'日経_H20'!D55,'日経_H20'!D57)</x:f>
        <x:v>29257000</x:v>
      </x:c>
      <x:c r="F79" s="6" t="n">
        <x:f>D79-E79</x:f>
        <x:v>-8491000</x:v>
      </x:c>
      <x:c r="G79" s="11" t="n">
        <x:v>23</x:v>
      </x:c>
      <x:c r="H79" s="11" t="n">
        <x:v>0</x:v>
      </x:c>
      <x:c r="I79" s="6" t="n">
        <x:v>378956.52173913043</x:v>
      </x:c>
      <x:c r="J79" s="6" t="n">
        <x:v>1354000</x:v>
      </x:c>
      <x:c r="K79" s="6" t="n">
        <x:v>-1384000</x:v>
      </x:c>
      <x:c r="L79" s="6" t="n">
        <x:v>1394000</x:v>
      </x:c>
      <x:c r="M79" s="6" t="n">
        <x:v>-8716000</x:v>
      </x:c>
    </x:row>
    <x:row r="80" ht="25" customHeight="1">
      <x:c r="A80" s="18" t="str">
        <x:v>夜間26場</x:v>
      </x:c>
      <x:c r="B80" s="18" t="str">
        <x:v>H21</x:v>
      </x:c>
      <x:c r="C80" s="19" t="str"/>
      <x:c r="D80" s="6" t="n">
        <x:f>SUM('日経_H21'!C7,'日経_H21'!C9,'日経_H21'!C11,'日経_H21'!C13,'日経_H21'!C15,'日経_H21'!C17,'日経_H21'!C19,'日経_H21'!C21,'日経_H21'!C23,'日経_H21'!C25,'日経_H21'!C27,'日経_H21'!C29,'日経_H21'!C31,'日経_H21'!C33,'日経_H21'!C35,'日経_H21'!C37,'日経_H21'!C39,'日経_H21'!C41,'日経_H21'!C43,'日経_H21'!C45,'日経_H21'!C47,'日経_H21'!C49,'日経_H21'!C51,'日経_H21'!C53,'日経_H21'!C55,'日経_H21'!C57)</x:f>
        <x:v>20075000</x:v>
      </x:c>
      <x:c r="E80" s="6" t="n">
        <x:f>SUM('日経_H21'!D7,'日経_H21'!D9,'日経_H21'!D11,'日経_H21'!D13,'日経_H21'!D15,'日経_H21'!D17,'日経_H21'!D19,'日経_H21'!D21,'日経_H21'!D23,'日経_H21'!D25,'日経_H21'!D27,'日経_H21'!D29,'日経_H21'!D31,'日経_H21'!D33,'日経_H21'!D35,'日経_H21'!D37,'日経_H21'!D39,'日経_H21'!D41,'日経_H21'!D43,'日経_H21'!D45,'日経_H21'!D47,'日経_H21'!D49,'日経_H21'!D51,'日経_H21'!D53,'日経_H21'!D55,'日経_H21'!D57)</x:f>
        <x:v>28068000</x:v>
      </x:c>
      <x:c r="F80" s="6" t="n">
        <x:f>D80-E80</x:f>
        <x:v>-7993000</x:v>
      </x:c>
      <x:c r="G80" s="11" t="n">
        <x:v>26</x:v>
      </x:c>
      <x:c r="H80" s="11" t="n">
        <x:v>0</x:v>
      </x:c>
      <x:c r="I80" s="6" t="n">
        <x:v>307423.07692307694</x:v>
      </x:c>
      <x:c r="J80" s="6" t="n">
        <x:v>814000</x:v>
      </x:c>
      <x:c r="K80" s="6" t="n">
        <x:v>-844000</x:v>
      </x:c>
      <x:c r="L80" s="6" t="n">
        <x:v>914000</x:v>
      </x:c>
      <x:c r="M80" s="6" t="n">
        <x:v>-7993000</x:v>
      </x:c>
    </x:row>
    <x:row r="81" ht="25" customHeight="1">
      <x:c r="A81" s="18" t="str">
        <x:v>夜間26場</x:v>
      </x:c>
      <x:c r="B81" s="18" t="str">
        <x:v>H22</x:v>
      </x:c>
      <x:c r="C81" s="19" t="str"/>
      <x:c r="D81" s="6" t="n">
        <x:f>SUM('日経_H22'!C7,'日経_H22'!C9,'日経_H22'!C11,'日経_H22'!C13,'日経_H22'!C15,'日経_H22'!C17,'日経_H22'!C19,'日経_H22'!C21,'日経_H22'!C23,'日経_H22'!C25,'日経_H22'!C27,'日経_H22'!C29,'日経_H22'!C31,'日経_H22'!C33,'日経_H22'!C35,'日経_H22'!C37,'日経_H22'!C39,'日経_H22'!C41,'日経_H22'!C43,'日経_H22'!C45,'日経_H22'!C47,'日経_H22'!C49,'日経_H22'!C51,'日経_H22'!C53,'日経_H22'!C55,'日経_H22'!C57)</x:f>
        <x:v>20012000</x:v>
      </x:c>
      <x:c r="E81" s="6" t="n">
        <x:f>SUM('日経_H22'!D7,'日経_H22'!D9,'日経_H22'!D11,'日経_H22'!D13,'日経_H22'!D15,'日経_H22'!D17,'日経_H22'!D19,'日経_H22'!D21,'日経_H22'!D23,'日経_H22'!D25,'日経_H22'!D27,'日経_H22'!D29,'日経_H22'!D31,'日経_H22'!D33,'日経_H22'!D35,'日経_H22'!D37,'日経_H22'!D39,'日経_H22'!D41,'日経_H22'!D43,'日経_H22'!D45,'日経_H22'!D47,'日経_H22'!D49,'日経_H22'!D51,'日経_H22'!D53,'日経_H22'!D55,'日経_H22'!D57)</x:f>
        <x:v>27170000</x:v>
      </x:c>
      <x:c r="F81" s="6" t="n">
        <x:f>D81-E81</x:f>
        <x:v>-7158000</x:v>
      </x:c>
      <x:c r="G81" s="11" t="n">
        <x:v>23</x:v>
      </x:c>
      <x:c r="H81" s="11" t="n">
        <x:v>0</x:v>
      </x:c>
      <x:c r="I81" s="6" t="n">
        <x:v>319695.652173913</x:v>
      </x:c>
      <x:c r="J81" s="6" t="n">
        <x:v>1111000</x:v>
      </x:c>
      <x:c r="K81" s="6" t="n">
        <x:v>-1141000</x:v>
      </x:c>
      <x:c r="L81" s="6" t="n">
        <x:v>1151000</x:v>
      </x:c>
      <x:c r="M81" s="6" t="n">
        <x:v>-7353000</x:v>
      </x:c>
    </x:row>
    <x:row r="82" ht="25" customHeight="1">
      <x:c r="A82" s="18" t="str">
        <x:v>夜間26場</x:v>
      </x:c>
      <x:c r="B82" s="18" t="str">
        <x:v>H23</x:v>
      </x:c>
      <x:c r="C82" s="19" t="str"/>
      <x:c r="D82" s="6" t="n">
        <x:f>SUM('日経_H23'!C7,'日経_H23'!C9,'日経_H23'!C11,'日経_H23'!C13,'日経_H23'!C15,'日経_H23'!C17,'日経_H23'!C19,'日経_H23'!C21,'日経_H23'!C23,'日経_H23'!C25,'日経_H23'!C27,'日経_H23'!C29,'日経_H23'!C31,'日経_H23'!C33,'日経_H23'!C35,'日経_H23'!C37,'日経_H23'!C39,'日経_H23'!C41,'日経_H23'!C43,'日経_H23'!C45,'日経_H23'!C47,'日経_H23'!C49,'日経_H23'!C51,'日経_H23'!C53,'日経_H23'!C55,'日経_H23'!C57)</x:f>
        <x:v>20499000</x:v>
      </x:c>
      <x:c r="E82" s="6" t="n">
        <x:f>SUM('日経_H23'!D7,'日経_H23'!D9,'日経_H23'!D11,'日経_H23'!D13,'日経_H23'!D15,'日経_H23'!D17,'日経_H23'!D19,'日経_H23'!D21,'日経_H23'!D23,'日経_H23'!D25,'日経_H23'!D27,'日経_H23'!D29,'日経_H23'!D31,'日経_H23'!D33,'日経_H23'!D35,'日経_H23'!D37,'日経_H23'!D39,'日経_H23'!D41,'日経_H23'!D43,'日経_H23'!D45,'日経_H23'!D47,'日経_H23'!D49,'日経_H23'!D51,'日経_H23'!D53,'日経_H23'!D55,'日経_H23'!D57)</x:f>
        <x:v>26951000</x:v>
      </x:c>
      <x:c r="F82" s="6" t="n">
        <x:f>D82-E82</x:f>
        <x:v>-6452000</x:v>
      </x:c>
      <x:c r="G82" s="11" t="n">
        <x:v>22</x:v>
      </x:c>
      <x:c r="H82" s="11" t="n">
        <x:v>0</x:v>
      </x:c>
      <x:c r="I82" s="6" t="n">
        <x:v>296045.45454545453</x:v>
      </x:c>
      <x:c r="J82" s="6" t="n">
        <x:v>797000</x:v>
      </x:c>
      <x:c r="K82" s="6" t="n">
        <x:v>-827000</x:v>
      </x:c>
      <x:c r="L82" s="6" t="n">
        <x:v>837000</x:v>
      </x:c>
      <x:c r="M82" s="6" t="n">
        <x:v>-6513000</x:v>
      </x:c>
    </x:row>
    <x:row r="83" ht="25" customHeight="1">
      <x:c r="A83" s="18" t="str">
        <x:v>夜間26場</x:v>
      </x:c>
      <x:c r="B83" s="18" t="str">
        <x:v>H24</x:v>
      </x:c>
      <x:c r="C83" s="19" t="str"/>
      <x:c r="D83" s="6" t="n">
        <x:f>SUM('日経_H24'!C7,'日経_H24'!C9,'日経_H24'!C11,'日経_H24'!C13,'日経_H24'!C15,'日経_H24'!C17,'日経_H24'!C19,'日経_H24'!C21,'日経_H24'!C23,'日経_H24'!C25,'日経_H24'!C27,'日経_H24'!C29,'日経_H24'!C31,'日経_H24'!C33,'日経_H24'!C35,'日経_H24'!C37,'日経_H24'!C39,'日経_H24'!C41,'日経_H24'!C43,'日経_H24'!C45,'日経_H24'!C47,'日経_H24'!C49,'日経_H24'!C51,'日経_H24'!C53,'日経_H24'!C55,'日経_H24'!C57)</x:f>
        <x:v>20603000</x:v>
      </x:c>
      <x:c r="E83" s="6" t="n">
        <x:f>SUM('日経_H24'!D7,'日経_H24'!D9,'日経_H24'!D11,'日経_H24'!D13,'日経_H24'!D15,'日経_H24'!D17,'日経_H24'!D19,'日経_H24'!D21,'日経_H24'!D23,'日経_H24'!D25,'日経_H24'!D27,'日経_H24'!D29,'日経_H24'!D31,'日経_H24'!D33,'日経_H24'!D35,'日経_H24'!D37,'日経_H24'!D39,'日経_H24'!D41,'日経_H24'!D43,'日経_H24'!D45,'日経_H24'!D47,'日経_H24'!D49,'日経_H24'!D51,'日経_H24'!D53,'日経_H24'!D55,'日経_H24'!D57)</x:f>
        <x:v>27594000</x:v>
      </x:c>
      <x:c r="F83" s="6" t="n">
        <x:f>D83-E83</x:f>
        <x:v>-6991000</x:v>
      </x:c>
      <x:c r="G83" s="11" t="n">
        <x:v>22</x:v>
      </x:c>
      <x:c r="H83" s="11" t="n">
        <x:v>0</x:v>
      </x:c>
      <x:c r="I83" s="6" t="n">
        <x:v>328909.0909090909</x:v>
      </x:c>
      <x:c r="J83" s="6" t="n">
        <x:v>1209000</x:v>
      </x:c>
      <x:c r="K83" s="6" t="n">
        <x:v>-1229000</x:v>
      </x:c>
      <x:c r="L83" s="6" t="n">
        <x:v>1239000</x:v>
      </x:c>
      <x:c r="M83" s="6" t="n">
        <x:v>-7224000</x:v>
      </x:c>
    </x:row>
    <x:row r="84" ht="25" customHeight="1">
      <x:c r="A84" s="18" t="str">
        <x:v>後半13場</x:v>
      </x:c>
      <x:c r="B84" s="18" t="str">
        <x:v>S00</x:v>
      </x:c>
      <x:c r="C84" s="19" t="str"/>
      <x:c r="D84" s="6" t="n">
        <x:f>SUM('日経_S00'!C46,'日経_S00'!C47,'日経_S00'!C48,'日経_S00'!C49,'日経_S00'!C50,'日経_S00'!C51,'日経_S00'!C52,'日経_S00'!C53,'日経_S00'!C54,'日経_S00'!C55,'日経_S00'!C56,'日経_S00'!C57,'日経_S00'!C58)</x:f>
        <x:v>15630000</x:v>
      </x:c>
      <x:c r="E84" s="6" t="n">
        <x:f>SUM('日経_S00'!D46,'日経_S00'!D47,'日経_S00'!D48,'日経_S00'!D49,'日経_S00'!D50,'日経_S00'!D51,'日経_S00'!D52,'日経_S00'!D53,'日経_S00'!D54,'日経_S00'!D55,'日経_S00'!D56,'日経_S00'!D57,'日経_S00'!D58)</x:f>
        <x:v>26420000</x:v>
      </x:c>
      <x:c r="F84" s="6" t="n">
        <x:f>D84-E84</x:f>
        <x:v>-10790000</x:v>
      </x:c>
      <x:c r="G84" s="11" t="n">
        <x:v>12</x:v>
      </x:c>
      <x:c r="H84" s="11" t="n">
        <x:v>0</x:v>
      </x:c>
      <x:c r="I84" s="6" t="n">
        <x:v>904166.6666666666</x:v>
      </x:c>
      <x:c r="J84" s="6" t="n">
        <x:v>1730000</x:v>
      </x:c>
      <x:c r="K84" s="6" t="n">
        <x:v>-1820000</x:v>
      </x:c>
      <x:c r="L84" s="6" t="n">
        <x:v>1890000</x:v>
      </x:c>
      <x:c r="M84" s="6" t="n">
        <x:v>-10850000</x:v>
      </x:c>
    </x:row>
    <x:row r="85" ht="25" customHeight="1">
      <x:c r="A85" s="18" t="str">
        <x:v>後半13場</x:v>
      </x:c>
      <x:c r="B85" s="18" t="str">
        <x:v>N00</x:v>
      </x:c>
      <x:c r="C85" s="19" t="str"/>
      <x:c r="D85" s="6" t="n">
        <x:f>SUM('日経_N00'!C46,'日経_N00'!C47,'日経_N00'!C48,'日経_N00'!C49,'日経_N00'!C50,'日経_N00'!C51,'日経_N00'!C52,'日経_N00'!C53,'日経_N00'!C54,'日経_N00'!C55,'日経_N00'!C56,'日経_N00'!C57,'日経_N00'!C58)</x:f>
        <x:v>8840000</x:v>
      </x:c>
      <x:c r="E85" s="6" t="n">
        <x:f>SUM('日経_N00'!D46,'日経_N00'!D47,'日経_N00'!D48,'日経_N00'!D49,'日経_N00'!D50,'日経_N00'!D51,'日経_N00'!D52,'日経_N00'!D53,'日経_N00'!D54,'日経_N00'!D55,'日経_N00'!D56,'日経_N00'!D57,'日経_N00'!D58)</x:f>
        <x:v>10620000</x:v>
      </x:c>
      <x:c r="F85" s="6" t="n">
        <x:f>D85-E85</x:f>
        <x:v>-1780000</x:v>
      </x:c>
      <x:c r="G85" s="11" t="n">
        <x:v>9</x:v>
      </x:c>
      <x:c r="H85" s="11" t="n">
        <x:v>0</x:v>
      </x:c>
      <x:c r="I85" s="6" t="n">
        <x:v>346666.6666666667</x:v>
      </x:c>
      <x:c r="J85" s="6" t="n">
        <x:v>1170000</x:v>
      </x:c>
      <x:c r="K85" s="6" t="n">
        <x:v>-1410000</x:v>
      </x:c>
      <x:c r="L85" s="6" t="n">
        <x:v>1550000</x:v>
      </x:c>
      <x:c r="M85" s="6" t="n">
        <x:v>-3110000</x:v>
      </x:c>
    </x:row>
    <x:row r="86" ht="25" customHeight="1">
      <x:c r="A86" s="18" t="str">
        <x:v>後半13場</x:v>
      </x:c>
      <x:c r="B86" s="18" t="str">
        <x:v>H01</x:v>
      </x:c>
      <x:c r="C86" s="19" t="str">
        <x:v>前40場選択</x:v>
      </x:c>
      <x:c r="D86" s="6" t="n">
        <x:f>SUM('日経_H01'!C46,'日経_H01'!C47,'日経_H01'!C48,'日経_H01'!C49,'日経_H01'!C50,'日経_H01'!C51,'日経_H01'!C52,'日経_H01'!C53,'日経_H01'!C54,'日経_H01'!C55,'日経_H01'!C56,'日経_H01'!C57,'日経_H01'!C58)</x:f>
        <x:v>10305000</x:v>
      </x:c>
      <x:c r="E86" s="6" t="n">
        <x:f>SUM('日経_H01'!D46,'日経_H01'!D47,'日経_H01'!D48,'日経_H01'!D49,'日経_H01'!D50,'日経_H01'!D51,'日経_H01'!D52,'日経_H01'!D53,'日経_H01'!D54,'日経_H01'!D55,'日経_H01'!D56,'日経_H01'!D57,'日経_H01'!D58)</x:f>
        <x:v>13608000</x:v>
      </x:c>
      <x:c r="F86" s="6" t="n">
        <x:f>D86-E86</x:f>
        <x:v>-3303000</x:v>
      </x:c>
      <x:c r="G86" s="11" t="n">
        <x:v>12</x:v>
      </x:c>
      <x:c r="H86" s="11" t="n">
        <x:v>0</x:v>
      </x:c>
      <x:c r="I86" s="6" t="n">
        <x:v>299666.6666666667</x:v>
      </x:c>
      <x:c r="J86" s="6" t="n">
        <x:v>1216000</x:v>
      </x:c>
      <x:c r="K86" s="6" t="n">
        <x:v>-1456000</x:v>
      </x:c>
      <x:c r="L86" s="6" t="n">
        <x:v>1506000</x:v>
      </x:c>
      <x:c r="M86" s="6" t="n">
        <x:v>-3596000</x:v>
      </x:c>
    </x:row>
    <x:row r="87" ht="25" customHeight="1">
      <x:c r="A87" s="18" t="str">
        <x:v>後半13場</x:v>
      </x:c>
      <x:c r="B87" s="18" t="str">
        <x:v>H09</x:v>
      </x:c>
      <x:c r="C87" s="19" t="str">
        <x:v>前40場選択</x:v>
      </x:c>
      <x:c r="D87" s="6" t="n">
        <x:f>SUM('日経_H09'!C46,'日経_H09'!C47,'日経_H09'!C48,'日経_H09'!C49,'日経_H09'!C50,'日経_H09'!C51,'日経_H09'!C52,'日経_H09'!C53,'日経_H09'!C54,'日経_H09'!C55,'日経_H09'!C56,'日経_H09'!C57,'日経_H09'!C58)</x:f>
        <x:v>9708000</x:v>
      </x:c>
      <x:c r="E87" s="6" t="n">
        <x:f>SUM('日経_H09'!D46,'日経_H09'!D47,'日経_H09'!D48,'日経_H09'!D49,'日経_H09'!D50,'日経_H09'!D51,'日経_H09'!D52,'日経_H09'!D53,'日経_H09'!D54,'日経_H09'!D55,'日経_H09'!D56,'日経_H09'!D57,'日経_H09'!D58)</x:f>
        <x:v>12288000</x:v>
      </x:c>
      <x:c r="F87" s="6" t="n">
        <x:f>D87-E87</x:f>
        <x:v>-2580000</x:v>
      </x:c>
      <x:c r="G87" s="11" t="n">
        <x:v>10</x:v>
      </x:c>
      <x:c r="H87" s="11" t="n">
        <x:v>0</x:v>
      </x:c>
      <x:c r="I87" s="6" t="n">
        <x:v>320000</x:v>
      </x:c>
      <x:c r="J87" s="6" t="n">
        <x:v>1152000</x:v>
      </x:c>
      <x:c r="K87" s="6" t="n">
        <x:v>-1392000</x:v>
      </x:c>
      <x:c r="L87" s="6" t="n">
        <x:v>1489000</x:v>
      </x:c>
      <x:c r="M87" s="6" t="n">
        <x:v>-3200000</x:v>
      </x:c>
    </x:row>
    <x:row r="88" ht="25" customHeight="1">
      <x:c r="A88" s="18" t="str">
        <x:v>後半13場</x:v>
      </x:c>
      <x:c r="B88" s="18" t="str">
        <x:v>H05</x:v>
      </x:c>
      <x:c r="C88" s="19" t="str">
        <x:v>前40場選択</x:v>
      </x:c>
      <x:c r="D88" s="6" t="n">
        <x:f>SUM('日経_H05'!C46,'日経_H05'!C47,'日経_H05'!C48,'日経_H05'!C49,'日経_H05'!C50,'日経_H05'!C51,'日経_H05'!C52,'日経_H05'!C53,'日経_H05'!C54,'日経_H05'!C55,'日経_H05'!C56,'日経_H05'!C57,'日経_H05'!C58)</x:f>
        <x:v>10005000</x:v>
      </x:c>
      <x:c r="E88" s="6" t="n">
        <x:f>SUM('日経_H05'!D46,'日経_H05'!D47,'日経_H05'!D48,'日経_H05'!D49,'日経_H05'!D50,'日経_H05'!D51,'日経_H05'!D52,'日経_H05'!D53,'日経_H05'!D54,'日経_H05'!D55,'日経_H05'!D56,'日経_H05'!D57,'日経_H05'!D58)</x:f>
        <x:v>13292000</x:v>
      </x:c>
      <x:c r="F88" s="6" t="n">
        <x:f>D88-E88</x:f>
        <x:v>-3287000</x:v>
      </x:c>
      <x:c r="G88" s="11" t="n">
        <x:v>11</x:v>
      </x:c>
      <x:c r="H88" s="11" t="n">
        <x:v>0</x:v>
      </x:c>
      <x:c r="I88" s="6" t="n">
        <x:v>330181.8181818182</x:v>
      </x:c>
      <x:c r="J88" s="6" t="n">
        <x:v>1162000</x:v>
      </x:c>
      <x:c r="K88" s="6" t="n">
        <x:v>-1402000</x:v>
      </x:c>
      <x:c r="L88" s="6" t="n">
        <x:v>1467000</x:v>
      </x:c>
      <x:c r="M88" s="6" t="n">
        <x:v>-3632000</x:v>
      </x:c>
    </x:row>
    <x:row r="89" ht="25" customHeight="1">
      <x:c r="A89" s="18" t="str">
        <x:v>後半13場</x:v>
      </x:c>
      <x:c r="B89" s="18" t="str">
        <x:v>H02</x:v>
      </x:c>
      <x:c r="C89" s="19" t="str"/>
      <x:c r="D89" s="6" t="n">
        <x:f>SUM('日経_H02'!C46,'日経_H02'!C47,'日経_H02'!C48,'日経_H02'!C49,'日経_H02'!C50,'日経_H02'!C51,'日経_H02'!C52,'日経_H02'!C53,'日経_H02'!C54,'日経_H02'!C55,'日経_H02'!C56,'日経_H02'!C57,'日経_H02'!C58)</x:f>
        <x:v>11395000</x:v>
      </x:c>
      <x:c r="E89" s="6" t="n">
        <x:f>SUM('日経_H02'!D46,'日経_H02'!D47,'日経_H02'!D48,'日経_H02'!D49,'日経_H02'!D50,'日経_H02'!D51,'日経_H02'!D52,'日経_H02'!D53,'日経_H02'!D54,'日経_H02'!D55,'日経_H02'!D56,'日経_H02'!D57,'日経_H02'!D58)</x:f>
        <x:v>18030000</x:v>
      </x:c>
      <x:c r="F89" s="6" t="n">
        <x:f>D89-E89</x:f>
        <x:v>-6635000</x:v>
      </x:c>
      <x:c r="G89" s="11" t="n">
        <x:v>13</x:v>
      </x:c>
      <x:c r="H89" s="11" t="n">
        <x:v>0</x:v>
      </x:c>
      <x:c r="I89" s="6" t="n">
        <x:v>510384.6153846154</x:v>
      </x:c>
      <x:c r="J89" s="6" t="n">
        <x:v>1209000</x:v>
      </x:c>
      <x:c r="K89" s="6" t="n">
        <x:v>-1269000</x:v>
      </x:c>
      <x:c r="L89" s="6" t="n">
        <x:v>1299000</x:v>
      </x:c>
      <x:c r="M89" s="6" t="n">
        <x:v>-6635000</x:v>
      </x:c>
    </x:row>
    <x:row r="90" ht="25" customHeight="1">
      <x:c r="A90" s="18" t="str">
        <x:v>後半13場</x:v>
      </x:c>
      <x:c r="B90" s="18" t="str">
        <x:v>H03</x:v>
      </x:c>
      <x:c r="C90" s="19" t="str"/>
      <x:c r="D90" s="6" t="n">
        <x:f>SUM('日経_H03'!C46,'日経_H03'!C47,'日経_H03'!C48,'日経_H03'!C49,'日経_H03'!C50,'日経_H03'!C51,'日経_H03'!C52,'日経_H03'!C53,'日経_H03'!C54,'日経_H03'!C55,'日経_H03'!C56,'日経_H03'!C57,'日経_H03'!C58)</x:f>
        <x:v>10965000</x:v>
      </x:c>
      <x:c r="E90" s="6" t="n">
        <x:f>SUM('日経_H03'!D46,'日経_H03'!D47,'日経_H03'!D48,'日経_H03'!D49,'日経_H03'!D50,'日経_H03'!D51,'日経_H03'!D52,'日経_H03'!D53,'日経_H03'!D54,'日経_H03'!D55,'日経_H03'!D56,'日経_H03'!D57,'日経_H03'!D58)</x:f>
        <x:v>13843000</x:v>
      </x:c>
      <x:c r="F90" s="6" t="n">
        <x:f>D90-E90</x:f>
        <x:v>-2878000</x:v>
      </x:c>
      <x:c r="G90" s="11" t="n">
        <x:v>11</x:v>
      </x:c>
      <x:c r="H90" s="11" t="n">
        <x:v>0</x:v>
      </x:c>
      <x:c r="I90" s="6" t="n">
        <x:v>296090.9090909091</x:v>
      </x:c>
      <x:c r="J90" s="6" t="n">
        <x:v>1167000</x:v>
      </x:c>
      <x:c r="K90" s="6" t="n">
        <x:v>-1407000</x:v>
      </x:c>
      <x:c r="L90" s="6" t="n">
        <x:v>1457000</x:v>
      </x:c>
      <x:c r="M90" s="6" t="n">
        <x:v>-3257000</x:v>
      </x:c>
    </x:row>
    <x:row r="91" ht="25" customHeight="1">
      <x:c r="A91" s="18" t="str">
        <x:v>後半13場</x:v>
      </x:c>
      <x:c r="B91" s="18" t="str">
        <x:v>H04</x:v>
      </x:c>
      <x:c r="C91" s="19" t="str"/>
      <x:c r="D91" s="6" t="n">
        <x:f>SUM('日経_H04'!C46,'日経_H04'!C47,'日経_H04'!C48,'日経_H04'!C49,'日経_H04'!C50,'日経_H04'!C51,'日経_H04'!C52,'日経_H04'!C53,'日経_H04'!C54,'日経_H04'!C55,'日経_H04'!C56,'日経_H04'!C57,'日経_H04'!C58)</x:f>
        <x:v>13063000</x:v>
      </x:c>
      <x:c r="E91" s="6" t="n">
        <x:f>SUM('日経_H04'!D46,'日経_H04'!D47,'日経_H04'!D48,'日経_H04'!D49,'日経_H04'!D50,'日経_H04'!D51,'日経_H04'!D52,'日経_H04'!D53,'日経_H04'!D54,'日経_H04'!D55,'日経_H04'!D56,'日経_H04'!D57,'日経_H04'!D58)</x:f>
        <x:v>17529000</x:v>
      </x:c>
      <x:c r="F91" s="6" t="n">
        <x:f>D91-E91</x:f>
        <x:v>-4466000</x:v>
      </x:c>
      <x:c r="G91" s="11" t="n">
        <x:v>13</x:v>
      </x:c>
      <x:c r="H91" s="11" t="n">
        <x:v>0</x:v>
      </x:c>
      <x:c r="I91" s="6" t="n">
        <x:v>343538.46153846156</x:v>
      </x:c>
      <x:c r="J91" s="6" t="n">
        <x:v>1039000</x:v>
      </x:c>
      <x:c r="K91" s="6" t="n">
        <x:v>-1069000</x:v>
      </x:c>
      <x:c r="L91" s="6" t="n">
        <x:v>1119000</x:v>
      </x:c>
      <x:c r="M91" s="6" t="n">
        <x:v>-4466000</x:v>
      </x:c>
    </x:row>
    <x:row r="92" ht="25" customHeight="1">
      <x:c r="A92" s="18" t="str">
        <x:v>後半13場</x:v>
      </x:c>
      <x:c r="B92" s="18" t="str">
        <x:v>H06</x:v>
      </x:c>
      <x:c r="C92" s="19" t="str"/>
      <x:c r="D92" s="6" t="n">
        <x:f>SUM('日経_H06'!C46,'日経_H06'!C47,'日経_H06'!C48,'日経_H06'!C49,'日経_H06'!C50,'日経_H06'!C51,'日経_H06'!C52,'日経_H06'!C53,'日経_H06'!C54,'日経_H06'!C55,'日経_H06'!C56,'日経_H06'!C57,'日経_H06'!C58)</x:f>
        <x:v>10388000</x:v>
      </x:c>
      <x:c r="E92" s="6" t="n">
        <x:f>SUM('日経_H06'!D46,'日経_H06'!D47,'日経_H06'!D48,'日経_H06'!D49,'日経_H06'!D50,'日経_H06'!D51,'日経_H06'!D52,'日経_H06'!D53,'日経_H06'!D54,'日経_H06'!D55,'日経_H06'!D56,'日経_H06'!D57,'日経_H06'!D58)</x:f>
        <x:v>15572000</x:v>
      </x:c>
      <x:c r="F92" s="6" t="n">
        <x:f>D92-E92</x:f>
        <x:v>-5184000</x:v>
      </x:c>
      <x:c r="G92" s="11" t="n">
        <x:v>12</x:v>
      </x:c>
      <x:c r="H92" s="11" t="n">
        <x:v>0</x:v>
      </x:c>
      <x:c r="I92" s="6" t="n">
        <x:v>476166.6666666667</x:v>
      </x:c>
      <x:c r="J92" s="6" t="n">
        <x:v>1168000</x:v>
      </x:c>
      <x:c r="K92" s="6" t="n">
        <x:v>-1198000</x:v>
      </x:c>
      <x:c r="L92" s="6" t="n">
        <x:v>1357000</x:v>
      </x:c>
      <x:c r="M92" s="6" t="n">
        <x:v>-5714000</x:v>
      </x:c>
    </x:row>
    <x:row r="93" ht="25" customHeight="1">
      <x:c r="A93" s="18" t="str">
        <x:v>後半13場</x:v>
      </x:c>
      <x:c r="B93" s="18" t="str">
        <x:v>H07</x:v>
      </x:c>
      <x:c r="C93" s="19" t="str"/>
      <x:c r="D93" s="6" t="n">
        <x:f>SUM('日経_H07'!C46,'日経_H07'!C47,'日経_H07'!C48,'日経_H07'!C49,'日経_H07'!C50,'日経_H07'!C51,'日経_H07'!C52,'日経_H07'!C53,'日経_H07'!C54,'日経_H07'!C55,'日経_H07'!C56,'日経_H07'!C57,'日経_H07'!C58)</x:f>
        <x:v>10610000</x:v>
      </x:c>
      <x:c r="E93" s="6" t="n">
        <x:f>SUM('日経_H07'!D46,'日経_H07'!D47,'日経_H07'!D48,'日経_H07'!D49,'日経_H07'!D50,'日経_H07'!D51,'日経_H07'!D52,'日経_H07'!D53,'日経_H07'!D54,'日経_H07'!D55,'日経_H07'!D56,'日経_H07'!D57,'日経_H07'!D58)</x:f>
        <x:v>13407000</x:v>
      </x:c>
      <x:c r="F93" s="6" t="n">
        <x:f>D93-E93</x:f>
        <x:v>-2797000</x:v>
      </x:c>
      <x:c r="G93" s="11" t="n">
        <x:v>11</x:v>
      </x:c>
      <x:c r="H93" s="11" t="n">
        <x:v>0</x:v>
      </x:c>
      <x:c r="I93" s="6" t="n">
        <x:v>295727.2727272727</x:v>
      </x:c>
      <x:c r="J93" s="6" t="n">
        <x:v>1113000</x:v>
      </x:c>
      <x:c r="K93" s="6" t="n">
        <x:v>-1353000</x:v>
      </x:c>
      <x:c r="L93" s="6" t="n">
        <x:v>1419000</x:v>
      </x:c>
      <x:c r="M93" s="6" t="n">
        <x:v>-3253000</x:v>
      </x:c>
    </x:row>
    <x:row r="94" ht="25" customHeight="1">
      <x:c r="A94" s="18" t="str">
        <x:v>後半13場</x:v>
      </x:c>
      <x:c r="B94" s="18" t="str">
        <x:v>H08</x:v>
      </x:c>
      <x:c r="C94" s="19" t="str"/>
      <x:c r="D94" s="6" t="n">
        <x:f>SUM('日経_H08'!C46,'日経_H08'!C47,'日経_H08'!C48,'日経_H08'!C49,'日経_H08'!C50,'日経_H08'!C51,'日経_H08'!C52,'日経_H08'!C53,'日経_H08'!C54,'日経_H08'!C55,'日経_H08'!C56,'日経_H08'!C57,'日経_H08'!C58)</x:f>
        <x:v>11723000</x:v>
      </x:c>
      <x:c r="E94" s="6" t="n">
        <x:f>SUM('日経_H08'!D46,'日経_H08'!D47,'日経_H08'!D48,'日経_H08'!D49,'日経_H08'!D50,'日経_H08'!D51,'日経_H08'!D52,'日経_H08'!D53,'日経_H08'!D54,'日経_H08'!D55,'日経_H08'!D56,'日経_H08'!D57,'日経_H08'!D58)</x:f>
        <x:v>15650000</x:v>
      </x:c>
      <x:c r="F94" s="6" t="n">
        <x:f>D94-E94</x:f>
        <x:v>-3927000</x:v>
      </x:c>
      <x:c r="G94" s="11" t="n">
        <x:v>12</x:v>
      </x:c>
      <x:c r="H94" s="11" t="n">
        <x:v>0</x:v>
      </x:c>
      <x:c r="I94" s="6" t="n">
        <x:v>381416.6666666667</x:v>
      </x:c>
      <x:c r="J94" s="6" t="n">
        <x:v>1155000</x:v>
      </x:c>
      <x:c r="K94" s="6" t="n">
        <x:v>-1185000</x:v>
      </x:c>
      <x:c r="L94" s="6" t="n">
        <x:v>1400000</x:v>
      </x:c>
      <x:c r="M94" s="6" t="n">
        <x:v>-4577000</x:v>
      </x:c>
    </x:row>
    <x:row r="95" ht="25" customHeight="1">
      <x:c r="A95" s="18" t="str">
        <x:v>後半13場</x:v>
      </x:c>
      <x:c r="B95" s="18" t="str">
        <x:v>H10</x:v>
      </x:c>
      <x:c r="C95" s="19" t="str"/>
      <x:c r="D95" s="6" t="n">
        <x:f>SUM('日経_H10'!C46,'日経_H10'!C47,'日経_H10'!C48,'日経_H10'!C49,'日経_H10'!C50,'日経_H10'!C51,'日経_H10'!C52,'日経_H10'!C53,'日経_H10'!C54,'日経_H10'!C55,'日経_H10'!C56,'日経_H10'!C57,'日経_H10'!C58)</x:f>
        <x:v>9588000</x:v>
      </x:c>
      <x:c r="E95" s="6" t="n">
        <x:f>SUM('日経_H10'!D46,'日経_H10'!D47,'日経_H10'!D48,'日経_H10'!D49,'日経_H10'!D50,'日経_H10'!D51,'日経_H10'!D52,'日経_H10'!D53,'日経_H10'!D54,'日経_H10'!D55,'日経_H10'!D56,'日経_H10'!D57,'日経_H10'!D58)</x:f>
        <x:v>12881000</x:v>
      </x:c>
      <x:c r="F95" s="6" t="n">
        <x:f>D95-E95</x:f>
        <x:v>-3293000</x:v>
      </x:c>
      <x:c r="G95" s="11" t="n">
        <x:v>11</x:v>
      </x:c>
      <x:c r="H95" s="11" t="n">
        <x:v>0</x:v>
      </x:c>
      <x:c r="I95" s="6" t="n">
        <x:v>367818.1818181818</x:v>
      </x:c>
      <x:c r="J95" s="6" t="n">
        <x:v>937000</x:v>
      </x:c>
      <x:c r="K95" s="6" t="n">
        <x:v>-1177000</x:v>
      </x:c>
      <x:c r="L95" s="6" t="n">
        <x:v>1292000</x:v>
      </x:c>
      <x:c r="M95" s="6" t="n">
        <x:v>-4046000</x:v>
      </x:c>
    </x:row>
    <x:row r="96" ht="25" customHeight="1">
      <x:c r="A96" s="18" t="str">
        <x:v>後半13場</x:v>
      </x:c>
      <x:c r="B96" s="18" t="str">
        <x:v>H11</x:v>
      </x:c>
      <x:c r="C96" s="19" t="str"/>
      <x:c r="D96" s="6" t="n">
        <x:f>SUM('日経_H11'!C46,'日経_H11'!C47,'日経_H11'!C48,'日経_H11'!C49,'日経_H11'!C50,'日経_H11'!C51,'日経_H11'!C52,'日経_H11'!C53,'日経_H11'!C54,'日経_H11'!C55,'日経_H11'!C56,'日経_H11'!C57,'日経_H11'!C58)</x:f>
        <x:v>10157000</x:v>
      </x:c>
      <x:c r="E96" s="6" t="n">
        <x:f>SUM('日経_H11'!D46,'日経_H11'!D47,'日経_H11'!D48,'日経_H11'!D49,'日経_H11'!D50,'日経_H11'!D51,'日経_H11'!D52,'日経_H11'!D53,'日経_H11'!D54,'日経_H11'!D55,'日経_H11'!D56,'日経_H11'!D57,'日経_H11'!D58)</x:f>
        <x:v>12578000</x:v>
      </x:c>
      <x:c r="F96" s="6" t="n">
        <x:f>D96-E96</x:f>
        <x:v>-2421000</x:v>
      </x:c>
      <x:c r="G96" s="11" t="n">
        <x:v>10</x:v>
      </x:c>
      <x:c r="H96" s="11" t="n">
        <x:v>0</x:v>
      </x:c>
      <x:c r="I96" s="6" t="n">
        <x:v>319600</x:v>
      </x:c>
      <x:c r="J96" s="6" t="n">
        <x:v>1098000</x:v>
      </x:c>
      <x:c r="K96" s="6" t="n">
        <x:v>-1338000</x:v>
      </x:c>
      <x:c r="L96" s="6" t="n">
        <x:v>1439000</x:v>
      </x:c>
      <x:c r="M96" s="6" t="n">
        <x:v>-3196000</x:v>
      </x:c>
    </x:row>
    <x:row r="97" ht="25" customHeight="1">
      <x:c r="A97" s="18" t="str">
        <x:v>後半13場</x:v>
      </x:c>
      <x:c r="B97" s="18" t="str">
        <x:v>H12</x:v>
      </x:c>
      <x:c r="C97" s="19" t="str"/>
      <x:c r="D97" s="6" t="n">
        <x:f>SUM('日経_H12'!C46,'日経_H12'!C47,'日経_H12'!C48,'日経_H12'!C49,'日経_H12'!C50,'日経_H12'!C51,'日経_H12'!C52,'日経_H12'!C53,'日経_H12'!C54,'日経_H12'!C55,'日経_H12'!C56,'日経_H12'!C57,'日経_H12'!C58)</x:f>
        <x:v>10114000</x:v>
      </x:c>
      <x:c r="E97" s="6" t="n">
        <x:f>SUM('日経_H12'!D46,'日経_H12'!D47,'日経_H12'!D48,'日経_H12'!D49,'日経_H12'!D50,'日経_H12'!D51,'日経_H12'!D52,'日経_H12'!D53,'日経_H12'!D54,'日経_H12'!D55,'日経_H12'!D56,'日経_H12'!D57,'日経_H12'!D58)</x:f>
        <x:v>12857000</x:v>
      </x:c>
      <x:c r="F97" s="6" t="n">
        <x:f>D97-E97</x:f>
        <x:v>-2743000</x:v>
      </x:c>
      <x:c r="G97" s="11" t="n">
        <x:v>11</x:v>
      </x:c>
      <x:c r="H97" s="11" t="n">
        <x:v>0</x:v>
      </x:c>
      <x:c r="I97" s="6" t="n">
        <x:v>305181.8181818182</x:v>
      </x:c>
      <x:c r="J97" s="6" t="n">
        <x:v>997000</x:v>
      </x:c>
      <x:c r="K97" s="6" t="n">
        <x:v>-1027000</x:v>
      </x:c>
      <x:c r="L97" s="6" t="n">
        <x:v>1146000</x:v>
      </x:c>
      <x:c r="M97" s="6" t="n">
        <x:v>-3357000</x:v>
      </x:c>
    </x:row>
    <x:row r="98" ht="25" customHeight="1">
      <x:c r="A98" s="18" t="str">
        <x:v>後半13場</x:v>
      </x:c>
      <x:c r="B98" s="18" t="str">
        <x:v>H13</x:v>
      </x:c>
      <x:c r="C98" s="19" t="str"/>
      <x:c r="D98" s="6" t="n">
        <x:f>SUM('日経_H13'!C46,'日経_H13'!C47,'日経_H13'!C48,'日経_H13'!C49,'日経_H13'!C50,'日経_H13'!C51,'日経_H13'!C52,'日経_H13'!C53,'日経_H13'!C54,'日経_H13'!C55,'日経_H13'!C56,'日経_H13'!C57,'日経_H13'!C58)</x:f>
        <x:v>9070000</x:v>
      </x:c>
      <x:c r="E98" s="6" t="n">
        <x:f>SUM('日経_H13'!D46,'日経_H13'!D47,'日経_H13'!D48,'日経_H13'!D49,'日経_H13'!D50,'日経_H13'!D51,'日経_H13'!D52,'日経_H13'!D53,'日経_H13'!D54,'日経_H13'!D55,'日経_H13'!D56,'日経_H13'!D57,'日経_H13'!D58)</x:f>
        <x:v>16489000</x:v>
      </x:c>
      <x:c r="F98" s="6" t="n">
        <x:f>D98-E98</x:f>
        <x:v>-7419000</x:v>
      </x:c>
      <x:c r="G98" s="11" t="n">
        <x:v>13</x:v>
      </x:c>
      <x:c r="H98" s="11" t="n">
        <x:v>0</x:v>
      </x:c>
      <x:c r="I98" s="6" t="n">
        <x:v>570692.3076923077</x:v>
      </x:c>
      <x:c r="J98" s="6" t="n">
        <x:v>1580000</x:v>
      </x:c>
      <x:c r="K98" s="6" t="n">
        <x:v>-1820000</x:v>
      </x:c>
      <x:c r="L98" s="6" t="n">
        <x:v>1875000</x:v>
      </x:c>
      <x:c r="M98" s="6" t="n">
        <x:v>-7419000</x:v>
      </x:c>
    </x:row>
    <x:row r="99" ht="25" customHeight="1">
      <x:c r="A99" s="18" t="str">
        <x:v>後半13場</x:v>
      </x:c>
      <x:c r="B99" s="18" t="str">
        <x:v>H14</x:v>
      </x:c>
      <x:c r="C99" s="19" t="str"/>
      <x:c r="D99" s="6" t="n">
        <x:f>SUM('日経_H14'!C46,'日経_H14'!C47,'日経_H14'!C48,'日経_H14'!C49,'日経_H14'!C50,'日経_H14'!C51,'日経_H14'!C52,'日経_H14'!C53,'日経_H14'!C54,'日経_H14'!C55,'日経_H14'!C56,'日経_H14'!C57,'日経_H14'!C58)</x:f>
        <x:v>9114000</x:v>
      </x:c>
      <x:c r="E99" s="6" t="n">
        <x:f>SUM('日経_H14'!D46,'日経_H14'!D47,'日経_H14'!D48,'日経_H14'!D49,'日経_H14'!D50,'日経_H14'!D51,'日経_H14'!D52,'日経_H14'!D53,'日経_H14'!D54,'日経_H14'!D55,'日経_H14'!D56,'日経_H14'!D57,'日経_H14'!D58)</x:f>
        <x:v>17898000</x:v>
      </x:c>
      <x:c r="F99" s="6" t="n">
        <x:f>D99-E99</x:f>
        <x:v>-8784000</x:v>
      </x:c>
      <x:c r="G99" s="11" t="n">
        <x:v>12</x:v>
      </x:c>
      <x:c r="H99" s="11" t="n">
        <x:v>0</x:v>
      </x:c>
      <x:c r="I99" s="6" t="n">
        <x:v>764750</x:v>
      </x:c>
      <x:c r="J99" s="6" t="n">
        <x:v>2438000</x:v>
      </x:c>
      <x:c r="K99" s="6" t="n">
        <x:v>-2678000</x:v>
      </x:c>
      <x:c r="L99" s="6" t="n">
        <x:v>2753000</x:v>
      </x:c>
      <x:c r="M99" s="6" t="n">
        <x:v>-9177000</x:v>
      </x:c>
    </x:row>
    <x:row r="100" ht="25" customHeight="1">
      <x:c r="A100" s="18" t="str">
        <x:v>後半13場</x:v>
      </x:c>
      <x:c r="B100" s="18" t="str">
        <x:v>H15</x:v>
      </x:c>
      <x:c r="C100" s="19" t="str"/>
      <x:c r="D100" s="6" t="n">
        <x:f>SUM('日経_H15'!C46,'日経_H15'!C47,'日経_H15'!C48,'日経_H15'!C49,'日経_H15'!C50,'日経_H15'!C51,'日経_H15'!C52,'日経_H15'!C53,'日経_H15'!C54,'日経_H15'!C55,'日経_H15'!C56,'日経_H15'!C57,'日経_H15'!C58)</x:f>
        <x:v>9650000</x:v>
      </x:c>
      <x:c r="E100" s="6" t="n">
        <x:f>SUM('日経_H15'!D46,'日経_H15'!D47,'日経_H15'!D48,'日経_H15'!D49,'日経_H15'!D50,'日経_H15'!D51,'日経_H15'!D52,'日経_H15'!D53,'日経_H15'!D54,'日経_H15'!D55,'日経_H15'!D56,'日経_H15'!D57,'日経_H15'!D58)</x:f>
        <x:v>15571000</x:v>
      </x:c>
      <x:c r="F100" s="6" t="n">
        <x:f>D100-E100</x:f>
        <x:v>-5921000</x:v>
      </x:c>
      <x:c r="G100" s="11" t="n">
        <x:v>12</x:v>
      </x:c>
      <x:c r="H100" s="11" t="n">
        <x:v>0</x:v>
      </x:c>
      <x:c r="I100" s="6" t="n">
        <x:v>494666.6666666667</x:v>
      </x:c>
      <x:c r="J100" s="6" t="n">
        <x:v>1414000</x:v>
      </x:c>
      <x:c r="K100" s="6" t="n">
        <x:v>-1654000</x:v>
      </x:c>
      <x:c r="L100" s="6" t="n">
        <x:v>1729000</x:v>
      </x:c>
      <x:c r="M100" s="6" t="n">
        <x:v>-5936000</x:v>
      </x:c>
    </x:row>
    <x:row r="101" ht="25" customHeight="1">
      <x:c r="A101" s="18" t="str">
        <x:v>後半13場</x:v>
      </x:c>
      <x:c r="B101" s="18" t="str">
        <x:v>H16</x:v>
      </x:c>
      <x:c r="C101" s="19" t="str"/>
      <x:c r="D101" s="6" t="n">
        <x:f>SUM('日経_H16'!C46,'日経_H16'!C47,'日経_H16'!C48,'日経_H16'!C49,'日経_H16'!C50,'日経_H16'!C51,'日経_H16'!C52,'日経_H16'!C53,'日経_H16'!C54,'日経_H16'!C55,'日経_H16'!C56,'日経_H16'!C57,'日経_H16'!C58)</x:f>
        <x:v>10323000</x:v>
      </x:c>
      <x:c r="E101" s="6" t="n">
        <x:f>SUM('日経_H16'!D46,'日経_H16'!D47,'日経_H16'!D48,'日経_H16'!D49,'日経_H16'!D50,'日経_H16'!D51,'日経_H16'!D52,'日経_H16'!D53,'日経_H16'!D54,'日経_H16'!D55,'日経_H16'!D56,'日経_H16'!D57,'日経_H16'!D58)</x:f>
        <x:v>19494000</x:v>
      </x:c>
      <x:c r="F101" s="6" t="n">
        <x:f>D101-E101</x:f>
        <x:v>-9171000</x:v>
      </x:c>
      <x:c r="G101" s="11" t="n">
        <x:v>12</x:v>
      </x:c>
      <x:c r="H101" s="11" t="n">
        <x:v>0</x:v>
      </x:c>
      <x:c r="I101" s="6" t="n">
        <x:v>792833.3333333334</x:v>
      </x:c>
      <x:c r="J101" s="6" t="n">
        <x:v>3028000</x:v>
      </x:c>
      <x:c r="K101" s="6" t="n">
        <x:v>-3258000</x:v>
      </x:c>
      <x:c r="L101" s="6" t="n">
        <x:v>3365000</x:v>
      </x:c>
      <x:c r="M101" s="6" t="n">
        <x:v>-9514000</x:v>
      </x:c>
    </x:row>
    <x:row r="102" ht="25" customHeight="1">
      <x:c r="A102" s="18" t="str">
        <x:v>後半13場</x:v>
      </x:c>
      <x:c r="B102" s="18" t="str">
        <x:v>H17</x:v>
      </x:c>
      <x:c r="C102" s="19" t="str"/>
      <x:c r="D102" s="6" t="n">
        <x:f>SUM('日経_H17'!C46,'日経_H17'!C47,'日経_H17'!C48,'日経_H17'!C49,'日経_H17'!C50,'日経_H17'!C51,'日経_H17'!C52,'日経_H17'!C53,'日経_H17'!C54,'日経_H17'!C55,'日経_H17'!C56,'日経_H17'!C57,'日経_H17'!C58)</x:f>
        <x:v>9071000</x:v>
      </x:c>
      <x:c r="E102" s="6" t="n">
        <x:f>SUM('日経_H17'!D46,'日経_H17'!D47,'日経_H17'!D48,'日経_H17'!D49,'日経_H17'!D50,'日経_H17'!D51,'日経_H17'!D52,'日経_H17'!D53,'日経_H17'!D54,'日経_H17'!D55,'日経_H17'!D56,'日経_H17'!D57,'日経_H17'!D58)</x:f>
        <x:v>16141000</x:v>
      </x:c>
      <x:c r="F102" s="6" t="n">
        <x:f>D102-E102</x:f>
        <x:v>-7070000</x:v>
      </x:c>
      <x:c r="G102" s="11" t="n">
        <x:v>13</x:v>
      </x:c>
      <x:c r="H102" s="11" t="n">
        <x:v>0</x:v>
      </x:c>
      <x:c r="I102" s="6" t="n">
        <x:v>543846.1538461539</x:v>
      </x:c>
      <x:c r="J102" s="6" t="n">
        <x:v>1571000</x:v>
      </x:c>
      <x:c r="K102" s="6" t="n">
        <x:v>-1811000</x:v>
      </x:c>
      <x:c r="L102" s="6" t="n">
        <x:v>1930000</x:v>
      </x:c>
      <x:c r="M102" s="6" t="n">
        <x:v>-7070000</x:v>
      </x:c>
    </x:row>
    <x:row r="103" ht="25" customHeight="1">
      <x:c r="A103" s="18" t="str">
        <x:v>後半13場</x:v>
      </x:c>
      <x:c r="B103" s="18" t="str">
        <x:v>H18</x:v>
      </x:c>
      <x:c r="C103" s="19" t="str"/>
      <x:c r="D103" s="6" t="n">
        <x:f>SUM('日経_H18'!C46,'日経_H18'!C47,'日経_H18'!C48,'日経_H18'!C49,'日経_H18'!C50,'日経_H18'!C51,'日経_H18'!C52,'日経_H18'!C53,'日経_H18'!C54,'日経_H18'!C55,'日経_H18'!C56,'日経_H18'!C57,'日経_H18'!C58)</x:f>
        <x:v>8969000</x:v>
      </x:c>
      <x:c r="E103" s="6" t="n">
        <x:f>SUM('日経_H18'!D46,'日経_H18'!D47,'日経_H18'!D48,'日経_H18'!D49,'日経_H18'!D50,'日経_H18'!D51,'日経_H18'!D52,'日経_H18'!D53,'日経_H18'!D54,'日経_H18'!D55,'日経_H18'!D56,'日経_H18'!D57,'日経_H18'!D58)</x:f>
        <x:v>14218000</x:v>
      </x:c>
      <x:c r="F103" s="6" t="n">
        <x:f>D103-E103</x:f>
        <x:v>-5249000</x:v>
      </x:c>
      <x:c r="G103" s="11" t="n">
        <x:v>12</x:v>
      </x:c>
      <x:c r="H103" s="11" t="n">
        <x:v>0</x:v>
      </x:c>
      <x:c r="I103" s="6" t="n">
        <x:v>499583.3333333333</x:v>
      </x:c>
      <x:c r="J103" s="6" t="n">
        <x:v>1759000</x:v>
      </x:c>
      <x:c r="K103" s="6" t="n">
        <x:v>-1999000</x:v>
      </x:c>
      <x:c r="L103" s="6" t="n">
        <x:v>2119000</x:v>
      </x:c>
      <x:c r="M103" s="6" t="n">
        <x:v>-5995000</x:v>
      </x:c>
    </x:row>
    <x:row r="104" ht="25" customHeight="1">
      <x:c r="A104" s="18" t="str">
        <x:v>後半13場</x:v>
      </x:c>
      <x:c r="B104" s="18" t="str">
        <x:v>H19</x:v>
      </x:c>
      <x:c r="C104" s="19" t="str"/>
      <x:c r="D104" s="6" t="n">
        <x:f>SUM('日経_H19'!C46,'日経_H19'!C47,'日経_H19'!C48,'日経_H19'!C49,'日経_H19'!C50,'日経_H19'!C51,'日経_H19'!C52,'日経_H19'!C53,'日経_H19'!C54,'日経_H19'!C55,'日経_H19'!C56,'日経_H19'!C57,'日経_H19'!C58)</x:f>
        <x:v>9864000</x:v>
      </x:c>
      <x:c r="E104" s="6" t="n">
        <x:f>SUM('日経_H19'!D46,'日経_H19'!D47,'日経_H19'!D48,'日経_H19'!D49,'日経_H19'!D50,'日経_H19'!D51,'日経_H19'!D52,'日経_H19'!D53,'日経_H19'!D54,'日経_H19'!D55,'日経_H19'!D56,'日経_H19'!D57,'日経_H19'!D58)</x:f>
        <x:v>15710000</x:v>
      </x:c>
      <x:c r="F104" s="6" t="n">
        <x:f>D104-E104</x:f>
        <x:v>-5846000</x:v>
      </x:c>
      <x:c r="G104" s="11" t="n">
        <x:v>11</x:v>
      </x:c>
      <x:c r="H104" s="11" t="n">
        <x:v>0</x:v>
      </x:c>
      <x:c r="I104" s="6" t="n">
        <x:v>562727.2727272727</x:v>
      </x:c>
      <x:c r="J104" s="6" t="n">
        <x:v>1401000</x:v>
      </x:c>
      <x:c r="K104" s="6" t="n">
        <x:v>-1641000</x:v>
      </x:c>
      <x:c r="L104" s="6" t="n">
        <x:v>1761000</x:v>
      </x:c>
      <x:c r="M104" s="6" t="n">
        <x:v>-6190000</x:v>
      </x:c>
    </x:row>
    <x:row r="105" ht="25" customHeight="1">
      <x:c r="A105" s="18" t="str">
        <x:v>後半13場</x:v>
      </x:c>
      <x:c r="B105" s="18" t="str">
        <x:v>H20</x:v>
      </x:c>
      <x:c r="C105" s="19" t="str"/>
      <x:c r="D105" s="6" t="n">
        <x:f>SUM('日経_H20'!C46,'日経_H20'!C47,'日経_H20'!C48,'日経_H20'!C49,'日経_H20'!C50,'日経_H20'!C51,'日経_H20'!C52,'日経_H20'!C53,'日経_H20'!C54,'日経_H20'!C55,'日経_H20'!C56,'日経_H20'!C57,'日経_H20'!C58)</x:f>
        <x:v>9569000</x:v>
      </x:c>
      <x:c r="E105" s="6" t="n">
        <x:f>SUM('日経_H20'!D46,'日経_H20'!D47,'日経_H20'!D48,'日経_H20'!D49,'日経_H20'!D50,'日経_H20'!D51,'日経_H20'!D52,'日経_H20'!D53,'日経_H20'!D54,'日経_H20'!D55,'日経_H20'!D56,'日経_H20'!D57,'日経_H20'!D58)</x:f>
        <x:v>14497000</x:v>
      </x:c>
      <x:c r="F105" s="6" t="n">
        <x:f>D105-E105</x:f>
        <x:v>-4928000</x:v>
      </x:c>
      <x:c r="G105" s="11" t="n">
        <x:v>12</x:v>
      </x:c>
      <x:c r="H105" s="11" t="n">
        <x:v>0</x:v>
      </x:c>
      <x:c r="I105" s="6" t="n">
        <x:v>468916.6666666667</x:v>
      </x:c>
      <x:c r="J105" s="6" t="n">
        <x:v>1767000</x:v>
      </x:c>
      <x:c r="K105" s="6" t="n">
        <x:v>-2007000</x:v>
      </x:c>
      <x:c r="L105" s="6" t="n">
        <x:v>2118000</x:v>
      </x:c>
      <x:c r="M105" s="6" t="n">
        <x:v>-5627000</x:v>
      </x:c>
    </x:row>
    <x:row r="106" ht="25" customHeight="1">
      <x:c r="A106" s="18" t="str">
        <x:v>後半13場</x:v>
      </x:c>
      <x:c r="B106" s="18" t="str">
        <x:v>H21</x:v>
      </x:c>
      <x:c r="C106" s="19" t="str"/>
      <x:c r="D106" s="6" t="n">
        <x:f>SUM('日経_H21'!C46,'日経_H21'!C47,'日経_H21'!C48,'日経_H21'!C49,'日経_H21'!C50,'日経_H21'!C51,'日経_H21'!C52,'日経_H21'!C53,'日経_H21'!C54,'日経_H21'!C55,'日経_H21'!C56,'日経_H21'!C57,'日経_H21'!C58)</x:f>
        <x:v>8997000</x:v>
      </x:c>
      <x:c r="E106" s="6" t="n">
        <x:f>SUM('日経_H21'!D46,'日経_H21'!D47,'日経_H21'!D48,'日経_H21'!D49,'日経_H21'!D50,'日経_H21'!D51,'日経_H21'!D52,'日経_H21'!D53,'日経_H21'!D54,'日経_H21'!D55,'日経_H21'!D56,'日経_H21'!D57,'日経_H21'!D58)</x:f>
        <x:v>15678000</x:v>
      </x:c>
      <x:c r="F106" s="6" t="n">
        <x:f>D106-E106</x:f>
        <x:v>-6681000</x:v>
      </x:c>
      <x:c r="G106" s="11" t="n">
        <x:v>12</x:v>
      </x:c>
      <x:c r="H106" s="11" t="n">
        <x:v>0</x:v>
      </x:c>
      <x:c r="I106" s="6" t="n">
        <x:v>576166.6666666666</x:v>
      </x:c>
      <x:c r="J106" s="6" t="n">
        <x:v>1609000</x:v>
      </x:c>
      <x:c r="K106" s="6" t="n">
        <x:v>-1849000</x:v>
      </x:c>
      <x:c r="L106" s="6" t="n">
        <x:v>1980000</x:v>
      </x:c>
      <x:c r="M106" s="6" t="n">
        <x:v>-6914000</x:v>
      </x:c>
    </x:row>
    <x:row r="107" ht="25" customHeight="1">
      <x:c r="A107" s="18" t="str">
        <x:v>後半13場</x:v>
      </x:c>
      <x:c r="B107" s="18" t="str">
        <x:v>H22</x:v>
      </x:c>
      <x:c r="C107" s="19" t="str"/>
      <x:c r="D107" s="6" t="n">
        <x:f>SUM('日経_H22'!C46,'日経_H22'!C47,'日経_H22'!C48,'日経_H22'!C49,'日経_H22'!C50,'日経_H22'!C51,'日経_H22'!C52,'日経_H22'!C53,'日経_H22'!C54,'日経_H22'!C55,'日経_H22'!C56,'日経_H22'!C57,'日経_H22'!C58)</x:f>
        <x:v>8910000</x:v>
      </x:c>
      <x:c r="E107" s="6" t="n">
        <x:f>SUM('日経_H22'!D46,'日経_H22'!D47,'日経_H22'!D48,'日経_H22'!D49,'日経_H22'!D50,'日経_H22'!D51,'日経_H22'!D52,'日経_H22'!D53,'日経_H22'!D54,'日経_H22'!D55,'日経_H22'!D56,'日経_H22'!D57,'日経_H22'!D58)</x:f>
        <x:v>12917000</x:v>
      </x:c>
      <x:c r="F107" s="6" t="n">
        <x:f>D107-E107</x:f>
        <x:v>-4007000</x:v>
      </x:c>
      <x:c r="G107" s="11" t="n">
        <x:v>11</x:v>
      </x:c>
      <x:c r="H107" s="11" t="n">
        <x:v>0</x:v>
      </x:c>
      <x:c r="I107" s="6" t="n">
        <x:v>443545.45454545453</x:v>
      </x:c>
      <x:c r="J107" s="6" t="n">
        <x:v>1535000</x:v>
      </x:c>
      <x:c r="K107" s="6" t="n">
        <x:v>-1775000</x:v>
      </x:c>
      <x:c r="L107" s="6" t="n">
        <x:v>1910000</x:v>
      </x:c>
      <x:c r="M107" s="6" t="n">
        <x:v>-4879000</x:v>
      </x:c>
    </x:row>
    <x:row r="108" ht="25" customHeight="1">
      <x:c r="A108" s="18" t="str">
        <x:v>後半13場</x:v>
      </x:c>
      <x:c r="B108" s="18" t="str">
        <x:v>H23</x:v>
      </x:c>
      <x:c r="C108" s="19" t="str"/>
      <x:c r="D108" s="6" t="n">
        <x:f>SUM('日経_H23'!C46,'日経_H23'!C47,'日経_H23'!C48,'日経_H23'!C49,'日経_H23'!C50,'日経_H23'!C51,'日経_H23'!C52,'日経_H23'!C53,'日経_H23'!C54,'日経_H23'!C55,'日経_H23'!C56,'日経_H23'!C57,'日経_H23'!C58)</x:f>
        <x:v>9873000</x:v>
      </x:c>
      <x:c r="E108" s="6" t="n">
        <x:f>SUM('日経_H23'!D46,'日経_H23'!D47,'日経_H23'!D48,'日経_H23'!D49,'日経_H23'!D50,'日経_H23'!D51,'日経_H23'!D52,'日経_H23'!D53,'日経_H23'!D54,'日経_H23'!D55,'日経_H23'!D56,'日経_H23'!D57,'日経_H23'!D58)</x:f>
        <x:v>15717000</x:v>
      </x:c>
      <x:c r="F108" s="6" t="n">
        <x:f>D108-E108</x:f>
        <x:v>-5844000</x:v>
      </x:c>
      <x:c r="G108" s="11" t="n">
        <x:v>11</x:v>
      </x:c>
      <x:c r="H108" s="11" t="n">
        <x:v>0</x:v>
      </x:c>
      <x:c r="I108" s="6" t="n">
        <x:v>577363.6363636364</x:v>
      </x:c>
      <x:c r="J108" s="6" t="n">
        <x:v>1438000</x:v>
      </x:c>
      <x:c r="K108" s="6" t="n">
        <x:v>-1678000</x:v>
      </x:c>
      <x:c r="L108" s="6" t="n">
        <x:v>1805000</x:v>
      </x:c>
      <x:c r="M108" s="6" t="n">
        <x:v>-6351000</x:v>
      </x:c>
    </x:row>
    <x:row r="109" ht="25" customHeight="1">
      <x:c r="A109" s="18" t="str">
        <x:v>後半13場</x:v>
      </x:c>
      <x:c r="B109" s="18" t="str">
        <x:v>H24</x:v>
      </x:c>
      <x:c r="C109" s="19" t="str"/>
      <x:c r="D109" s="6" t="n">
        <x:f>SUM('日経_H24'!C46,'日経_H24'!C47,'日経_H24'!C48,'日経_H24'!C49,'日経_H24'!C50,'日経_H24'!C51,'日経_H24'!C52,'日経_H24'!C53,'日経_H24'!C54,'日経_H24'!C55,'日経_H24'!C56,'日経_H24'!C57,'日経_H24'!C58)</x:f>
        <x:v>9324000</x:v>
      </x:c>
      <x:c r="E109" s="6" t="n">
        <x:f>SUM('日経_H24'!D46,'日経_H24'!D47,'日経_H24'!D48,'日経_H24'!D49,'日経_H24'!D50,'日経_H24'!D51,'日経_H24'!D52,'日経_H24'!D53,'日経_H24'!D54,'日経_H24'!D55,'日経_H24'!D56,'日経_H24'!D57,'日経_H24'!D58)</x:f>
        <x:v>13298000</x:v>
      </x:c>
      <x:c r="F109" s="6" t="n">
        <x:f>D109-E109</x:f>
        <x:v>-3974000</x:v>
      </x:c>
      <x:c r="G109" s="11" t="n">
        <x:v>11</x:v>
      </x:c>
      <x:c r="H109" s="11" t="n">
        <x:v>0</x:v>
      </x:c>
      <x:c r="I109" s="6" t="n">
        <x:v>439181.8181818182</x:v>
      </x:c>
      <x:c r="J109" s="6" t="n">
        <x:v>1640000</x:v>
      </x:c>
      <x:c r="K109" s="6" t="n">
        <x:v>-1880000</x:v>
      </x:c>
      <x:c r="L109" s="6" t="n">
        <x:v>2013000</x:v>
      </x:c>
      <x:c r="M109" s="6" t="n">
        <x:v>-4831000</x:v>
      </x:c>
    </x:row>
  </x:sheetData>
  <x:conditionalFormatting sqref="F6:F109">
    <x:cfRule type="cellIs" dxfId="26" priority="1" operator="lessThan">
      <x:formula>0</x:formula>
    </x:cfRule>
  </x:conditionalFormatting>
  <x:conditionalFormatting sqref="K6:K109">
    <x:cfRule type="cellIs" dxfId="27" priority="2" operator="lessThan">
      <x:formula>0</x:formula>
    </x:cfRule>
  </x:conditionalFormatting>
  <x:conditionalFormatting sqref="M6:M109">
    <x:cfRule type="cellIs" dxfId="28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776de8327d44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S00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主+100/−50/場末・カバーなし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0</x:v>
      </x:c>
      <x:c r="D6" s="6" t="n">
        <x:v>100000</x:v>
      </x:c>
      <x:c r="E6" s="6" t="n">
        <x:f>C6-D6</x:f>
        <x:v>-100000</x:v>
      </x:c>
      <x:c r="F6" s="6" t="n">
        <x:f>E6</x:f>
        <x:v>-100000</x:v>
      </x:c>
      <x:c r="G6" s="6" t="n">
        <x:v>-100000</x:v>
      </x:c>
      <x:c r="H6" s="6" t="n">
        <x:v>0</x:v>
      </x:c>
      <x:c r="I6" s="6" t="n">
        <x:v>-100000</x:v>
      </x:c>
      <x:c r="J6" s="6" t="n">
        <x:v>140000</x:v>
      </x:c>
      <x:c r="K6" s="11" t="n">
        <x:v>2</x:v>
      </x:c>
      <x:c r="L6" s="11" t="n">
        <x:v>0</x:v>
      </x:c>
    </x:row>
    <x:row r="7" ht="25" customHeight="1">
      <x:c r="A7" s="2" t="str">
        <x:v>2026-09-21_Night</x:v>
      </x:c>
      <x:c r="B7" s="2" t="str">
        <x:v>前30場</x:v>
      </x:c>
      <x:c r="C7" s="6" t="n">
        <x:v>490000</x:v>
      </x:c>
      <x:c r="D7" s="6" t="n">
        <x:v>680000</x:v>
      </x:c>
      <x:c r="E7" s="6" t="n">
        <x:f>C7-D7</x:f>
        <x:v>-190000</x:v>
      </x:c>
      <x:c r="F7" s="6" t="n">
        <x:f>F6+E7</x:f>
        <x:v>-290000</x:v>
      </x:c>
      <x:c r="G7" s="6" t="n">
        <x:v>-190000</x:v>
      </x:c>
      <x:c r="H7" s="6" t="n">
        <x:v>0</x:v>
      </x:c>
      <x:c r="I7" s="6" t="n">
        <x:v>-190000</x:v>
      </x:c>
      <x:c r="J7" s="6" t="n">
        <x:v>320000</x:v>
      </x:c>
      <x:c r="K7" s="11" t="n">
        <x:v>19</x:v>
      </x:c>
      <x:c r="L7" s="11" t="n">
        <x:v>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-360000</x:v>
      </x:c>
      <x:c r="G8" s="6" t="n">
        <x:v>-70000</x:v>
      </x:c>
      <x:c r="H8" s="6" t="n">
        <x:v>0</x:v>
      </x:c>
      <x:c r="I8" s="6" t="n">
        <x:v>-70000</x:v>
      </x:c>
      <x:c r="J8" s="6" t="n">
        <x:v>150000</x:v>
      </x:c>
      <x:c r="K8" s="11" t="n">
        <x:v>1</x:v>
      </x:c>
      <x:c r="L8" s="11" t="n">
        <x:v>0</x:v>
      </x:c>
    </x:row>
    <x:row r="9" ht="25" customHeight="1">
      <x:c r="A9" s="2" t="str">
        <x:v>2026-09-22_Night</x:v>
      </x:c>
      <x:c r="B9" s="2" t="str">
        <x:v>前30場</x:v>
      </x:c>
      <x:c r="C9" s="6" t="n">
        <x:v>1080000</x:v>
      </x:c>
      <x:c r="D9" s="6" t="n">
        <x:v>960000</x:v>
      </x:c>
      <x:c r="E9" s="6" t="n">
        <x:f>C9-D9</x:f>
        <x:v>120000</x:v>
      </x:c>
      <x:c r="F9" s="6" t="n">
        <x:f>F8+E9</x:f>
        <x:v>-240000</x:v>
      </x:c>
      <x:c r="G9" s="6" t="n">
        <x:v>120000</x:v>
      </x:c>
      <x:c r="H9" s="6" t="n">
        <x:v>0</x:v>
      </x:c>
      <x:c r="I9" s="6" t="n">
        <x:v>-60000</x:v>
      </x:c>
      <x:c r="J9" s="6" t="n">
        <x:v>240000</x:v>
      </x:c>
      <x:c r="K9" s="11" t="n">
        <x:v>30</x:v>
      </x:c>
      <x:c r="L9" s="11" t="n">
        <x:v>0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-240000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600000</x:v>
      </x:c>
      <x:c r="D11" s="6" t="n">
        <x:v>1040000</x:v>
      </x:c>
      <x:c r="E11" s="6" t="n">
        <x:f>C11-D11</x:f>
        <x:v>-440000</x:v>
      </x:c>
      <x:c r="F11" s="6" t="n">
        <x:f>F10+E11</x:f>
        <x:v>-680000</x:v>
      </x:c>
      <x:c r="G11" s="6" t="n">
        <x:v>-440000</x:v>
      </x:c>
      <x:c r="H11" s="6" t="n">
        <x:v>0</x:v>
      </x:c>
      <x:c r="I11" s="6" t="n">
        <x:v>-440000</x:v>
      </x:c>
      <x:c r="J11" s="6" t="n">
        <x:v>620000</x:v>
      </x:c>
      <x:c r="K11" s="11" t="n">
        <x:v>27</x:v>
      </x:c>
      <x:c r="L11" s="11" t="n">
        <x:v>0</x:v>
      </x:c>
    </x:row>
    <x:row r="12" ht="25" customHeight="1">
      <x:c r="A12" s="2" t="str">
        <x:v>2026-09-24_Day</x:v>
      </x:c>
      <x:c r="B12" s="2" t="str">
        <x:v>前30場</x:v>
      </x:c>
      <x:c r="C12" s="6" t="n">
        <x:v>90000</x:v>
      </x:c>
      <x:c r="D12" s="6" t="n">
        <x:v>280000</x:v>
      </x:c>
      <x:c r="E12" s="6" t="n">
        <x:f>C12-D12</x:f>
        <x:v>-190000</x:v>
      </x:c>
      <x:c r="F12" s="6" t="n">
        <x:f>F11+E12</x:f>
        <x:v>-870000</x:v>
      </x:c>
      <x:c r="G12" s="6" t="n">
        <x:v>-190000</x:v>
      </x:c>
      <x:c r="H12" s="6" t="n">
        <x:v>0</x:v>
      </x:c>
      <x:c r="I12" s="6" t="n">
        <x:v>-300000</x:v>
      </x:c>
      <x:c r="J12" s="6" t="n">
        <x:v>300000</x:v>
      </x:c>
      <x:c r="K12" s="11" t="n">
        <x:v>7</x:v>
      </x:c>
      <x:c r="L12" s="11" t="n">
        <x:v>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880000</x:v>
      </x:c>
      <x:c r="D13" s="6" t="n">
        <x:v>2510000</x:v>
      </x:c>
      <x:c r="E13" s="6" t="n">
        <x:f>C13-D13</x:f>
        <x:v>-1630000</x:v>
      </x:c>
      <x:c r="F13" s="6" t="n">
        <x:f>F12+E13</x:f>
        <x:v>-2500000</x:v>
      </x:c>
      <x:c r="G13" s="6" t="n">
        <x:v>-1630000</x:v>
      </x:c>
      <x:c r="H13" s="6" t="n">
        <x:v>0</x:v>
      </x:c>
      <x:c r="I13" s="6" t="n">
        <x:v>-1690000</x:v>
      </x:c>
      <x:c r="J13" s="6" t="n">
        <x:v>1770000</x:v>
      </x:c>
      <x:c r="K13" s="11" t="n">
        <x:v>61</x:v>
      </x:c>
      <x:c r="L13" s="11" t="n">
        <x:v>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190000</x:v>
      </x:c>
      <x:c r="D14" s="6" t="n">
        <x:v>190000</x:v>
      </x:c>
      <x:c r="E14" s="6" t="n">
        <x:f>C14-D14</x:f>
        <x:v>0</x:v>
      </x:c>
      <x:c r="F14" s="6" t="n">
        <x:f>F13+E14</x:f>
        <x:v>-2500000</x:v>
      </x:c>
      <x:c r="G14" s="6" t="n">
        <x:v>0</x:v>
      </x:c>
      <x:c r="H14" s="6" t="n">
        <x:v>0</x:v>
      </x:c>
      <x:c r="I14" s="6" t="n">
        <x:v>-90000</x:v>
      </x:c>
      <x:c r="J14" s="6" t="n">
        <x:v>180000</x:v>
      </x:c>
      <x:c r="K14" s="11" t="n">
        <x:v>6</x:v>
      </x:c>
      <x:c r="L14" s="11" t="n">
        <x:v>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1390000</x:v>
      </x:c>
      <x:c r="D15" s="6" t="n">
        <x:v>1540000</x:v>
      </x:c>
      <x:c r="E15" s="6" t="n">
        <x:f>C15-D15</x:f>
        <x:v>-150000</x:v>
      </x:c>
      <x:c r="F15" s="6" t="n">
        <x:f>F14+E15</x:f>
        <x:v>-2650000</x:v>
      </x:c>
      <x:c r="G15" s="6" t="n">
        <x:v>-150000</x:v>
      </x:c>
      <x:c r="H15" s="6" t="n">
        <x:v>0</x:v>
      </x:c>
      <x:c r="I15" s="6" t="n">
        <x:v>-480000</x:v>
      </x:c>
      <x:c r="J15" s="6" t="n">
        <x:v>480000</x:v>
      </x:c>
      <x:c r="K15" s="11" t="n">
        <x:v>47</x:v>
      </x:c>
      <x:c r="L15" s="11" t="n">
        <x:v>0</x:v>
      </x:c>
    </x:row>
    <x:row r="16" ht="25" customHeight="1">
      <x:c r="A16" s="2" t="str">
        <x:v>2026-09-28_Day</x:v>
      </x:c>
      <x:c r="B16" s="2" t="str">
        <x:v>前30場</x:v>
      </x:c>
      <x:c r="C16" s="6" t="n">
        <x:v>280000</x:v>
      </x:c>
      <x:c r="D16" s="6" t="n">
        <x:v>240000</x:v>
      </x:c>
      <x:c r="E16" s="6" t="n">
        <x:f>C16-D16</x:f>
        <x:v>40000</x:v>
      </x:c>
      <x:c r="F16" s="6" t="n">
        <x:f>F15+E16</x:f>
        <x:v>-2610000</x:v>
      </x:c>
      <x:c r="G16" s="6" t="n">
        <x:v>40000</x:v>
      </x:c>
      <x:c r="H16" s="6" t="n">
        <x:v>0</x:v>
      </x:c>
      <x:c r="I16" s="6" t="n">
        <x:v>-130000</x:v>
      </x:c>
      <x:c r="J16" s="6" t="n">
        <x:v>160000</x:v>
      </x:c>
      <x:c r="K16" s="11" t="n">
        <x:v>8</x:v>
      </x:c>
      <x:c r="L16" s="11" t="n">
        <x:v>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980000</x:v>
      </x:c>
      <x:c r="D17" s="6" t="n">
        <x:v>2140000</x:v>
      </x:c>
      <x:c r="E17" s="6" t="n">
        <x:f>C17-D17</x:f>
        <x:v>-1160000</x:v>
      </x:c>
      <x:c r="F17" s="6" t="n">
        <x:f>F16+E17</x:f>
        <x:v>-3770000</x:v>
      </x:c>
      <x:c r="G17" s="6" t="n">
        <x:v>-1160000</x:v>
      </x:c>
      <x:c r="H17" s="6" t="n">
        <x:v>0</x:v>
      </x:c>
      <x:c r="I17" s="6" t="n">
        <x:v>-1260000</x:v>
      </x:c>
      <x:c r="J17" s="6" t="n">
        <x:v>1260000</x:v>
      </x:c>
      <x:c r="K17" s="11" t="n">
        <x:v>54</x:v>
      </x:c>
      <x:c r="L17" s="11" t="n">
        <x:v>0</x:v>
      </x:c>
    </x:row>
    <x:row r="18" ht="25" customHeight="1">
      <x:c r="A18" s="2" t="str">
        <x:v>2026-09-29_Day</x:v>
      </x:c>
      <x:c r="B18" s="2" t="str">
        <x:v>前30場</x:v>
      </x:c>
      <x:c r="C18" s="6" t="n">
        <x:v>0</x:v>
      </x:c>
      <x:c r="D18" s="6" t="n">
        <x:v>540000</x:v>
      </x:c>
      <x:c r="E18" s="6" t="n">
        <x:f>C18-D18</x:f>
        <x:v>-540000</x:v>
      </x:c>
      <x:c r="F18" s="6" t="n">
        <x:f>F17+E18</x:f>
        <x:v>-4310000</x:v>
      </x:c>
      <x:c r="G18" s="6" t="n">
        <x:v>-540000</x:v>
      </x:c>
      <x:c r="H18" s="6" t="n">
        <x:v>0</x:v>
      </x:c>
      <x:c r="I18" s="6" t="n">
        <x:v>-540000</x:v>
      </x:c>
      <x:c r="J18" s="6" t="n">
        <x:v>540000</x:v>
      </x:c>
      <x:c r="K18" s="11" t="n">
        <x:v>11</x:v>
      </x:c>
      <x:c r="L18" s="11" t="n">
        <x:v>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1080000</x:v>
      </x:c>
      <x:c r="D19" s="6" t="n">
        <x:v>2570000</x:v>
      </x:c>
      <x:c r="E19" s="6" t="n">
        <x:f>C19-D19</x:f>
        <x:v>-1490000</x:v>
      </x:c>
      <x:c r="F19" s="6" t="n">
        <x:f>F18+E19</x:f>
        <x:v>-5800000</x:v>
      </x:c>
      <x:c r="G19" s="6" t="n">
        <x:v>-1490000</x:v>
      </x:c>
      <x:c r="H19" s="6" t="n">
        <x:v>0</x:v>
      </x:c>
      <x:c r="I19" s="6" t="n">
        <x:v>-1490000</x:v>
      </x:c>
      <x:c r="J19" s="6" t="n">
        <x:v>1490000</x:v>
      </x:c>
      <x:c r="K19" s="11" t="n">
        <x:v>64</x:v>
      </x:c>
      <x:c r="L19" s="11" t="n">
        <x:v>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190000</x:v>
      </x:c>
      <x:c r="D20" s="6" t="n">
        <x:v>140000</x:v>
      </x:c>
      <x:c r="E20" s="6" t="n">
        <x:f>C20-D20</x:f>
        <x:v>50000</x:v>
      </x:c>
      <x:c r="F20" s="6" t="n">
        <x:f>F19+E20</x:f>
        <x:v>-5750000</x:v>
      </x:c>
      <x:c r="G20" s="6" t="n">
        <x:v>50000</x:v>
      </x:c>
      <x:c r="H20" s="6" t="n">
        <x:v>0</x:v>
      </x:c>
      <x:c r="I20" s="6" t="n">
        <x:v>-20000</x:v>
      </x:c>
      <x:c r="J20" s="6" t="n">
        <x:v>140000</x:v>
      </x:c>
      <x:c r="K20" s="11" t="n">
        <x:v>5</x:v>
      </x:c>
      <x:c r="L20" s="11" t="n">
        <x:v>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1370000</x:v>
      </x:c>
      <x:c r="D21" s="6" t="n">
        <x:v>3510000</x:v>
      </x:c>
      <x:c r="E21" s="6" t="n">
        <x:f>C21-D21</x:f>
        <x:v>-2140000</x:v>
      </x:c>
      <x:c r="F21" s="6" t="n">
        <x:f>F20+E21</x:f>
        <x:v>-7890000</x:v>
      </x:c>
      <x:c r="G21" s="6" t="n">
        <x:v>-2140000</x:v>
      </x:c>
      <x:c r="H21" s="6" t="n">
        <x:v>0</x:v>
      </x:c>
      <x:c r="I21" s="6" t="n">
        <x:v>-2140000</x:v>
      </x:c>
      <x:c r="J21" s="6" t="n">
        <x:v>2180000</x:v>
      </x:c>
      <x:c r="K21" s="11" t="n">
        <x:v>85</x:v>
      </x:c>
      <x:c r="L21" s="11" t="n">
        <x:v>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200000</x:v>
      </x:c>
      <x:c r="D22" s="6" t="n">
        <x:v>210000</x:v>
      </x:c>
      <x:c r="E22" s="6" t="n">
        <x:f>C22-D22</x:f>
        <x:v>-10000</x:v>
      </x:c>
      <x:c r="F22" s="6" t="n">
        <x:f>F21+E22</x:f>
        <x:v>-7900000</x:v>
      </x:c>
      <x:c r="G22" s="6" t="n">
        <x:v>-10000</x:v>
      </x:c>
      <x:c r="H22" s="6" t="n">
        <x:v>0</x:v>
      </x:c>
      <x:c r="I22" s="6" t="n">
        <x:v>-120000</x:v>
      </x:c>
      <x:c r="J22" s="6" t="n">
        <x:v>140000</x:v>
      </x:c>
      <x:c r="K22" s="11" t="n">
        <x:v>6</x:v>
      </x:c>
      <x:c r="L22" s="11" t="n">
        <x:v>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1740000</x:v>
      </x:c>
      <x:c r="D23" s="6" t="n">
        <x:v>3590000</x:v>
      </x:c>
      <x:c r="E23" s="6" t="n">
        <x:f>C23-D23</x:f>
        <x:v>-1850000</x:v>
      </x:c>
      <x:c r="F23" s="6" t="n">
        <x:f>F22+E23</x:f>
        <x:v>-9750000</x:v>
      </x:c>
      <x:c r="G23" s="6" t="n">
        <x:v>-1850000</x:v>
      </x:c>
      <x:c r="H23" s="6" t="n">
        <x:v>0</x:v>
      </x:c>
      <x:c r="I23" s="6" t="n">
        <x:v>-1850000</x:v>
      </x:c>
      <x:c r="J23" s="6" t="n">
        <x:v>1920000</x:v>
      </x:c>
      <x:c r="K23" s="11" t="n">
        <x:v>92</x:v>
      </x:c>
      <x:c r="L23" s="11" t="n">
        <x:v>0</x:v>
      </x:c>
    </x:row>
    <x:row r="24" ht="25" customHeight="1">
      <x:c r="A24" s="2" t="str">
        <x:v>2026-10-02_Day</x:v>
      </x:c>
      <x:c r="B24" s="2" t="str">
        <x:v>前30場</x:v>
      </x:c>
      <x:c r="C24" s="6" t="n">
        <x:v>200000</x:v>
      </x:c>
      <x:c r="D24" s="6" t="n">
        <x:v>370000</x:v>
      </x:c>
      <x:c r="E24" s="6" t="n">
        <x:f>C24-D24</x:f>
        <x:v>-170000</x:v>
      </x:c>
      <x:c r="F24" s="6" t="n">
        <x:f>F23+E24</x:f>
        <x:v>-9920000</x:v>
      </x:c>
      <x:c r="G24" s="6" t="n">
        <x:v>-170000</x:v>
      </x:c>
      <x:c r="H24" s="6" t="n">
        <x:v>0</x:v>
      </x:c>
      <x:c r="I24" s="6" t="n">
        <x:v>-170000</x:v>
      </x:c>
      <x:c r="J24" s="6" t="n">
        <x:v>320000</x:v>
      </x:c>
      <x:c r="K24" s="11" t="n">
        <x:v>9</x:v>
      </x:c>
      <x:c r="L24" s="11" t="n">
        <x:v>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2370000</x:v>
      </x:c>
      <x:c r="D25" s="6" t="n">
        <x:v>3320000</x:v>
      </x:c>
      <x:c r="E25" s="6" t="n">
        <x:f>C25-D25</x:f>
        <x:v>-950000</x:v>
      </x:c>
      <x:c r="F25" s="6" t="n">
        <x:f>F24+E25</x:f>
        <x:v>-10870000</x:v>
      </x:c>
      <x:c r="G25" s="6" t="n">
        <x:v>-950000</x:v>
      </x:c>
      <x:c r="H25" s="6" t="n">
        <x:v>0</x:v>
      </x:c>
      <x:c r="I25" s="6" t="n">
        <x:v>-1170000</x:v>
      </x:c>
      <x:c r="J25" s="6" t="n">
        <x:v>1180000</x:v>
      </x:c>
      <x:c r="K25" s="11" t="n">
        <x:v>92</x:v>
      </x:c>
      <x:c r="L25" s="11" t="n">
        <x:v>0</x:v>
      </x:c>
    </x:row>
    <x:row r="26" ht="25" customHeight="1">
      <x:c r="A26" s="2" t="str">
        <x:v>2026-10-05_Day</x:v>
      </x:c>
      <x:c r="B26" s="2" t="str">
        <x:v>前30場</x:v>
      </x:c>
      <x:c r="C26" s="6" t="n">
        <x:v>100000</x:v>
      </x:c>
      <x:c r="D26" s="6" t="n">
        <x:v>250000</x:v>
      </x:c>
      <x:c r="E26" s="6" t="n">
        <x:f>C26-D26</x:f>
        <x:v>-150000</x:v>
      </x:c>
      <x:c r="F26" s="6" t="n">
        <x:f>F25+E26</x:f>
        <x:v>-11020000</x:v>
      </x:c>
      <x:c r="G26" s="6" t="n">
        <x:v>-150000</x:v>
      </x:c>
      <x:c r="H26" s="6" t="n">
        <x:v>0</x:v>
      </x:c>
      <x:c r="I26" s="6" t="n">
        <x:v>-150000</x:v>
      </x:c>
      <x:c r="J26" s="6" t="n">
        <x:v>200000</x:v>
      </x:c>
      <x:c r="K26" s="11" t="n">
        <x:v>6</x:v>
      </x:c>
      <x:c r="L26" s="11" t="n">
        <x:v>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820000</x:v>
      </x:c>
      <x:c r="D27" s="6" t="n">
        <x:v>1580000</x:v>
      </x:c>
      <x:c r="E27" s="6" t="n">
        <x:f>C27-D27</x:f>
        <x:v>-760000</x:v>
      </x:c>
      <x:c r="F27" s="6" t="n">
        <x:f>F26+E27</x:f>
        <x:v>-11780000</x:v>
      </x:c>
      <x:c r="G27" s="6" t="n">
        <x:v>-760000</x:v>
      </x:c>
      <x:c r="H27" s="6" t="n">
        <x:v>0</x:v>
      </x:c>
      <x:c r="I27" s="6" t="n">
        <x:v>-900000</x:v>
      </x:c>
      <x:c r="J27" s="6" t="n">
        <x:v>920000</x:v>
      </x:c>
      <x:c r="K27" s="11" t="n">
        <x:v>41</x:v>
      </x:c>
      <x:c r="L27" s="11" t="n">
        <x:v>0</x:v>
      </x:c>
    </x:row>
    <x:row r="28" ht="25" customHeight="1">
      <x:c r="A28" s="2" t="str">
        <x:v>2026-10-06_Day</x:v>
      </x:c>
      <x:c r="B28" s="2" t="str">
        <x:v>前30場</x:v>
      </x:c>
      <x:c r="C28" s="6" t="n">
        <x:v>0</x:v>
      </x:c>
      <x:c r="D28" s="6" t="n">
        <x:v>50000</x:v>
      </x:c>
      <x:c r="E28" s="6" t="n">
        <x:f>C28-D28</x:f>
        <x:v>-50000</x:v>
      </x:c>
      <x:c r="F28" s="6" t="n">
        <x:f>F27+E28</x:f>
        <x:v>-11830000</x:v>
      </x:c>
      <x:c r="G28" s="6" t="n">
        <x:v>-50000</x:v>
      </x:c>
      <x:c r="H28" s="6" t="n">
        <x:v>0</x:v>
      </x:c>
      <x:c r="I28" s="6" t="n">
        <x:v>-50000</x:v>
      </x:c>
      <x:c r="J28" s="6" t="n">
        <x:v>50000</x:v>
      </x:c>
      <x:c r="K28" s="11" t="n">
        <x:v>1</x:v>
      </x:c>
      <x:c r="L28" s="11" t="n">
        <x:v>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1100000</x:v>
      </x:c>
      <x:c r="D29" s="6" t="n">
        <x:v>2000000</x:v>
      </x:c>
      <x:c r="E29" s="6" t="n">
        <x:f>C29-D29</x:f>
        <x:v>-900000</x:v>
      </x:c>
      <x:c r="F29" s="6" t="n">
        <x:f>F28+E29</x:f>
        <x:v>-12730000</x:v>
      </x:c>
      <x:c r="G29" s="6" t="n">
        <x:v>-900000</x:v>
      </x:c>
      <x:c r="H29" s="6" t="n">
        <x:v>0</x:v>
      </x:c>
      <x:c r="I29" s="6" t="n">
        <x:v>-910000</x:v>
      </x:c>
      <x:c r="J29" s="6" t="n">
        <x:v>920000</x:v>
      </x:c>
      <x:c r="K29" s="11" t="n">
        <x:v>52</x:v>
      </x:c>
      <x:c r="L29" s="11" t="n">
        <x:v>0</x:v>
      </x:c>
    </x:row>
    <x:row r="30" ht="25" customHeight="1">
      <x:c r="A30" s="2" t="str">
        <x:v>2026-10-07_Day</x:v>
      </x:c>
      <x:c r="B30" s="2" t="str">
        <x:v>前30場</x:v>
      </x:c>
      <x:c r="C30" s="6" t="n">
        <x:v>0</x:v>
      </x:c>
      <x:c r="D30" s="6" t="n">
        <x:v>100000</x:v>
      </x:c>
      <x:c r="E30" s="6" t="n">
        <x:f>C30-D30</x:f>
        <x:v>-100000</x:v>
      </x:c>
      <x:c r="F30" s="6" t="n">
        <x:f>F29+E30</x:f>
        <x:v>-12830000</x:v>
      </x:c>
      <x:c r="G30" s="6" t="n">
        <x:v>-100000</x:v>
      </x:c>
      <x:c r="H30" s="6" t="n">
        <x:v>0</x:v>
      </x:c>
      <x:c r="I30" s="6" t="n">
        <x:v>-100000</x:v>
      </x:c>
      <x:c r="J30" s="6" t="n">
        <x:v>170000</x:v>
      </x:c>
      <x:c r="K30" s="11" t="n">
        <x:v>2</x:v>
      </x:c>
      <x:c r="L30" s="11" t="n">
        <x:v>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1200000</x:v>
      </x:c>
      <x:c r="D31" s="6" t="n">
        <x:v>2150000</x:v>
      </x:c>
      <x:c r="E31" s="6" t="n">
        <x:f>C31-D31</x:f>
        <x:v>-950000</x:v>
      </x:c>
      <x:c r="F31" s="6" t="n">
        <x:f>F30+E31</x:f>
        <x:v>-13780000</x:v>
      </x:c>
      <x:c r="G31" s="6" t="n">
        <x:v>-950000</x:v>
      </x:c>
      <x:c r="H31" s="6" t="n">
        <x:v>0</x:v>
      </x:c>
      <x:c r="I31" s="6" t="n">
        <x:v>-950000</x:v>
      </x:c>
      <x:c r="J31" s="6" t="n">
        <x:v>980000</x:v>
      </x:c>
      <x:c r="K31" s="11" t="n">
        <x:v>57</x:v>
      </x:c>
      <x:c r="L31" s="11" t="n">
        <x:v>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100000</x:v>
      </x:c>
      <x:c r="D32" s="6" t="n">
        <x:v>210000</x:v>
      </x:c>
      <x:c r="E32" s="6" t="n">
        <x:f>C32-D32</x:f>
        <x:v>-110000</x:v>
      </x:c>
      <x:c r="F32" s="6" t="n">
        <x:f>F31+E32</x:f>
        <x:v>-13890000</x:v>
      </x:c>
      <x:c r="G32" s="6" t="n">
        <x:v>-110000</x:v>
      </x:c>
      <x:c r="H32" s="6" t="n">
        <x:v>0</x:v>
      </x:c>
      <x:c r="I32" s="6" t="n">
        <x:v>-240000</x:v>
      </x:c>
      <x:c r="J32" s="6" t="n">
        <x:v>260000</x:v>
      </x:c>
      <x:c r="K32" s="11" t="n">
        <x:v>5</x:v>
      </x:c>
      <x:c r="L32" s="11" t="n">
        <x:v>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1990000</x:v>
      </x:c>
      <x:c r="D33" s="6" t="n">
        <x:v>3350000</x:v>
      </x:c>
      <x:c r="E33" s="6" t="n">
        <x:f>C33-D33</x:f>
        <x:v>-1360000</x:v>
      </x:c>
      <x:c r="F33" s="6" t="n">
        <x:f>F32+E33</x:f>
        <x:v>-15250000</x:v>
      </x:c>
      <x:c r="G33" s="6" t="n">
        <x:v>-1360000</x:v>
      </x:c>
      <x:c r="H33" s="6" t="n">
        <x:v>0</x:v>
      </x:c>
      <x:c r="I33" s="6" t="n">
        <x:v>-1450000</x:v>
      </x:c>
      <x:c r="J33" s="6" t="n">
        <x:v>1550000</x:v>
      </x:c>
      <x:c r="K33" s="11" t="n">
        <x:v>89</x:v>
      </x:c>
      <x:c r="L33" s="11" t="n">
        <x:v>0</x:v>
      </x:c>
    </x:row>
    <x:row r="34" ht="25" customHeight="1">
      <x:c r="A34" s="2" t="str">
        <x:v>2026-10-09_Day</x:v>
      </x:c>
      <x:c r="B34" s="2" t="str">
        <x:v>前30場</x:v>
      </x:c>
      <x:c r="C34" s="6" t="n">
        <x:v>90000</x:v>
      </x:c>
      <x:c r="D34" s="6" t="n">
        <x:v>530000</x:v>
      </x:c>
      <x:c r="E34" s="6" t="n">
        <x:f>C34-D34</x:f>
        <x:v>-440000</x:v>
      </x:c>
      <x:c r="F34" s="6" t="n">
        <x:f>F33+E34</x:f>
        <x:v>-15690000</x:v>
      </x:c>
      <x:c r="G34" s="6" t="n">
        <x:v>-440000</x:v>
      </x:c>
      <x:c r="H34" s="6" t="n">
        <x:v>0</x:v>
      </x:c>
      <x:c r="I34" s="6" t="n">
        <x:v>-440000</x:v>
      </x:c>
      <x:c r="J34" s="6" t="n">
        <x:v>470000</x:v>
      </x:c>
      <x:c r="K34" s="11" t="n">
        <x:v>11</x:v>
      </x:c>
      <x:c r="L34" s="11" t="n">
        <x:v>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980000</x:v>
      </x:c>
      <x:c r="D35" s="6" t="n">
        <x:v>1110000</x:v>
      </x:c>
      <x:c r="E35" s="6" t="n">
        <x:f>C35-D35</x:f>
        <x:v>-130000</x:v>
      </x:c>
      <x:c r="F35" s="6" t="n">
        <x:f>F34+E35</x:f>
        <x:v>-15820000</x:v>
      </x:c>
      <x:c r="G35" s="6" t="n">
        <x:v>-130000</x:v>
      </x:c>
      <x:c r="H35" s="6" t="n">
        <x:v>0</x:v>
      </x:c>
      <x:c r="I35" s="6" t="n">
        <x:v>-230000</x:v>
      </x:c>
      <x:c r="J35" s="6" t="n">
        <x:v>300000</x:v>
      </x:c>
      <x:c r="K35" s="11" t="n">
        <x:v>33</x:v>
      </x:c>
      <x:c r="L35" s="11" t="n">
        <x:v>0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-15820000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610000</x:v>
      </x:c>
      <x:c r="D37" s="6" t="n">
        <x:v>1140000</x:v>
      </x:c>
      <x:c r="E37" s="6" t="n">
        <x:f>C37-D37</x:f>
        <x:v>-530000</x:v>
      </x:c>
      <x:c r="F37" s="6" t="n">
        <x:f>F36+E37</x:f>
        <x:v>-16350000</x:v>
      </x:c>
      <x:c r="G37" s="6" t="n">
        <x:v>-530000</x:v>
      </x:c>
      <x:c r="H37" s="6" t="n">
        <x:v>0</x:v>
      </x:c>
      <x:c r="I37" s="6" t="n">
        <x:v>-610000</x:v>
      </x:c>
      <x:c r="J37" s="6" t="n">
        <x:v>750000</x:v>
      </x:c>
      <x:c r="K37" s="11" t="n">
        <x:v>29</x:v>
      </x:c>
      <x:c r="L37" s="11" t="n">
        <x:v>0</x:v>
      </x:c>
    </x:row>
    <x:row r="38" ht="25" customHeight="1">
      <x:c r="A38" s="2" t="str">
        <x:v>2026-10-13_Day</x:v>
      </x:c>
      <x:c r="B38" s="2" t="str">
        <x:v>次10場</x:v>
      </x:c>
      <x:c r="C38" s="6" t="n">
        <x:v>410000</x:v>
      </x:c>
      <x:c r="D38" s="6" t="n">
        <x:v>150000</x:v>
      </x:c>
      <x:c r="E38" s="6" t="n">
        <x:f>C38-D38</x:f>
        <x:v>260000</x:v>
      </x:c>
      <x:c r="F38" s="6" t="n">
        <x:f>F37+E38</x:f>
        <x:v>-16090000</x:v>
      </x:c>
      <x:c r="G38" s="6" t="n">
        <x:v>260000</x:v>
      </x:c>
      <x:c r="H38" s="6" t="n">
        <x:v>0</x:v>
      </x:c>
      <x:c r="I38" s="6" t="n">
        <x:v>-70000</x:v>
      </x:c>
      <x:c r="J38" s="6" t="n">
        <x:v>160000</x:v>
      </x:c>
      <x:c r="K38" s="11" t="n">
        <x:v>7</x:v>
      </x:c>
      <x:c r="L38" s="11" t="n">
        <x:v>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790000</x:v>
      </x:c>
      <x:c r="D39" s="6" t="n">
        <x:v>1850000</x:v>
      </x:c>
      <x:c r="E39" s="6" t="n">
        <x:f>C39-D39</x:f>
        <x:v>-1060000</x:v>
      </x:c>
      <x:c r="F39" s="6" t="n">
        <x:f>F38+E39</x:f>
        <x:v>-17150000</x:v>
      </x:c>
      <x:c r="G39" s="6" t="n">
        <x:v>-1060000</x:v>
      </x:c>
      <x:c r="H39" s="6" t="n">
        <x:v>0</x:v>
      </x:c>
      <x:c r="I39" s="6" t="n">
        <x:v>-1060000</x:v>
      </x:c>
      <x:c r="J39" s="6" t="n">
        <x:v>1060000</x:v>
      </x:c>
      <x:c r="K39" s="11" t="n">
        <x:v>47</x:v>
      </x:c>
      <x:c r="L39" s="11" t="n">
        <x:v>0</x:v>
      </x:c>
    </x:row>
    <x:row r="40" ht="25" customHeight="1">
      <x:c r="A40" s="2" t="str">
        <x:v>2026-10-14_Day</x:v>
      </x:c>
      <x:c r="B40" s="2" t="str">
        <x:v>次10場</x:v>
      </x:c>
      <x:c r="C40" s="6" t="n">
        <x:v>390000</x:v>
      </x:c>
      <x:c r="D40" s="6" t="n">
        <x:v>330000</x:v>
      </x:c>
      <x:c r="E40" s="6" t="n">
        <x:f>C40-D40</x:f>
        <x:v>60000</x:v>
      </x:c>
      <x:c r="F40" s="6" t="n">
        <x:f>F39+E40</x:f>
        <x:v>-17090000</x:v>
      </x:c>
      <x:c r="G40" s="6" t="n">
        <x:v>60000</x:v>
      </x:c>
      <x:c r="H40" s="6" t="n">
        <x:v>0</x:v>
      </x:c>
      <x:c r="I40" s="6" t="n">
        <x:v>-70000</x:v>
      </x:c>
      <x:c r="J40" s="6" t="n">
        <x:v>270000</x:v>
      </x:c>
      <x:c r="K40" s="11" t="n">
        <x:v>10</x:v>
      </x:c>
      <x:c r="L40" s="11" t="n">
        <x:v>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1980000</x:v>
      </x:c>
      <x:c r="D41" s="6" t="n">
        <x:v>2350000</x:v>
      </x:c>
      <x:c r="E41" s="6" t="n">
        <x:f>C41-D41</x:f>
        <x:v>-370000</x:v>
      </x:c>
      <x:c r="F41" s="6" t="n">
        <x:f>F40+E41</x:f>
        <x:v>-17460000</x:v>
      </x:c>
      <x:c r="G41" s="6" t="n">
        <x:v>-370000</x:v>
      </x:c>
      <x:c r="H41" s="6" t="n">
        <x:v>0</x:v>
      </x:c>
      <x:c r="I41" s="6" t="n">
        <x:v>-720000</x:v>
      </x:c>
      <x:c r="J41" s="6" t="n">
        <x:v>750000</x:v>
      </x:c>
      <x:c r="K41" s="11" t="n">
        <x:v>64</x:v>
      </x:c>
      <x:c r="L41" s="11" t="n">
        <x:v>0</x:v>
      </x:c>
    </x:row>
    <x:row r="42" ht="25" customHeight="1">
      <x:c r="A42" s="2" t="str">
        <x:v>2026-10-15_Day</x:v>
      </x:c>
      <x:c r="B42" s="2" t="str">
        <x:v>次10場</x:v>
      </x:c>
      <x:c r="C42" s="6" t="n">
        <x:v>850000</x:v>
      </x:c>
      <x:c r="D42" s="6" t="n">
        <x:v>1190000</x:v>
      </x:c>
      <x:c r="E42" s="6" t="n">
        <x:f>C42-D42</x:f>
        <x:v>-340000</x:v>
      </x:c>
      <x:c r="F42" s="6" t="n">
        <x:f>F41+E42</x:f>
        <x:v>-17800000</x:v>
      </x:c>
      <x:c r="G42" s="6" t="n">
        <x:v>-340000</x:v>
      </x:c>
      <x:c r="H42" s="6" t="n">
        <x:v>0</x:v>
      </x:c>
      <x:c r="I42" s="6" t="n">
        <x:v>-580000</x:v>
      </x:c>
      <x:c r="J42" s="6" t="n">
        <x:v>690000</x:v>
      </x:c>
      <x:c r="K42" s="11" t="n">
        <x:v>32</x:v>
      </x:c>
      <x:c r="L42" s="11" t="n">
        <x:v>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2690000</x:v>
      </x:c>
      <x:c r="D43" s="6" t="n">
        <x:v>3530000</x:v>
      </x:c>
      <x:c r="E43" s="6" t="n">
        <x:f>C43-D43</x:f>
        <x:v>-840000</x:v>
      </x:c>
      <x:c r="F43" s="6" t="n">
        <x:f>F42+E43</x:f>
        <x:v>-18640000</x:v>
      </x:c>
      <x:c r="G43" s="6" t="n">
        <x:v>-840000</x:v>
      </x:c>
      <x:c r="H43" s="6" t="n">
        <x:v>0</x:v>
      </x:c>
      <x:c r="I43" s="6" t="n">
        <x:v>-920000</x:v>
      </x:c>
      <x:c r="J43" s="6" t="n">
        <x:v>950000</x:v>
      </x:c>
      <x:c r="K43" s="11" t="n">
        <x:v>99</x:v>
      </x:c>
      <x:c r="L43" s="11" t="n">
        <x:v>0</x:v>
      </x:c>
    </x:row>
    <x:row r="44" ht="25" customHeight="1">
      <x:c r="A44" s="2" t="str">
        <x:v>2026-10-16_Day</x:v>
      </x:c>
      <x:c r="B44" s="2" t="str">
        <x:v>次10場</x:v>
      </x:c>
      <x:c r="C44" s="6" t="n">
        <x:v>500000</x:v>
      </x:c>
      <x:c r="D44" s="6" t="n">
        <x:v>540000</x:v>
      </x:c>
      <x:c r="E44" s="6" t="n">
        <x:f>C44-D44</x:f>
        <x:v>-40000</x:v>
      </x:c>
      <x:c r="F44" s="6" t="n">
        <x:f>F43+E44</x:f>
        <x:v>-18680000</x:v>
      </x:c>
      <x:c r="G44" s="6" t="n">
        <x:v>-40000</x:v>
      </x:c>
      <x:c r="H44" s="6" t="n">
        <x:v>0</x:v>
      </x:c>
      <x:c r="I44" s="6" t="n">
        <x:v>-300000</x:v>
      </x:c>
      <x:c r="J44" s="6" t="n">
        <x:v>350000</x:v>
      </x:c>
      <x:c r="K44" s="11" t="n">
        <x:v>16</x:v>
      </x:c>
      <x:c r="L44" s="11" t="n">
        <x:v>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1930000</x:v>
      </x:c>
      <x:c r="D45" s="6" t="n">
        <x:v>3860000</x:v>
      </x:c>
      <x:c r="E45" s="6" t="n">
        <x:f>C45-D45</x:f>
        <x:v>-1930000</x:v>
      </x:c>
      <x:c r="F45" s="6" t="n">
        <x:f>F44+E45</x:f>
        <x:v>-20610000</x:v>
      </x:c>
      <x:c r="G45" s="6" t="n">
        <x:v>-1930000</x:v>
      </x:c>
      <x:c r="H45" s="6" t="n">
        <x:v>0</x:v>
      </x:c>
      <x:c r="I45" s="6" t="n">
        <x:v>-2430000</x:v>
      </x:c>
      <x:c r="J45" s="6" t="n">
        <x:v>2440000</x:v>
      </x:c>
      <x:c r="K45" s="11" t="n">
        <x:v>100</x:v>
      </x:c>
      <x:c r="L45" s="11" t="n">
        <x:v>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100000</x:v>
      </x:c>
      <x:c r="D46" s="6" t="n">
        <x:v>1350000</x:v>
      </x:c>
      <x:c r="E46" s="6" t="n">
        <x:f>C46-D46</x:f>
        <x:v>-1250000</x:v>
      </x:c>
      <x:c r="F46" s="6" t="n">
        <x:f>F45+E46</x:f>
        <x:v>-21860000</x:v>
      </x:c>
      <x:c r="G46" s="6" t="n">
        <x:v>-1250000</x:v>
      </x:c>
      <x:c r="H46" s="6" t="n">
        <x:v>0</x:v>
      </x:c>
      <x:c r="I46" s="6" t="n">
        <x:v>-1370000</x:v>
      </x:c>
      <x:c r="J46" s="6" t="n">
        <x:v>1390000</x:v>
      </x:c>
      <x:c r="K46" s="11" t="n">
        <x:v>28</x:v>
      </x:c>
      <x:c r="L46" s="11" t="n">
        <x:v>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1380000</x:v>
      </x:c>
      <x:c r="D47" s="6" t="n">
        <x:v>2790000</x:v>
      </x:c>
      <x:c r="E47" s="6" t="n">
        <x:f>C47-D47</x:f>
        <x:v>-1410000</x:v>
      </x:c>
      <x:c r="F47" s="6" t="n">
        <x:f>F46+E47</x:f>
        <x:v>-23270000</x:v>
      </x:c>
      <x:c r="G47" s="6" t="n">
        <x:v>-1410000</x:v>
      </x:c>
      <x:c r="H47" s="6" t="n">
        <x:v>0</x:v>
      </x:c>
      <x:c r="I47" s="6" t="n">
        <x:v>-1470000</x:v>
      </x:c>
      <x:c r="J47" s="6" t="n">
        <x:v>1470000</x:v>
      </x:c>
      <x:c r="K47" s="11" t="n">
        <x:v>72</x:v>
      </x:c>
      <x:c r="L47" s="11" t="n">
        <x:v>0</x:v>
      </x:c>
    </x:row>
    <x:row r="48" ht="25" customHeight="1">
      <x:c r="A48" s="2" t="str">
        <x:v>2026-10-20_Day</x:v>
      </x:c>
      <x:c r="B48" s="2" t="str">
        <x:v>後13場</x:v>
      </x:c>
      <x:c r="C48" s="6" t="n">
        <x:v>490000</x:v>
      </x:c>
      <x:c r="D48" s="6" t="n">
        <x:v>590000</x:v>
      </x:c>
      <x:c r="E48" s="6" t="n">
        <x:f>C48-D48</x:f>
        <x:v>-100000</x:v>
      </x:c>
      <x:c r="F48" s="6" t="n">
        <x:f>F47+E48</x:f>
        <x:v>-23370000</x:v>
      </x:c>
      <x:c r="G48" s="6" t="n">
        <x:v>-100000</x:v>
      </x:c>
      <x:c r="H48" s="6" t="n">
        <x:v>0</x:v>
      </x:c>
      <x:c r="I48" s="6" t="n">
        <x:v>-200000</x:v>
      </x:c>
      <x:c r="J48" s="6" t="n">
        <x:v>300000</x:v>
      </x:c>
      <x:c r="K48" s="11" t="n">
        <x:v>17</x:v>
      </x:c>
      <x:c r="L48" s="11" t="n">
        <x:v>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3010000</x:v>
      </x:c>
      <x:c r="D49" s="6" t="n">
        <x:v>4010000</x:v>
      </x:c>
      <x:c r="E49" s="6" t="n">
        <x:f>C49-D49</x:f>
        <x:v>-1000000</x:v>
      </x:c>
      <x:c r="F49" s="6" t="n">
        <x:f>F48+E49</x:f>
        <x:v>-24370000</x:v>
      </x:c>
      <x:c r="G49" s="6" t="n">
        <x:v>-1000000</x:v>
      </x:c>
      <x:c r="H49" s="6" t="n">
        <x:v>0</x:v>
      </x:c>
      <x:c r="I49" s="6" t="n">
        <x:v>-1000000</x:v>
      </x:c>
      <x:c r="J49" s="6" t="n">
        <x:v>1100000</x:v>
      </x:c>
      <x:c r="K49" s="11" t="n">
        <x:v>115</x:v>
      </x:c>
      <x:c r="L49" s="11" t="n">
        <x:v>0</x:v>
      </x:c>
    </x:row>
    <x:row r="50" ht="25" customHeight="1">
      <x:c r="A50" s="2" t="str">
        <x:v>2026-10-21_Day</x:v>
      </x:c>
      <x:c r="B50" s="2" t="str">
        <x:v>後13場</x:v>
      </x:c>
      <x:c r="C50" s="6" t="n">
        <x:v>200000</x:v>
      </x:c>
      <x:c r="D50" s="6" t="n">
        <x:v>740000</x:v>
      </x:c>
      <x:c r="E50" s="6" t="n">
        <x:f>C50-D50</x:f>
        <x:v>-540000</x:v>
      </x:c>
      <x:c r="F50" s="6" t="n">
        <x:f>F49+E50</x:f>
        <x:v>-24910000</x:v>
      </x:c>
      <x:c r="G50" s="6" t="n">
        <x:v>-540000</x:v>
      </x:c>
      <x:c r="H50" s="6" t="n">
        <x:v>0</x:v>
      </x:c>
      <x:c r="I50" s="6" t="n">
        <x:v>-540000</x:v>
      </x:c>
      <x:c r="J50" s="6" t="n">
        <x:v>590000</x:v>
      </x:c>
      <x:c r="K50" s="11" t="n">
        <x:v>17</x:v>
      </x:c>
      <x:c r="L50" s="11" t="n">
        <x:v>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2060000</x:v>
      </x:c>
      <x:c r="D51" s="6" t="n">
        <x:v>2960000</x:v>
      </x:c>
      <x:c r="E51" s="6" t="n">
        <x:f>C51-D51</x:f>
        <x:v>-900000</x:v>
      </x:c>
      <x:c r="F51" s="6" t="n">
        <x:f>F50+E51</x:f>
        <x:v>-25810000</x:v>
      </x:c>
      <x:c r="G51" s="6" t="n">
        <x:v>-900000</x:v>
      </x:c>
      <x:c r="H51" s="6" t="n">
        <x:v>0</x:v>
      </x:c>
      <x:c r="I51" s="6" t="n">
        <x:v>-990000</x:v>
      </x:c>
      <x:c r="J51" s="6" t="n">
        <x:v>1130000</x:v>
      </x:c>
      <x:c r="K51" s="11" t="n">
        <x:v>82</x:v>
      </x:c>
      <x:c r="L51" s="11" t="n">
        <x:v>0</x:v>
      </x:c>
    </x:row>
    <x:row r="52" ht="25" customHeight="1">
      <x:c r="A52" s="2" t="str">
        <x:v>2026-10-22_Day</x:v>
      </x:c>
      <x:c r="B52" s="2" t="str">
        <x:v>後13場</x:v>
      </x:c>
      <x:c r="C52" s="6" t="n">
        <x:v>390000</x:v>
      </x:c>
      <x:c r="D52" s="6" t="n">
        <x:v>610000</x:v>
      </x:c>
      <x:c r="E52" s="6" t="n">
        <x:f>C52-D52</x:f>
        <x:v>-220000</x:v>
      </x:c>
      <x:c r="F52" s="6" t="n">
        <x:f>F51+E52</x:f>
        <x:v>-26030000</x:v>
      </x:c>
      <x:c r="G52" s="6" t="n">
        <x:v>-220000</x:v>
      </x:c>
      <x:c r="H52" s="6" t="n">
        <x:v>0</x:v>
      </x:c>
      <x:c r="I52" s="6" t="n">
        <x:v>-440000</x:v>
      </x:c>
      <x:c r="J52" s="6" t="n">
        <x:v>490000</x:v>
      </x:c>
      <x:c r="K52" s="11" t="n">
        <x:v>16</x:v>
      </x:c>
      <x:c r="L52" s="11" t="n">
        <x:v>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1580000</x:v>
      </x:c>
      <x:c r="D53" s="6" t="n">
        <x:v>3310000</x:v>
      </x:c>
      <x:c r="E53" s="6" t="n">
        <x:f>C53-D53</x:f>
        <x:v>-1730000</x:v>
      </x:c>
      <x:c r="F53" s="6" t="n">
        <x:f>F52+E53</x:f>
        <x:v>-27760000</x:v>
      </x:c>
      <x:c r="G53" s="6" t="n">
        <x:v>-1730000</x:v>
      </x:c>
      <x:c r="H53" s="6" t="n">
        <x:v>0</x:v>
      </x:c>
      <x:c r="I53" s="6" t="n">
        <x:v>-1820000</x:v>
      </x:c>
      <x:c r="J53" s="6" t="n">
        <x:v>1890000</x:v>
      </x:c>
      <x:c r="K53" s="11" t="n">
        <x:v>84</x:v>
      </x:c>
      <x:c r="L53" s="11" t="n">
        <x:v>0</x:v>
      </x:c>
    </x:row>
    <x:row r="54" ht="25" customHeight="1">
      <x:c r="A54" s="2" t="str">
        <x:v>2026-10-23_Day</x:v>
      </x:c>
      <x:c r="B54" s="2" t="str">
        <x:v>後13場</x:v>
      </x:c>
      <x:c r="C54" s="6" t="n">
        <x:v>710000</x:v>
      </x:c>
      <x:c r="D54" s="6" t="n">
        <x:v>2300000</x:v>
      </x:c>
      <x:c r="E54" s="6" t="n">
        <x:f>C54-D54</x:f>
        <x:v>-1590000</x:v>
      </x:c>
      <x:c r="F54" s="6" t="n">
        <x:f>F53+E54</x:f>
        <x:v>-29350000</x:v>
      </x:c>
      <x:c r="G54" s="6" t="n">
        <x:v>-1590000</x:v>
      </x:c>
      <x:c r="H54" s="6" t="n">
        <x:v>0</x:v>
      </x:c>
      <x:c r="I54" s="6" t="n">
        <x:v>-1590000</x:v>
      </x:c>
      <x:c r="J54" s="6" t="n">
        <x:v>1660000</x:v>
      </x:c>
      <x:c r="K54" s="11" t="n">
        <x:v>42</x:v>
      </x:c>
      <x:c r="L54" s="11" t="n">
        <x:v>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3050000</x:v>
      </x:c>
      <x:c r="D55" s="6" t="n">
        <x:v>3180000</x:v>
      </x:c>
      <x:c r="E55" s="6" t="n">
        <x:f>C55-D55</x:f>
        <x:v>-130000</x:v>
      </x:c>
      <x:c r="F55" s="6" t="n">
        <x:f>F54+E55</x:f>
        <x:v>-29480000</x:v>
      </x:c>
      <x:c r="G55" s="6" t="n">
        <x:v>-130000</x:v>
      </x:c>
      <x:c r="H55" s="6" t="n">
        <x:v>0</x:v>
      </x:c>
      <x:c r="I55" s="6" t="n">
        <x:v>-660000</x:v>
      </x:c>
      <x:c r="J55" s="6" t="n">
        <x:v>760000</x:v>
      </x:c>
      <x:c r="K55" s="11" t="n">
        <x:v>97</x:v>
      </x:c>
      <x:c r="L55" s="11" t="n">
        <x:v>0</x:v>
      </x:c>
    </x:row>
    <x:row r="56" ht="25" customHeight="1">
      <x:c r="A56" s="2" t="str">
        <x:v>2026-10-26_Day</x:v>
      </x:c>
      <x:c r="B56" s="2" t="str">
        <x:v>後13場</x:v>
      </x:c>
      <x:c r="C56" s="6" t="n">
        <x:v>780000</x:v>
      </x:c>
      <x:c r="D56" s="6" t="n">
        <x:v>1230000</x:v>
      </x:c>
      <x:c r="E56" s="6" t="n">
        <x:f>C56-D56</x:f>
        <x:v>-450000</x:v>
      </x:c>
      <x:c r="F56" s="6" t="n">
        <x:f>F55+E56</x:f>
        <x:v>-29930000</x:v>
      </x:c>
      <x:c r="G56" s="6" t="n">
        <x:v>-450000</x:v>
      </x:c>
      <x:c r="H56" s="6" t="n">
        <x:v>0</x:v>
      </x:c>
      <x:c r="I56" s="6" t="n">
        <x:v>-640000</x:v>
      </x:c>
      <x:c r="J56" s="6" t="n">
        <x:v>740000</x:v>
      </x:c>
      <x:c r="K56" s="11" t="n">
        <x:v>33</x:v>
      </x:c>
      <x:c r="L56" s="11" t="n">
        <x:v>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1480000</x:v>
      </x:c>
      <x:c r="D57" s="6" t="n">
        <x:v>3010000</x:v>
      </x:c>
      <x:c r="E57" s="6" t="n">
        <x:f>C57-D57</x:f>
        <x:v>-1530000</x:v>
      </x:c>
      <x:c r="F57" s="6" t="n">
        <x:f>F56+E57</x:f>
        <x:v>-31460000</x:v>
      </x:c>
      <x:c r="G57" s="6" t="n">
        <x:v>-1530000</x:v>
      </x:c>
      <x:c r="H57" s="6" t="n">
        <x:v>0</x:v>
      </x:c>
      <x:c r="I57" s="6" t="n">
        <x:v>-1660000</x:v>
      </x:c>
      <x:c r="J57" s="6" t="n">
        <x:v>1680000</x:v>
      </x:c>
      <x:c r="K57" s="11" t="n">
        <x:v>78</x:v>
      </x:c>
      <x:c r="L57" s="11" t="n">
        <x:v>0</x:v>
      </x:c>
    </x:row>
    <x:row r="58" ht="25" customHeight="1">
      <x:c r="A58" s="2" t="str">
        <x:v>2026-10-27_Day</x:v>
      </x:c>
      <x:c r="B58" s="2" t="str">
        <x:v>後13場</x:v>
      </x:c>
      <x:c r="C58" s="6" t="n">
        <x:v>400000</x:v>
      </x:c>
      <x:c r="D58" s="6" t="n">
        <x:v>340000</x:v>
      </x:c>
      <x:c r="E58" s="6" t="n">
        <x:f>C58-D58</x:f>
        <x:v>60000</x:v>
      </x:c>
      <x:c r="F58" s="6" t="n">
        <x:f>F57+E58</x:f>
        <x:v>-31400000</x:v>
      </x:c>
      <x:c r="G58" s="6" t="n">
        <x:v>60000</x:v>
      </x:c>
      <x:c r="H58" s="6" t="n">
        <x:v>0</x:v>
      </x:c>
      <x:c r="I58" s="6" t="n">
        <x:v>-110000</x:v>
      </x:c>
      <x:c r="J58" s="6" t="n">
        <x:v>210000</x:v>
      </x:c>
      <x:c r="K58" s="11" t="n">
        <x:v>11</x:v>
      </x:c>
      <x:c r="L58" s="11" t="n">
        <x:v>0</x:v>
      </x:c>
    </x:row>
    <x:row r="59" ht="25" customHeight="1">
      <x:c r="A59" s="15" t="str">
        <x:v>累計／場内最悪値</x:v>
      </x:c>
      <x:c r="B59" s="15"/>
      <x:c r="C59" s="16" t="n">
        <x:f>SUM(C6:C58)</x:f>
        <x:v>45290000</x:v>
      </x:c>
      <x:c r="D59" s="16" t="n">
        <x:f>SUM(D6:D58)</x:f>
        <x:v>76690000</x:v>
      </x:c>
      <x:c r="E59" s="16" t="n">
        <x:f>C59-D59</x:f>
        <x:v>-31400000</x:v>
      </x:c>
      <x:c r="F59" s="16" t="n">
        <x:f>F58</x:f>
        <x:v>-31400000</x:v>
      </x:c>
      <x:c r="G59" s="16" t="n">
        <x:f>SUM(G6:G58)</x:f>
        <x:v>-31400000</x:v>
      </x:c>
      <x:c r="H59" s="16" t="n">
        <x:f>SUM(H6:H58)</x:f>
        <x:v>0</x:v>
      </x:c>
      <x:c r="I59" s="16" t="n">
        <x:f>MIN(I6:I58)</x:f>
        <x:v>-2430000</x:v>
      </x:c>
      <x:c r="J59" s="16" t="n">
        <x:f>MAX(J6:J58)</x:f>
        <x:v>2440000</x:v>
      </x:c>
      <x:c r="K59" s="17" t="n">
        <x:f>SUM(K6:K58)</x:f>
        <x:v>2019</x:v>
      </x:c>
      <x:c r="L59" s="17" t="n">
        <x:f>SUM(L6:L58)</x:f>
        <x:v>0</x:v>
      </x:c>
    </x:row>
  </x:sheetData>
  <x:conditionalFormatting sqref="E6:I58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6d3784c93f45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主+100/場末・カバーなし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0</x:v>
      </x:c>
      <x:c r="E6" s="6" t="n">
        <x:f>C6-D6</x:f>
        <x:v>200000</x:v>
      </x:c>
      <x:c r="F6" s="6" t="n">
        <x:f>E6</x:f>
        <x:v>200000</x:v>
      </x:c>
      <x:c r="G6" s="6" t="n">
        <x:v>200000</x:v>
      </x:c>
      <x:c r="H6" s="6" t="n">
        <x:v>0</x:v>
      </x:c>
      <x:c r="I6" s="6" t="n">
        <x:v>-60000</x:v>
      </x:c>
      <x:c r="J6" s="6" t="n">
        <x:v>130000</x:v>
      </x:c>
      <x:c r="K6" s="11" t="n">
        <x:v>2</x:v>
      </x:c>
      <x:c r="L6" s="11" t="n">
        <x:v>0</x:v>
      </x:c>
    </x:row>
    <x:row r="7" ht="25" customHeight="1">
      <x:c r="A7" s="2" t="str">
        <x:v>2026-09-21_Night</x:v>
      </x:c>
      <x:c r="B7" s="2" t="str">
        <x:v>前30場</x:v>
      </x:c>
      <x:c r="C7" s="6" t="n">
        <x:v>590000</x:v>
      </x:c>
      <x:c r="D7" s="6" t="n">
        <x:v>810000</x:v>
      </x:c>
      <x:c r="E7" s="6" t="n">
        <x:f>C7-D7</x:f>
        <x:v>-220000</x:v>
      </x:c>
      <x:c r="F7" s="6" t="n">
        <x:f>F6+E7</x:f>
        <x:v>-20000</x:v>
      </x:c>
      <x:c r="G7" s="6" t="n">
        <x:v>-220000</x:v>
      </x:c>
      <x:c r="H7" s="6" t="n">
        <x:v>0</x:v>
      </x:c>
      <x:c r="I7" s="6" t="n">
        <x:v>-350000</x:v>
      </x:c>
      <x:c r="J7" s="6" t="n">
        <x:v>530000</x:v>
      </x:c>
      <x:c r="K7" s="11" t="n">
        <x:v>7</x:v>
      </x:c>
      <x:c r="L7" s="11" t="n">
        <x:v>0</x:v>
      </x:c>
    </x:row>
    <x:row r="8" ht="25" customHeight="1">
      <x:c r="A8" s="2" t="str">
        <x:v>2026-09-22_Day</x:v>
      </x:c>
      <x:c r="B8" s="2" t="str">
        <x:v>前30場</x:v>
      </x:c>
      <x:c r="C8" s="6" t="n">
        <x:v>100000</x:v>
      </x:c>
      <x:c r="D8" s="6" t="n">
        <x:v>0</x:v>
      </x:c>
      <x:c r="E8" s="6" t="n">
        <x:f>C8-D8</x:f>
        <x:v>100000</x:v>
      </x:c>
      <x:c r="F8" s="6" t="n">
        <x:f>F7+E8</x:f>
        <x:v>80000</x:v>
      </x:c>
      <x:c r="G8" s="6" t="n">
        <x:v>100000</x:v>
      </x:c>
      <x:c r="H8" s="6" t="n">
        <x:v>0</x:v>
      </x:c>
      <x:c r="I8" s="6" t="n">
        <x:v>-320000</x:v>
      </x:c>
      <x:c r="J8" s="6" t="n">
        <x:v>400000</x:v>
      </x:c>
      <x:c r="K8" s="11" t="n">
        <x:v>1</x:v>
      </x:c>
      <x:c r="L8" s="11" t="n">
        <x:v>0</x:v>
      </x:c>
    </x:row>
    <x:row r="9" ht="25" customHeight="1">
      <x:c r="A9" s="2" t="str">
        <x:v>2026-09-22_Night</x:v>
      </x:c>
      <x:c r="B9" s="2" t="str">
        <x:v>前30場</x:v>
      </x:c>
      <x:c r="C9" s="6" t="n">
        <x:v>600000</x:v>
      </x:c>
      <x:c r="D9" s="6" t="n">
        <x:v>920000</x:v>
      </x:c>
      <x:c r="E9" s="6" t="n">
        <x:f>C9-D9</x:f>
        <x:v>-320000</x:v>
      </x:c>
      <x:c r="F9" s="6" t="n">
        <x:f>F8+E9</x:f>
        <x:v>-240000</x:v>
      </x:c>
      <x:c r="G9" s="6" t="n">
        <x:v>-320000</x:v>
      </x:c>
      <x:c r="H9" s="6" t="n">
        <x:v>0</x:v>
      </x:c>
      <x:c r="I9" s="6" t="n">
        <x:v>-490000</x:v>
      </x:c>
      <x:c r="J9" s="6" t="n">
        <x:v>620000</x:v>
      </x:c>
      <x:c r="K9" s="11" t="n">
        <x:v>7</x:v>
      </x:c>
      <x:c r="L9" s="11" t="n">
        <x:v>0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-240000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1070000</x:v>
      </x:c>
      <x:c r="E11" s="6" t="n">
        <x:f>C11-D11</x:f>
        <x:v>-490000</x:v>
      </x:c>
      <x:c r="F11" s="6" t="n">
        <x:f>F10+E11</x:f>
        <x:v>-730000</x:v>
      </x:c>
      <x:c r="G11" s="6" t="n">
        <x:v>-490000</x:v>
      </x:c>
      <x:c r="H11" s="6" t="n">
        <x:v>0</x:v>
      </x:c>
      <x:c r="I11" s="6" t="n">
        <x:v>-490000</x:v>
      </x:c>
      <x:c r="J11" s="6" t="n">
        <x:v>550000</x:v>
      </x:c>
      <x:c r="K11" s="11" t="n">
        <x:v>8</x:v>
      </x:c>
      <x:c r="L11" s="11" t="n">
        <x:v>0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300000</x:v>
      </x:c>
      <x:c r="D12" s="6" t="n">
        <x:v>0</x:v>
      </x:c>
      <x:c r="E12" s="6" t="n">
        <x:f>C12-D12</x:f>
        <x:v>300000</x:v>
      </x:c>
      <x:c r="F12" s="6" t="n">
        <x:f>F11+E12</x:f>
        <x:v>-430000</x:v>
      </x:c>
      <x:c r="G12" s="6" t="n">
        <x:v>300000</x:v>
      </x:c>
      <x:c r="H12" s="6" t="n">
        <x:v>0</x:v>
      </x:c>
      <x:c r="I12" s="6" t="n">
        <x:v>-420000</x:v>
      </x:c>
      <x:c r="J12" s="6" t="n">
        <x:v>420000</x:v>
      </x:c>
      <x:c r="K12" s="11" t="n">
        <x:v>3</x:v>
      </x:c>
      <x:c r="L12" s="11" t="n">
        <x:v>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500000</x:v>
      </x:c>
      <x:c r="D13" s="6" t="n">
        <x:v>710000</x:v>
      </x:c>
      <x:c r="E13" s="6" t="n">
        <x:f>C13-D13</x:f>
        <x:v>-210000</x:v>
      </x:c>
      <x:c r="F13" s="6" t="n">
        <x:f>F12+E13</x:f>
        <x:v>-640000</x:v>
      </x:c>
      <x:c r="G13" s="6" t="n">
        <x:v>-210000</x:v>
      </x:c>
      <x:c r="H13" s="6" t="n">
        <x:v>0</x:v>
      </x:c>
      <x:c r="I13" s="6" t="n">
        <x:v>-270000</x:v>
      </x:c>
      <x:c r="J13" s="6" t="n">
        <x:v>350000</x:v>
      </x:c>
      <x:c r="K13" s="11" t="n">
        <x:v>7</x:v>
      </x:c>
      <x:c r="L13" s="11" t="n">
        <x:v>0</x:v>
      </x:c>
    </x:row>
    <x:row r="14" ht="25" customHeight="1">
      <x:c r="A14" s="2" t="str">
        <x:v>2026-09-25_Day</x:v>
      </x:c>
      <x:c r="B14" s="2" t="str">
        <x:v>前30場</x:v>
      </x:c>
      <x:c r="C14" s="6" t="n">
        <x:v>90000</x:v>
      </x:c>
      <x:c r="D14" s="6" t="n">
        <x:v>700000</x:v>
      </x:c>
      <x:c r="E14" s="6" t="n">
        <x:f>C14-D14</x:f>
        <x:v>-610000</x:v>
      </x:c>
      <x:c r="F14" s="6" t="n">
        <x:f>F13+E14</x:f>
        <x:v>-1250000</x:v>
      </x:c>
      <x:c r="G14" s="6" t="n">
        <x:v>-610000</x:v>
      </x:c>
      <x:c r="H14" s="6" t="n">
        <x:v>0</x:v>
      </x:c>
      <x:c r="I14" s="6" t="n">
        <x:v>-730000</x:v>
      </x:c>
      <x:c r="J14" s="6" t="n">
        <x:v>800000</x:v>
      </x:c>
      <x:c r="K14" s="11" t="n">
        <x:v>2</x:v>
      </x:c>
      <x:c r="L14" s="11" t="n">
        <x:v>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460000</x:v>
      </x:c>
      <x:c r="D15" s="6" t="n">
        <x:v>650000</x:v>
      </x:c>
      <x:c r="E15" s="6" t="n">
        <x:f>C15-D15</x:f>
        <x:v>-190000</x:v>
      </x:c>
      <x:c r="F15" s="6" t="n">
        <x:f>F14+E15</x:f>
        <x:v>-1440000</x:v>
      </x:c>
      <x:c r="G15" s="6" t="n">
        <x:v>-190000</x:v>
      </x:c>
      <x:c r="H15" s="6" t="n">
        <x:v>0</x:v>
      </x:c>
      <x:c r="I15" s="6" t="n">
        <x:v>-220000</x:v>
      </x:c>
      <x:c r="J15" s="6" t="n">
        <x:v>220000</x:v>
      </x:c>
      <x:c r="K15" s="11" t="n">
        <x:v>7</x:v>
      </x:c>
      <x:c r="L15" s="11" t="n">
        <x:v>0</x:v>
      </x:c>
    </x:row>
    <x:row r="16" ht="25" customHeight="1">
      <x:c r="A16" s="2" t="str">
        <x:v>2026-09-28_Day</x:v>
      </x:c>
      <x:c r="B16" s="2" t="str">
        <x:v>前30場</x:v>
      </x:c>
      <x:c r="C16" s="6" t="n">
        <x:v>480000</x:v>
      </x:c>
      <x:c r="D16" s="6" t="n">
        <x:v>0</x:v>
      </x:c>
      <x:c r="E16" s="6" t="n">
        <x:f>C16-D16</x:f>
        <x:v>480000</x:v>
      </x:c>
      <x:c r="F16" s="6" t="n">
        <x:f>F15+E16</x:f>
        <x:v>-960000</x:v>
      </x:c>
      <x:c r="G16" s="6" t="n">
        <x:v>480000</x:v>
      </x:c>
      <x:c r="H16" s="6" t="n">
        <x:v>0</x:v>
      </x:c>
      <x:c r="I16" s="6" t="n">
        <x:v>-380000</x:v>
      </x:c>
      <x:c r="J16" s="6" t="n">
        <x:v>400000</x:v>
      </x:c>
      <x:c r="K16" s="11" t="n">
        <x:v>5</x:v>
      </x:c>
      <x:c r="L16" s="11" t="n">
        <x:v>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690000</x:v>
      </x:c>
      <x:c r="D17" s="6" t="n">
        <x:v>460000</x:v>
      </x:c>
      <x:c r="E17" s="6" t="n">
        <x:f>C17-D17</x:f>
        <x:v>230000</x:v>
      </x:c>
      <x:c r="F17" s="6" t="n">
        <x:f>F16+E17</x:f>
        <x:v>-730000</x:v>
      </x:c>
      <x:c r="G17" s="6" t="n">
        <x:v>230000</x:v>
      </x:c>
      <x:c r="H17" s="6" t="n">
        <x:v>0</x:v>
      </x:c>
      <x:c r="I17" s="6" t="n">
        <x:v>-140000</x:v>
      </x:c>
      <x:c r="J17" s="6" t="n">
        <x:v>210000</x:v>
      </x:c>
      <x:c r="K17" s="11" t="n">
        <x:v>9</x:v>
      </x:c>
      <x:c r="L17" s="11" t="n">
        <x:v>0</x:v>
      </x:c>
    </x:row>
    <x:row r="18" ht="25" customHeight="1">
      <x:c r="A18" s="2" t="str">
        <x:v>2026-09-29_Day</x:v>
      </x:c>
      <x:c r="B18" s="2" t="str">
        <x:v>前30場</x:v>
      </x:c>
      <x:c r="C18" s="6" t="n">
        <x:v>370000</x:v>
      </x:c>
      <x:c r="D18" s="6" t="n">
        <x:v>440000</x:v>
      </x:c>
      <x:c r="E18" s="6" t="n">
        <x:f>C18-D18</x:f>
        <x:v>-70000</x:v>
      </x:c>
      <x:c r="F18" s="6" t="n">
        <x:f>F17+E18</x:f>
        <x:v>-800000</x:v>
      </x:c>
      <x:c r="G18" s="6" t="n">
        <x:v>-70000</x:v>
      </x:c>
      <x:c r="H18" s="6" t="n">
        <x:v>0</x:v>
      </x:c>
      <x:c r="I18" s="6" t="n">
        <x:v>-680000</x:v>
      </x:c>
      <x:c r="J18" s="6" t="n">
        <x:v>730000</x:v>
      </x:c>
      <x:c r="K18" s="11" t="n">
        <x:v>5</x:v>
      </x:c>
      <x:c r="L18" s="11" t="n">
        <x:v>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690000</x:v>
      </x:c>
      <x:c r="D19" s="6" t="n">
        <x:v>690000</x:v>
      </x:c>
      <x:c r="E19" s="6" t="n">
        <x:f>C19-D19</x:f>
        <x:v>0</x:v>
      </x:c>
      <x:c r="F19" s="6" t="n">
        <x:f>F18+E19</x:f>
        <x:v>-800000</x:v>
      </x:c>
      <x:c r="G19" s="6" t="n">
        <x:v>0</x:v>
      </x:c>
      <x:c r="H19" s="6" t="n">
        <x:v>0</x:v>
      </x:c>
      <x:c r="I19" s="6" t="n">
        <x:v>-70000</x:v>
      </x:c>
      <x:c r="J19" s="6" t="n">
        <x:v>230000</x:v>
      </x:c>
      <x:c r="K19" s="11" t="n">
        <x:v>9</x:v>
      </x:c>
      <x:c r="L19" s="11" t="n">
        <x:v>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190000</x:v>
      </x:c>
      <x:c r="D20" s="6" t="n">
        <x:v>610000</x:v>
      </x:c>
      <x:c r="E20" s="6" t="n">
        <x:f>C20-D20</x:f>
        <x:v>-420000</x:v>
      </x:c>
      <x:c r="F20" s="6" t="n">
        <x:f>F19+E20</x:f>
        <x:v>-1220000</x:v>
      </x:c>
      <x:c r="G20" s="6" t="n">
        <x:v>-420000</x:v>
      </x:c>
      <x:c r="H20" s="6" t="n">
        <x:v>0</x:v>
      </x:c>
      <x:c r="I20" s="6" t="n">
        <x:v>-420000</x:v>
      </x:c>
      <x:c r="J20" s="6" t="n">
        <x:v>620000</x:v>
      </x:c>
      <x:c r="K20" s="11" t="n">
        <x:v>3</x:v>
      </x:c>
      <x:c r="L20" s="11" t="n">
        <x:v>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720000</x:v>
      </x:c>
      <x:c r="E21" s="6" t="n">
        <x:f>C21-D21</x:f>
        <x:v>-120000</x:v>
      </x:c>
      <x:c r="F21" s="6" t="n">
        <x:f>F20+E21</x:f>
        <x:v>-1340000</x:v>
      </x:c>
      <x:c r="G21" s="6" t="n">
        <x:v>-120000</x:v>
      </x:c>
      <x:c r="H21" s="6" t="n">
        <x:v>0</x:v>
      </x:c>
      <x:c r="I21" s="6" t="n">
        <x:v>-280000</x:v>
      </x:c>
      <x:c r="J21" s="6" t="n">
        <x:v>350000</x:v>
      </x:c>
      <x:c r="K21" s="11" t="n">
        <x:v>8</x:v>
      </x:c>
      <x:c r="L21" s="11" t="n">
        <x:v>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210000</x:v>
      </x:c>
      <x:c r="D22" s="6" t="n">
        <x:v>1620000</x:v>
      </x:c>
      <x:c r="E22" s="6" t="n">
        <x:f>C22-D22</x:f>
        <x:v>-1410000</x:v>
      </x:c>
      <x:c r="F22" s="6" t="n">
        <x:f>F21+E22</x:f>
        <x:v>-2750000</x:v>
      </x:c>
      <x:c r="G22" s="6" t="n">
        <x:v>-1410000</x:v>
      </x:c>
      <x:c r="H22" s="6" t="n">
        <x:v>0</x:v>
      </x:c>
      <x:c r="I22" s="6" t="n">
        <x:v>-1610000</x:v>
      </x:c>
      <x:c r="J22" s="6" t="n">
        <x:v>1830000</x:v>
      </x:c>
      <x:c r="K22" s="11" t="n">
        <x:v>3</x:v>
      </x:c>
      <x:c r="L22" s="11" t="n">
        <x:v>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860000</x:v>
      </x:c>
      <x:c r="D23" s="6" t="n">
        <x:v>860000</x:v>
      </x:c>
      <x:c r="E23" s="6" t="n">
        <x:f>C23-D23</x:f>
        <x:v>0</x:v>
      </x:c>
      <x:c r="F23" s="6" t="n">
        <x:f>F22+E23</x:f>
        <x:v>-2750000</x:v>
      </x:c>
      <x:c r="G23" s="6" t="n">
        <x:v>0</x:v>
      </x:c>
      <x:c r="H23" s="6" t="n">
        <x:v>0</x:v>
      </x:c>
      <x:c r="I23" s="6" t="n">
        <x:v>-170000</x:v>
      </x:c>
      <x:c r="J23" s="6" t="n">
        <x:v>280000</x:v>
      </x:c>
      <x:c r="K23" s="11" t="n">
        <x:v>11</x:v>
      </x:c>
      <x:c r="L23" s="11" t="n">
        <x:v>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300000</x:v>
      </x:c>
      <x:c r="D24" s="6" t="n">
        <x:v>300000</x:v>
      </x:c>
      <x:c r="E24" s="6" t="n">
        <x:f>C24-D24</x:f>
        <x:v>0</x:v>
      </x:c>
      <x:c r="F24" s="6" t="n">
        <x:f>F23+E24</x:f>
        <x:v>-2750000</x:v>
      </x:c>
      <x:c r="G24" s="6" t="n">
        <x:v>0</x:v>
      </x:c>
      <x:c r="H24" s="6" t="n">
        <x:v>0</x:v>
      </x:c>
      <x:c r="I24" s="6" t="n">
        <x:v>-320000</x:v>
      </x:c>
      <x:c r="J24" s="6" t="n">
        <x:v>440000</x:v>
      </x:c>
      <x:c r="K24" s="11" t="n">
        <x:v>5</x:v>
      </x:c>
      <x:c r="L24" s="11" t="n">
        <x:v>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1040000</x:v>
      </x:c>
      <x:c r="D25" s="6" t="n">
        <x:v>1170000</x:v>
      </x:c>
      <x:c r="E25" s="6" t="n">
        <x:f>C25-D25</x:f>
        <x:v>-130000</x:v>
      </x:c>
      <x:c r="F25" s="6" t="n">
        <x:f>F24+E25</x:f>
        <x:v>-2880000</x:v>
      </x:c>
      <x:c r="G25" s="6" t="n">
        <x:v>-130000</x:v>
      </x:c>
      <x:c r="H25" s="6" t="n">
        <x:v>0</x:v>
      </x:c>
      <x:c r="I25" s="6" t="n">
        <x:v>-420000</x:v>
      </x:c>
      <x:c r="J25" s="6" t="n">
        <x:v>490000</x:v>
      </x:c>
      <x:c r="K25" s="11" t="n">
        <x:v>13</x:v>
      </x:c>
      <x:c r="L25" s="11" t="n">
        <x:v>0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200000</x:v>
      </x:c>
      <x:c r="D26" s="6" t="n">
        <x:v>520000</x:v>
      </x:c>
      <x:c r="E26" s="6" t="n">
        <x:f>C26-D26</x:f>
        <x:v>-320000</x:v>
      </x:c>
      <x:c r="F26" s="6" t="n">
        <x:f>F25+E26</x:f>
        <x:v>-3200000</x:v>
      </x:c>
      <x:c r="G26" s="6" t="n">
        <x:v>-320000</x:v>
      </x:c>
      <x:c r="H26" s="6" t="n">
        <x:v>0</x:v>
      </x:c>
      <x:c r="I26" s="6" t="n">
        <x:v>-380000</x:v>
      </x:c>
      <x:c r="J26" s="6" t="n">
        <x:v>430000</x:v>
      </x:c>
      <x:c r="K26" s="11" t="n">
        <x:v>3</x:v>
      </x:c>
      <x:c r="L26" s="11" t="n">
        <x:v>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400000</x:v>
      </x:c>
      <x:c r="D27" s="6" t="n">
        <x:v>450000</x:v>
      </x:c>
      <x:c r="E27" s="6" t="n">
        <x:f>C27-D27</x:f>
        <x:v>-50000</x:v>
      </x:c>
      <x:c r="F27" s="6" t="n">
        <x:f>F26+E27</x:f>
        <x:v>-3250000</x:v>
      </x:c>
      <x:c r="G27" s="6" t="n">
        <x:v>-50000</x:v>
      </x:c>
      <x:c r="H27" s="6" t="n">
        <x:v>0</x:v>
      </x:c>
      <x:c r="I27" s="6" t="n">
        <x:v>-220000</x:v>
      </x:c>
      <x:c r="J27" s="6" t="n">
        <x:v>290000</x:v>
      </x:c>
      <x:c r="K27" s="11" t="n">
        <x:v>5</x:v>
      </x:c>
      <x:c r="L27" s="11" t="n">
        <x:v>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100000</x:v>
      </x:c>
      <x:c r="D28" s="6" t="n">
        <x:v>0</x:v>
      </x:c>
      <x:c r="E28" s="6" t="n">
        <x:f>C28-D28</x:f>
        <x:v>100000</x:v>
      </x:c>
      <x:c r="F28" s="6" t="n">
        <x:f>F27+E28</x:f>
        <x:v>-3150000</x:v>
      </x:c>
      <x:c r="G28" s="6" t="n">
        <x:v>100000</x:v>
      </x:c>
      <x:c r="H28" s="6" t="n">
        <x:v>0</x:v>
      </x:c>
      <x:c r="I28" s="6" t="n">
        <x:v>-160000</x:v>
      </x:c>
      <x:c r="J28" s="6" t="n">
        <x:v>160000</x:v>
      </x:c>
      <x:c r="K28" s="11" t="n">
        <x:v>1</x:v>
      </x:c>
      <x:c r="L28" s="11" t="n">
        <x:v>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590000</x:v>
      </x:c>
      <x:c r="D29" s="6" t="n">
        <x:v>530000</x:v>
      </x:c>
      <x:c r="E29" s="6" t="n">
        <x:f>C29-D29</x:f>
        <x:v>60000</x:v>
      </x:c>
      <x:c r="F29" s="6" t="n">
        <x:f>F28+E29</x:f>
        <x:v>-3090000</x:v>
      </x:c>
      <x:c r="G29" s="6" t="n">
        <x:v>60000</x:v>
      </x:c>
      <x:c r="H29" s="6" t="n">
        <x:v>0</x:v>
      </x:c>
      <x:c r="I29" s="6" t="n">
        <x:v>-120000</x:v>
      </x:c>
      <x:c r="J29" s="6" t="n">
        <x:v>200000</x:v>
      </x:c>
      <x:c r="K29" s="11" t="n">
        <x:v>7</x:v>
      </x:c>
      <x:c r="L29" s="11" t="n">
        <x:v>0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0</x:v>
      </x:c>
      <x:c r="E30" s="6" t="n">
        <x:f>C30-D30</x:f>
        <x:v>200000</x:v>
      </x:c>
      <x:c r="F30" s="6" t="n">
        <x:f>F29+E30</x:f>
        <x:v>-2890000</x:v>
      </x:c>
      <x:c r="G30" s="6" t="n">
        <x:v>200000</x:v>
      </x:c>
      <x:c r="H30" s="6" t="n">
        <x:v>0</x:v>
      </x:c>
      <x:c r="I30" s="6" t="n">
        <x:v>-100000</x:v>
      </x:c>
      <x:c r="J30" s="6" t="n">
        <x:v>180000</x:v>
      </x:c>
      <x:c r="K30" s="11" t="n">
        <x:v>2</x:v>
      </x:c>
      <x:c r="L30" s="11" t="n">
        <x:v>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790000</x:v>
      </x:c>
      <x:c r="D31" s="6" t="n">
        <x:v>930000</x:v>
      </x:c>
      <x:c r="E31" s="6" t="n">
        <x:f>C31-D31</x:f>
        <x:v>-140000</x:v>
      </x:c>
      <x:c r="F31" s="6" t="n">
        <x:f>F30+E31</x:f>
        <x:v>-3030000</x:v>
      </x:c>
      <x:c r="G31" s="6" t="n">
        <x:v>-140000</x:v>
      </x:c>
      <x:c r="H31" s="6" t="n">
        <x:v>0</x:v>
      </x:c>
      <x:c r="I31" s="6" t="n">
        <x:v>-150000</x:v>
      </x:c>
      <x:c r="J31" s="6" t="n">
        <x:v>180000</x:v>
      </x:c>
      <x:c r="K31" s="11" t="n">
        <x:v>10</x:v>
      </x:c>
      <x:c r="L31" s="11" t="n">
        <x:v>0</x:v>
      </x:c>
    </x:row>
    <x:row r="32" ht="25" customHeight="1">
      <x:c r="A32" s="2" t="str">
        <x:v>2026-10-08_Day</x:v>
      </x:c>
      <x:c r="B32" s="2" t="str">
        <x:v>前30場</x:v>
      </x:c>
      <x:c r="C32" s="6" t="n">
        <x:v>300000</x:v>
      </x:c>
      <x:c r="D32" s="6" t="n">
        <x:v>1110000</x:v>
      </x:c>
      <x:c r="E32" s="6" t="n">
        <x:f>C32-D32</x:f>
        <x:v>-810000</x:v>
      </x:c>
      <x:c r="F32" s="6" t="n">
        <x:f>F31+E32</x:f>
        <x:v>-3840000</x:v>
      </x:c>
      <x:c r="G32" s="6" t="n">
        <x:v>-810000</x:v>
      </x:c>
      <x:c r="H32" s="6" t="n">
        <x:v>0</x:v>
      </x:c>
      <x:c r="I32" s="6" t="n">
        <x:v>-810000</x:v>
      </x:c>
      <x:c r="J32" s="6" t="n">
        <x:v>1090000</x:v>
      </x:c>
      <x:c r="K32" s="11" t="n">
        <x:v>4</x:v>
      </x:c>
      <x:c r="L32" s="11" t="n">
        <x:v>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1190000</x:v>
      </x:c>
      <x:c r="D33" s="6" t="n">
        <x:v>1380000</x:v>
      </x:c>
      <x:c r="E33" s="6" t="n">
        <x:f>C33-D33</x:f>
        <x:v>-190000</x:v>
      </x:c>
      <x:c r="F33" s="6" t="n">
        <x:f>F32+E33</x:f>
        <x:v>-4030000</x:v>
      </x:c>
      <x:c r="G33" s="6" t="n">
        <x:v>-190000</x:v>
      </x:c>
      <x:c r="H33" s="6" t="n">
        <x:v>0</x:v>
      </x:c>
      <x:c r="I33" s="6" t="n">
        <x:v>-190000</x:v>
      </x:c>
      <x:c r="J33" s="6" t="n">
        <x:v>440000</x:v>
      </x:c>
      <x:c r="K33" s="11" t="n">
        <x:v>14</x:v>
      </x:c>
      <x:c r="L33" s="11" t="n">
        <x:v>0</x:v>
      </x:c>
    </x:row>
    <x:row r="34" ht="25" customHeight="1">
      <x:c r="A34" s="2" t="str">
        <x:v>2026-10-09_Day</x:v>
      </x:c>
      <x:c r="B34" s="2" t="str">
        <x:v>前30場</x:v>
      </x:c>
      <x:c r="C34" s="6" t="n">
        <x:v>500000</x:v>
      </x:c>
      <x:c r="D34" s="6" t="n">
        <x:v>950000</x:v>
      </x:c>
      <x:c r="E34" s="6" t="n">
        <x:f>C34-D34</x:f>
        <x:v>-450000</x:v>
      </x:c>
      <x:c r="F34" s="6" t="n">
        <x:f>F33+E34</x:f>
        <x:v>-4480000</x:v>
      </x:c>
      <x:c r="G34" s="6" t="n">
        <x:v>-450000</x:v>
      </x:c>
      <x:c r="H34" s="6" t="n">
        <x:v>0</x:v>
      </x:c>
      <x:c r="I34" s="6" t="n">
        <x:v>-500000</x:v>
      </x:c>
      <x:c r="J34" s="6" t="n">
        <x:v>1030000</x:v>
      </x:c>
      <x:c r="K34" s="11" t="n">
        <x:v>6</x:v>
      </x:c>
      <x:c r="L34" s="11" t="n">
        <x:v>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470000</x:v>
      </x:c>
      <x:c r="E35" s="6" t="n">
        <x:f>C35-D35</x:f>
        <x:v>20000</x:v>
      </x:c>
      <x:c r="F35" s="6" t="n">
        <x:f>F34+E35</x:f>
        <x:v>-4460000</x:v>
      </x:c>
      <x:c r="G35" s="6" t="n">
        <x:v>20000</x:v>
      </x:c>
      <x:c r="H35" s="6" t="n">
        <x:v>0</x:v>
      </x:c>
      <x:c r="I35" s="6" t="n">
        <x:v>-140000</x:v>
      </x:c>
      <x:c r="J35" s="6" t="n">
        <x:v>220000</x:v>
      </x:c>
      <x:c r="K35" s="11" t="n">
        <x:v>6</x:v>
      </x:c>
      <x:c r="L35" s="11" t="n">
        <x:v>0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-4460000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710000</x:v>
      </x:c>
      <x:c r="D37" s="6" t="n">
        <x:v>820000</x:v>
      </x:c>
      <x:c r="E37" s="6" t="n">
        <x:f>C37-D37</x:f>
        <x:v>-110000</x:v>
      </x:c>
      <x:c r="F37" s="6" t="n">
        <x:f>F36+E37</x:f>
        <x:v>-4570000</x:v>
      </x:c>
      <x:c r="G37" s="6" t="n">
        <x:v>-110000</x:v>
      </x:c>
      <x:c r="H37" s="6" t="n">
        <x:v>0</x:v>
      </x:c>
      <x:c r="I37" s="6" t="n">
        <x:v>-140000</x:v>
      </x:c>
      <x:c r="J37" s="6" t="n">
        <x:v>210000</x:v>
      </x:c>
      <x:c r="K37" s="11" t="n">
        <x:v>8</x:v>
      </x:c>
      <x:c r="L37" s="11" t="n">
        <x:v>0</x:v>
      </x:c>
    </x:row>
    <x:row r="38" ht="25" customHeight="1">
      <x:c r="A38" s="2" t="str">
        <x:v>2026-10-13_Day</x:v>
      </x:c>
      <x:c r="B38" s="2" t="str">
        <x:v>次10場</x:v>
      </x:c>
      <x:c r="C38" s="6" t="n">
        <x:v>490000</x:v>
      </x:c>
      <x:c r="D38" s="6" t="n">
        <x:v>0</x:v>
      </x:c>
      <x:c r="E38" s="6" t="n">
        <x:f>C38-D38</x:f>
        <x:v>490000</x:v>
      </x:c>
      <x:c r="F38" s="6" t="n">
        <x:f>F37+E38</x:f>
        <x:v>-4080000</x:v>
      </x:c>
      <x:c r="G38" s="6" t="n">
        <x:v>490000</x:v>
      </x:c>
      <x:c r="H38" s="6" t="n">
        <x:v>0</x:v>
      </x:c>
      <x:c r="I38" s="6" t="n">
        <x:v>-250000</x:v>
      </x:c>
      <x:c r="J38" s="6" t="n">
        <x:v>290000</x:v>
      </x:c>
      <x:c r="K38" s="11" t="n">
        <x:v>5</x:v>
      </x:c>
      <x:c r="L38" s="11" t="n">
        <x:v>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420000</x:v>
      </x:c>
      <x:c r="E39" s="6" t="n">
        <x:f>C39-D39</x:f>
        <x:v>-120000</x:v>
      </x:c>
      <x:c r="F39" s="6" t="n">
        <x:f>F38+E39</x:f>
        <x:v>-4200000</x:v>
      </x:c>
      <x:c r="G39" s="6" t="n">
        <x:v>-120000</x:v>
      </x:c>
      <x:c r="H39" s="6" t="n">
        <x:v>0</x:v>
      </x:c>
      <x:c r="I39" s="6" t="n">
        <x:v>-130000</x:v>
      </x:c>
      <x:c r="J39" s="6" t="n">
        <x:v>130000</x:v>
      </x:c>
      <x:c r="K39" s="11" t="n">
        <x:v>5</x:v>
      </x:c>
      <x:c r="L39" s="11" t="n">
        <x:v>0</x:v>
      </x:c>
    </x:row>
    <x:row r="40" ht="25" customHeight="1">
      <x:c r="A40" s="2" t="str">
        <x:v>2026-10-14_Day</x:v>
      </x:c>
      <x:c r="B40" s="2" t="str">
        <x:v>次10場</x:v>
      </x:c>
      <x:c r="C40" s="6" t="n">
        <x:v>400000</x:v>
      </x:c>
      <x:c r="D40" s="6" t="n">
        <x:v>360000</x:v>
      </x:c>
      <x:c r="E40" s="6" t="n">
        <x:f>C40-D40</x:f>
        <x:v>40000</x:v>
      </x:c>
      <x:c r="F40" s="6" t="n">
        <x:f>F39+E40</x:f>
        <x:v>-4160000</x:v>
      </x:c>
      <x:c r="G40" s="6" t="n">
        <x:v>40000</x:v>
      </x:c>
      <x:c r="H40" s="6" t="n">
        <x:v>0</x:v>
      </x:c>
      <x:c r="I40" s="6" t="n">
        <x:v>-340000</x:v>
      </x:c>
      <x:c r="J40" s="6" t="n">
        <x:v>530000</x:v>
      </x:c>
      <x:c r="K40" s="11" t="n">
        <x:v>5</x:v>
      </x:c>
      <x:c r="L40" s="11" t="n">
        <x:v>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1450000</x:v>
      </x:c>
      <x:c r="D41" s="6" t="n">
        <x:v>1940000</x:v>
      </x:c>
      <x:c r="E41" s="6" t="n">
        <x:f>C41-D41</x:f>
        <x:v>-490000</x:v>
      </x:c>
      <x:c r="F41" s="6" t="n">
        <x:f>F40+E41</x:f>
        <x:v>-4650000</x:v>
      </x:c>
      <x:c r="G41" s="6" t="n">
        <x:v>-490000</x:v>
      </x:c>
      <x:c r="H41" s="6" t="n">
        <x:v>0</x:v>
      </x:c>
      <x:c r="I41" s="6" t="n">
        <x:v>-520000</x:v>
      </x:c>
      <x:c r="J41" s="6" t="n">
        <x:v>730000</x:v>
      </x:c>
      <x:c r="K41" s="11" t="n">
        <x:v>14</x:v>
      </x:c>
      <x:c r="L41" s="11" t="n">
        <x:v>0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1140000</x:v>
      </x:c>
      <x:c r="D42" s="6" t="n">
        <x:v>1260000</x:v>
      </x:c>
      <x:c r="E42" s="6" t="n">
        <x:f>C42-D42</x:f>
        <x:v>-120000</x:v>
      </x:c>
      <x:c r="F42" s="6" t="n">
        <x:f>F41+E42</x:f>
        <x:v>-4770000</x:v>
      </x:c>
      <x:c r="G42" s="6" t="n">
        <x:v>-120000</x:v>
      </x:c>
      <x:c r="H42" s="6" t="n">
        <x:v>0</x:v>
      </x:c>
      <x:c r="I42" s="6" t="n">
        <x:v>-1030000</x:v>
      </x:c>
      <x:c r="J42" s="6" t="n">
        <x:v>1280000</x:v>
      </x:c>
      <x:c r="K42" s="11" t="n">
        <x:v>12</x:v>
      </x:c>
      <x:c r="L42" s="11" t="n">
        <x:v>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1560000</x:v>
      </x:c>
      <x:c r="D43" s="6" t="n">
        <x:v>1400000</x:v>
      </x:c>
      <x:c r="E43" s="6" t="n">
        <x:f>C43-D43</x:f>
        <x:v>160000</x:v>
      </x:c>
      <x:c r="F43" s="6" t="n">
        <x:f>F42+E43</x:f>
        <x:v>-4610000</x:v>
      </x:c>
      <x:c r="G43" s="6" t="n">
        <x:v>160000</x:v>
      </x:c>
      <x:c r="H43" s="6" t="n">
        <x:v>0</x:v>
      </x:c>
      <x:c r="I43" s="6" t="n">
        <x:v>-470000</x:v>
      </x:c>
      <x:c r="J43" s="6" t="n">
        <x:v>500000</x:v>
      </x:c>
      <x:c r="K43" s="11" t="n">
        <x:v>16</x:v>
      </x:c>
      <x:c r="L43" s="11" t="n">
        <x:v>0</x:v>
      </x:c>
    </x:row>
    <x:row r="44" ht="25" customHeight="1">
      <x:c r="A44" s="2" t="str">
        <x:v>2026-10-16_Day</x:v>
      </x:c>
      <x:c r="B44" s="2" t="str">
        <x:v>次10場</x:v>
      </x:c>
      <x:c r="C44" s="6" t="n">
        <x:v>990000</x:v>
      </x:c>
      <x:c r="D44" s="6" t="n">
        <x:v>170000</x:v>
      </x:c>
      <x:c r="E44" s="6" t="n">
        <x:f>C44-D44</x:f>
        <x:v>820000</x:v>
      </x:c>
      <x:c r="F44" s="6" t="n">
        <x:f>F43+E44</x:f>
        <x:v>-3790000</x:v>
      </x:c>
      <x:c r="G44" s="6" t="n">
        <x:v>820000</x:v>
      </x:c>
      <x:c r="H44" s="6" t="n">
        <x:v>0</x:v>
      </x:c>
      <x:c r="I44" s="6" t="n">
        <x:v>-60000</x:v>
      </x:c>
      <x:c r="J44" s="6" t="n">
        <x:v>490000</x:v>
      </x:c>
      <x:c r="K44" s="11" t="n">
        <x:v>11</x:v>
      </x:c>
      <x:c r="L44" s="11" t="n">
        <x:v>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1560000</x:v>
      </x:c>
      <x:c r="D45" s="6" t="n">
        <x:v>2060000</x:v>
      </x:c>
      <x:c r="E45" s="6" t="n">
        <x:f>C45-D45</x:f>
        <x:v>-500000</x:v>
      </x:c>
      <x:c r="F45" s="6" t="n">
        <x:f>F44+E45</x:f>
        <x:v>-4290000</x:v>
      </x:c>
      <x:c r="G45" s="6" t="n">
        <x:v>-500000</x:v>
      </x:c>
      <x:c r="H45" s="6" t="n">
        <x:v>0</x:v>
      </x:c>
      <x:c r="I45" s="6" t="n">
        <x:v>-540000</x:v>
      </x:c>
      <x:c r="J45" s="6" t="n">
        <x:v>710000</x:v>
      </x:c>
      <x:c r="K45" s="11" t="n">
        <x:v>17</x:v>
      </x:c>
      <x:c r="L45" s="11" t="n">
        <x:v>0</x:v>
      </x:c>
    </x:row>
    <x:row r="46" ht="25" customHeight="1">
      <x:c r="A46" s="2" t="str">
        <x:v>2026-10-19_Day</x:v>
      </x:c>
      <x:c r="B46" s="2" t="str">
        <x:v>後13場</x:v>
      </x:c>
      <x:c r="C46" s="6" t="n">
        <x:v>390000</x:v>
      </x:c>
      <x:c r="D46" s="6" t="n">
        <x:v>910000</x:v>
      </x:c>
      <x:c r="E46" s="6" t="n">
        <x:f>C46-D46</x:f>
        <x:v>-520000</x:v>
      </x:c>
      <x:c r="F46" s="6" t="n">
        <x:f>F45+E46</x:f>
        <x:v>-4810000</x:v>
      </x:c>
      <x:c r="G46" s="6" t="n">
        <x:v>-520000</x:v>
      </x:c>
      <x:c r="H46" s="6" t="n">
        <x:v>0</x:v>
      </x:c>
      <x:c r="I46" s="6" t="n">
        <x:v>-740000</x:v>
      </x:c>
      <x:c r="J46" s="6" t="n">
        <x:v>830000</x:v>
      </x:c>
      <x:c r="K46" s="11" t="n">
        <x:v>5</x:v>
      </x:c>
      <x:c r="L46" s="11" t="n">
        <x:v>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500000</x:v>
      </x:c>
      <x:c r="E47" s="6" t="n">
        <x:f>C47-D47</x:f>
        <x:v>80000</x:v>
      </x:c>
      <x:c r="F47" s="6" t="n">
        <x:f>F46+E47</x:f>
        <x:v>-4730000</x:v>
      </x:c>
      <x:c r="G47" s="6" t="n">
        <x:v>80000</x:v>
      </x:c>
      <x:c r="H47" s="6" t="n">
        <x:v>0</x:v>
      </x:c>
      <x:c r="I47" s="6" t="n">
        <x:v>-100000</x:v>
      </x:c>
      <x:c r="J47" s="6" t="n">
        <x:v>220000</x:v>
      </x:c>
      <x:c r="K47" s="11" t="n">
        <x:v>8</x:v>
      </x:c>
      <x:c r="L47" s="11" t="n">
        <x:v>0</x:v>
      </x:c>
    </x:row>
    <x:row r="48" ht="25" customHeight="1">
      <x:c r="A48" s="2" t="str">
        <x:v>2026-10-20_Day</x:v>
      </x:c>
      <x:c r="B48" s="2" t="str">
        <x:v>後13場</x:v>
      </x:c>
      <x:c r="C48" s="6" t="n">
        <x:v>470000</x:v>
      </x:c>
      <x:c r="D48" s="6" t="n">
        <x:v>460000</x:v>
      </x:c>
      <x:c r="E48" s="6" t="n">
        <x:f>C48-D48</x:f>
        <x:v>10000</x:v>
      </x:c>
      <x:c r="F48" s="6" t="n">
        <x:f>F47+E48</x:f>
        <x:v>-4720000</x:v>
      </x:c>
      <x:c r="G48" s="6" t="n">
        <x:v>10000</x:v>
      </x:c>
      <x:c r="H48" s="6" t="n">
        <x:v>0</x:v>
      </x:c>
      <x:c r="I48" s="6" t="n">
        <x:v>-420000</x:v>
      </x:c>
      <x:c r="J48" s="6" t="n">
        <x:v>580000</x:v>
      </x:c>
      <x:c r="K48" s="11" t="n">
        <x:v>6</x:v>
      </x:c>
      <x:c r="L48" s="11" t="n">
        <x:v>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1040000</x:v>
      </x:c>
      <x:c r="D49" s="6" t="n">
        <x:v>1330000</x:v>
      </x:c>
      <x:c r="E49" s="6" t="n">
        <x:f>C49-D49</x:f>
        <x:v>-290000</x:v>
      </x:c>
      <x:c r="F49" s="6" t="n">
        <x:f>F48+E49</x:f>
        <x:v>-5010000</x:v>
      </x:c>
      <x:c r="G49" s="6" t="n">
        <x:v>-290000</x:v>
      </x:c>
      <x:c r="H49" s="6" t="n">
        <x:v>0</x:v>
      </x:c>
      <x:c r="I49" s="6" t="n">
        <x:v>-320000</x:v>
      </x:c>
      <x:c r="J49" s="6" t="n">
        <x:v>420000</x:v>
      </x:c>
      <x:c r="K49" s="11" t="n">
        <x:v>12</x:v>
      </x:c>
      <x:c r="L49" s="11" t="n">
        <x:v>0</x:v>
      </x:c>
    </x:row>
    <x:row r="50" ht="25" customHeight="1">
      <x:c r="A50" s="2" t="str">
        <x:v>2026-10-21_Day</x:v>
      </x:c>
      <x:c r="B50" s="2" t="str">
        <x:v>後13場</x:v>
      </x:c>
      <x:c r="C50" s="6" t="n">
        <x:v>300000</x:v>
      </x:c>
      <x:c r="D50" s="6" t="n">
        <x:v>470000</x:v>
      </x:c>
      <x:c r="E50" s="6" t="n">
        <x:f>C50-D50</x:f>
        <x:v>-170000</x:v>
      </x:c>
      <x:c r="F50" s="6" t="n">
        <x:f>F49+E50</x:f>
        <x:v>-5180000</x:v>
      </x:c>
      <x:c r="G50" s="6" t="n">
        <x:v>-170000</x:v>
      </x:c>
      <x:c r="H50" s="6" t="n">
        <x:v>0</x:v>
      </x:c>
      <x:c r="I50" s="6" t="n">
        <x:v>-420000</x:v>
      </x:c>
      <x:c r="J50" s="6" t="n">
        <x:v>470000</x:v>
      </x:c>
      <x:c r="K50" s="11" t="n">
        <x:v>4</x:v>
      </x:c>
      <x:c r="L50" s="11" t="n">
        <x:v>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600000</x:v>
      </x:c>
      <x:c r="D51" s="6" t="n">
        <x:v>650000</x:v>
      </x:c>
      <x:c r="E51" s="6" t="n">
        <x:f>C51-D51</x:f>
        <x:v>-50000</x:v>
      </x:c>
      <x:c r="F51" s="6" t="n">
        <x:f>F50+E51</x:f>
        <x:v>-5230000</x:v>
      </x:c>
      <x:c r="G51" s="6" t="n">
        <x:v>-50000</x:v>
      </x:c>
      <x:c r="H51" s="6" t="n">
        <x:v>0</x:v>
      </x:c>
      <x:c r="I51" s="6" t="n">
        <x:v>-190000</x:v>
      </x:c>
      <x:c r="J51" s="6" t="n">
        <x:v>190000</x:v>
      </x:c>
      <x:c r="K51" s="11" t="n">
        <x:v>8</x:v>
      </x:c>
      <x:c r="L51" s="11" t="n">
        <x:v>0</x:v>
      </x:c>
    </x:row>
    <x:row r="52" ht="25" customHeight="1">
      <x:c r="A52" s="2" t="str">
        <x:v>2026-10-22_Day</x:v>
      </x:c>
      <x:c r="B52" s="2" t="str">
        <x:v>後13場</x:v>
      </x:c>
      <x:c r="C52" s="6" t="n">
        <x:v>590000</x:v>
      </x:c>
      <x:c r="D52" s="6" t="n">
        <x:v>1760000</x:v>
      </x:c>
      <x:c r="E52" s="6" t="n">
        <x:f>C52-D52</x:f>
        <x:v>-1170000</x:v>
      </x:c>
      <x:c r="F52" s="6" t="n">
        <x:f>F51+E52</x:f>
        <x:v>-6400000</x:v>
      </x:c>
      <x:c r="G52" s="6" t="n">
        <x:v>-1170000</x:v>
      </x:c>
      <x:c r="H52" s="6" t="n">
        <x:v>0</x:v>
      </x:c>
      <x:c r="I52" s="6" t="n">
        <x:v>-1410000</x:v>
      </x:c>
      <x:c r="J52" s="6" t="n">
        <x:v>1550000</x:v>
      </x:c>
      <x:c r="K52" s="11" t="n">
        <x:v>7</x:v>
      </x:c>
      <x:c r="L52" s="11" t="n">
        <x:v>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900000</x:v>
      </x:c>
      <x:c r="D53" s="6" t="n">
        <x:v>1200000</x:v>
      </x:c>
      <x:c r="E53" s="6" t="n">
        <x:f>C53-D53</x:f>
        <x:v>-300000</x:v>
      </x:c>
      <x:c r="F53" s="6" t="n">
        <x:f>F52+E53</x:f>
        <x:v>-6700000</x:v>
      </x:c>
      <x:c r="G53" s="6" t="n">
        <x:v>-300000</x:v>
      </x:c>
      <x:c r="H53" s="6" t="n">
        <x:v>0</x:v>
      </x:c>
      <x:c r="I53" s="6" t="n">
        <x:v>-310000</x:v>
      </x:c>
      <x:c r="J53" s="6" t="n">
        <x:v>540000</x:v>
      </x:c>
      <x:c r="K53" s="11" t="n">
        <x:v>11</x:v>
      </x:c>
      <x:c r="L53" s="11" t="n">
        <x:v>0</x:v>
      </x:c>
    </x:row>
    <x:row r="54" ht="25" customHeight="1">
      <x:c r="A54" s="2" t="str">
        <x:v>2026-10-23_Day</x:v>
      </x:c>
      <x:c r="B54" s="2" t="str">
        <x:v>後13場</x:v>
      </x:c>
      <x:c r="C54" s="6" t="n">
        <x:v>1480000</x:v>
      </x:c>
      <x:c r="D54" s="6" t="n">
        <x:v>1130000</x:v>
      </x:c>
      <x:c r="E54" s="6" t="n">
        <x:f>C54-D54</x:f>
        <x:v>350000</x:v>
      </x:c>
      <x:c r="F54" s="6" t="n">
        <x:f>F53+E54</x:f>
        <x:v>-6350000</x:v>
      </x:c>
      <x:c r="G54" s="6" t="n">
        <x:v>350000</x:v>
      </x:c>
      <x:c r="H54" s="6" t="n">
        <x:v>0</x:v>
      </x:c>
      <x:c r="I54" s="6" t="n">
        <x:v>-150000</x:v>
      </x:c>
      <x:c r="J54" s="6" t="n">
        <x:v>910000</x:v>
      </x:c>
      <x:c r="K54" s="11" t="n">
        <x:v>16</x:v>
      </x:c>
      <x:c r="L54" s="11" t="n">
        <x:v>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650000</x:v>
      </x:c>
      <x:c r="E55" s="6" t="n">
        <x:f>C55-D55</x:f>
        <x:v>-150000</x:v>
      </x:c>
      <x:c r="F55" s="6" t="n">
        <x:f>F54+E55</x:f>
        <x:v>-6500000</x:v>
      </x:c>
      <x:c r="G55" s="6" t="n">
        <x:v>-150000</x:v>
      </x:c>
      <x:c r="H55" s="6" t="n">
        <x:v>0</x:v>
      </x:c>
      <x:c r="I55" s="6" t="n">
        <x:v>-170000</x:v>
      </x:c>
      <x:c r="J55" s="6" t="n">
        <x:v>210000</x:v>
      </x:c>
      <x:c r="K55" s="11" t="n">
        <x:v>7</x:v>
      </x:c>
      <x:c r="L55" s="11" t="n">
        <x:v>0</x:v>
      </x:c>
    </x:row>
    <x:row r="56" ht="25" customHeight="1">
      <x:c r="A56" s="2" t="str">
        <x:v>2026-10-26_Day</x:v>
      </x:c>
      <x:c r="B56" s="2" t="str">
        <x:v>後13場</x:v>
      </x:c>
      <x:c r="C56" s="6" t="n">
        <x:v>410000</x:v>
      </x:c>
      <x:c r="D56" s="6" t="n">
        <x:v>660000</x:v>
      </x:c>
      <x:c r="E56" s="6" t="n">
        <x:f>C56-D56</x:f>
        <x:v>-250000</x:v>
      </x:c>
      <x:c r="F56" s="6" t="n">
        <x:f>F55+E56</x:f>
        <x:v>-6750000</x:v>
      </x:c>
      <x:c r="G56" s="6" t="n">
        <x:v>-250000</x:v>
      </x:c>
      <x:c r="H56" s="6" t="n">
        <x:v>0</x:v>
      </x:c>
      <x:c r="I56" s="6" t="n">
        <x:v>-380000</x:v>
      </x:c>
      <x:c r="J56" s="6" t="n">
        <x:v>380000</x:v>
      </x:c>
      <x:c r="K56" s="11" t="n">
        <x:v>5</x:v>
      </x:c>
      <x:c r="L56" s="11" t="n">
        <x:v>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680000</x:v>
      </x:c>
      <x:c r="D57" s="6" t="n">
        <x:v>900000</x:v>
      </x:c>
      <x:c r="E57" s="6" t="n">
        <x:f>C57-D57</x:f>
        <x:v>-220000</x:v>
      </x:c>
      <x:c r="F57" s="6" t="n">
        <x:f>F56+E57</x:f>
        <x:v>-6970000</x:v>
      </x:c>
      <x:c r="G57" s="6" t="n">
        <x:v>-220000</x:v>
      </x:c>
      <x:c r="H57" s="6" t="n">
        <x:v>0</x:v>
      </x:c>
      <x:c r="I57" s="6" t="n">
        <x:v>-240000</x:v>
      </x:c>
      <x:c r="J57" s="6" t="n">
        <x:v>320000</x:v>
      </x:c>
      <x:c r="K57" s="11" t="n">
        <x:v>9</x:v>
      </x:c>
      <x:c r="L57" s="11" t="n">
        <x:v>0</x:v>
      </x:c>
    </x:row>
    <x:row r="58" ht="25" customHeight="1">
      <x:c r="A58" s="2" t="str">
        <x:v>2026-10-27_Day</x:v>
      </x:c>
      <x:c r="B58" s="2" t="str">
        <x:v>後13場</x:v>
      </x:c>
      <x:c r="C58" s="6" t="n">
        <x:v>900000</x:v>
      </x:c>
      <x:c r="D58" s="6" t="n">
        <x:v>0</x:v>
      </x:c>
      <x:c r="E58" s="6" t="n">
        <x:f>C58-D58</x:f>
        <x:v>900000</x:v>
      </x:c>
      <x:c r="F58" s="6" t="n">
        <x:f>F57+E58</x:f>
        <x:v>-6070000</x:v>
      </x:c>
      <x:c r="G58" s="6" t="n">
        <x:v>900000</x:v>
      </x:c>
      <x:c r="H58" s="6" t="n">
        <x:v>0</x:v>
      </x:c>
      <x:c r="I58" s="6" t="n">
        <x:v>-100000</x:v>
      </x:c>
      <x:c r="J58" s="6" t="n">
        <x:v>340000</x:v>
      </x:c>
      <x:c r="K58" s="11" t="n">
        <x:v>9</x:v>
      </x:c>
      <x:c r="L58" s="11" t="n">
        <x:v>0</x:v>
      </x:c>
    </x:row>
    <x:row r="59" ht="25" customHeight="1">
      <x:c r="A59" s="15" t="str">
        <x:v>累計／場内最悪値</x:v>
      </x:c>
      <x:c r="B59" s="15"/>
      <x:c r="C59" s="16" t="n">
        <x:f>SUM(C6:C58)</x:f>
        <x:v>31050000</x:v>
      </x:c>
      <x:c r="D59" s="16" t="n">
        <x:f>SUM(D6:D58)</x:f>
        <x:v>37120000</x:v>
      </x:c>
      <x:c r="E59" s="16" t="n">
        <x:f>C59-D59</x:f>
        <x:v>-6070000</x:v>
      </x:c>
      <x:c r="F59" s="16" t="n">
        <x:f>F58</x:f>
        <x:v>-6070000</x:v>
      </x:c>
      <x:c r="G59" s="16" t="n">
        <x:f>SUM(G6:G58)</x:f>
        <x:v>-6070000</x:v>
      </x:c>
      <x:c r="H59" s="16" t="n">
        <x:f>SUM(H6:H58)</x:f>
        <x:v>0</x:v>
      </x:c>
      <x:c r="I59" s="16" t="n">
        <x:f>MIN(I6:I58)</x:f>
        <x:v>-1610000</x:v>
      </x:c>
      <x:c r="J59" s="16" t="n">
        <x:f>MAX(J6:J58)</x:f>
        <x:v>1830000</x:v>
      </x:c>
      <x:c r="K59" s="17" t="n">
        <x:f>SUM(K6:K58)</x:f>
        <x:v>373</x:v>
      </x:c>
      <x:c r="L59" s="17" t="n">
        <x:f>SUM(L6:L58)</x:f>
        <x:v>0</x:v>
      </x:c>
    </x:row>
  </x:sheetData>
  <x:conditionalFormatting sqref="E6:I58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1c3972787f4e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H01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段20・利益20起動・追尾10・固定段再交差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207000</x:v>
      </x:c>
      <x:c r="D6" s="6" t="n">
        <x:v>133000</x:v>
      </x:c>
      <x:c r="E6" s="6" t="n">
        <x:f>C6-D6</x:f>
        <x:v>74000</x:v>
      </x:c>
      <x:c r="F6" s="6" t="n">
        <x:f>E6</x:f>
        <x:v>74000</x:v>
      </x:c>
      <x:c r="G6" s="6" t="n">
        <x:v>200000</x:v>
      </x:c>
      <x:c r="H6" s="6" t="n">
        <x:v>-126000</x:v>
      </x:c>
      <x:c r="I6" s="6" t="n">
        <x:v>-61000</x:v>
      </x:c>
      <x:c r="J6" s="6" t="n">
        <x:v>121000</x:v>
      </x:c>
      <x:c r="K6" s="11" t="n">
        <x:v>2</x:v>
      </x:c>
      <x:c r="L6" s="11" t="n">
        <x:v>10</x:v>
      </x:c>
    </x:row>
    <x:row r="7" ht="25" customHeight="1">
      <x:c r="A7" s="2" t="str">
        <x:v>2026-09-21_Night</x:v>
      </x:c>
      <x:c r="B7" s="2" t="str">
        <x:v>前30場</x:v>
      </x:c>
      <x:c r="C7" s="6" t="n">
        <x:v>539000</x:v>
      </x:c>
      <x:c r="D7" s="6" t="n">
        <x:v>810000</x:v>
      </x:c>
      <x:c r="E7" s="6" t="n">
        <x:f>C7-D7</x:f>
        <x:v>-271000</x:v>
      </x:c>
      <x:c r="F7" s="6" t="n">
        <x:f>F6+E7</x:f>
        <x:v>-197000</x:v>
      </x:c>
      <x:c r="G7" s="6" t="n">
        <x:v>-308000</x:v>
      </x:c>
      <x:c r="H7" s="6" t="n">
        <x:v>37000</x:v>
      </x:c>
      <x:c r="I7" s="6" t="n">
        <x:v>-401000</x:v>
      </x:c>
      <x:c r="J7" s="6" t="n">
        <x:v>521000</x:v>
      </x:c>
      <x:c r="K7" s="11" t="n">
        <x:v>7</x:v>
      </x:c>
      <x:c r="L7" s="11" t="n">
        <x:v>29</x:v>
      </x:c>
    </x:row>
    <x:row r="8" ht="25" customHeight="1">
      <x:c r="A8" s="2" t="str">
        <x:v>2026-09-22_Day</x:v>
      </x:c>
      <x:c r="B8" s="2" t="str">
        <x:v>前30場</x:v>
      </x:c>
      <x:c r="C8" s="6" t="n">
        <x:v>184000</x:v>
      </x:c>
      <x:c r="D8" s="6" t="n">
        <x:v>212000</x:v>
      </x:c>
      <x:c r="E8" s="6" t="n">
        <x:f>C8-D8</x:f>
        <x:v>-28000</x:v>
      </x:c>
      <x:c r="F8" s="6" t="n">
        <x:f>F7+E8</x:f>
        <x:v>-225000</x:v>
      </x:c>
      <x:c r="G8" s="6" t="n">
        <x:v>100000</x:v>
      </x:c>
      <x:c r="H8" s="6" t="n">
        <x:v>-128000</x:v>
      </x:c>
      <x:c r="I8" s="6" t="n">
        <x:v>-271000</x:v>
      </x:c>
      <x:c r="J8" s="6" t="n">
        <x:v>338000</x:v>
      </x:c>
      <x:c r="K8" s="11" t="n">
        <x:v>1</x:v>
      </x:c>
      <x:c r="L8" s="11" t="n">
        <x:v>57</x:v>
      </x:c>
    </x:row>
    <x:row r="9" ht="25" customHeight="1">
      <x:c r="A9" s="2" t="str">
        <x:v>2026-09-22_Night</x:v>
      </x:c>
      <x:c r="B9" s="2" t="str">
        <x:v>前30場</x:v>
      </x:c>
      <x:c r="C9" s="6" t="n">
        <x:v>702000</x:v>
      </x:c>
      <x:c r="D9" s="6" t="n">
        <x:v>920000</x:v>
      </x:c>
      <x:c r="E9" s="6" t="n">
        <x:f>C9-D9</x:f>
        <x:v>-218000</x:v>
      </x:c>
      <x:c r="F9" s="6" t="n">
        <x:f>F8+E9</x:f>
        <x:v>-443000</x:v>
      </x:c>
      <x:c r="G9" s="6" t="n">
        <x:v>-250000</x:v>
      </x:c>
      <x:c r="H9" s="6" t="n">
        <x:v>32000</x:v>
      </x:c>
      <x:c r="I9" s="6" t="n">
        <x:v>-388000</x:v>
      </x:c>
      <x:c r="J9" s="6" t="n">
        <x:v>511000</x:v>
      </x:c>
      <x:c r="K9" s="11" t="n">
        <x:v>8</x:v>
      </x:c>
      <x:c r="L9" s="11" t="n">
        <x:v>25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-443000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552000</x:v>
      </x:c>
      <x:c r="D11" s="6" t="n">
        <x:v>1070000</x:v>
      </x:c>
      <x:c r="E11" s="6" t="n">
        <x:f>C11-D11</x:f>
        <x:v>-518000</x:v>
      </x:c>
      <x:c r="F11" s="6" t="n">
        <x:f>F10+E11</x:f>
        <x:v>-961000</x:v>
      </x:c>
      <x:c r="G11" s="6" t="n">
        <x:v>-540000</x:v>
      </x:c>
      <x:c r="H11" s="6" t="n">
        <x:v>22000</x:v>
      </x:c>
      <x:c r="I11" s="6" t="n">
        <x:v>-518000</x:v>
      </x:c>
      <x:c r="J11" s="6" t="n">
        <x:v>578000</x:v>
      </x:c>
      <x:c r="K11" s="11" t="n">
        <x:v>8</x:v>
      </x:c>
      <x:c r="L11" s="11" t="n">
        <x:v>18</x:v>
      </x:c>
    </x:row>
    <x:row r="12" ht="25" customHeight="1">
      <x:c r="A12" s="2" t="str">
        <x:v>2026-09-24_Day</x:v>
      </x:c>
      <x:c r="B12" s="2" t="str">
        <x:v>前30場</x:v>
      </x:c>
      <x:c r="C12" s="6" t="n">
        <x:v>408000</x:v>
      </x:c>
      <x:c r="D12" s="6" t="n">
        <x:v>211000</x:v>
      </x:c>
      <x:c r="E12" s="6" t="n">
        <x:f>C12-D12</x:f>
        <x:v>197000</x:v>
      </x:c>
      <x:c r="F12" s="6" t="n">
        <x:f>F11+E12</x:f>
        <x:v>-764000</x:v>
      </x:c>
      <x:c r="G12" s="6" t="n">
        <x:v>300000</x:v>
      </x:c>
      <x:c r="H12" s="6" t="n">
        <x:v>-103000</x:v>
      </x:c>
      <x:c r="I12" s="6" t="n">
        <x:v>-355000</x:v>
      </x:c>
      <x:c r="J12" s="6" t="n">
        <x:v>355000</x:v>
      </x:c>
      <x:c r="K12" s="11" t="n">
        <x:v>3</x:v>
      </x:c>
      <x:c r="L12" s="11" t="n">
        <x:v>74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512000</x:v>
      </x:c>
      <x:c r="D13" s="6" t="n">
        <x:v>734000</x:v>
      </x:c>
      <x:c r="E13" s="6" t="n">
        <x:f>C13-D13</x:f>
        <x:v>-222000</x:v>
      </x:c>
      <x:c r="F13" s="6" t="n">
        <x:f>F12+E13</x:f>
        <x:v>-986000</x:v>
      </x:c>
      <x:c r="G13" s="6" t="n">
        <x:v>-276000</x:v>
      </x:c>
      <x:c r="H13" s="6" t="n">
        <x:v>54000</x:v>
      </x:c>
      <x:c r="I13" s="6" t="n">
        <x:v>-282000</x:v>
      </x:c>
      <x:c r="J13" s="6" t="n">
        <x:v>362000</x:v>
      </x:c>
      <x:c r="K13" s="11" t="n">
        <x:v>9</x:v>
      </x:c>
      <x:c r="L13" s="11" t="n">
        <x:v>27</x:v>
      </x:c>
    </x:row>
    <x:row r="14" ht="25" customHeight="1">
      <x:c r="A14" s="2" t="str">
        <x:v>2026-09-25_Day</x:v>
      </x:c>
      <x:c r="B14" s="2" t="str">
        <x:v>前30場</x:v>
      </x:c>
      <x:c r="C14" s="6" t="n">
        <x:v>137000</x:v>
      </x:c>
      <x:c r="D14" s="6" t="n">
        <x:v>700000</x:v>
      </x:c>
      <x:c r="E14" s="6" t="n">
        <x:f>C14-D14</x:f>
        <x:v>-563000</x:v>
      </x:c>
      <x:c r="F14" s="6" t="n">
        <x:f>F13+E14</x:f>
        <x:v>-1549000</x:v>
      </x:c>
      <x:c r="G14" s="6" t="n">
        <x:v>-655000</x:v>
      </x:c>
      <x:c r="H14" s="6" t="n">
        <x:v>92000</x:v>
      </x:c>
      <x:c r="I14" s="6" t="n">
        <x:v>-683000</x:v>
      </x:c>
      <x:c r="J14" s="6" t="n">
        <x:v>741000</x:v>
      </x:c>
      <x:c r="K14" s="11" t="n">
        <x:v>3</x:v>
      </x:c>
      <x:c r="L14" s="11" t="n">
        <x:v>63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516000</x:v>
      </x:c>
      <x:c r="D15" s="6" t="n">
        <x:v>711000</x:v>
      </x:c>
      <x:c r="E15" s="6" t="n">
        <x:f>C15-D15</x:f>
        <x:v>-195000</x:v>
      </x:c>
      <x:c r="F15" s="6" t="n">
        <x:f>F14+E15</x:f>
        <x:v>-1744000</x:v>
      </x:c>
      <x:c r="G15" s="6" t="n">
        <x:v>-179000</x:v>
      </x:c>
      <x:c r="H15" s="6" t="n">
        <x:v>-16000</x:v>
      </x:c>
      <x:c r="I15" s="6" t="n">
        <x:v>-215000</x:v>
      </x:c>
      <x:c r="J15" s="6" t="n">
        <x:v>215000</x:v>
      </x:c>
      <x:c r="K15" s="11" t="n">
        <x:v>11</x:v>
      </x:c>
      <x:c r="L15" s="11" t="n">
        <x:v>33</x:v>
      </x:c>
    </x:row>
    <x:row r="16" ht="25" customHeight="1">
      <x:c r="A16" s="2" t="str">
        <x:v>2026-09-28_Day</x:v>
      </x:c>
      <x:c r="B16" s="2" t="str">
        <x:v>前30場</x:v>
      </x:c>
      <x:c r="C16" s="6" t="n">
        <x:v>465000</x:v>
      </x:c>
      <x:c r="D16" s="6" t="n">
        <x:v>320000</x:v>
      </x:c>
      <x:c r="E16" s="6" t="n">
        <x:f>C16-D16</x:f>
        <x:v>145000</x:v>
      </x:c>
      <x:c r="F16" s="6" t="n">
        <x:f>F15+E16</x:f>
        <x:v>-1599000</x:v>
      </x:c>
      <x:c r="G16" s="6" t="n">
        <x:v>414000</x:v>
      </x:c>
      <x:c r="H16" s="6" t="n">
        <x:v>-269000</x:v>
      </x:c>
      <x:c r="I16" s="6" t="n">
        <x:v>-386000</x:v>
      </x:c>
      <x:c r="J16" s="6" t="n">
        <x:v>386000</x:v>
      </x:c>
      <x:c r="K16" s="11" t="n">
        <x:v>5</x:v>
      </x:c>
      <x:c r="L16" s="11" t="n">
        <x:v>47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783000</x:v>
      </x:c>
      <x:c r="D17" s="6" t="n">
        <x:v>664000</x:v>
      </x:c>
      <x:c r="E17" s="6" t="n">
        <x:f>C17-D17</x:f>
        <x:v>119000</x:v>
      </x:c>
      <x:c r="F17" s="6" t="n">
        <x:f>F16+E17</x:f>
        <x:v>-1480000</x:v>
      </x:c>
      <x:c r="G17" s="6" t="n">
        <x:v>562000</x:v>
      </x:c>
      <x:c r="H17" s="6" t="n">
        <x:v>-443000</x:v>
      </x:c>
      <x:c r="I17" s="6" t="n">
        <x:v>-231000</x:v>
      </x:c>
      <x:c r="J17" s="6" t="n">
        <x:v>244000</x:v>
      </x:c>
      <x:c r="K17" s="11" t="n">
        <x:v>18</x:v>
      </x:c>
      <x:c r="L17" s="11" t="n">
        <x:v>56</x:v>
      </x:c>
    </x:row>
    <x:row r="18" ht="25" customHeight="1">
      <x:c r="A18" s="2" t="str">
        <x:v>2026-09-29_Day</x:v>
      </x:c>
      <x:c r="B18" s="2" t="str">
        <x:v>前30場</x:v>
      </x:c>
      <x:c r="C18" s="6" t="n">
        <x:v>619000</x:v>
      </x:c>
      <x:c r="D18" s="6" t="n">
        <x:v>591000</x:v>
      </x:c>
      <x:c r="E18" s="6" t="n">
        <x:f>C18-D18</x:f>
        <x:v>28000</x:v>
      </x:c>
      <x:c r="F18" s="6" t="n">
        <x:f>F17+E18</x:f>
        <x:v>-1452000</x:v>
      </x:c>
      <x:c r="G18" s="6" t="n">
        <x:v>14000</x:v>
      </x:c>
      <x:c r="H18" s="6" t="n">
        <x:v>14000</x:v>
      </x:c>
      <x:c r="I18" s="6" t="n">
        <x:v>-590000</x:v>
      </x:c>
      <x:c r="J18" s="6" t="n">
        <x:v>668000</x:v>
      </x:c>
      <x:c r="K18" s="11" t="n">
        <x:v>7</x:v>
      </x:c>
      <x:c r="L18" s="11" t="n">
        <x:v>88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674000</x:v>
      </x:c>
      <x:c r="D19" s="6" t="n">
        <x:v>919000</x:v>
      </x:c>
      <x:c r="E19" s="6" t="n">
        <x:f>C19-D19</x:f>
        <x:v>-245000</x:v>
      </x:c>
      <x:c r="F19" s="6" t="n">
        <x:f>F18+E19</x:f>
        <x:v>-1697000</x:v>
      </x:c>
      <x:c r="G19" s="6" t="n">
        <x:v>23000</x:v>
      </x:c>
      <x:c r="H19" s="6" t="n">
        <x:v>-268000</x:v>
      </x:c>
      <x:c r="I19" s="6" t="n">
        <x:v>-269000</x:v>
      </x:c>
      <x:c r="J19" s="6" t="n">
        <x:v>269000</x:v>
      </x:c>
      <x:c r="K19" s="11" t="n">
        <x:v>16</x:v>
      </x:c>
      <x:c r="L19" s="11" t="n">
        <x:v>59</x:v>
      </x:c>
    </x:row>
    <x:row r="20" ht="25" customHeight="1">
      <x:c r="A20" s="2" t="str">
        <x:v>2026-09-30_Day</x:v>
      </x:c>
      <x:c r="B20" s="2" t="str">
        <x:v>前30場</x:v>
      </x:c>
      <x:c r="C20" s="6" t="n">
        <x:v>259000</x:v>
      </x:c>
      <x:c r="D20" s="6" t="n">
        <x:v>794000</x:v>
      </x:c>
      <x:c r="E20" s="6" t="n">
        <x:f>C20-D20</x:f>
        <x:v>-535000</x:v>
      </x:c>
      <x:c r="F20" s="6" t="n">
        <x:f>F19+E20</x:f>
        <x:v>-2232000</x:v>
      </x:c>
      <x:c r="G20" s="6" t="n">
        <x:v>-420000</x:v>
      </x:c>
      <x:c r="H20" s="6" t="n">
        <x:v>-115000</x:v>
      </x:c>
      <x:c r="I20" s="6" t="n">
        <x:v>-535000</x:v>
      </x:c>
      <x:c r="J20" s="6" t="n">
        <x:v>665000</x:v>
      </x:c>
      <x:c r="K20" s="11" t="n">
        <x:v>3</x:v>
      </x:c>
      <x:c r="L20" s="11" t="n">
        <x:v>51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555000</x:v>
      </x:c>
      <x:c r="D21" s="6" t="n">
        <x:v>777000</x:v>
      </x:c>
      <x:c r="E21" s="6" t="n">
        <x:f>C21-D21</x:f>
        <x:v>-222000</x:v>
      </x:c>
      <x:c r="F21" s="6" t="n">
        <x:f>F20+E21</x:f>
        <x:v>-2454000</x:v>
      </x:c>
      <x:c r="G21" s="6" t="n">
        <x:v>-229000</x:v>
      </x:c>
      <x:c r="H21" s="6" t="n">
        <x:v>7000</x:v>
      </x:c>
      <x:c r="I21" s="6" t="n">
        <x:v>-360000</x:v>
      </x:c>
      <x:c r="J21" s="6" t="n">
        <x:v>360000</x:v>
      </x:c>
      <x:c r="K21" s="11" t="n">
        <x:v>13</x:v>
      </x:c>
      <x:c r="L21" s="11" t="n">
        <x:v>49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245000</x:v>
      </x:c>
      <x:c r="D22" s="6" t="n">
        <x:v>1726000</x:v>
      </x:c>
      <x:c r="E22" s="6" t="n">
        <x:f>C22-D22</x:f>
        <x:v>-1481000</x:v>
      </x:c>
      <x:c r="F22" s="6" t="n">
        <x:f>F21+E22</x:f>
        <x:v>-3935000</x:v>
      </x:c>
      <x:c r="G22" s="6" t="n">
        <x:v>-1487000</x:v>
      </x:c>
      <x:c r="H22" s="6" t="n">
        <x:v>6000</x:v>
      </x:c>
      <x:c r="I22" s="6" t="n">
        <x:v>-1681000</x:v>
      </x:c>
      <x:c r="J22" s="6" t="n">
        <x:v>1696000</x:v>
      </x:c>
      <x:c r="K22" s="11" t="n">
        <x:v>3</x:v>
      </x:c>
      <x:c r="L22" s="11" t="n">
        <x:v>81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1008000</x:v>
      </x:c>
      <x:c r="D23" s="6" t="n">
        <x:v>876000</x:v>
      </x:c>
      <x:c r="E23" s="6" t="n">
        <x:f>C23-D23</x:f>
        <x:v>132000</x:v>
      </x:c>
      <x:c r="F23" s="6" t="n">
        <x:f>F22+E23</x:f>
        <x:v>-3803000</x:v>
      </x:c>
      <x:c r="G23" s="6" t="n">
        <x:v>101000</x:v>
      </x:c>
      <x:c r="H23" s="6" t="n">
        <x:v>31000</x:v>
      </x:c>
      <x:c r="I23" s="6" t="n">
        <x:v>-148000</x:v>
      </x:c>
      <x:c r="J23" s="6" t="n">
        <x:v>251000</x:v>
      </x:c>
      <x:c r="K23" s="11" t="n">
        <x:v>15</x:v>
      </x:c>
      <x:c r="L23" s="11" t="n">
        <x:v>33</x:v>
      </x:c>
    </x:row>
    <x:row r="24" ht="25" customHeight="1">
      <x:c r="A24" s="2" t="str">
        <x:v>2026-10-02_Day</x:v>
      </x:c>
      <x:c r="B24" s="2" t="str">
        <x:v>前30場</x:v>
      </x:c>
      <x:c r="C24" s="6" t="n">
        <x:v>319000</x:v>
      </x:c>
      <x:c r="D24" s="6" t="n">
        <x:v>480000</x:v>
      </x:c>
      <x:c r="E24" s="6" t="n">
        <x:f>C24-D24</x:f>
        <x:v>-161000</x:v>
      </x:c>
      <x:c r="F24" s="6" t="n">
        <x:f>F23+E24</x:f>
        <x:v>-3964000</x:v>
      </x:c>
      <x:c r="G24" s="6" t="n">
        <x:v>60000</x:v>
      </x:c>
      <x:c r="H24" s="6" t="n">
        <x:v>-221000</x:v>
      </x:c>
      <x:c r="I24" s="6" t="n">
        <x:v>-301000</x:v>
      </x:c>
      <x:c r="J24" s="6" t="n">
        <x:v>389000</x:v>
      </x:c>
      <x:c r="K24" s="11" t="n">
        <x:v>4</x:v>
      </x:c>
      <x:c r="L24" s="11" t="n">
        <x:v>68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1032000</x:v>
      </x:c>
      <x:c r="D25" s="6" t="n">
        <x:v>1215000</x:v>
      </x:c>
      <x:c r="E25" s="6" t="n">
        <x:f>C25-D25</x:f>
        <x:v>-183000</x:v>
      </x:c>
      <x:c r="F25" s="6" t="n">
        <x:f>F24+E25</x:f>
        <x:v>-4147000</x:v>
      </x:c>
      <x:c r="G25" s="6" t="n">
        <x:v>-116000</x:v>
      </x:c>
      <x:c r="H25" s="6" t="n">
        <x:v>-67000</x:v>
      </x:c>
      <x:c r="I25" s="6" t="n">
        <x:v>-465000</x:v>
      </x:c>
      <x:c r="J25" s="6" t="n">
        <x:v>508000</x:v>
      </x:c>
      <x:c r="K25" s="11" t="n">
        <x:v>22</x:v>
      </x:c>
      <x:c r="L25" s="11" t="n">
        <x:v>32</x:v>
      </x:c>
    </x:row>
    <x:row r="26" ht="25" customHeight="1">
      <x:c r="A26" s="2" t="str">
        <x:v>2026-10-05_Day</x:v>
      </x:c>
      <x:c r="B26" s="2" t="str">
        <x:v>前30場</x:v>
      </x:c>
      <x:c r="C26" s="6" t="n">
        <x:v>295000</x:v>
      </x:c>
      <x:c r="D26" s="6" t="n">
        <x:v>538000</x:v>
      </x:c>
      <x:c r="E26" s="6" t="n">
        <x:f>C26-D26</x:f>
        <x:v>-243000</x:v>
      </x:c>
      <x:c r="F26" s="6" t="n">
        <x:f>F25+E26</x:f>
        <x:v>-4390000</x:v>
      </x:c>
      <x:c r="G26" s="6" t="n">
        <x:v>-164000</x:v>
      </x:c>
      <x:c r="H26" s="6" t="n">
        <x:v>-79000</x:v>
      </x:c>
      <x:c r="I26" s="6" t="n">
        <x:v>-285000</x:v>
      </x:c>
      <x:c r="J26" s="6" t="n">
        <x:v>335000</x:v>
      </x:c>
      <x:c r="K26" s="11" t="n">
        <x:v>3</x:v>
      </x:c>
      <x:c r="L26" s="11" t="n">
        <x:v>59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435000</x:v>
      </x:c>
      <x:c r="D27" s="6" t="n">
        <x:v>582000</x:v>
      </x:c>
      <x:c r="E27" s="6" t="n">
        <x:f>C27-D27</x:f>
        <x:v>-147000</x:v>
      </x:c>
      <x:c r="F27" s="6" t="n">
        <x:f>F26+E27</x:f>
        <x:v>-4537000</x:v>
      </x:c>
      <x:c r="G27" s="6" t="n">
        <x:v>-102000</x:v>
      </x:c>
      <x:c r="H27" s="6" t="n">
        <x:v>-45000</x:v>
      </x:c>
      <x:c r="I27" s="6" t="n">
        <x:v>-265000</x:v>
      </x:c>
      <x:c r="J27" s="6" t="n">
        <x:v>285000</x:v>
      </x:c>
      <x:c r="K27" s="11" t="n">
        <x:v>10</x:v>
      </x:c>
      <x:c r="L27" s="11" t="n">
        <x:v>37</x:v>
      </x:c>
    </x:row>
    <x:row r="28" ht="25" customHeight="1">
      <x:c r="A28" s="2" t="str">
        <x:v>2026-10-06_Day</x:v>
      </x:c>
      <x:c r="B28" s="2" t="str">
        <x:v>前30場</x:v>
      </x:c>
      <x:c r="C28" s="6" t="n">
        <x:v>115000</x:v>
      </x:c>
      <x:c r="D28" s="6" t="n">
        <x:v>146000</x:v>
      </x:c>
      <x:c r="E28" s="6" t="n">
        <x:f>C28-D28</x:f>
        <x:v>-31000</x:v>
      </x:c>
      <x:c r="F28" s="6" t="n">
        <x:f>F27+E28</x:f>
        <x:v>-4568000</x:v>
      </x:c>
      <x:c r="G28" s="6" t="n">
        <x:v>100000</x:v>
      </x:c>
      <x:c r="H28" s="6" t="n">
        <x:v>-131000</x:v>
      </x:c>
      <x:c r="I28" s="6" t="n">
        <x:v>-145000</x:v>
      </x:c>
      <x:c r="J28" s="6" t="n">
        <x:v>145000</x:v>
      </x:c>
      <x:c r="K28" s="11" t="n">
        <x:v>1</x:v>
      </x:c>
      <x:c r="L28" s="11" t="n">
        <x:v>16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562000</x:v>
      </x:c>
      <x:c r="D29" s="6" t="n">
        <x:v>738000</x:v>
      </x:c>
      <x:c r="E29" s="6" t="n">
        <x:f>C29-D29</x:f>
        <x:v>-176000</x:v>
      </x:c>
      <x:c r="F29" s="6" t="n">
        <x:f>F28+E29</x:f>
        <x:v>-4744000</x:v>
      </x:c>
      <x:c r="G29" s="6" t="n">
        <x:v>7000</x:v>
      </x:c>
      <x:c r="H29" s="6" t="n">
        <x:v>-183000</x:v>
      </x:c>
      <x:c r="I29" s="6" t="n">
        <x:v>-319000</x:v>
      </x:c>
      <x:c r="J29" s="6" t="n">
        <x:v>351000</x:v>
      </x:c>
      <x:c r="K29" s="11" t="n">
        <x:v>12</x:v>
      </x:c>
      <x:c r="L29" s="11" t="n">
        <x:v>46</x:v>
      </x:c>
    </x:row>
    <x:row r="30" ht="25" customHeight="1">
      <x:c r="A30" s="2" t="str">
        <x:v>2026-10-07_Day</x:v>
      </x:c>
      <x:c r="B30" s="2" t="str">
        <x:v>前30場</x:v>
      </x:c>
      <x:c r="C30" s="6" t="n">
        <x:v>178000</x:v>
      </x:c>
      <x:c r="D30" s="6" t="n">
        <x:v>157000</x:v>
      </x:c>
      <x:c r="E30" s="6" t="n">
        <x:f>C30-D30</x:f>
        <x:v>21000</x:v>
      </x:c>
      <x:c r="F30" s="6" t="n">
        <x:f>F29+E30</x:f>
        <x:v>-4723000</x:v>
      </x:c>
      <x:c r="G30" s="6" t="n">
        <x:v>170000</x:v>
      </x:c>
      <x:c r="H30" s="6" t="n">
        <x:v>-149000</x:v>
      </x:c>
      <x:c r="I30" s="6" t="n">
        <x:v>-93000</x:v>
      </x:c>
      <x:c r="J30" s="6" t="n">
        <x:v>163000</x:v>
      </x:c>
      <x:c r="K30" s="11" t="n">
        <x:v>2</x:v>
      </x:c>
      <x:c r="L30" s="11" t="n">
        <x:v>13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778000</x:v>
      </x:c>
      <x:c r="D31" s="6" t="n">
        <x:v>930000</x:v>
      </x:c>
      <x:c r="E31" s="6" t="n">
        <x:f>C31-D31</x:f>
        <x:v>-152000</x:v>
      </x:c>
      <x:c r="F31" s="6" t="n">
        <x:f>F30+E31</x:f>
        <x:v>-4875000</x:v>
      </x:c>
      <x:c r="G31" s="6" t="n">
        <x:v>-188000</x:v>
      </x:c>
      <x:c r="H31" s="6" t="n">
        <x:v>36000</x:v>
      </x:c>
      <x:c r="I31" s="6" t="n">
        <x:v>-162000</x:v>
      </x:c>
      <x:c r="J31" s="6" t="n">
        <x:v>180000</x:v>
      </x:c>
      <x:c r="K31" s="11" t="n">
        <x:v>12</x:v>
      </x:c>
      <x:c r="L31" s="11" t="n">
        <x:v>24</x:v>
      </x:c>
    </x:row>
    <x:row r="32" ht="25" customHeight="1">
      <x:c r="A32" s="2" t="str">
        <x:v>2026-10-08_Day</x:v>
      </x:c>
      <x:c r="B32" s="2" t="str">
        <x:v>前30場</x:v>
      </x:c>
      <x:c r="C32" s="6" t="n">
        <x:v>388000</x:v>
      </x:c>
      <x:c r="D32" s="6" t="n">
        <x:v>1191000</x:v>
      </x:c>
      <x:c r="E32" s="6" t="n">
        <x:f>C32-D32</x:f>
        <x:v>-803000</x:v>
      </x:c>
      <x:c r="F32" s="6" t="n">
        <x:f>F31+E32</x:f>
        <x:v>-5678000</x:v>
      </x:c>
      <x:c r="G32" s="6" t="n">
        <x:v>-850000</x:v>
      </x:c>
      <x:c r="H32" s="6" t="n">
        <x:v>47000</x:v>
      </x:c>
      <x:c r="I32" s="6" t="n">
        <x:v>-803000</x:v>
      </x:c>
      <x:c r="J32" s="6" t="n">
        <x:v>943000</x:v>
      </x:c>
      <x:c r="K32" s="11" t="n">
        <x:v>4</x:v>
      </x:c>
      <x:c r="L32" s="11" t="n">
        <x:v>87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1628000</x:v>
      </x:c>
      <x:c r="D33" s="6" t="n">
        <x:v>1875000</x:v>
      </x:c>
      <x:c r="E33" s="6" t="n">
        <x:f>C33-D33</x:f>
        <x:v>-247000</x:v>
      </x:c>
      <x:c r="F33" s="6" t="n">
        <x:f>F32+E33</x:f>
        <x:v>-5925000</x:v>
      </x:c>
      <x:c r="G33" s="6" t="n">
        <x:v>117000</x:v>
      </x:c>
      <x:c r="H33" s="6" t="n">
        <x:v>-364000</x:v>
      </x:c>
      <x:c r="I33" s="6" t="n">
        <x:v>-247000</x:v>
      </x:c>
      <x:c r="J33" s="6" t="n">
        <x:v>363000</x:v>
      </x:c>
      <x:c r="K33" s="11" t="n">
        <x:v>39</x:v>
      </x:c>
      <x:c r="L33" s="11" t="n">
        <x:v>106</x:v>
      </x:c>
    </x:row>
    <x:row r="34" ht="25" customHeight="1">
      <x:c r="A34" s="2" t="str">
        <x:v>2026-10-09_Day</x:v>
      </x:c>
      <x:c r="B34" s="2" t="str">
        <x:v>前30場</x:v>
      </x:c>
      <x:c r="C34" s="6" t="n">
        <x:v>641000</x:v>
      </x:c>
      <x:c r="D34" s="6" t="n">
        <x:v>1440000</x:v>
      </x:c>
      <x:c r="E34" s="6" t="n">
        <x:f>C34-D34</x:f>
        <x:v>-799000</x:v>
      </x:c>
      <x:c r="F34" s="6" t="n">
        <x:f>F33+E34</x:f>
        <x:v>-6724000</x:v>
      </x:c>
      <x:c r="G34" s="6" t="n">
        <x:v>-490000</x:v>
      </x:c>
      <x:c r="H34" s="6" t="n">
        <x:v>-309000</x:v>
      </x:c>
      <x:c r="I34" s="6" t="n">
        <x:v>-849000</x:v>
      </x:c>
      <x:c r="J34" s="6" t="n">
        <x:v>946000</x:v>
      </x:c>
      <x:c r="K34" s="11" t="n">
        <x:v>8</x:v>
      </x:c>
      <x:c r="L34" s="11" t="n">
        <x:v>147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503000</x:v>
      </x:c>
      <x:c r="D35" s="6" t="n">
        <x:v>471000</x:v>
      </x:c>
      <x:c r="E35" s="6" t="n">
        <x:f>C35-D35</x:f>
        <x:v>32000</x:v>
      </x:c>
      <x:c r="F35" s="6" t="n">
        <x:f>F34+E35</x:f>
        <x:v>-6692000</x:v>
      </x:c>
      <x:c r="G35" s="6" t="n">
        <x:v>25000</x:v>
      </x:c>
      <x:c r="H35" s="6" t="n">
        <x:v>7000</x:v>
      </x:c>
      <x:c r="I35" s="6" t="n">
        <x:v>-128000</x:v>
      </x:c>
      <x:c r="J35" s="6" t="n">
        <x:v>220000</x:v>
      </x:c>
      <x:c r="K35" s="11" t="n">
        <x:v>9</x:v>
      </x:c>
      <x:c r="L35" s="11" t="n">
        <x:v>15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-6692000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672000</x:v>
      </x:c>
      <x:c r="D37" s="6" t="n">
        <x:v>820000</x:v>
      </x:c>
      <x:c r="E37" s="6" t="n">
        <x:f>C37-D37</x:f>
        <x:v>-148000</x:v>
      </x:c>
      <x:c r="F37" s="6" t="n">
        <x:f>F36+E37</x:f>
        <x:v>-6840000</x:v>
      </x:c>
      <x:c r="G37" s="6" t="n">
        <x:v>-172000</x:v>
      </x:c>
      <x:c r="H37" s="6" t="n">
        <x:v>24000</x:v>
      </x:c>
      <x:c r="I37" s="6" t="n">
        <x:v>-178000</x:v>
      </x:c>
      <x:c r="J37" s="6" t="n">
        <x:v>210000</x:v>
      </x:c>
      <x:c r="K37" s="11" t="n">
        <x:v>12</x:v>
      </x:c>
      <x:c r="L37" s="11" t="n">
        <x:v>18</x:v>
      </x:c>
    </x:row>
    <x:row r="38" ht="25" customHeight="1">
      <x:c r="A38" s="2" t="str">
        <x:v>2026-10-13_Day</x:v>
      </x:c>
      <x:c r="B38" s="2" t="str">
        <x:v>次10場</x:v>
      </x:c>
      <x:c r="C38" s="6" t="n">
        <x:v>569000</x:v>
      </x:c>
      <x:c r="D38" s="6" t="n">
        <x:v>533000</x:v>
      </x:c>
      <x:c r="E38" s="6" t="n">
        <x:f>C38-D38</x:f>
        <x:v>36000</x:v>
      </x:c>
      <x:c r="F38" s="6" t="n">
        <x:f>F37+E38</x:f>
        <x:v>-6804000</x:v>
      </x:c>
      <x:c r="G38" s="6" t="n">
        <x:v>444000</x:v>
      </x:c>
      <x:c r="H38" s="6" t="n">
        <x:v>-408000</x:v>
      </x:c>
      <x:c r="I38" s="6" t="n">
        <x:v>-275000</x:v>
      </x:c>
      <x:c r="J38" s="6" t="n">
        <x:v>275000</x:v>
      </x:c>
      <x:c r="K38" s="11" t="n">
        <x:v>6</x:v>
      </x:c>
      <x:c r="L38" s="11" t="n">
        <x:v>93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347000</x:v>
      </x:c>
      <x:c r="D39" s="6" t="n">
        <x:v>496000</x:v>
      </x:c>
      <x:c r="E39" s="6" t="n">
        <x:f>C39-D39</x:f>
        <x:v>-149000</x:v>
      </x:c>
      <x:c r="F39" s="6" t="n">
        <x:f>F38+E39</x:f>
        <x:v>-6953000</x:v>
      </x:c>
      <x:c r="G39" s="6" t="n">
        <x:v>-92000</x:v>
      </x:c>
      <x:c r="H39" s="6" t="n">
        <x:v>-57000</x:v>
      </x:c>
      <x:c r="I39" s="6" t="n">
        <x:v>-159000</x:v>
      </x:c>
      <x:c r="J39" s="6" t="n">
        <x:v>159000</x:v>
      </x:c>
      <x:c r="K39" s="11" t="n">
        <x:v>9</x:v>
      </x:c>
      <x:c r="L39" s="11" t="n">
        <x:v>45</x:v>
      </x:c>
    </x:row>
    <x:row r="40" ht="25" customHeight="1">
      <x:c r="A40" s="2" t="str">
        <x:v>2026-10-14_Day</x:v>
      </x:c>
      <x:c r="B40" s="2" t="str">
        <x:v>次10場</x:v>
      </x:c>
      <x:c r="C40" s="6" t="n">
        <x:v>574000</x:v>
      </x:c>
      <x:c r="D40" s="6" t="n">
        <x:v>547000</x:v>
      </x:c>
      <x:c r="E40" s="6" t="n">
        <x:f>C40-D40</x:f>
        <x:v>27000</x:v>
      </x:c>
      <x:c r="F40" s="6" t="n">
        <x:f>F39+E40</x:f>
        <x:v>-6926000</x:v>
      </x:c>
      <x:c r="G40" s="6" t="n">
        <x:v>220000</x:v>
      </x:c>
      <x:c r="H40" s="6" t="n">
        <x:v>-193000</x:v>
      </x:c>
      <x:c r="I40" s="6" t="n">
        <x:v>-286000</x:v>
      </x:c>
      <x:c r="J40" s="6" t="n">
        <x:v>416000</x:v>
      </x:c>
      <x:c r="K40" s="11" t="n">
        <x:v>5</x:v>
      </x:c>
      <x:c r="L40" s="11" t="n">
        <x:v>125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1327000</x:v>
      </x:c>
      <x:c r="D41" s="6" t="n">
        <x:v>2020000</x:v>
      </x:c>
      <x:c r="E41" s="6" t="n">
        <x:f>C41-D41</x:f>
        <x:v>-693000</x:v>
      </x:c>
      <x:c r="F41" s="6" t="n">
        <x:f>F40+E41</x:f>
        <x:v>-7619000</x:v>
      </x:c>
      <x:c r="G41" s="6" t="n">
        <x:v>-652000</x:v>
      </x:c>
      <x:c r="H41" s="6" t="n">
        <x:v>-41000</x:v>
      </x:c>
      <x:c r="I41" s="6" t="n">
        <x:v>-723000</x:v>
      </x:c>
      <x:c r="J41" s="6" t="n">
        <x:v>733000</x:v>
      </x:c>
      <x:c r="K41" s="11" t="n">
        <x:v>15</x:v>
      </x:c>
      <x:c r="L41" s="11" t="n">
        <x:v>29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1131000</x:v>
      </x:c>
      <x:c r="D42" s="6" t="n">
        <x:v>1266000</x:v>
      </x:c>
      <x:c r="E42" s="6" t="n">
        <x:f>C42-D42</x:f>
        <x:v>-135000</x:v>
      </x:c>
      <x:c r="F42" s="6" t="n">
        <x:f>F41+E42</x:f>
        <x:v>-7754000</x:v>
      </x:c>
      <x:c r="G42" s="6" t="n">
        <x:v>-58000</x:v>
      </x:c>
      <x:c r="H42" s="6" t="n">
        <x:v>-77000</x:v>
      </x:c>
      <x:c r="I42" s="6" t="n">
        <x:v>-1045000</x:v>
      </x:c>
      <x:c r="J42" s="6" t="n">
        <x:v>1260000</x:v>
      </x:c>
      <x:c r="K42" s="11" t="n">
        <x:v>13</x:v>
      </x:c>
      <x:c r="L42" s="11" t="n">
        <x:v>84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1406000</x:v>
      </x:c>
      <x:c r="D43" s="6" t="n">
        <x:v>1745000</x:v>
      </x:c>
      <x:c r="E43" s="6" t="n">
        <x:f>C43-D43</x:f>
        <x:v>-339000</x:v>
      </x:c>
      <x:c r="F43" s="6" t="n">
        <x:f>F42+E43</x:f>
        <x:v>-8093000</x:v>
      </x:c>
      <x:c r="G43" s="6" t="n">
        <x:v>-157000</x:v>
      </x:c>
      <x:c r="H43" s="6" t="n">
        <x:v>-182000</x:v>
      </x:c>
      <x:c r="I43" s="6" t="n">
        <x:v>-599000</x:v>
      </x:c>
      <x:c r="J43" s="6" t="n">
        <x:v>629000</x:v>
      </x:c>
      <x:c r="K43" s="11" t="n">
        <x:v>25</x:v>
      </x:c>
      <x:c r="L43" s="11" t="n">
        <x:v>109</x:v>
      </x:c>
    </x:row>
    <x:row r="44" ht="25" customHeight="1">
      <x:c r="A44" s="2" t="str">
        <x:v>2026-10-16_Day</x:v>
      </x:c>
      <x:c r="B44" s="2" t="str">
        <x:v>次10場</x:v>
      </x:c>
      <x:c r="C44" s="6" t="n">
        <x:v>1103000</x:v>
      </x:c>
      <x:c r="D44" s="6" t="n">
        <x:v>641000</x:v>
      </x:c>
      <x:c r="E44" s="6" t="n">
        <x:f>C44-D44</x:f>
        <x:v>462000</x:v>
      </x:c>
      <x:c r="F44" s="6" t="n">
        <x:f>F43+E44</x:f>
        <x:v>-7631000</x:v>
      </x:c>
      <x:c r="G44" s="6" t="n">
        <x:v>806000</x:v>
      </x:c>
      <x:c r="H44" s="6" t="n">
        <x:v>-344000</x:v>
      </x:c>
      <x:c r="I44" s="6" t="n">
        <x:v>-61000</x:v>
      </x:c>
      <x:c r="J44" s="6" t="n">
        <x:v>265000</x:v>
      </x:c>
      <x:c r="K44" s="11" t="n">
        <x:v>16</x:v>
      </x:c>
      <x:c r="L44" s="11" t="n">
        <x:v>161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1706000</x:v>
      </x:c>
      <x:c r="D45" s="6" t="n">
        <x:v>2251000</x:v>
      </x:c>
      <x:c r="E45" s="6" t="n">
        <x:f>C45-D45</x:f>
        <x:v>-545000</x:v>
      </x:c>
      <x:c r="F45" s="6" t="n">
        <x:f>F44+E45</x:f>
        <x:v>-8176000</x:v>
      </x:c>
      <x:c r="G45" s="6" t="n">
        <x:v>-306000</x:v>
      </x:c>
      <x:c r="H45" s="6" t="n">
        <x:v>-239000</x:v>
      </x:c>
      <x:c r="I45" s="6" t="n">
        <x:v>-585000</x:v>
      </x:c>
      <x:c r="J45" s="6" t="n">
        <x:v>710000</x:v>
      </x:c>
      <x:c r="K45" s="11" t="n">
        <x:v>26</x:v>
      </x:c>
      <x:c r="L45" s="11" t="n">
        <x:v>61</x:v>
      </x:c>
    </x:row>
    <x:row r="46" ht="25" customHeight="1">
      <x:c r="A46" s="2" t="str">
        <x:v>2026-10-19_Day</x:v>
      </x:c>
      <x:c r="B46" s="2" t="str">
        <x:v>後13場</x:v>
      </x:c>
      <x:c r="C46" s="6" t="n">
        <x:v>549000</x:v>
      </x:c>
      <x:c r="D46" s="6" t="n">
        <x:v>1032000</x:v>
      </x:c>
      <x:c r="E46" s="6" t="n">
        <x:f>C46-D46</x:f>
        <x:v>-483000</x:v>
      </x:c>
      <x:c r="F46" s="6" t="n">
        <x:f>F45+E46</x:f>
        <x:v>-8659000</x:v>
      </x:c>
      <x:c r="G46" s="6" t="n">
        <x:v>-100000</x:v>
      </x:c>
      <x:c r="H46" s="6" t="n">
        <x:v>-383000</x:v>
      </x:c>
      <x:c r="I46" s="6" t="n">
        <x:v>-703000</x:v>
      </x:c>
      <x:c r="J46" s="6" t="n">
        <x:v>717000</x:v>
      </x:c>
      <x:c r="K46" s="11" t="n">
        <x:v>5</x:v>
      </x:c>
      <x:c r="L46" s="11" t="n">
        <x:v>140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705000</x:v>
      </x:c>
      <x:c r="D47" s="6" t="n">
        <x:v>793000</x:v>
      </x:c>
      <x:c r="E47" s="6" t="n">
        <x:f>C47-D47</x:f>
        <x:v>-88000</x:v>
      </x:c>
      <x:c r="F47" s="6" t="n">
        <x:f>F46+E47</x:f>
        <x:v>-8747000</x:v>
      </x:c>
      <x:c r="G47" s="6" t="n">
        <x:v>313000</x:v>
      </x:c>
      <x:c r="H47" s="6" t="n">
        <x:v>-401000</x:v>
      </x:c>
      <x:c r="I47" s="6" t="n">
        <x:v>-120000</x:v>
      </x:c>
      <x:c r="J47" s="6" t="n">
        <x:v>169000</x:v>
      </x:c>
      <x:c r="K47" s="11" t="n">
        <x:v>14</x:v>
      </x:c>
      <x:c r="L47" s="11" t="n">
        <x:v>90</x:v>
      </x:c>
    </x:row>
    <x:row r="48" ht="25" customHeight="1">
      <x:c r="A48" s="2" t="str">
        <x:v>2026-10-20_Day</x:v>
      </x:c>
      <x:c r="B48" s="2" t="str">
        <x:v>後13場</x:v>
      </x:c>
      <x:c r="C48" s="6" t="n">
        <x:v>621000</x:v>
      </x:c>
      <x:c r="D48" s="6" t="n">
        <x:v>631000</x:v>
      </x:c>
      <x:c r="E48" s="6" t="n">
        <x:f>C48-D48</x:f>
        <x:v>-10000</x:v>
      </x:c>
      <x:c r="F48" s="6" t="n">
        <x:f>F47+E48</x:f>
        <x:v>-8757000</x:v>
      </x:c>
      <x:c r="G48" s="6" t="n">
        <x:v>153000</x:v>
      </x:c>
      <x:c r="H48" s="6" t="n">
        <x:v>-163000</x:v>
      </x:c>
      <x:c r="I48" s="6" t="n">
        <x:v>-364000</x:v>
      </x:c>
      <x:c r="J48" s="6" t="n">
        <x:v>500000</x:v>
      </x:c>
      <x:c r="K48" s="11" t="n">
        <x:v>9</x:v>
      </x:c>
      <x:c r="L48" s="11" t="n">
        <x:v>74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1075000</x:v>
      </x:c>
      <x:c r="D49" s="6" t="n">
        <x:v>1330000</x:v>
      </x:c>
      <x:c r="E49" s="6" t="n">
        <x:f>C49-D49</x:f>
        <x:v>-255000</x:v>
      </x:c>
      <x:c r="F49" s="6" t="n">
        <x:f>F48+E49</x:f>
        <x:v>-9012000</x:v>
      </x:c>
      <x:c r="G49" s="6" t="n">
        <x:v>-337000</x:v>
      </x:c>
      <x:c r="H49" s="6" t="n">
        <x:v>82000</x:v>
      </x:c>
      <x:c r="I49" s="6" t="n">
        <x:v>-285000</x:v>
      </x:c>
      <x:c r="J49" s="6" t="n">
        <x:v>385000</x:v>
      </x:c>
      <x:c r="K49" s="11" t="n">
        <x:v>13</x:v>
      </x:c>
      <x:c r="L49" s="11" t="n">
        <x:v>37</x:v>
      </x:c>
    </x:row>
    <x:row r="50" ht="25" customHeight="1">
      <x:c r="A50" s="2" t="str">
        <x:v>2026-10-21_Day</x:v>
      </x:c>
      <x:c r="B50" s="2" t="str">
        <x:v>後13場</x:v>
      </x:c>
      <x:c r="C50" s="6" t="n">
        <x:v>461000</x:v>
      </x:c>
      <x:c r="D50" s="6" t="n">
        <x:v>539000</x:v>
      </x:c>
      <x:c r="E50" s="6" t="n">
        <x:f>C50-D50</x:f>
        <x:v>-78000</x:v>
      </x:c>
      <x:c r="F50" s="6" t="n">
        <x:f>F49+E50</x:f>
        <x:v>-9090000</x:v>
      </x:c>
      <x:c r="G50" s="6" t="n">
        <x:v>-190000</x:v>
      </x:c>
      <x:c r="H50" s="6" t="n">
        <x:v>112000</x:v>
      </x:c>
      <x:c r="I50" s="6" t="n">
        <x:v>-407000</x:v>
      </x:c>
      <x:c r="J50" s="6" t="n">
        <x:v>457000</x:v>
      </x:c>
      <x:c r="K50" s="11" t="n">
        <x:v>4</x:v>
      </x:c>
      <x:c r="L50" s="11" t="n">
        <x:v>64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689000</x:v>
      </x:c>
      <x:c r="D51" s="6" t="n">
        <x:v>695000</x:v>
      </x:c>
      <x:c r="E51" s="6" t="n">
        <x:f>C51-D51</x:f>
        <x:v>-6000</x:v>
      </x:c>
      <x:c r="F51" s="6" t="n">
        <x:f>F50+E51</x:f>
        <x:v>-9096000</x:v>
      </x:c>
      <x:c r="G51" s="6" t="n">
        <x:v>31000</x:v>
      </x:c>
      <x:c r="H51" s="6" t="n">
        <x:v>-37000</x:v>
      </x:c>
      <x:c r="I51" s="6" t="n">
        <x:v>-151000</x:v>
      </x:c>
      <x:c r="J51" s="6" t="n">
        <x:v>151000</x:v>
      </x:c>
      <x:c r="K51" s="11" t="n">
        <x:v>11</x:v>
      </x:c>
      <x:c r="L51" s="11" t="n">
        <x:v>26</x:v>
      </x:c>
    </x:row>
    <x:row r="52" ht="25" customHeight="1">
      <x:c r="A52" s="2" t="str">
        <x:v>2026-10-22_Day</x:v>
      </x:c>
      <x:c r="B52" s="2" t="str">
        <x:v>後13場</x:v>
      </x:c>
      <x:c r="C52" s="6" t="n">
        <x:v>678000</x:v>
      </x:c>
      <x:c r="D52" s="6" t="n">
        <x:v>1894000</x:v>
      </x:c>
      <x:c r="E52" s="6" t="n">
        <x:f>C52-D52</x:f>
        <x:v>-1216000</x:v>
      </x:c>
      <x:c r="F52" s="6" t="n">
        <x:f>F51+E52</x:f>
        <x:v>-10312000</x:v>
      </x:c>
      <x:c r="G52" s="6" t="n">
        <x:v>-1102000</x:v>
      </x:c>
      <x:c r="H52" s="6" t="n">
        <x:v>-114000</x:v>
      </x:c>
      <x:c r="I52" s="6" t="n">
        <x:v>-1456000</x:v>
      </x:c>
      <x:c r="J52" s="6" t="n">
        <x:v>1506000</x:v>
      </x:c>
      <x:c r="K52" s="11" t="n">
        <x:v>8</x:v>
      </x:c>
      <x:c r="L52" s="11" t="n">
        <x:v>63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910000</x:v>
      </x:c>
      <x:c r="D53" s="6" t="n">
        <x:v>1334000</x:v>
      </x:c>
      <x:c r="E53" s="6" t="n">
        <x:f>C53-D53</x:f>
        <x:v>-424000</x:v>
      </x:c>
      <x:c r="F53" s="6" t="n">
        <x:f>F52+E53</x:f>
        <x:v>-10736000</x:v>
      </x:c>
      <x:c r="G53" s="6" t="n">
        <x:v>-367000</x:v>
      </x:c>
      <x:c r="H53" s="6" t="n">
        <x:v>-57000</x:v>
      </x:c>
      <x:c r="I53" s="6" t="n">
        <x:v>-434000</x:v>
      </x:c>
      <x:c r="J53" s="6" t="n">
        <x:v>509000</x:v>
      </x:c>
      <x:c r="K53" s="11" t="n">
        <x:v>20</x:v>
      </x:c>
      <x:c r="L53" s="11" t="n">
        <x:v>60</x:v>
      </x:c>
    </x:row>
    <x:row r="54" ht="25" customHeight="1">
      <x:c r="A54" s="2" t="str">
        <x:v>2026-10-23_Day</x:v>
      </x:c>
      <x:c r="B54" s="2" t="str">
        <x:v>後13場</x:v>
      </x:c>
      <x:c r="C54" s="6" t="n">
        <x:v>1780000</x:v>
      </x:c>
      <x:c r="D54" s="6" t="n">
        <x:v>2189000</x:v>
      </x:c>
      <x:c r="E54" s="6" t="n">
        <x:f>C54-D54</x:f>
        <x:v>-409000</x:v>
      </x:c>
      <x:c r="F54" s="6" t="n">
        <x:f>F53+E54</x:f>
        <x:v>-11145000</x:v>
      </x:c>
      <x:c r="G54" s="6" t="n">
        <x:v>372000</x:v>
      </x:c>
      <x:c r="H54" s="6" t="n">
        <x:v>-781000</x:v>
      </x:c>
      <x:c r="I54" s="6" t="n">
        <x:v>-909000</x:v>
      </x:c>
      <x:c r="J54" s="6" t="n">
        <x:v>1091000</x:v>
      </x:c>
      <x:c r="K54" s="11" t="n">
        <x:v>23</x:v>
      </x:c>
      <x:c r="L54" s="11" t="n">
        <x:v>230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535000</x:v>
      </x:c>
      <x:c r="D55" s="6" t="n">
        <x:v>722000</x:v>
      </x:c>
      <x:c r="E55" s="6" t="n">
        <x:f>C55-D55</x:f>
        <x:v>-187000</x:v>
      </x:c>
      <x:c r="F55" s="6" t="n">
        <x:f>F54+E55</x:f>
        <x:v>-11332000</x:v>
      </x:c>
      <x:c r="G55" s="6" t="n">
        <x:v>-132000</x:v>
      </x:c>
      <x:c r="H55" s="6" t="n">
        <x:v>-55000</x:v>
      </x:c>
      <x:c r="I55" s="6" t="n">
        <x:v>-207000</x:v>
      </x:c>
      <x:c r="J55" s="6" t="n">
        <x:v>227000</x:v>
      </x:c>
      <x:c r="K55" s="11" t="n">
        <x:v>12</x:v>
      </x:c>
      <x:c r="L55" s="11" t="n">
        <x:v>40</x:v>
      </x:c>
    </x:row>
    <x:row r="56" ht="25" customHeight="1">
      <x:c r="A56" s="2" t="str">
        <x:v>2026-10-26_Day</x:v>
      </x:c>
      <x:c r="B56" s="2" t="str">
        <x:v>後13場</x:v>
      </x:c>
      <x:c r="C56" s="6" t="n">
        <x:v>627000</x:v>
      </x:c>
      <x:c r="D56" s="6" t="n">
        <x:v>825000</x:v>
      </x:c>
      <x:c r="E56" s="6" t="n">
        <x:f>C56-D56</x:f>
        <x:v>-198000</x:v>
      </x:c>
      <x:c r="F56" s="6" t="n">
        <x:f>F55+E56</x:f>
        <x:v>-11530000</x:v>
      </x:c>
      <x:c r="G56" s="6" t="n">
        <x:v>-170000</x:v>
      </x:c>
      <x:c r="H56" s="6" t="n">
        <x:v>-28000</x:v>
      </x:c>
      <x:c r="I56" s="6" t="n">
        <x:v>-349000</x:v>
      </x:c>
      <x:c r="J56" s="6" t="n">
        <x:v>349000</x:v>
      </x:c>
      <x:c r="K56" s="11" t="n">
        <x:v>9</x:v>
      </x:c>
      <x:c r="L56" s="11" t="n">
        <x:v>94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658000</x:v>
      </x:c>
      <x:c r="D57" s="6" t="n">
        <x:v>900000</x:v>
      </x:c>
      <x:c r="E57" s="6" t="n">
        <x:f>C57-D57</x:f>
        <x:v>-242000</x:v>
      </x:c>
      <x:c r="F57" s="6" t="n">
        <x:f>F56+E57</x:f>
        <x:v>-11772000</x:v>
      </x:c>
      <x:c r="G57" s="6" t="n">
        <x:v>-280000</x:v>
      </x:c>
      <x:c r="H57" s="6" t="n">
        <x:v>38000</x:v>
      </x:c>
      <x:c r="I57" s="6" t="n">
        <x:v>-262000</x:v>
      </x:c>
      <x:c r="J57" s="6" t="n">
        <x:v>276000</x:v>
      </x:c>
      <x:c r="K57" s="11" t="n">
        <x:v>11</x:v>
      </x:c>
      <x:c r="L57" s="11" t="n">
        <x:v>25</x:v>
      </x:c>
    </x:row>
    <x:row r="58" ht="25" customHeight="1">
      <x:c r="A58" s="2" t="str">
        <x:v>2026-10-27_Day</x:v>
      </x:c>
      <x:c r="B58" s="2" t="str">
        <x:v>後13場</x:v>
      </x:c>
      <x:c r="C58" s="6" t="n">
        <x:v>1017000</x:v>
      </x:c>
      <x:c r="D58" s="6" t="n">
        <x:v>724000</x:v>
      </x:c>
      <x:c r="E58" s="6" t="n">
        <x:f>C58-D58</x:f>
        <x:v>293000</x:v>
      </x:c>
      <x:c r="F58" s="6" t="n">
        <x:f>F57+E58</x:f>
        <x:v>-11479000</x:v>
      </x:c>
      <x:c r="G58" s="6" t="n">
        <x:v>830000</x:v>
      </x:c>
      <x:c r="H58" s="6" t="n">
        <x:v>-537000</x:v>
      </x:c>
      <x:c r="I58" s="6" t="n">
        <x:v>-105000</x:v>
      </x:c>
      <x:c r="J58" s="6" t="n">
        <x:v>326000</x:v>
      </x:c>
      <x:c r="K58" s="11" t="n">
        <x:v>9</x:v>
      </x:c>
      <x:c r="L58" s="11" t="n">
        <x:v>168</x:v>
      </x:c>
    </x:row>
    <x:row r="59" ht="25" customHeight="1">
      <x:c r="A59" s="15" t="str">
        <x:v>累計／場内最悪値</x:v>
      </x:c>
      <x:c r="B59" s="15"/>
      <x:c r="C59" s="16" t="n">
        <x:f>SUM(C6:C58)</x:f>
        <x:v>34379000</x:v>
      </x:c>
      <x:c r="D59" s="16" t="n">
        <x:f>SUM(D6:D58)</x:f>
        <x:v>45858000</x:v>
      </x:c>
      <x:c r="E59" s="16" t="n">
        <x:f>C59-D59</x:f>
        <x:v>-11479000</x:v>
      </x:c>
      <x:c r="F59" s="16" t="n">
        <x:f>F58</x:f>
        <x:v>-11479000</x:v>
      </x:c>
      <x:c r="G59" s="16" t="n">
        <x:f>SUM(G6:G58)</x:f>
        <x:v>-5007000</x:v>
      </x:c>
      <x:c r="H59" s="16" t="n">
        <x:f>SUM(H6:H58)</x:f>
        <x:v>-6472000</x:v>
      </x:c>
      <x:c r="I59" s="16" t="n">
        <x:f>MIN(I6:I58)</x:f>
        <x:v>-1681000</x:v>
      </x:c>
      <x:c r="J59" s="16" t="n">
        <x:f>MAX(J6:J58)</x:f>
        <x:v>1696000</x:v>
      </x:c>
      <x:c r="K59" s="17" t="n">
        <x:f>SUM(K6:K58)</x:f>
        <x:v>533</x:v>
      </x:c>
      <x:c r="L59" s="17" t="n">
        <x:f>SUM(L6:L58)</x:f>
        <x:v>3286</x:v>
      </x:c>
    </x:row>
  </x:sheetData>
  <x:conditionalFormatting sqref="E6:I58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7e9a8b5bca4e4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H09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段60・利益20起動・追尾10・固定段再交差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202000</x:v>
      </x:c>
      <x:c r="D6" s="6" t="n">
        <x:v>20000</x:v>
      </x:c>
      <x:c r="E6" s="6" t="n">
        <x:f>C6-D6</x:f>
        <x:v>182000</x:v>
      </x:c>
      <x:c r="F6" s="6" t="n">
        <x:f>E6</x:f>
        <x:v>182000</x:v>
      </x:c>
      <x:c r="G6" s="6" t="n">
        <x:v>200000</x:v>
      </x:c>
      <x:c r="H6" s="6" t="n">
        <x:v>-18000</x:v>
      </x:c>
      <x:c r="I6" s="6" t="n">
        <x:v>-60000</x:v>
      </x:c>
      <x:c r="J6" s="6" t="n">
        <x:v>127000</x:v>
      </x:c>
      <x:c r="K6" s="11" t="n">
        <x:v>2</x:v>
      </x:c>
      <x:c r="L6" s="11" t="n">
        <x:v>2</x:v>
      </x:c>
    </x:row>
    <x:row r="7" ht="25" customHeight="1">
      <x:c r="A7" s="2" t="str">
        <x:v>2026-09-21_Night</x:v>
      </x:c>
      <x:c r="B7" s="2" t="str">
        <x:v>前30場</x:v>
      </x:c>
      <x:c r="C7" s="6" t="n">
        <x:v>576000</x:v>
      </x:c>
      <x:c r="D7" s="6" t="n">
        <x:v>810000</x:v>
      </x:c>
      <x:c r="E7" s="6" t="n">
        <x:f>C7-D7</x:f>
        <x:v>-234000</x:v>
      </x:c>
      <x:c r="F7" s="6" t="n">
        <x:f>F6+E7</x:f>
        <x:v>-52000</x:v>
      </x:c>
      <x:c r="G7" s="6" t="n">
        <x:v>-270000</x:v>
      </x:c>
      <x:c r="H7" s="6" t="n">
        <x:v>36000</x:v>
      </x:c>
      <x:c r="I7" s="6" t="n">
        <x:v>-364000</x:v>
      </x:c>
      <x:c r="J7" s="6" t="n">
        <x:v>506000</x:v>
      </x:c>
      <x:c r="K7" s="11" t="n">
        <x:v>7</x:v>
      </x:c>
      <x:c r="L7" s="11" t="n">
        <x:v>22</x:v>
      </x:c>
    </x:row>
    <x:row r="8" ht="25" customHeight="1">
      <x:c r="A8" s="2" t="str">
        <x:v>2026-09-22_Day</x:v>
      </x:c>
      <x:c r="B8" s="2" t="str">
        <x:v>前30場</x:v>
      </x:c>
      <x:c r="C8" s="6" t="n">
        <x:v>133000</x:v>
      </x:c>
      <x:c r="D8" s="6" t="n">
        <x:v>151000</x:v>
      </x:c>
      <x:c r="E8" s="6" t="n">
        <x:f>C8-D8</x:f>
        <x:v>-18000</x:v>
      </x:c>
      <x:c r="F8" s="6" t="n">
        <x:f>F7+E8</x:f>
        <x:v>-70000</x:v>
      </x:c>
      <x:c r="G8" s="6" t="n">
        <x:v>100000</x:v>
      </x:c>
      <x:c r="H8" s="6" t="n">
        <x:v>-118000</x:v>
      </x:c>
      <x:c r="I8" s="6" t="n">
        <x:v>-299000</x:v>
      </x:c>
      <x:c r="J8" s="6" t="n">
        <x:v>379000</x:v>
      </x:c>
      <x:c r="K8" s="11" t="n">
        <x:v>1</x:v>
      </x:c>
      <x:c r="L8" s="11" t="n">
        <x:v>25</x:v>
      </x:c>
    </x:row>
    <x:row r="9" ht="25" customHeight="1">
      <x:c r="A9" s="2" t="str">
        <x:v>2026-09-22_Night</x:v>
      </x:c>
      <x:c r="B9" s="2" t="str">
        <x:v>前30場</x:v>
      </x:c>
      <x:c r="C9" s="6" t="n">
        <x:v>674000</x:v>
      </x:c>
      <x:c r="D9" s="6" t="n">
        <x:v>920000</x:v>
      </x:c>
      <x:c r="E9" s="6" t="n">
        <x:f>C9-D9</x:f>
        <x:v>-246000</x:v>
      </x:c>
      <x:c r="F9" s="6" t="n">
        <x:f>F8+E9</x:f>
        <x:v>-316000</x:v>
      </x:c>
      <x:c r="G9" s="6" t="n">
        <x:v>-305000</x:v>
      </x:c>
      <x:c r="H9" s="6" t="n">
        <x:v>59000</x:v>
      </x:c>
      <x:c r="I9" s="6" t="n">
        <x:v>-416000</x:v>
      </x:c>
      <x:c r="J9" s="6" t="n">
        <x:v>546000</x:v>
      </x:c>
      <x:c r="K9" s="11" t="n">
        <x:v>9</x:v>
      </x:c>
      <x:c r="L9" s="11" t="n">
        <x:v>36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-316000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572000</x:v>
      </x:c>
      <x:c r="D11" s="6" t="n">
        <x:v>1070000</x:v>
      </x:c>
      <x:c r="E11" s="6" t="n">
        <x:f>C11-D11</x:f>
        <x:v>-498000</x:v>
      </x:c>
      <x:c r="F11" s="6" t="n">
        <x:f>F10+E11</x:f>
        <x:v>-814000</x:v>
      </x:c>
      <x:c r="G11" s="6" t="n">
        <x:v>-519000</x:v>
      </x:c>
      <x:c r="H11" s="6" t="n">
        <x:v>21000</x:v>
      </x:c>
      <x:c r="I11" s="6" t="n">
        <x:v>-498000</x:v>
      </x:c>
      <x:c r="J11" s="6" t="n">
        <x:v>558000</x:v>
      </x:c>
      <x:c r="K11" s="11" t="n">
        <x:v>9</x:v>
      </x:c>
      <x:c r="L11" s="11" t="n">
        <x:v>18</x:v>
      </x:c>
    </x:row>
    <x:row r="12" ht="25" customHeight="1">
      <x:c r="A12" s="2" t="str">
        <x:v>2026-09-24_Day</x:v>
      </x:c>
      <x:c r="B12" s="2" t="str">
        <x:v>前30場</x:v>
      </x:c>
      <x:c r="C12" s="6" t="n">
        <x:v>352000</x:v>
      </x:c>
      <x:c r="D12" s="6" t="n">
        <x:v>411000</x:v>
      </x:c>
      <x:c r="E12" s="6" t="n">
        <x:f>C12-D12</x:f>
        <x:v>-59000</x:v>
      </x:c>
      <x:c r="F12" s="6" t="n">
        <x:f>F11+E12</x:f>
        <x:v>-873000</x:v>
      </x:c>
      <x:c r="G12" s="6" t="n">
        <x:v>268000</x:v>
      </x:c>
      <x:c r="H12" s="6" t="n">
        <x:v>-327000</x:v>
      </x:c>
      <x:c r="I12" s="6" t="n">
        <x:v>-353000</x:v>
      </x:c>
      <x:c r="J12" s="6" t="n">
        <x:v>353000</x:v>
      </x:c>
      <x:c r="K12" s="11" t="n">
        <x:v>4</x:v>
      </x:c>
      <x:c r="L12" s="11" t="n">
        <x:v>66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530000</x:v>
      </x:c>
      <x:c r="D13" s="6" t="n">
        <x:v>735000</x:v>
      </x:c>
      <x:c r="E13" s="6" t="n">
        <x:f>C13-D13</x:f>
        <x:v>-205000</x:v>
      </x:c>
      <x:c r="F13" s="6" t="n">
        <x:f>F12+E13</x:f>
        <x:v>-1078000</x:v>
      </x:c>
      <x:c r="G13" s="6" t="n">
        <x:v>-198000</x:v>
      </x:c>
      <x:c r="H13" s="6" t="n">
        <x:v>-7000</x:v>
      </x:c>
      <x:c r="I13" s="6" t="n">
        <x:v>-285000</x:v>
      </x:c>
      <x:c r="J13" s="6" t="n">
        <x:v>365000</x:v>
      </x:c>
      <x:c r="K13" s="11" t="n">
        <x:v>10</x:v>
      </x:c>
      <x:c r="L13" s="11" t="n">
        <x:v>20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144000</x:v>
      </x:c>
      <x:c r="D14" s="6" t="n">
        <x:v>700000</x:v>
      </x:c>
      <x:c r="E14" s="6" t="n">
        <x:f>C14-D14</x:f>
        <x:v>-556000</x:v>
      </x:c>
      <x:c r="F14" s="6" t="n">
        <x:f>F13+E14</x:f>
        <x:v>-1634000</x:v>
      </x:c>
      <x:c r="G14" s="6" t="n">
        <x:v>-628000</x:v>
      </x:c>
      <x:c r="H14" s="6" t="n">
        <x:v>72000</x:v>
      </x:c>
      <x:c r="I14" s="6" t="n">
        <x:v>-676000</x:v>
      </x:c>
      <x:c r="J14" s="6" t="n">
        <x:v>746000</x:v>
      </x:c>
      <x:c r="K14" s="11" t="n">
        <x:v>3</x:v>
      </x:c>
      <x:c r="L14" s="11" t="n">
        <x:v>50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402000</x:v>
      </x:c>
      <x:c r="D15" s="6" t="n">
        <x:v>659000</x:v>
      </x:c>
      <x:c r="E15" s="6" t="n">
        <x:f>C15-D15</x:f>
        <x:v>-257000</x:v>
      </x:c>
      <x:c r="F15" s="6" t="n">
        <x:f>F14+E15</x:f>
        <x:v>-1891000</x:v>
      </x:c>
      <x:c r="G15" s="6" t="n">
        <x:v>-289000</x:v>
      </x:c>
      <x:c r="H15" s="6" t="n">
        <x:v>32000</x:v>
      </x:c>
      <x:c r="I15" s="6" t="n">
        <x:v>-277000</x:v>
      </x:c>
      <x:c r="J15" s="6" t="n">
        <x:v>277000</x:v>
      </x:c>
      <x:c r="K15" s="11" t="n">
        <x:v>7</x:v>
      </x:c>
      <x:c r="L15" s="11" t="n">
        <x:v>19</x:v>
      </x:c>
    </x:row>
    <x:row r="16" ht="25" customHeight="1">
      <x:c r="A16" s="2" t="str">
        <x:v>2026-09-28_Day</x:v>
      </x:c>
      <x:c r="B16" s="2" t="str">
        <x:v>前30場</x:v>
      </x:c>
      <x:c r="C16" s="6" t="n">
        <x:v>471000</x:v>
      </x:c>
      <x:c r="D16" s="6" t="n">
        <x:v>270000</x:v>
      </x:c>
      <x:c r="E16" s="6" t="n">
        <x:f>C16-D16</x:f>
        <x:v>201000</x:v>
      </x:c>
      <x:c r="F16" s="6" t="n">
        <x:f>F15+E16</x:f>
        <x:v>-1690000</x:v>
      </x:c>
      <x:c r="G16" s="6" t="n">
        <x:v>415000</x:v>
      </x:c>
      <x:c r="H16" s="6" t="n">
        <x:v>-214000</x:v>
      </x:c>
      <x:c r="I16" s="6" t="n">
        <x:v>-370000</x:v>
      </x:c>
      <x:c r="J16" s="6" t="n">
        <x:v>379000</x:v>
      </x:c>
      <x:c r="K16" s="11" t="n">
        <x:v>5</x:v>
      </x:c>
      <x:c r="L16" s="11" t="n">
        <x:v>41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816000</x:v>
      </x:c>
      <x:c r="D17" s="6" t="n">
        <x:v>741000</x:v>
      </x:c>
      <x:c r="E17" s="6" t="n">
        <x:f>C17-D17</x:f>
        <x:v>75000</x:v>
      </x:c>
      <x:c r="F17" s="6" t="n">
        <x:f>F16+E17</x:f>
        <x:v>-1615000</x:v>
      </x:c>
      <x:c r="G17" s="6" t="n">
        <x:v>514000</x:v>
      </x:c>
      <x:c r="H17" s="6" t="n">
        <x:v>-439000</x:v>
      </x:c>
      <x:c r="I17" s="6" t="n">
        <x:v>-185000</x:v>
      </x:c>
      <x:c r="J17" s="6" t="n">
        <x:v>215000</x:v>
      </x:c>
      <x:c r="K17" s="11" t="n">
        <x:v>14</x:v>
      </x:c>
      <x:c r="L17" s="11" t="n">
        <x:v>70</x:v>
      </x:c>
    </x:row>
    <x:row r="18" ht="25" customHeight="1">
      <x:c r="A18" s="2" t="str">
        <x:v>2026-09-29_Day</x:v>
      </x:c>
      <x:c r="B18" s="2" t="str">
        <x:v>前30場</x:v>
      </x:c>
      <x:c r="C18" s="6" t="n">
        <x:v>541000</x:v>
      </x:c>
      <x:c r="D18" s="6" t="n">
        <x:v>494000</x:v>
      </x:c>
      <x:c r="E18" s="6" t="n">
        <x:f>C18-D18</x:f>
        <x:v>47000</x:v>
      </x:c>
      <x:c r="F18" s="6" t="n">
        <x:f>F17+E18</x:f>
        <x:v>-1568000</x:v>
      </x:c>
      <x:c r="G18" s="6" t="n">
        <x:v>46000</x:v>
      </x:c>
      <x:c r="H18" s="6" t="n">
        <x:v>1000</x:v>
      </x:c>
      <x:c r="I18" s="6" t="n">
        <x:v>-567000</x:v>
      </x:c>
      <x:c r="J18" s="6" t="n">
        <x:v>629000</x:v>
      </x:c>
      <x:c r="K18" s="11" t="n">
        <x:v>7</x:v>
      </x:c>
      <x:c r="L18" s="11" t="n">
        <x:v>108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626000</x:v>
      </x:c>
      <x:c r="D19" s="6" t="n">
        <x:v>730000</x:v>
      </x:c>
      <x:c r="E19" s="6" t="n">
        <x:f>C19-D19</x:f>
        <x:v>-104000</x:v>
      </x:c>
      <x:c r="F19" s="6" t="n">
        <x:f>F18+E19</x:f>
        <x:v>-1672000</x:v>
      </x:c>
      <x:c r="G19" s="6" t="n">
        <x:v>-24000</x:v>
      </x:c>
      <x:c r="H19" s="6" t="n">
        <x:v>-80000</x:v>
      </x:c>
      <x:c r="I19" s="6" t="n">
        <x:v>-164000</x:v>
      </x:c>
      <x:c r="J19" s="6" t="n">
        <x:v>261000</x:v>
      </x:c>
      <x:c r="K19" s="11" t="n">
        <x:v>12</x:v>
      </x:c>
      <x:c r="L19" s="11" t="n">
        <x:v>21</x:v>
      </x:c>
    </x:row>
    <x:row r="20" ht="25" customHeight="1">
      <x:c r="A20" s="2" t="str">
        <x:v>2026-09-30_Day</x:v>
      </x:c>
      <x:c r="B20" s="2" t="str">
        <x:v>前30場</x:v>
      </x:c>
      <x:c r="C20" s="6" t="n">
        <x:v>252000</x:v>
      </x:c>
      <x:c r="D20" s="6" t="n">
        <x:v>659000</x:v>
      </x:c>
      <x:c r="E20" s="6" t="n">
        <x:f>C20-D20</x:f>
        <x:v>-407000</x:v>
      </x:c>
      <x:c r="F20" s="6" t="n">
        <x:f>F19+E20</x:f>
        <x:v>-2079000</x:v>
      </x:c>
      <x:c r="G20" s="6" t="n">
        <x:v>-420000</x:v>
      </x:c>
      <x:c r="H20" s="6" t="n">
        <x:v>13000</x:v>
      </x:c>
      <x:c r="I20" s="6" t="n">
        <x:v>-407000</x:v>
      </x:c>
      <x:c r="J20" s="6" t="n">
        <x:v>567000</x:v>
      </x:c>
      <x:c r="K20" s="11" t="n">
        <x:v>3</x:v>
      </x:c>
      <x:c r="L20" s="11" t="n">
        <x:v>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495000</x:v>
      </x:c>
      <x:c r="D21" s="6" t="n">
        <x:v>846000</x:v>
      </x:c>
      <x:c r="E21" s="6" t="n">
        <x:f>C21-D21</x:f>
        <x:v>-351000</x:v>
      </x:c>
      <x:c r="F21" s="6" t="n">
        <x:f>F20+E21</x:f>
        <x:v>-2430000</x:v>
      </x:c>
      <x:c r="G21" s="6" t="n">
        <x:v>-305000</x:v>
      </x:c>
      <x:c r="H21" s="6" t="n">
        <x:v>-46000</x:v>
      </x:c>
      <x:c r="I21" s="6" t="n">
        <x:v>-461000</x:v>
      </x:c>
      <x:c r="J21" s="6" t="n">
        <x:v>461000</x:v>
      </x:c>
      <x:c r="K21" s="11" t="n">
        <x:v>15</x:v>
      </x:c>
      <x:c r="L21" s="11" t="n">
        <x:v>62</x:v>
      </x:c>
    </x:row>
    <x:row r="22" ht="25" customHeight="1">
      <x:c r="A22" s="2" t="str">
        <x:v>2026-10-01_Day</x:v>
      </x:c>
      <x:c r="B22" s="2" t="str">
        <x:v>前30場</x:v>
      </x:c>
      <x:c r="C22" s="6" t="n">
        <x:v>233000</x:v>
      </x:c>
      <x:c r="D22" s="6" t="n">
        <x:v>1666000</x:v>
      </x:c>
      <x:c r="E22" s="6" t="n">
        <x:f>C22-D22</x:f>
        <x:v>-1433000</x:v>
      </x:c>
      <x:c r="F22" s="6" t="n">
        <x:f>F21+E22</x:f>
        <x:v>-3863000</x:v>
      </x:c>
      <x:c r="G22" s="6" t="n">
        <x:v>-1443000</x:v>
      </x:c>
      <x:c r="H22" s="6" t="n">
        <x:v>10000</x:v>
      </x:c>
      <x:c r="I22" s="6" t="n">
        <x:v>-1633000</x:v>
      </x:c>
      <x:c r="J22" s="6" t="n">
        <x:v>1761000</x:v>
      </x:c>
      <x:c r="K22" s="11" t="n">
        <x:v>3</x:v>
      </x:c>
      <x:c r="L22" s="11" t="n">
        <x:v>39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926000</x:v>
      </x:c>
      <x:c r="D23" s="6" t="n">
        <x:v>909000</x:v>
      </x:c>
      <x:c r="E23" s="6" t="n">
        <x:f>C23-D23</x:f>
        <x:v>17000</x:v>
      </x:c>
      <x:c r="F23" s="6" t="n">
        <x:f>F22+E23</x:f>
        <x:v>-3846000</x:v>
      </x:c>
      <x:c r="G23" s="6" t="n">
        <x:v>22000</x:v>
      </x:c>
      <x:c r="H23" s="6" t="n">
        <x:v>-5000</x:v>
      </x:c>
      <x:c r="I23" s="6" t="n">
        <x:v>-153000</x:v>
      </x:c>
      <x:c r="J23" s="6" t="n">
        <x:v>263000</x:v>
      </x:c>
      <x:c r="K23" s="11" t="n">
        <x:v>15</x:v>
      </x:c>
      <x:c r="L23" s="11" t="n">
        <x:v>36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308000</x:v>
      </x:c>
      <x:c r="D24" s="6" t="n">
        <x:v>546000</x:v>
      </x:c>
      <x:c r="E24" s="6" t="n">
        <x:f>C24-D24</x:f>
        <x:v>-238000</x:v>
      </x:c>
      <x:c r="F24" s="6" t="n">
        <x:f>F23+E24</x:f>
        <x:v>-4084000</x:v>
      </x:c>
      <x:c r="G24" s="6" t="n">
        <x:v>110000</x:v>
      </x:c>
      <x:c r="H24" s="6" t="n">
        <x:v>-348000</x:v>
      </x:c>
      <x:c r="I24" s="6" t="n">
        <x:v>-365000</x:v>
      </x:c>
      <x:c r="J24" s="6" t="n">
        <x:v>455000</x:v>
      </x:c>
      <x:c r="K24" s="11" t="n">
        <x:v>5</x:v>
      </x:c>
      <x:c r="L24" s="11" t="n">
        <x:v>39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1030000</x:v>
      </x:c>
      <x:c r="D25" s="6" t="n">
        <x:v>1170000</x:v>
      </x:c>
      <x:c r="E25" s="6" t="n">
        <x:f>C25-D25</x:f>
        <x:v>-140000</x:v>
      </x:c>
      <x:c r="F25" s="6" t="n">
        <x:f>F24+E25</x:f>
        <x:v>-4224000</x:v>
      </x:c>
      <x:c r="G25" s="6" t="n">
        <x:v>-180000</x:v>
      </x:c>
      <x:c r="H25" s="6" t="n">
        <x:v>40000</x:v>
      </x:c>
      <x:c r="I25" s="6" t="n">
        <x:v>-430000</x:v>
      </x:c>
      <x:c r="J25" s="6" t="n">
        <x:v>500000</x:v>
      </x:c>
      <x:c r="K25" s="11" t="n">
        <x:v>15</x:v>
      </x:c>
      <x:c r="L25" s="11" t="n">
        <x:v>26</x:v>
      </x:c>
    </x:row>
    <x:row r="26" ht="25" customHeight="1">
      <x:c r="A26" s="2" t="str">
        <x:v>2026-10-05_Day</x:v>
      </x:c>
      <x:c r="B26" s="2" t="str">
        <x:v>前30場</x:v>
      </x:c>
      <x:c r="C26" s="6" t="n">
        <x:v>269000</x:v>
      </x:c>
      <x:c r="D26" s="6" t="n">
        <x:v>536000</x:v>
      </x:c>
      <x:c r="E26" s="6" t="n">
        <x:f>C26-D26</x:f>
        <x:v>-267000</x:v>
      </x:c>
      <x:c r="F26" s="6" t="n">
        <x:f>F25+E26</x:f>
        <x:v>-4491000</x:v>
      </x:c>
      <x:c r="G26" s="6" t="n">
        <x:v>-256000</x:v>
      </x:c>
      <x:c r="H26" s="6" t="n">
        <x:v>-11000</x:v>
      </x:c>
      <x:c r="I26" s="6" t="n">
        <x:v>-368000</x:v>
      </x:c>
      <x:c r="J26" s="6" t="n">
        <x:v>418000</x:v>
      </x:c>
      <x:c r="K26" s="11" t="n">
        <x:v>3</x:v>
      </x:c>
      <x:c r="L26" s="11" t="n">
        <x:v>76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400000</x:v>
      </x:c>
      <x:c r="D27" s="6" t="n">
        <x:v>603000</x:v>
      </x:c>
      <x:c r="E27" s="6" t="n">
        <x:f>C27-D27</x:f>
        <x:v>-203000</x:v>
      </x:c>
      <x:c r="F27" s="6" t="n">
        <x:f>F26+E27</x:f>
        <x:v>-4694000</x:v>
      </x:c>
      <x:c r="G27" s="6" t="n">
        <x:v>-63000</x:v>
      </x:c>
      <x:c r="H27" s="6" t="n">
        <x:v>-140000</x:v>
      </x:c>
      <x:c r="I27" s="6" t="n">
        <x:v>-220000</x:v>
      </x:c>
      <x:c r="J27" s="6" t="n">
        <x:v>240000</x:v>
      </x:c>
      <x:c r="K27" s="11" t="n">
        <x:v>6</x:v>
      </x:c>
      <x:c r="L27" s="11" t="n">
        <x:v>18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108000</x:v>
      </x:c>
      <x:c r="D28" s="6" t="n">
        <x:v>44000</x:v>
      </x:c>
      <x:c r="E28" s="6" t="n">
        <x:f>C28-D28</x:f>
        <x:v>64000</x:v>
      </x:c>
      <x:c r="F28" s="6" t="n">
        <x:f>F27+E28</x:f>
        <x:v>-4630000</x:v>
      </x:c>
      <x:c r="G28" s="6" t="n">
        <x:v>100000</x:v>
      </x:c>
      <x:c r="H28" s="6" t="n">
        <x:v>-36000</x:v>
      </x:c>
      <x:c r="I28" s="6" t="n">
        <x:v>-152000</x:v>
      </x:c>
      <x:c r="J28" s="6" t="n">
        <x:v>152000</x:v>
      </x:c>
      <x:c r="K28" s="11" t="n">
        <x:v>1</x:v>
      </x:c>
      <x:c r="L28" s="11" t="n">
        <x:v>7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532000</x:v>
      </x:c>
      <x:c r="D29" s="6" t="n">
        <x:v>657000</x:v>
      </x:c>
      <x:c r="E29" s="6" t="n">
        <x:f>C29-D29</x:f>
        <x:v>-125000</x:v>
      </x:c>
      <x:c r="F29" s="6" t="n">
        <x:f>F28+E29</x:f>
        <x:v>-4755000</x:v>
      </x:c>
      <x:c r="G29" s="6" t="n">
        <x:v>173000</x:v>
      </x:c>
      <x:c r="H29" s="6" t="n">
        <x:v>-298000</x:v>
      </x:c>
      <x:c r="I29" s="6" t="n">
        <x:v>-151000</x:v>
      </x:c>
      <x:c r="J29" s="6" t="n">
        <x:v>203000</x:v>
      </x:c>
      <x:c r="K29" s="11" t="n">
        <x:v>9</x:v>
      </x:c>
      <x:c r="L29" s="11" t="n">
        <x:v>20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201000</x:v>
      </x:c>
      <x:c r="D30" s="6" t="n">
        <x:v>21000</x:v>
      </x:c>
      <x:c r="E30" s="6" t="n">
        <x:f>C30-D30</x:f>
        <x:v>180000</x:v>
      </x:c>
      <x:c r="F30" s="6" t="n">
        <x:f>F29+E30</x:f>
        <x:v>-4575000</x:v>
      </x:c>
      <x:c r="G30" s="6" t="n">
        <x:v>200000</x:v>
      </x:c>
      <x:c r="H30" s="6" t="n">
        <x:v>-20000</x:v>
      </x:c>
      <x:c r="I30" s="6" t="n">
        <x:v>-99000</x:v>
      </x:c>
      <x:c r="J30" s="6" t="n">
        <x:v>179000</x:v>
      </x:c>
      <x:c r="K30" s="11" t="n">
        <x:v>2</x:v>
      </x:c>
      <x:c r="L30" s="11" t="n">
        <x:v>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777000</x:v>
      </x:c>
      <x:c r="D31" s="6" t="n">
        <x:v>930000</x:v>
      </x:c>
      <x:c r="E31" s="6" t="n">
        <x:f>C31-D31</x:f>
        <x:v>-153000</x:v>
      </x:c>
      <x:c r="F31" s="6" t="n">
        <x:f>F30+E31</x:f>
        <x:v>-4728000</x:v>
      </x:c>
      <x:c r="G31" s="6" t="n">
        <x:v>-181000</x:v>
      </x:c>
      <x:c r="H31" s="6" t="n">
        <x:v>28000</x:v>
      </x:c>
      <x:c r="I31" s="6" t="n">
        <x:v>-163000</x:v>
      </x:c>
      <x:c r="J31" s="6" t="n">
        <x:v>183000</x:v>
      </x:c>
      <x:c r="K31" s="11" t="n">
        <x:v>14</x:v>
      </x:c>
      <x:c r="L31" s="11" t="n">
        <x:v>21</x:v>
      </x:c>
    </x:row>
    <x:row r="32" ht="25" customHeight="1">
      <x:c r="A32" s="2" t="str">
        <x:v>2026-10-08_Day</x:v>
      </x:c>
      <x:c r="B32" s="2" t="str">
        <x:v>前30場</x:v>
      </x:c>
      <x:c r="C32" s="6" t="n">
        <x:v>407000</x:v>
      </x:c>
      <x:c r="D32" s="6" t="n">
        <x:v>1128000</x:v>
      </x:c>
      <x:c r="E32" s="6" t="n">
        <x:f>C32-D32</x:f>
        <x:v>-721000</x:v>
      </x:c>
      <x:c r="F32" s="6" t="n">
        <x:f>F31+E32</x:f>
        <x:v>-5449000</x:v>
      </x:c>
      <x:c r="G32" s="6" t="n">
        <x:v>-830000</x:v>
      </x:c>
      <x:c r="H32" s="6" t="n">
        <x:v>109000</x:v>
      </x:c>
      <x:c r="I32" s="6" t="n">
        <x:v>-721000</x:v>
      </x:c>
      <x:c r="J32" s="6" t="n">
        <x:v>938000</x:v>
      </x:c>
      <x:c r="K32" s="11" t="n">
        <x:v>4</x:v>
      </x:c>
      <x:c r="L32" s="11" t="n">
        <x:v>85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1389000</x:v>
      </x:c>
      <x:c r="D33" s="6" t="n">
        <x:v>1644000</x:v>
      </x:c>
      <x:c r="E33" s="6" t="n">
        <x:f>C33-D33</x:f>
        <x:v>-255000</x:v>
      </x:c>
      <x:c r="F33" s="6" t="n">
        <x:f>F32+E33</x:f>
        <x:v>-5704000</x:v>
      </x:c>
      <x:c r="G33" s="6" t="n">
        <x:v>-78000</x:v>
      </x:c>
      <x:c r="H33" s="6" t="n">
        <x:v>-177000</x:v>
      </x:c>
      <x:c r="I33" s="6" t="n">
        <x:v>-255000</x:v>
      </x:c>
      <x:c r="J33" s="6" t="n">
        <x:v>442000</x:v>
      </x:c>
      <x:c r="K33" s="11" t="n">
        <x:v>25</x:v>
      </x:c>
      <x:c r="L33" s="11" t="n">
        <x:v>69</x:v>
      </x:c>
    </x:row>
    <x:row r="34" ht="25" customHeight="1">
      <x:c r="A34" s="2" t="str">
        <x:v>2026-10-09_Day</x:v>
      </x:c>
      <x:c r="B34" s="2" t="str">
        <x:v>前30場</x:v>
      </x:c>
      <x:c r="C34" s="6" t="n">
        <x:v>571000</x:v>
      </x:c>
      <x:c r="D34" s="6" t="n">
        <x:v>1232000</x:v>
      </x:c>
      <x:c r="E34" s="6" t="n">
        <x:f>C34-D34</x:f>
        <x:v>-661000</x:v>
      </x:c>
      <x:c r="F34" s="6" t="n">
        <x:f>F33+E34</x:f>
        <x:v>-6365000</x:v>
      </x:c>
      <x:c r="G34" s="6" t="n">
        <x:v>-480000</x:v>
      </x:c>
      <x:c r="H34" s="6" t="n">
        <x:v>-181000</x:v>
      </x:c>
      <x:c r="I34" s="6" t="n">
        <x:v>-711000</x:v>
      </x:c>
      <x:c r="J34" s="6" t="n">
        <x:v>978000</x:v>
      </x:c>
      <x:c r="K34" s="11" t="n">
        <x:v>8</x:v>
      </x:c>
      <x:c r="L34" s="11" t="n">
        <x:v>83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522000</x:v>
      </x:c>
      <x:c r="D35" s="6" t="n">
        <x:v>503000</x:v>
      </x:c>
      <x:c r="E35" s="6" t="n">
        <x:f>C35-D35</x:f>
        <x:v>19000</x:v>
      </x:c>
      <x:c r="F35" s="6" t="n">
        <x:f>F34+E35</x:f>
        <x:v>-6346000</x:v>
      </x:c>
      <x:c r="G35" s="6" t="n">
        <x:v>-10000</x:v>
      </x:c>
      <x:c r="H35" s="6" t="n">
        <x:v>29000</x:v>
      </x:c>
      <x:c r="I35" s="6" t="n">
        <x:v>-121000</x:v>
      </x:c>
      <x:c r="J35" s="6" t="n">
        <x:v>187000</x:v>
      </x:c>
      <x:c r="K35" s="11" t="n">
        <x:v>11</x:v>
      </x:c>
      <x:c r="L35" s="11" t="n">
        <x:v>45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-6346000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629000</x:v>
      </x:c>
      <x:c r="D37" s="6" t="n">
        <x:v>820000</x:v>
      </x:c>
      <x:c r="E37" s="6" t="n">
        <x:f>C37-D37</x:f>
        <x:v>-191000</x:v>
      </x:c>
      <x:c r="F37" s="6" t="n">
        <x:f>F36+E37</x:f>
        <x:v>-6537000</x:v>
      </x:c>
      <x:c r="G37" s="6" t="n">
        <x:v>-215000</x:v>
      </x:c>
      <x:c r="H37" s="6" t="n">
        <x:v>24000</x:v>
      </x:c>
      <x:c r="I37" s="6" t="n">
        <x:v>-221000</x:v>
      </x:c>
      <x:c r="J37" s="6" t="n">
        <x:v>231000</x:v>
      </x:c>
      <x:c r="K37" s="11" t="n">
        <x:v>11</x:v>
      </x:c>
      <x:c r="L37" s="11" t="n">
        <x:v>16</x:v>
      </x:c>
    </x:row>
    <x:row r="38" ht="25" customHeight="1">
      <x:c r="A38" s="2" t="str">
        <x:v>2026-10-13_Day</x:v>
      </x:c>
      <x:c r="B38" s="2" t="str">
        <x:v>次10場</x:v>
      </x:c>
      <x:c r="C38" s="6" t="n">
        <x:v>506000</x:v>
      </x:c>
      <x:c r="D38" s="6" t="n">
        <x:v>297000</x:v>
      </x:c>
      <x:c r="E38" s="6" t="n">
        <x:f>C38-D38</x:f>
        <x:v>209000</x:v>
      </x:c>
      <x:c r="F38" s="6" t="n">
        <x:f>F37+E38</x:f>
        <x:v>-6328000</x:v>
      </x:c>
      <x:c r="G38" s="6" t="n">
        <x:v>482000</x:v>
      </x:c>
      <x:c r="H38" s="6" t="n">
        <x:v>-273000</x:v>
      </x:c>
      <x:c r="I38" s="6" t="n">
        <x:v>-252000</x:v>
      </x:c>
      <x:c r="J38" s="6" t="n">
        <x:v>280000</x:v>
      </x:c>
      <x:c r="K38" s="11" t="n">
        <x:v>6</x:v>
      </x:c>
      <x:c r="L38" s="11" t="n">
        <x:v>26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444000</x:v>
      </x:c>
      <x:c r="D39" s="6" t="n">
        <x:v>358000</x:v>
      </x:c>
      <x:c r="E39" s="6" t="n">
        <x:f>C39-D39</x:f>
        <x:v>86000</x:v>
      </x:c>
      <x:c r="F39" s="6" t="n">
        <x:f>F38+E39</x:f>
        <x:v>-6242000</x:v>
      </x:c>
      <x:c r="G39" s="6" t="n">
        <x:v>81000</x:v>
      </x:c>
      <x:c r="H39" s="6" t="n">
        <x:v>5000</x:v>
      </x:c>
      <x:c r="I39" s="6" t="n">
        <x:v>-98000</x:v>
      </x:c>
      <x:c r="J39" s="6" t="n">
        <x:v>166000</x:v>
      </x:c>
      <x:c r="K39" s="11" t="n">
        <x:v>10</x:v>
      </x:c>
      <x:c r="L39" s="11" t="n">
        <x:v>68</x:v>
      </x:c>
    </x:row>
    <x:row r="40" ht="25" customHeight="1">
      <x:c r="A40" s="2" t="str">
        <x:v>2026-10-14_Day</x:v>
      </x:c>
      <x:c r="B40" s="2" t="str">
        <x:v>次10場</x:v>
      </x:c>
      <x:c r="C40" s="6" t="n">
        <x:v>467000</x:v>
      </x:c>
      <x:c r="D40" s="6" t="n">
        <x:v>539000</x:v>
      </x:c>
      <x:c r="E40" s="6" t="n">
        <x:f>C40-D40</x:f>
        <x:v>-72000</x:v>
      </x:c>
      <x:c r="F40" s="6" t="n">
        <x:f>F39+E40</x:f>
        <x:v>-6314000</x:v>
      </x:c>
      <x:c r="G40" s="6" t="n">
        <x:v>92000</x:v>
      </x:c>
      <x:c r="H40" s="6" t="n">
        <x:v>-164000</x:v>
      </x:c>
      <x:c r="I40" s="6" t="n">
        <x:v>-320000</x:v>
      </x:c>
      <x:c r="J40" s="6" t="n">
        <x:v>493000</x:v>
      </x:c>
      <x:c r="K40" s="11" t="n">
        <x:v>5</x:v>
      </x:c>
      <x:c r="L40" s="11" t="n">
        <x:v>62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1298000</x:v>
      </x:c>
      <x:c r="D41" s="6" t="n">
        <x:v>1990000</x:v>
      </x:c>
      <x:c r="E41" s="6" t="n">
        <x:f>C41-D41</x:f>
        <x:v>-692000</x:v>
      </x:c>
      <x:c r="F41" s="6" t="n">
        <x:f>F40+E41</x:f>
        <x:v>-7006000</x:v>
      </x:c>
      <x:c r="G41" s="6" t="n">
        <x:v>-681000</x:v>
      </x:c>
      <x:c r="H41" s="6" t="n">
        <x:v>-11000</x:v>
      </x:c>
      <x:c r="I41" s="6" t="n">
        <x:v>-722000</x:v>
      </x:c>
      <x:c r="J41" s="6" t="n">
        <x:v>732000</x:v>
      </x:c>
      <x:c r="K41" s="11" t="n">
        <x:v>17</x:v>
      </x:c>
      <x:c r="L41" s="11" t="n">
        <x:v>28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1131000</x:v>
      </x:c>
      <x:c r="D42" s="6" t="n">
        <x:v>1273000</x:v>
      </x:c>
      <x:c r="E42" s="6" t="n">
        <x:f>C42-D42</x:f>
        <x:v>-142000</x:v>
      </x:c>
      <x:c r="F42" s="6" t="n">
        <x:f>F41+E42</x:f>
        <x:v>-7148000</x:v>
      </x:c>
      <x:c r="G42" s="6" t="n">
        <x:v>-162000</x:v>
      </x:c>
      <x:c r="H42" s="6" t="n">
        <x:v>20000</x:v>
      </x:c>
      <x:c r="I42" s="6" t="n">
        <x:v>-1052000</x:v>
      </x:c>
      <x:c r="J42" s="6" t="n">
        <x:v>1302000</x:v>
      </x:c>
      <x:c r="K42" s="11" t="n">
        <x:v>13</x:v>
      </x:c>
      <x:c r="L42" s="11" t="n">
        <x:v>54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1533000</x:v>
      </x:c>
      <x:c r="D43" s="6" t="n">
        <x:v>1588000</x:v>
      </x:c>
      <x:c r="E43" s="6" t="n">
        <x:f>C43-D43</x:f>
        <x:v>-55000</x:v>
      </x:c>
      <x:c r="F43" s="6" t="n">
        <x:f>F42+E43</x:f>
        <x:v>-7203000</x:v>
      </x:c>
      <x:c r="G43" s="6" t="n">
        <x:v>196000</x:v>
      </x:c>
      <x:c r="H43" s="6" t="n">
        <x:v>-251000</x:v>
      </x:c>
      <x:c r="I43" s="6" t="n">
        <x:v>-497000</x:v>
      </x:c>
      <x:c r="J43" s="6" t="n">
        <x:v>527000</x:v>
      </x:c>
      <x:c r="K43" s="11" t="n">
        <x:v>35</x:v>
      </x:c>
      <x:c r="L43" s="11" t="n">
        <x:v>73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1008000</x:v>
      </x:c>
      <x:c r="D44" s="6" t="n">
        <x:v>368000</x:v>
      </x:c>
      <x:c r="E44" s="6" t="n">
        <x:f>C44-D44</x:f>
        <x:v>640000</x:v>
      </x:c>
      <x:c r="F44" s="6" t="n">
        <x:f>F43+E44</x:f>
        <x:v>-6563000</x:v>
      </x:c>
      <x:c r="G44" s="6" t="n">
        <x:v>731000</x:v>
      </x:c>
      <x:c r="H44" s="6" t="n">
        <x:v>-91000</x:v>
      </x:c>
      <x:c r="I44" s="6" t="n">
        <x:v>-60000</x:v>
      </x:c>
      <x:c r="J44" s="6" t="n">
        <x:v>345000</x:v>
      </x:c>
      <x:c r="K44" s="11" t="n">
        <x:v>14</x:v>
      </x:c>
      <x:c r="L44" s="11" t="n">
        <x:v>107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1497000</x:v>
      </x:c>
      <x:c r="D45" s="6" t="n">
        <x:v>2101000</x:v>
      </x:c>
      <x:c r="E45" s="6" t="n">
        <x:f>C45-D45</x:f>
        <x:v>-604000</x:v>
      </x:c>
      <x:c r="F45" s="6" t="n">
        <x:f>F44+E45</x:f>
        <x:v>-7167000</x:v>
      </x:c>
      <x:c r="G45" s="6" t="n">
        <x:v>-573000</x:v>
      </x:c>
      <x:c r="H45" s="6" t="n">
        <x:v>-31000</x:v>
      </x:c>
      <x:c r="I45" s="6" t="n">
        <x:v>-644000</x:v>
      </x:c>
      <x:c r="J45" s="6" t="n">
        <x:v>771000</x:v>
      </x:c>
      <x:c r="K45" s="11" t="n">
        <x:v>27</x:v>
      </x:c>
      <x:c r="L45" s="11" t="n">
        <x:v>32</x:v>
      </x:c>
    </x:row>
    <x:row r="46" ht="25" customHeight="1">
      <x:c r="A46" s="2" t="str">
        <x:v>2026-10-19_Day</x:v>
      </x:c>
      <x:c r="B46" s="2" t="str">
        <x:v>後13場</x:v>
      </x:c>
      <x:c r="C46" s="6" t="n">
        <x:v>486000</x:v>
      </x:c>
      <x:c r="D46" s="6" t="n">
        <x:v>1073000</x:v>
      </x:c>
      <x:c r="E46" s="6" t="n">
        <x:f>C46-D46</x:f>
        <x:v>-587000</x:v>
      </x:c>
      <x:c r="F46" s="6" t="n">
        <x:f>F45+E46</x:f>
        <x:v>-7754000</x:v>
      </x:c>
      <x:c r="G46" s="6" t="n">
        <x:v>-183000</x:v>
      </x:c>
      <x:c r="H46" s="6" t="n">
        <x:v>-404000</x:v>
      </x:c>
      <x:c r="I46" s="6" t="n">
        <x:v>-797000</x:v>
      </x:c>
      <x:c r="J46" s="6" t="n">
        <x:v>861000</x:v>
      </x:c>
      <x:c r="K46" s="11" t="n">
        <x:v>7</x:v>
      </x:c>
      <x:c r="L46" s="11" t="n">
        <x:v>96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632000</x:v>
      </x:c>
      <x:c r="D47" s="6" t="n">
        <x:v>685000</x:v>
      </x:c>
      <x:c r="E47" s="6" t="n">
        <x:f>C47-D47</x:f>
        <x:v>-53000</x:v>
      </x:c>
      <x:c r="F47" s="6" t="n">
        <x:f>F46+E47</x:f>
        <x:v>-7807000</x:v>
      </x:c>
      <x:c r="G47" s="6" t="n">
        <x:v>378000</x:v>
      </x:c>
      <x:c r="H47" s="6" t="n">
        <x:v>-431000</x:v>
      </x:c>
      <x:c r="I47" s="6" t="n">
        <x:v>-90000</x:v>
      </x:c>
      <x:c r="J47" s="6" t="n">
        <x:v>175000</x:v>
      </x:c>
      <x:c r="K47" s="11" t="n">
        <x:v>13</x:v>
      </x:c>
      <x:c r="L47" s="11" t="n">
        <x:v>62</x:v>
      </x:c>
    </x:row>
    <x:row r="48" ht="25" customHeight="1">
      <x:c r="A48" s="2" t="str">
        <x:v>2026-10-20_Day</x:v>
      </x:c>
      <x:c r="B48" s="2" t="str">
        <x:v>後13場</x:v>
      </x:c>
      <x:c r="C48" s="6" t="n">
        <x:v>495000</x:v>
      </x:c>
      <x:c r="D48" s="6" t="n">
        <x:v>477000</x:v>
      </x:c>
      <x:c r="E48" s="6" t="n">
        <x:f>C48-D48</x:f>
        <x:v>18000</x:v>
      </x:c>
      <x:c r="F48" s="6" t="n">
        <x:f>F47+E48</x:f>
        <x:v>-7789000</x:v>
      </x:c>
      <x:c r="G48" s="6" t="n">
        <x:v>-28000</x:v>
      </x:c>
      <x:c r="H48" s="6" t="n">
        <x:v>46000</x:v>
      </x:c>
      <x:c r="I48" s="6" t="n">
        <x:v>-403000</x:v>
      </x:c>
      <x:c r="J48" s="6" t="n">
        <x:v>563000</x:v>
      </x:c>
      <x:c r="K48" s="11" t="n">
        <x:v>6</x:v>
      </x:c>
      <x:c r="L48" s="11" t="n">
        <x:v>49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1071000</x:v>
      </x:c>
      <x:c r="D49" s="6" t="n">
        <x:v>1331000</x:v>
      </x:c>
      <x:c r="E49" s="6" t="n">
        <x:f>C49-D49</x:f>
        <x:v>-260000</x:v>
      </x:c>
      <x:c r="F49" s="6" t="n">
        <x:f>F48+E49</x:f>
        <x:v>-8049000</x:v>
      </x:c>
      <x:c r="G49" s="6" t="n">
        <x:v>-264000</x:v>
      </x:c>
      <x:c r="H49" s="6" t="n">
        <x:v>4000</x:v>
      </x:c>
      <x:c r="I49" s="6" t="n">
        <x:v>-290000</x:v>
      </x:c>
      <x:c r="J49" s="6" t="n">
        <x:v>390000</x:v>
      </x:c>
      <x:c r="K49" s="11" t="n">
        <x:v>14</x:v>
      </x:c>
      <x:c r="L49" s="11" t="n">
        <x:v>30</x:v>
      </x:c>
    </x:row>
    <x:row r="50" ht="25" customHeight="1">
      <x:c r="A50" s="2" t="str">
        <x:v>2026-10-21_Day</x:v>
      </x:c>
      <x:c r="B50" s="2" t="str">
        <x:v>後13場</x:v>
      </x:c>
      <x:c r="C50" s="6" t="n">
        <x:v>448000</x:v>
      </x:c>
      <x:c r="D50" s="6" t="n">
        <x:v>683000</x:v>
      </x:c>
      <x:c r="E50" s="6" t="n">
        <x:f>C50-D50</x:f>
        <x:v>-235000</x:v>
      </x:c>
      <x:c r="F50" s="6" t="n">
        <x:f>F49+E50</x:f>
        <x:v>-8284000</x:v>
      </x:c>
      <x:c r="G50" s="6" t="n">
        <x:v>-9000</x:v>
      </x:c>
      <x:c r="H50" s="6" t="n">
        <x:v>-226000</x:v>
      </x:c>
      <x:c r="I50" s="6" t="n">
        <x:v>-477000</x:v>
      </x:c>
      <x:c r="J50" s="6" t="n">
        <x:v>527000</x:v>
      </x:c>
      <x:c r="K50" s="11" t="n">
        <x:v>6</x:v>
      </x:c>
      <x:c r="L50" s="11" t="n">
        <x:v>85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689000</x:v>
      </x:c>
      <x:c r="D51" s="6" t="n">
        <x:v>746000</x:v>
      </x:c>
      <x:c r="E51" s="6" t="n">
        <x:f>C51-D51</x:f>
        <x:v>-57000</x:v>
      </x:c>
      <x:c r="F51" s="6" t="n">
        <x:f>F50+E51</x:f>
        <x:v>-8341000</x:v>
      </x:c>
      <x:c r="G51" s="6" t="n">
        <x:v>62000</x:v>
      </x:c>
      <x:c r="H51" s="6" t="n">
        <x:v>-119000</x:v>
      </x:c>
      <x:c r="I51" s="6" t="n">
        <x:v>-157000</x:v>
      </x:c>
      <x:c r="J51" s="6" t="n">
        <x:v>157000</x:v>
      </x:c>
      <x:c r="K51" s="11" t="n">
        <x:v>15</x:v>
      </x:c>
      <x:c r="L51" s="11" t="n">
        <x:v>25</x:v>
      </x:c>
    </x:row>
    <x:row r="52" ht="25" customHeight="1">
      <x:c r="A52" s="2" t="str">
        <x:v>2026-10-22_Day</x:v>
      </x:c>
      <x:c r="B52" s="2" t="str">
        <x:v>後13場</x:v>
      </x:c>
      <x:c r="C52" s="6" t="n">
        <x:v>643000</x:v>
      </x:c>
      <x:c r="D52" s="6" t="n">
        <x:v>1795000</x:v>
      </x:c>
      <x:c r="E52" s="6" t="n">
        <x:f>C52-D52</x:f>
        <x:v>-1152000</x:v>
      </x:c>
      <x:c r="F52" s="6" t="n">
        <x:f>F51+E52</x:f>
        <x:v>-9493000</x:v>
      </x:c>
      <x:c r="G52" s="6" t="n">
        <x:v>-1083000</x:v>
      </x:c>
      <x:c r="H52" s="6" t="n">
        <x:v>-69000</x:v>
      </x:c>
      <x:c r="I52" s="6" t="n">
        <x:v>-1392000</x:v>
      </x:c>
      <x:c r="J52" s="6" t="n">
        <x:v>1489000</x:v>
      </x:c>
      <x:c r="K52" s="11" t="n">
        <x:v>8</x:v>
      </x:c>
      <x:c r="L52" s="11" t="n">
        <x:v>58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941000</x:v>
      </x:c>
      <x:c r="D53" s="6" t="n">
        <x:v>1200000</x:v>
      </x:c>
      <x:c r="E53" s="6" t="n">
        <x:f>C53-D53</x:f>
        <x:v>-259000</x:v>
      </x:c>
      <x:c r="F53" s="6" t="n">
        <x:f>F52+E53</x:f>
        <x:v>-9752000</x:v>
      </x:c>
      <x:c r="G53" s="6" t="n">
        <x:v>-345000</x:v>
      </x:c>
      <x:c r="H53" s="6" t="n">
        <x:v>86000</x:v>
      </x:c>
      <x:c r="I53" s="6" t="n">
        <x:v>-269000</x:v>
      </x:c>
      <x:c r="J53" s="6" t="n">
        <x:v>500000</x:v>
      </x:c>
      <x:c r="K53" s="11" t="n">
        <x:v>18</x:v>
      </x:c>
      <x:c r="L53" s="11" t="n">
        <x:v>36</x:v>
      </x:c>
    </x:row>
    <x:row r="54" ht="25" customHeight="1">
      <x:c r="A54" s="2" t="str">
        <x:v>2026-10-23_Day</x:v>
      </x:c>
      <x:c r="B54" s="2" t="str">
        <x:v>後13場</x:v>
      </x:c>
      <x:c r="C54" s="6" t="n">
        <x:v>1649000</x:v>
      </x:c>
      <x:c r="D54" s="6" t="n">
        <x:v>1602000</x:v>
      </x:c>
      <x:c r="E54" s="6" t="n">
        <x:f>C54-D54</x:f>
        <x:v>47000</x:v>
      </x:c>
      <x:c r="F54" s="6" t="n">
        <x:f>F53+E54</x:f>
        <x:v>-9705000</x:v>
      </x:c>
      <x:c r="G54" s="6" t="n">
        <x:v>396000</x:v>
      </x:c>
      <x:c r="H54" s="6" t="n">
        <x:v>-349000</x:v>
      </x:c>
      <x:c r="I54" s="6" t="n">
        <x:v>-453000</x:v>
      </x:c>
      <x:c r="J54" s="6" t="n">
        <x:v>919000</x:v>
      </x:c>
      <x:c r="K54" s="11" t="n">
        <x:v>24</x:v>
      </x:c>
      <x:c r="L54" s="11" t="n">
        <x:v>196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498000</x:v>
      </x:c>
      <x:c r="D55" s="6" t="n">
        <x:v>654000</x:v>
      </x:c>
      <x:c r="E55" s="6" t="n">
        <x:f>C55-D55</x:f>
        <x:v>-156000</x:v>
      </x:c>
      <x:c r="F55" s="6" t="n">
        <x:f>F54+E55</x:f>
        <x:v>-9861000</x:v>
      </x:c>
      <x:c r="G55" s="6" t="n">
        <x:v>-179000</x:v>
      </x:c>
      <x:c r="H55" s="6" t="n">
        <x:v>23000</x:v>
      </x:c>
      <x:c r="I55" s="6" t="n">
        <x:v>-176000</x:v>
      </x:c>
      <x:c r="J55" s="6" t="n">
        <x:v>203000</x:v>
      </x:c>
      <x:c r="K55" s="11" t="n">
        <x:v>12</x:v>
      </x:c>
      <x:c r="L55" s="11" t="n">
        <x:v>19</x:v>
      </x:c>
    </x:row>
    <x:row r="56" ht="25" customHeight="1">
      <x:c r="A56" s="2" t="str">
        <x:v>2026-10-26_Day</x:v>
      </x:c>
      <x:c r="B56" s="2" t="str">
        <x:v>後13場</x:v>
      </x:c>
      <x:c r="C56" s="6" t="n">
        <x:v>569000</x:v>
      </x:c>
      <x:c r="D56" s="6" t="n">
        <x:v>760000</x:v>
      </x:c>
      <x:c r="E56" s="6" t="n">
        <x:f>C56-D56</x:f>
        <x:v>-191000</x:v>
      </x:c>
      <x:c r="F56" s="6" t="n">
        <x:f>F55+E56</x:f>
        <x:v>-10052000</x:v>
      </x:c>
      <x:c r="G56" s="6" t="n">
        <x:v>-240000</x:v>
      </x:c>
      <x:c r="H56" s="6" t="n">
        <x:v>49000</x:v>
      </x:c>
      <x:c r="I56" s="6" t="n">
        <x:v>-356000</x:v>
      </x:c>
      <x:c r="J56" s="6" t="n">
        <x:v>356000</x:v>
      </x:c>
      <x:c r="K56" s="11" t="n">
        <x:v>8</x:v>
      </x:c>
      <x:c r="L56" s="11" t="n">
        <x:v>92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650000</x:v>
      </x:c>
      <x:c r="D57" s="6" t="n">
        <x:v>900000</x:v>
      </x:c>
      <x:c r="E57" s="6" t="n">
        <x:f>C57-D57</x:f>
        <x:v>-250000</x:v>
      </x:c>
      <x:c r="F57" s="6" t="n">
        <x:f>F56+E57</x:f>
        <x:v>-10302000</x:v>
      </x:c>
      <x:c r="G57" s="6" t="n">
        <x:v>-293000</x:v>
      </x:c>
      <x:c r="H57" s="6" t="n">
        <x:v>43000</x:v>
      </x:c>
      <x:c r="I57" s="6" t="n">
        <x:v>-270000</x:v>
      </x:c>
      <x:c r="J57" s="6" t="n">
        <x:v>341000</x:v>
      </x:c>
      <x:c r="K57" s="11" t="n">
        <x:v>10</x:v>
      </x:c>
      <x:c r="L57" s="11" t="n">
        <x:v>30</x:v>
      </x:c>
    </x:row>
    <x:row r="58" ht="25" customHeight="1">
      <x:c r="A58" s="2" t="str">
        <x:v>2026-10-27_Day</x:v>
      </x:c>
      <x:c r="B58" s="2" t="str">
        <x:v>後13場</x:v>
      </x:c>
      <x:c r="C58" s="6" t="n">
        <x:v>937000</x:v>
      </x:c>
      <x:c r="D58" s="6" t="n">
        <x:v>382000</x:v>
      </x:c>
      <x:c r="E58" s="6" t="n">
        <x:f>C58-D58</x:f>
        <x:v>555000</x:v>
      </x:c>
      <x:c r="F58" s="6" t="n">
        <x:f>F57+E58</x:f>
        <x:v>-9747000</x:v>
      </x:c>
      <x:c r="G58" s="6" t="n">
        <x:v>880000</x:v>
      </x:c>
      <x:c r="H58" s="6" t="n">
        <x:v>-325000</x:v>
      </x:c>
      <x:c r="I58" s="6" t="n">
        <x:v>-97000</x:v>
      </x:c>
      <x:c r="J58" s="6" t="n">
        <x:v>320000</x:v>
      </x:c>
      <x:c r="K58" s="11" t="n">
        <x:v>9</x:v>
      </x:c>
      <x:c r="L58" s="11" t="n">
        <x:v>56</x:v>
      </x:c>
    </x:row>
    <x:row r="59" ht="25" customHeight="1">
      <x:c r="A59" s="15" t="str">
        <x:v>累計／場内最悪値</x:v>
      </x:c>
      <x:c r="B59" s="15"/>
      <x:c r="C59" s="16" t="n">
        <x:f>SUM(C6:C58)</x:f>
        <x:v>32680000</x:v>
      </x:c>
      <x:c r="D59" s="16" t="n">
        <x:f>SUM(D6:D58)</x:f>
        <x:v>42427000</x:v>
      </x:c>
      <x:c r="E59" s="16" t="n">
        <x:f>C59-D59</x:f>
        <x:v>-9747000</x:v>
      </x:c>
      <x:c r="F59" s="16" t="n">
        <x:f>F58</x:f>
        <x:v>-9747000</x:v>
      </x:c>
      <x:c r="G59" s="16" t="n">
        <x:f>SUM(G6:G58)</x:f>
        <x:v>-5288000</x:v>
      </x:c>
      <x:c r="H59" s="16" t="n">
        <x:f>SUM(H6:H58)</x:f>
        <x:v>-4459000</x:v>
      </x:c>
      <x:c r="I59" s="16" t="n">
        <x:f>MIN(I6:I58)</x:f>
        <x:v>-1633000</x:v>
      </x:c>
      <x:c r="J59" s="16" t="n">
        <x:f>MAX(J6:J58)</x:f>
        <x:v>1761000</x:v>
      </x:c>
      <x:c r="K59" s="17" t="n">
        <x:f>SUM(K6:K58)</x:f>
        <x:v>517</x:v>
      </x:c>
      <x:c r="L59" s="17" t="n">
        <x:f>SUM(L6:L58)</x:f>
        <x:v>2466</x:v>
      </x:c>
    </x:row>
  </x:sheetData>
  <x:conditionalFormatting sqref="E6:I58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d75b6238f042e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H05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段40・利益20起動・追尾10・固定段再交差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203000</x:v>
      </x:c>
      <x:c r="D6" s="6" t="n">
        <x:v>57000</x:v>
      </x:c>
      <x:c r="E6" s="6" t="n">
        <x:f>C6-D6</x:f>
        <x:v>146000</x:v>
      </x:c>
      <x:c r="F6" s="6" t="n">
        <x:f>E6</x:f>
        <x:v>146000</x:v>
      </x:c>
      <x:c r="G6" s="6" t="n">
        <x:v>200000</x:v>
      </x:c>
      <x:c r="H6" s="6" t="n">
        <x:v>-54000</x:v>
      </x:c>
      <x:c r="I6" s="6" t="n">
        <x:v>-61000</x:v>
      </x:c>
      <x:c r="J6" s="6" t="n">
        <x:v>125000</x:v>
      </x:c>
      <x:c r="K6" s="11" t="n">
        <x:v>2</x:v>
      </x:c>
      <x:c r="L6" s="11" t="n">
        <x:v>4</x:v>
      </x:c>
    </x:row>
    <x:row r="7" ht="25" customHeight="1">
      <x:c r="A7" s="2" t="str">
        <x:v>2026-09-21_Night</x:v>
      </x:c>
      <x:c r="B7" s="2" t="str">
        <x:v>前30場</x:v>
      </x:c>
      <x:c r="C7" s="6" t="n">
        <x:v>551000</x:v>
      </x:c>
      <x:c r="D7" s="6" t="n">
        <x:v>810000</x:v>
      </x:c>
      <x:c r="E7" s="6" t="n">
        <x:f>C7-D7</x:f>
        <x:v>-259000</x:v>
      </x:c>
      <x:c r="F7" s="6" t="n">
        <x:f>F6+E7</x:f>
        <x:v>-113000</x:v>
      </x:c>
      <x:c r="G7" s="6" t="n">
        <x:v>-289000</x:v>
      </x:c>
      <x:c r="H7" s="6" t="n">
        <x:v>30000</x:v>
      </x:c>
      <x:c r="I7" s="6" t="n">
        <x:v>-389000</x:v>
      </x:c>
      <x:c r="J7" s="6" t="n">
        <x:v>526000</x:v>
      </x:c>
      <x:c r="K7" s="11" t="n">
        <x:v>7</x:v>
      </x:c>
      <x:c r="L7" s="11" t="n">
        <x:v>25</x:v>
      </x:c>
    </x:row>
    <x:row r="8" ht="25" customHeight="1">
      <x:c r="A8" s="2" t="str">
        <x:v>2026-09-22_Day</x:v>
      </x:c>
      <x:c r="B8" s="2" t="str">
        <x:v>前30場</x:v>
      </x:c>
      <x:c r="C8" s="6" t="n">
        <x:v>156000</x:v>
      </x:c>
      <x:c r="D8" s="6" t="n">
        <x:v>136000</x:v>
      </x:c>
      <x:c r="E8" s="6" t="n">
        <x:f>C8-D8</x:f>
        <x:v>20000</x:v>
      </x:c>
      <x:c r="F8" s="6" t="n">
        <x:f>F7+E8</x:f>
        <x:v>-93000</x:v>
      </x:c>
      <x:c r="G8" s="6" t="n">
        <x:v>100000</x:v>
      </x:c>
      <x:c r="H8" s="6" t="n">
        <x:v>-80000</x:v>
      </x:c>
      <x:c r="I8" s="6" t="n">
        <x:v>-289000</x:v>
      </x:c>
      <x:c r="J8" s="6" t="n">
        <x:v>369000</x:v>
      </x:c>
      <x:c r="K8" s="11" t="n">
        <x:v>1</x:v>
      </x:c>
      <x:c r="L8" s="11" t="n">
        <x:v>38</x:v>
      </x:c>
    </x:row>
    <x:row r="9" ht="25" customHeight="1">
      <x:c r="A9" s="2" t="str">
        <x:v>2026-09-22_Night</x:v>
      </x:c>
      <x:c r="B9" s="2" t="str">
        <x:v>前30場</x:v>
      </x:c>
      <x:c r="C9" s="6" t="n">
        <x:v>629000</x:v>
      </x:c>
      <x:c r="D9" s="6" t="n">
        <x:v>939000</x:v>
      </x:c>
      <x:c r="E9" s="6" t="n">
        <x:f>C9-D9</x:f>
        <x:v>-310000</x:v>
      </x:c>
      <x:c r="F9" s="6" t="n">
        <x:f>F8+E9</x:f>
        <x:v>-403000</x:v>
      </x:c>
      <x:c r="G9" s="6" t="n">
        <x:v>-302000</x:v>
      </x:c>
      <x:c r="H9" s="6" t="n">
        <x:v>-8000</x:v>
      </x:c>
      <x:c r="I9" s="6" t="n">
        <x:v>-480000</x:v>
      </x:c>
      <x:c r="J9" s="6" t="n">
        <x:v>610000</x:v>
      </x:c>
      <x:c r="K9" s="11" t="n">
        <x:v>10</x:v>
      </x:c>
      <x:c r="L9" s="11" t="n">
        <x:v>36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-403000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570000</x:v>
      </x:c>
      <x:c r="D11" s="6" t="n">
        <x:v>1070000</x:v>
      </x:c>
      <x:c r="E11" s="6" t="n">
        <x:f>C11-D11</x:f>
        <x:v>-500000</x:v>
      </x:c>
      <x:c r="F11" s="6" t="n">
        <x:f>F10+E11</x:f>
        <x:v>-903000</x:v>
      </x:c>
      <x:c r="G11" s="6" t="n">
        <x:v>-519000</x:v>
      </x:c>
      <x:c r="H11" s="6" t="n">
        <x:v>19000</x:v>
      </x:c>
      <x:c r="I11" s="6" t="n">
        <x:v>-500000</x:v>
      </x:c>
      <x:c r="J11" s="6" t="n">
        <x:v>560000</x:v>
      </x:c>
      <x:c r="K11" s="11" t="n">
        <x:v>8</x:v>
      </x:c>
      <x:c r="L11" s="11" t="n">
        <x:v>17</x:v>
      </x:c>
    </x:row>
    <x:row r="12" ht="25" customHeight="1">
      <x:c r="A12" s="2" t="str">
        <x:v>2026-09-24_Day</x:v>
      </x:c>
      <x:c r="B12" s="2" t="str">
        <x:v>前30場</x:v>
      </x:c>
      <x:c r="C12" s="6" t="n">
        <x:v>379000</x:v>
      </x:c>
      <x:c r="D12" s="6" t="n">
        <x:v>334000</x:v>
      </x:c>
      <x:c r="E12" s="6" t="n">
        <x:f>C12-D12</x:f>
        <x:v>45000</x:v>
      </x:c>
      <x:c r="F12" s="6" t="n">
        <x:f>F11+E12</x:f>
        <x:v>-858000</x:v>
      </x:c>
      <x:c r="G12" s="6" t="n">
        <x:v>297000</x:v>
      </x:c>
      <x:c r="H12" s="6" t="n">
        <x:v>-252000</x:v>
      </x:c>
      <x:c r="I12" s="6" t="n">
        <x:v>-337000</x:v>
      </x:c>
      <x:c r="J12" s="6" t="n">
        <x:v>337000</x:v>
      </x:c>
      <x:c r="K12" s="11" t="n">
        <x:v>4</x:v>
      </x:c>
      <x:c r="L12" s="11" t="n">
        <x:v>64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440000</x:v>
      </x:c>
      <x:c r="D13" s="6" t="n">
        <x:v>719000</x:v>
      </x:c>
      <x:c r="E13" s="6" t="n">
        <x:f>C13-D13</x:f>
        <x:v>-279000</x:v>
      </x:c>
      <x:c r="F13" s="6" t="n">
        <x:f>F12+E13</x:f>
        <x:v>-1137000</x:v>
      </x:c>
      <x:c r="G13" s="6" t="n">
        <x:v>-281000</x:v>
      </x:c>
      <x:c r="H13" s="6" t="n">
        <x:v>2000</x:v>
      </x:c>
      <x:c r="I13" s="6" t="n">
        <x:v>-299000</x:v>
      </x:c>
      <x:c r="J13" s="6" t="n">
        <x:v>379000</x:v>
      </x:c>
      <x:c r="K13" s="11" t="n">
        <x:v>9</x:v>
      </x:c>
      <x:c r="L13" s="11" t="n">
        <x:v>26</x:v>
      </x:c>
    </x:row>
    <x:row r="14" ht="25" customHeight="1">
      <x:c r="A14" s="2" t="str">
        <x:v>2026-09-25_Day</x:v>
      </x:c>
      <x:c r="B14" s="2" t="str">
        <x:v>前30場</x:v>
      </x:c>
      <x:c r="C14" s="6" t="n">
        <x:v>98000</x:v>
      </x:c>
      <x:c r="D14" s="6" t="n">
        <x:v>700000</x:v>
      </x:c>
      <x:c r="E14" s="6" t="n">
        <x:f>C14-D14</x:f>
        <x:v>-602000</x:v>
      </x:c>
      <x:c r="F14" s="6" t="n">
        <x:f>F13+E14</x:f>
        <x:v>-1739000</x:v>
      </x:c>
      <x:c r="G14" s="6" t="n">
        <x:v>-646000</x:v>
      </x:c>
      <x:c r="H14" s="6" t="n">
        <x:v>44000</x:v>
      </x:c>
      <x:c r="I14" s="6" t="n">
        <x:v>-722000</x:v>
      </x:c>
      <x:c r="J14" s="6" t="n">
        <x:v>792000</x:v>
      </x:c>
      <x:c r="K14" s="11" t="n">
        <x:v>2</x:v>
      </x:c>
      <x:c r="L14" s="11" t="n">
        <x:v>30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489000</x:v>
      </x:c>
      <x:c r="D15" s="6" t="n">
        <x:v>675000</x:v>
      </x:c>
      <x:c r="E15" s="6" t="n">
        <x:f>C15-D15</x:f>
        <x:v>-186000</x:v>
      </x:c>
      <x:c r="F15" s="6" t="n">
        <x:f>F14+E15</x:f>
        <x:v>-1925000</x:v>
      </x:c>
      <x:c r="G15" s="6" t="n">
        <x:v>-206000</x:v>
      </x:c>
      <x:c r="H15" s="6" t="n">
        <x:v>20000</x:v>
      </x:c>
      <x:c r="I15" s="6" t="n">
        <x:v>-206000</x:v>
      </x:c>
      <x:c r="J15" s="6" t="n">
        <x:v>206000</x:v>
      </x:c>
      <x:c r="K15" s="11" t="n">
        <x:v>10</x:v>
      </x:c>
      <x:c r="L15" s="11" t="n">
        <x:v>24</x:v>
      </x:c>
    </x:row>
    <x:row r="16" ht="25" customHeight="1">
      <x:c r="A16" s="2" t="str">
        <x:v>2026-09-28_Day</x:v>
      </x:c>
      <x:c r="B16" s="2" t="str">
        <x:v>前30場</x:v>
      </x:c>
      <x:c r="C16" s="6" t="n">
        <x:v>450000</x:v>
      </x:c>
      <x:c r="D16" s="6" t="n">
        <x:v>376000</x:v>
      </x:c>
      <x:c r="E16" s="6" t="n">
        <x:f>C16-D16</x:f>
        <x:v>74000</x:v>
      </x:c>
      <x:c r="F16" s="6" t="n">
        <x:f>F15+E16</x:f>
        <x:v>-1851000</x:v>
      </x:c>
      <x:c r="G16" s="6" t="n">
        <x:v>377000</x:v>
      </x:c>
      <x:c r="H16" s="6" t="n">
        <x:v>-303000</x:v>
      </x:c>
      <x:c r="I16" s="6" t="n">
        <x:v>-383000</x:v>
      </x:c>
      <x:c r="J16" s="6" t="n">
        <x:v>394000</x:v>
      </x:c>
      <x:c r="K16" s="11" t="n">
        <x:v>5</x:v>
      </x:c>
      <x:c r="L16" s="11" t="n">
        <x:v>60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808000</x:v>
      </x:c>
      <x:c r="D17" s="6" t="n">
        <x:v>702000</x:v>
      </x:c>
      <x:c r="E17" s="6" t="n">
        <x:f>C17-D17</x:f>
        <x:v>106000</x:v>
      </x:c>
      <x:c r="F17" s="6" t="n">
        <x:f>F16+E17</x:f>
        <x:v>-1745000</x:v>
      </x:c>
      <x:c r="G17" s="6" t="n">
        <x:v>572000</x:v>
      </x:c>
      <x:c r="H17" s="6" t="n">
        <x:v>-466000</x:v>
      </x:c>
      <x:c r="I17" s="6" t="n">
        <x:v>-223000</x:v>
      </x:c>
      <x:c r="J17" s="6" t="n">
        <x:v>244000</x:v>
      </x:c>
      <x:c r="K17" s="11" t="n">
        <x:v>17</x:v>
      </x:c>
      <x:c r="L17" s="11" t="n">
        <x:v>49</x:v>
      </x:c>
    </x:row>
    <x:row r="18" ht="25" customHeight="1">
      <x:c r="A18" s="2" t="str">
        <x:v>2026-09-29_Day</x:v>
      </x:c>
      <x:c r="B18" s="2" t="str">
        <x:v>前30場</x:v>
      </x:c>
      <x:c r="C18" s="6" t="n">
        <x:v>566000</x:v>
      </x:c>
      <x:c r="D18" s="6" t="n">
        <x:v>543000</x:v>
      </x:c>
      <x:c r="E18" s="6" t="n">
        <x:f>C18-D18</x:f>
        <x:v>23000</x:v>
      </x:c>
      <x:c r="F18" s="6" t="n">
        <x:f>F17+E18</x:f>
        <x:v>-1722000</x:v>
      </x:c>
      <x:c r="G18" s="6" t="n">
        <x:v>0</x:v>
      </x:c>
      <x:c r="H18" s="6" t="n">
        <x:v>23000</x:v>
      </x:c>
      <x:c r="I18" s="6" t="n">
        <x:v>-586000</x:v>
      </x:c>
      <x:c r="J18" s="6" t="n">
        <x:v>665000</x:v>
      </x:c>
      <x:c r="K18" s="11" t="n">
        <x:v>7</x:v>
      </x:c>
      <x:c r="L18" s="11" t="n">
        <x:v>81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673000</x:v>
      </x:c>
      <x:c r="D19" s="6" t="n">
        <x:v>775000</x:v>
      </x:c>
      <x:c r="E19" s="6" t="n">
        <x:f>C19-D19</x:f>
        <x:v>-102000</x:v>
      </x:c>
      <x:c r="F19" s="6" t="n">
        <x:f>F18+E19</x:f>
        <x:v>-1824000</x:v>
      </x:c>
      <x:c r="G19" s="6" t="n">
        <x:v>-2000</x:v>
      </x:c>
      <x:c r="H19" s="6" t="n">
        <x:v>-100000</x:v>
      </x:c>
      <x:c r="I19" s="6" t="n">
        <x:v>-162000</x:v>
      </x:c>
      <x:c r="J19" s="6" t="n">
        <x:v>238000</x:v>
      </x:c>
      <x:c r="K19" s="11" t="n">
        <x:v>13</x:v>
      </x:c>
      <x:c r="L19" s="11" t="n">
        <x:v>31</x:v>
      </x:c>
    </x:row>
    <x:row r="20" ht="25" customHeight="1">
      <x:c r="A20" s="2" t="str">
        <x:v>2026-09-30_Day</x:v>
      </x:c>
      <x:c r="B20" s="2" t="str">
        <x:v>前30場</x:v>
      </x:c>
      <x:c r="C20" s="6" t="n">
        <x:v>240000</x:v>
      </x:c>
      <x:c r="D20" s="6" t="n">
        <x:v>706000</x:v>
      </x:c>
      <x:c r="E20" s="6" t="n">
        <x:f>C20-D20</x:f>
        <x:v>-466000</x:v>
      </x:c>
      <x:c r="F20" s="6" t="n">
        <x:f>F19+E20</x:f>
        <x:v>-2290000</x:v>
      </x:c>
      <x:c r="G20" s="6" t="n">
        <x:v>-420000</x:v>
      </x:c>
      <x:c r="H20" s="6" t="n">
        <x:v>-46000</x:v>
      </x:c>
      <x:c r="I20" s="6" t="n">
        <x:v>-466000</x:v>
      </x:c>
      <x:c r="J20" s="6" t="n">
        <x:v>606000</x:v>
      </x:c>
      <x:c r="K20" s="11" t="n">
        <x:v>3</x:v>
      </x:c>
      <x:c r="L20" s="11" t="n">
        <x:v>38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485000</x:v>
      </x:c>
      <x:c r="D21" s="6" t="n">
        <x:v>770000</x:v>
      </x:c>
      <x:c r="E21" s="6" t="n">
        <x:f>C21-D21</x:f>
        <x:v>-285000</x:v>
      </x:c>
      <x:c r="F21" s="6" t="n">
        <x:f>F20+E21</x:f>
        <x:v>-2575000</x:v>
      </x:c>
      <x:c r="G21" s="6" t="n">
        <x:v>-314000</x:v>
      </x:c>
      <x:c r="H21" s="6" t="n">
        <x:v>29000</x:v>
      </x:c>
      <x:c r="I21" s="6" t="n">
        <x:v>-439000</x:v>
      </x:c>
      <x:c r="J21" s="6" t="n">
        <x:v>439000</x:v>
      </x:c>
      <x:c r="K21" s="11" t="n">
        <x:v>14</x:v>
      </x:c>
      <x:c r="L21" s="11" t="n">
        <x:v>47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241000</x:v>
      </x:c>
      <x:c r="D22" s="6" t="n">
        <x:v>1664000</x:v>
      </x:c>
      <x:c r="E22" s="6" t="n">
        <x:f>C22-D22</x:f>
        <x:v>-1423000</x:v>
      </x:c>
      <x:c r="F22" s="6" t="n">
        <x:f>F21+E22</x:f>
        <x:v>-3998000</x:v>
      </x:c>
      <x:c r="G22" s="6" t="n">
        <x:v>-1454000</x:v>
      </x:c>
      <x:c r="H22" s="6" t="n">
        <x:v>31000</x:v>
      </x:c>
      <x:c r="I22" s="6" t="n">
        <x:v>-1623000</x:v>
      </x:c>
      <x:c r="J22" s="6" t="n">
        <x:v>1734000</x:v>
      </x:c>
      <x:c r="K22" s="11" t="n">
        <x:v>3</x:v>
      </x:c>
      <x:c r="L22" s="11" t="n">
        <x:v>51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900000</x:v>
      </x:c>
      <x:c r="D23" s="6" t="n">
        <x:v>909000</x:v>
      </x:c>
      <x:c r="E23" s="6" t="n">
        <x:f>C23-D23</x:f>
        <x:v>-9000</x:v>
      </x:c>
      <x:c r="F23" s="6" t="n">
        <x:f>F22+E23</x:f>
        <x:v>-4007000</x:v>
      </x:c>
      <x:c r="G23" s="6" t="n">
        <x:v>0</x:v>
      </x:c>
      <x:c r="H23" s="6" t="n">
        <x:v>-9000</x:v>
      </x:c>
      <x:c r="I23" s="6" t="n">
        <x:v>-179000</x:v>
      </x:c>
      <x:c r="J23" s="6" t="n">
        <x:v>289000</x:v>
      </x:c>
      <x:c r="K23" s="11" t="n">
        <x:v>15</x:v>
      </x:c>
      <x:c r="L23" s="11" t="n">
        <x:v>32</x:v>
      </x:c>
    </x:row>
    <x:row r="24" ht="25" customHeight="1">
      <x:c r="A24" s="2" t="str">
        <x:v>2026-10-02_Day</x:v>
      </x:c>
      <x:c r="B24" s="2" t="str">
        <x:v>前30場</x:v>
      </x:c>
      <x:c r="C24" s="6" t="n">
        <x:v>284000</x:v>
      </x:c>
      <x:c r="D24" s="6" t="n">
        <x:v>495000</x:v>
      </x:c>
      <x:c r="E24" s="6" t="n">
        <x:f>C24-D24</x:f>
        <x:v>-211000</x:v>
      </x:c>
      <x:c r="F24" s="6" t="n">
        <x:f>F23+E24</x:f>
        <x:v>-4218000</x:v>
      </x:c>
      <x:c r="G24" s="6" t="n">
        <x:v>60000</x:v>
      </x:c>
      <x:c r="H24" s="6" t="n">
        <x:v>-271000</x:v>
      </x:c>
      <x:c r="I24" s="6" t="n">
        <x:v>-345000</x:v>
      </x:c>
      <x:c r="J24" s="6" t="n">
        <x:v>390000</x:v>
      </x:c>
      <x:c r="K24" s="11" t="n">
        <x:v>5</x:v>
      </x:c>
      <x:c r="L24" s="11" t="n">
        <x:v>52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1022000</x:v>
      </x:c>
      <x:c r="D25" s="6" t="n">
        <x:v>1166000</x:v>
      </x:c>
      <x:c r="E25" s="6" t="n">
        <x:f>C25-D25</x:f>
        <x:v>-144000</x:v>
      </x:c>
      <x:c r="F25" s="6" t="n">
        <x:f>F24+E25</x:f>
        <x:v>-4362000</x:v>
      </x:c>
      <x:c r="G25" s="6" t="n">
        <x:v>-153000</x:v>
      </x:c>
      <x:c r="H25" s="6" t="n">
        <x:v>9000</x:v>
      </x:c>
      <x:c r="I25" s="6" t="n">
        <x:v>-444000</x:v>
      </x:c>
      <x:c r="J25" s="6" t="n">
        <x:v>500000</x:v>
      </x:c>
      <x:c r="K25" s="11" t="n">
        <x:v>17</x:v>
      </x:c>
      <x:c r="L25" s="11" t="n">
        <x:v>22</x:v>
      </x:c>
    </x:row>
    <x:row r="26" ht="25" customHeight="1">
      <x:c r="A26" s="2" t="str">
        <x:v>2026-10-05_Day</x:v>
      </x:c>
      <x:c r="B26" s="2" t="str">
        <x:v>前30場</x:v>
      </x:c>
      <x:c r="C26" s="6" t="n">
        <x:v>277000</x:v>
      </x:c>
      <x:c r="D26" s="6" t="n">
        <x:v>536000</x:v>
      </x:c>
      <x:c r="E26" s="6" t="n">
        <x:f>C26-D26</x:f>
        <x:v>-259000</x:v>
      </x:c>
      <x:c r="F26" s="6" t="n">
        <x:f>F25+E26</x:f>
        <x:v>-4621000</x:v>
      </x:c>
      <x:c r="G26" s="6" t="n">
        <x:v>-184000</x:v>
      </x:c>
      <x:c r="H26" s="6" t="n">
        <x:v>-75000</x:v>
      </x:c>
      <x:c r="I26" s="6" t="n">
        <x:v>-331000</x:v>
      </x:c>
      <x:c r="J26" s="6" t="n">
        <x:v>381000</x:v>
      </x:c>
      <x:c r="K26" s="11" t="n">
        <x:v>3</x:v>
      </x:c>
      <x:c r="L26" s="11" t="n">
        <x:v>70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458000</x:v>
      </x:c>
      <x:c r="D27" s="6" t="n">
        <x:v>511000</x:v>
      </x:c>
      <x:c r="E27" s="6" t="n">
        <x:f>C27-D27</x:f>
        <x:v>-53000</x:v>
      </x:c>
      <x:c r="F27" s="6" t="n">
        <x:f>F26+E27</x:f>
        <x:v>-4674000</x:v>
      </x:c>
      <x:c r="G27" s="6" t="n">
        <x:v>-69000</x:v>
      </x:c>
      <x:c r="H27" s="6" t="n">
        <x:v>16000</x:v>
      </x:c>
      <x:c r="I27" s="6" t="n">
        <x:v>-254000</x:v>
      </x:c>
      <x:c r="J27" s="6" t="n">
        <x:v>274000</x:v>
      </x:c>
      <x:c r="K27" s="11" t="n">
        <x:v>9</x:v>
      </x:c>
      <x:c r="L27" s="11" t="n">
        <x:v>56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102000</x:v>
      </x:c>
      <x:c r="D28" s="6" t="n">
        <x:v>63000</x:v>
      </x:c>
      <x:c r="E28" s="6" t="n">
        <x:f>C28-D28</x:f>
        <x:v>39000</x:v>
      </x:c>
      <x:c r="F28" s="6" t="n">
        <x:f>F27+E28</x:f>
        <x:v>-4635000</x:v>
      </x:c>
      <x:c r="G28" s="6" t="n">
        <x:v>100000</x:v>
      </x:c>
      <x:c r="H28" s="6" t="n">
        <x:v>-61000</x:v>
      </x:c>
      <x:c r="I28" s="6" t="n">
        <x:v>-158000</x:v>
      </x:c>
      <x:c r="J28" s="6" t="n">
        <x:v>158000</x:v>
      </x:c>
      <x:c r="K28" s="11" t="n">
        <x:v>1</x:v>
      </x:c>
      <x:c r="L28" s="11" t="n">
        <x:v>5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521000</x:v>
      </x:c>
      <x:c r="D29" s="6" t="n">
        <x:v>540000</x:v>
      </x:c>
      <x:c r="E29" s="6" t="n">
        <x:f>C29-D29</x:f>
        <x:v>-19000</x:v>
      </x:c>
      <x:c r="F29" s="6" t="n">
        <x:f>F28+E29</x:f>
        <x:v>-4654000</x:v>
      </x:c>
      <x:c r="G29" s="6" t="n">
        <x:v>-5000</x:v>
      </x:c>
      <x:c r="H29" s="6" t="n">
        <x:v>-14000</x:v>
      </x:c>
      <x:c r="I29" s="6" t="n">
        <x:v>-171000</x:v>
      </x:c>
      <x:c r="J29" s="6" t="n">
        <x:v>209000</x:v>
      </x:c>
      <x:c r="K29" s="11" t="n">
        <x:v>10</x:v>
      </x:c>
      <x:c r="L29" s="11" t="n">
        <x:v>26</x:v>
      </x:c>
    </x:row>
    <x:row r="30" ht="25" customHeight="1">
      <x:c r="A30" s="2" t="str">
        <x:v>2026-10-07_Day</x:v>
      </x:c>
      <x:c r="B30" s="2" t="str">
        <x:v>前30場</x:v>
      </x:c>
      <x:c r="C30" s="6" t="n">
        <x:v>184000</x:v>
      </x:c>
      <x:c r="D30" s="6" t="n">
        <x:v>78000</x:v>
      </x:c>
      <x:c r="E30" s="6" t="n">
        <x:f>C30-D30</x:f>
        <x:v>106000</x:v>
      </x:c>
      <x:c r="F30" s="6" t="n">
        <x:f>F29+E30</x:f>
        <x:v>-4548000</x:v>
      </x:c>
      <x:c r="G30" s="6" t="n">
        <x:v>180000</x:v>
      </x:c>
      <x:c r="H30" s="6" t="n">
        <x:v>-74000</x:v>
      </x:c>
      <x:c r="I30" s="6" t="n">
        <x:v>-97000</x:v>
      </x:c>
      <x:c r="J30" s="6" t="n">
        <x:v>167000</x:v>
      </x:c>
      <x:c r="K30" s="11" t="n">
        <x:v>2</x:v>
      </x:c>
      <x:c r="L30" s="11" t="n">
        <x:v>6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762000</x:v>
      </x:c>
      <x:c r="D31" s="6" t="n">
        <x:v>930000</x:v>
      </x:c>
      <x:c r="E31" s="6" t="n">
        <x:f>C31-D31</x:f>
        <x:v>-168000</x:v>
      </x:c>
      <x:c r="F31" s="6" t="n">
        <x:f>F30+E31</x:f>
        <x:v>-4716000</x:v>
      </x:c>
      <x:c r="G31" s="6" t="n">
        <x:v>-198000</x:v>
      </x:c>
      <x:c r="H31" s="6" t="n">
        <x:v>30000</x:v>
      </x:c>
      <x:c r="I31" s="6" t="n">
        <x:v>-178000</x:v>
      </x:c>
      <x:c r="J31" s="6" t="n">
        <x:v>198000</x:v>
      </x:c>
      <x:c r="K31" s="11" t="n">
        <x:v>14</x:v>
      </x:c>
      <x:c r="L31" s="11" t="n">
        <x:v>22</x:v>
      </x:c>
    </x:row>
    <x:row r="32" ht="25" customHeight="1">
      <x:c r="A32" s="2" t="str">
        <x:v>2026-10-08_Day</x:v>
      </x:c>
      <x:c r="B32" s="2" t="str">
        <x:v>前30場</x:v>
      </x:c>
      <x:c r="C32" s="6" t="n">
        <x:v>426000</x:v>
      </x:c>
      <x:c r="D32" s="6" t="n">
        <x:v>1143000</x:v>
      </x:c>
      <x:c r="E32" s="6" t="n">
        <x:f>C32-D32</x:f>
        <x:v>-717000</x:v>
      </x:c>
      <x:c r="F32" s="6" t="n">
        <x:f>F31+E32</x:f>
        <x:v>-5433000</x:v>
      </x:c>
      <x:c r="G32" s="6" t="n">
        <x:v>-830000</x:v>
      </x:c>
      <x:c r="H32" s="6" t="n">
        <x:v>113000</x:v>
      </x:c>
      <x:c r="I32" s="6" t="n">
        <x:v>-717000</x:v>
      </x:c>
      <x:c r="J32" s="6" t="n">
        <x:v>908000</x:v>
      </x:c>
      <x:c r="K32" s="11" t="n">
        <x:v>4</x:v>
      </x:c>
      <x:c r="L32" s="11" t="n">
        <x:v>99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1450000</x:v>
      </x:c>
      <x:c r="D33" s="6" t="n">
        <x:v>1812000</x:v>
      </x:c>
      <x:c r="E33" s="6" t="n">
        <x:f>C33-D33</x:f>
        <x:v>-362000</x:v>
      </x:c>
      <x:c r="F33" s="6" t="n">
        <x:f>F32+E33</x:f>
        <x:v>-5795000</x:v>
      </x:c>
      <x:c r="G33" s="6" t="n">
        <x:v>-66000</x:v>
      </x:c>
      <x:c r="H33" s="6" t="n">
        <x:v>-296000</x:v>
      </x:c>
      <x:c r="I33" s="6" t="n">
        <x:v>-362000</x:v>
      </x:c>
      <x:c r="J33" s="6" t="n">
        <x:v>501000</x:v>
      </x:c>
      <x:c r="K33" s="11" t="n">
        <x:v>32</x:v>
      </x:c>
      <x:c r="L33" s="11" t="n">
        <x:v>112</x:v>
      </x:c>
    </x:row>
    <x:row r="34" ht="25" customHeight="1">
      <x:c r="A34" s="2" t="str">
        <x:v>2026-10-09_Day</x:v>
      </x:c>
      <x:c r="B34" s="2" t="str">
        <x:v>前30場</x:v>
      </x:c>
      <x:c r="C34" s="6" t="n">
        <x:v>545000</x:v>
      </x:c>
      <x:c r="D34" s="6" t="n">
        <x:v>1346000</x:v>
      </x:c>
      <x:c r="E34" s="6" t="n">
        <x:f>C34-D34</x:f>
        <x:v>-801000</x:v>
      </x:c>
      <x:c r="F34" s="6" t="n">
        <x:f>F33+E34</x:f>
        <x:v>-6596000</x:v>
      </x:c>
      <x:c r="G34" s="6" t="n">
        <x:v>-520000</x:v>
      </x:c>
      <x:c r="H34" s="6" t="n">
        <x:v>-281000</x:v>
      </x:c>
      <x:c r="I34" s="6" t="n">
        <x:v>-851000</x:v>
      </x:c>
      <x:c r="J34" s="6" t="n">
        <x:v>971000</x:v>
      </x:c>
      <x:c r="K34" s="11" t="n">
        <x:v>8</x:v>
      </x:c>
      <x:c r="L34" s="11" t="n">
        <x:v>100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489000</x:v>
      </x:c>
      <x:c r="D35" s="6" t="n">
        <x:v>470000</x:v>
      </x:c>
      <x:c r="E35" s="6" t="n">
        <x:f>C35-D35</x:f>
        <x:v>19000</x:v>
      </x:c>
      <x:c r="F35" s="6" t="n">
        <x:f>F34+E35</x:f>
        <x:v>-6577000</x:v>
      </x:c>
      <x:c r="G35" s="6" t="n">
        <x:v>-10000</x:v>
      </x:c>
      <x:c r="H35" s="6" t="n">
        <x:v>29000</x:v>
      </x:c>
      <x:c r="I35" s="6" t="n">
        <x:v>-141000</x:v>
      </x:c>
      <x:c r="J35" s="6" t="n">
        <x:v>220000</x:v>
      </x:c>
      <x:c r="K35" s="11" t="n">
        <x:v>8</x:v>
      </x:c>
      <x:c r="L35" s="11" t="n">
        <x:v>21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-6577000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622000</x:v>
      </x:c>
      <x:c r="D37" s="6" t="n">
        <x:v>820000</x:v>
      </x:c>
      <x:c r="E37" s="6" t="n">
        <x:f>C37-D37</x:f>
        <x:v>-198000</x:v>
      </x:c>
      <x:c r="F37" s="6" t="n">
        <x:f>F36+E37</x:f>
        <x:v>-6775000</x:v>
      </x:c>
      <x:c r="G37" s="6" t="n">
        <x:v>-232000</x:v>
      </x:c>
      <x:c r="H37" s="6" t="n">
        <x:v>34000</x:v>
      </x:c>
      <x:c r="I37" s="6" t="n">
        <x:v>-228000</x:v>
      </x:c>
      <x:c r="J37" s="6" t="n">
        <x:v>238000</x:v>
      </x:c>
      <x:c r="K37" s="11" t="n">
        <x:v>12</x:v>
      </x:c>
      <x:c r="L37" s="11" t="n">
        <x:v>23</x:v>
      </x:c>
    </x:row>
    <x:row r="38" ht="25" customHeight="1">
      <x:c r="A38" s="2" t="str">
        <x:v>2026-10-13_Day</x:v>
      </x:c>
      <x:c r="B38" s="2" t="str">
        <x:v>次10場</x:v>
      </x:c>
      <x:c r="C38" s="6" t="n">
        <x:v>522000</x:v>
      </x:c>
      <x:c r="D38" s="6" t="n">
        <x:v>464000</x:v>
      </x:c>
      <x:c r="E38" s="6" t="n">
        <x:f>C38-D38</x:f>
        <x:v>58000</x:v>
      </x:c>
      <x:c r="F38" s="6" t="n">
        <x:f>F37+E38</x:f>
        <x:v>-6717000</x:v>
      </x:c>
      <x:c r="G38" s="6" t="n">
        <x:v>474000</x:v>
      </x:c>
      <x:c r="H38" s="6" t="n">
        <x:v>-416000</x:v>
      </x:c>
      <x:c r="I38" s="6" t="n">
        <x:v>-249000</x:v>
      </x:c>
      <x:c r="J38" s="6" t="n">
        <x:v>266000</x:v>
      </x:c>
      <x:c r="K38" s="11" t="n">
        <x:v>6</x:v>
      </x:c>
      <x:c r="L38" s="11" t="n">
        <x:v>49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417000</x:v>
      </x:c>
      <x:c r="D39" s="6" t="n">
        <x:v>468000</x:v>
      </x:c>
      <x:c r="E39" s="6" t="n">
        <x:f>C39-D39</x:f>
        <x:v>-51000</x:v>
      </x:c>
      <x:c r="F39" s="6" t="n">
        <x:f>F38+E39</x:f>
        <x:v>-6768000</x:v>
      </x:c>
      <x:c r="G39" s="6" t="n">
        <x:v>14000</x:v>
      </x:c>
      <x:c r="H39" s="6" t="n">
        <x:v>-65000</x:v>
      </x:c>
      <x:c r="I39" s="6" t="n">
        <x:v>-112000</x:v>
      </x:c>
      <x:c r="J39" s="6" t="n">
        <x:v>112000</x:v>
      </x:c>
      <x:c r="K39" s="11" t="n">
        <x:v>10</x:v>
      </x:c>
      <x:c r="L39" s="11" t="n">
        <x:v>77</x:v>
      </x:c>
    </x:row>
    <x:row r="40" ht="25" customHeight="1">
      <x:c r="A40" s="2" t="str">
        <x:v>2026-10-14_Day</x:v>
      </x:c>
      <x:c r="B40" s="2" t="str">
        <x:v>次10場</x:v>
      </x:c>
      <x:c r="C40" s="6" t="n">
        <x:v>491000</x:v>
      </x:c>
      <x:c r="D40" s="6" t="n">
        <x:v>667000</x:v>
      </x:c>
      <x:c r="E40" s="6" t="n">
        <x:f>C40-D40</x:f>
        <x:v>-176000</x:v>
      </x:c>
      <x:c r="F40" s="6" t="n">
        <x:f>F39+E40</x:f>
        <x:v>-6944000</x:v>
      </x:c>
      <x:c r="G40" s="6" t="n">
        <x:v>118000</x:v>
      </x:c>
      <x:c r="H40" s="6" t="n">
        <x:v>-294000</x:v>
      </x:c>
      <x:c r="I40" s="6" t="n">
        <x:v>-301000</x:v>
      </x:c>
      <x:c r="J40" s="6" t="n">
        <x:v>474000</x:v>
      </x:c>
      <x:c r="K40" s="11" t="n">
        <x:v>5</x:v>
      </x:c>
      <x:c r="L40" s="11" t="n">
        <x:v>95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1396000</x:v>
      </x:c>
      <x:c r="D41" s="6" t="n">
        <x:v>2074000</x:v>
      </x:c>
      <x:c r="E41" s="6" t="n">
        <x:f>C41-D41</x:f>
        <x:v>-678000</x:v>
      </x:c>
      <x:c r="F41" s="6" t="n">
        <x:f>F40+E41</x:f>
        <x:v>-7622000</x:v>
      </x:c>
      <x:c r="G41" s="6" t="n">
        <x:v>-486000</x:v>
      </x:c>
      <x:c r="H41" s="6" t="n">
        <x:v>-192000</x:v>
      </x:c>
      <x:c r="I41" s="6" t="n">
        <x:v>-708000</x:v>
      </x:c>
      <x:c r="J41" s="6" t="n">
        <x:v>718000</x:v>
      </x:c>
      <x:c r="K41" s="11" t="n">
        <x:v>20</x:v>
      </x:c>
      <x:c r="L41" s="11" t="n">
        <x:v>64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1135000</x:v>
      </x:c>
      <x:c r="D42" s="6" t="n">
        <x:v>1273000</x:v>
      </x:c>
      <x:c r="E42" s="6" t="n">
        <x:f>C42-D42</x:f>
        <x:v>-138000</x:v>
      </x:c>
      <x:c r="F42" s="6" t="n">
        <x:f>F41+E42</x:f>
        <x:v>-7760000</x:v>
      </x:c>
      <x:c r="G42" s="6" t="n">
        <x:v>-66000</x:v>
      </x:c>
      <x:c r="H42" s="6" t="n">
        <x:v>-72000</x:v>
      </x:c>
      <x:c r="I42" s="6" t="n">
        <x:v>-1048000</x:v>
      </x:c>
      <x:c r="J42" s="6" t="n">
        <x:v>1287000</x:v>
      </x:c>
      <x:c r="K42" s="11" t="n">
        <x:v>13</x:v>
      </x:c>
      <x:c r="L42" s="11" t="n">
        <x:v>58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1368000</x:v>
      </x:c>
      <x:c r="D43" s="6" t="n">
        <x:v>1732000</x:v>
      </x:c>
      <x:c r="E43" s="6" t="n">
        <x:f>C43-D43</x:f>
        <x:v>-364000</x:v>
      </x:c>
      <x:c r="F43" s="6" t="n">
        <x:f>F42+E43</x:f>
        <x:v>-8124000</x:v>
      </x:c>
      <x:c r="G43" s="6" t="n">
        <x:v>-137000</x:v>
      </x:c>
      <x:c r="H43" s="6" t="n">
        <x:v>-227000</x:v>
      </x:c>
      <x:c r="I43" s="6" t="n">
        <x:v>-624000</x:v>
      </x:c>
      <x:c r="J43" s="6" t="n">
        <x:v>654000</x:v>
      </x:c>
      <x:c r="K43" s="11" t="n">
        <x:v>23</x:v>
      </x:c>
      <x:c r="L43" s="11" t="n">
        <x:v>72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1010000</x:v>
      </x:c>
      <x:c r="D44" s="6" t="n">
        <x:v>453000</x:v>
      </x:c>
      <x:c r="E44" s="6" t="n">
        <x:f>C44-D44</x:f>
        <x:v>557000</x:v>
      </x:c>
      <x:c r="F44" s="6" t="n">
        <x:f>F43+E44</x:f>
        <x:v>-7567000</x:v>
      </x:c>
      <x:c r="G44" s="6" t="n">
        <x:v>712000</x:v>
      </x:c>
      <x:c r="H44" s="6" t="n">
        <x:v>-155000</x:v>
      </x:c>
      <x:c r="I44" s="6" t="n">
        <x:v>-61000</x:v>
      </x:c>
      <x:c r="J44" s="6" t="n">
        <x:v>338000</x:v>
      </x:c>
      <x:c r="K44" s="11" t="n">
        <x:v>16</x:v>
      </x:c>
      <x:c r="L44" s="11" t="n">
        <x:v>130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1554000</x:v>
      </x:c>
      <x:c r="D45" s="6" t="n">
        <x:v>2131000</x:v>
      </x:c>
      <x:c r="E45" s="6" t="n">
        <x:f>C45-D45</x:f>
        <x:v>-577000</x:v>
      </x:c>
      <x:c r="F45" s="6" t="n">
        <x:f>F44+E45</x:f>
        <x:v>-8144000</x:v>
      </x:c>
      <x:c r="G45" s="6" t="n">
        <x:v>-481000</x:v>
      </x:c>
      <x:c r="H45" s="6" t="n">
        <x:v>-96000</x:v>
      </x:c>
      <x:c r="I45" s="6" t="n">
        <x:v>-617000</x:v>
      </x:c>
      <x:c r="J45" s="6" t="n">
        <x:v>730000</x:v>
      </x:c>
      <x:c r="K45" s="11" t="n">
        <x:v>25</x:v>
      </x:c>
      <x:c r="L45" s="11" t="n">
        <x:v>38</x:v>
      </x:c>
    </x:row>
    <x:row r="46" ht="25" customHeight="1">
      <x:c r="A46" s="2" t="str">
        <x:v>2026-10-19_Day</x:v>
      </x:c>
      <x:c r="B46" s="2" t="str">
        <x:v>後13場</x:v>
      </x:c>
      <x:c r="C46" s="6" t="n">
        <x:v>503000</x:v>
      </x:c>
      <x:c r="D46" s="6" t="n">
        <x:v>1143000</x:v>
      </x:c>
      <x:c r="E46" s="6" t="n">
        <x:f>C46-D46</x:f>
        <x:v>-640000</x:v>
      </x:c>
      <x:c r="F46" s="6" t="n">
        <x:f>F45+E46</x:f>
        <x:v>-8784000</x:v>
      </x:c>
      <x:c r="G46" s="6" t="n">
        <x:v>-218000</x:v>
      </x:c>
      <x:c r="H46" s="6" t="n">
        <x:v>-422000</x:v>
      </x:c>
      <x:c r="I46" s="6" t="n">
        <x:v>-860000</x:v>
      </x:c>
      <x:c r="J46" s="6" t="n">
        <x:v>880000</x:v>
      </x:c>
      <x:c r="K46" s="11" t="n">
        <x:v>7</x:v>
      </x:c>
      <x:c r="L46" s="11" t="n">
        <x:v>97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652000</x:v>
      </x:c>
      <x:c r="D47" s="6" t="n">
        <x:v>797000</x:v>
      </x:c>
      <x:c r="E47" s="6" t="n">
        <x:f>C47-D47</x:f>
        <x:v>-145000</x:v>
      </x:c>
      <x:c r="F47" s="6" t="n">
        <x:f>F46+E47</x:f>
        <x:v>-8929000</x:v>
      </x:c>
      <x:c r="G47" s="6" t="n">
        <x:v>293000</x:v>
      </x:c>
      <x:c r="H47" s="6" t="n">
        <x:v>-438000</x:v>
      </x:c>
      <x:c r="I47" s="6" t="n">
        <x:v>-155000</x:v>
      </x:c>
      <x:c r="J47" s="6" t="n">
        <x:v>226000</x:v>
      </x:c>
      <x:c r="K47" s="11" t="n">
        <x:v>15</x:v>
      </x:c>
      <x:c r="L47" s="11" t="n">
        <x:v>86</x:v>
      </x:c>
    </x:row>
    <x:row r="48" ht="25" customHeight="1">
      <x:c r="A48" s="2" t="str">
        <x:v>2026-10-20_Day</x:v>
      </x:c>
      <x:c r="B48" s="2" t="str">
        <x:v>後13場</x:v>
      </x:c>
      <x:c r="C48" s="6" t="n">
        <x:v>581000</x:v>
      </x:c>
      <x:c r="D48" s="6" t="n">
        <x:v>574000</x:v>
      </x:c>
      <x:c r="E48" s="6" t="n">
        <x:f>C48-D48</x:f>
        <x:v>7000</x:v>
      </x:c>
      <x:c r="F48" s="6" t="n">
        <x:f>F47+E48</x:f>
        <x:v>-8922000</x:v>
      </x:c>
      <x:c r="G48" s="6" t="n">
        <x:v>69000</x:v>
      </x:c>
      <x:c r="H48" s="6" t="n">
        <x:v>-62000</x:v>
      </x:c>
      <x:c r="I48" s="6" t="n">
        <x:v>-378000</x:v>
      </x:c>
      <x:c r="J48" s="6" t="n">
        <x:v>524000</x:v>
      </x:c>
      <x:c r="K48" s="11" t="n">
        <x:v>10</x:v>
      </x:c>
      <x:c r="L48" s="11" t="n">
        <x:v>68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1107000</x:v>
      </x:c>
      <x:c r="D49" s="6" t="n">
        <x:v>1374000</x:v>
      </x:c>
      <x:c r="E49" s="6" t="n">
        <x:f>C49-D49</x:f>
        <x:v>-267000</x:v>
      </x:c>
      <x:c r="F49" s="6" t="n">
        <x:f>F48+E49</x:f>
        <x:v>-9189000</x:v>
      </x:c>
      <x:c r="G49" s="6" t="n">
        <x:v>-308000</x:v>
      </x:c>
      <x:c r="H49" s="6" t="n">
        <x:v>41000</x:v>
      </x:c>
      <x:c r="I49" s="6" t="n">
        <x:v>-297000</x:v>
      </x:c>
      <x:c r="J49" s="6" t="n">
        <x:v>397000</x:v>
      </x:c>
      <x:c r="K49" s="11" t="n">
        <x:v>15</x:v>
      </x:c>
      <x:c r="L49" s="11" t="n">
        <x:v>38</x:v>
      </x:c>
    </x:row>
    <x:row r="50" ht="25" customHeight="1">
      <x:c r="A50" s="2" t="str">
        <x:v>2026-10-21_Day</x:v>
      </x:c>
      <x:c r="B50" s="2" t="str">
        <x:v>後13場</x:v>
      </x:c>
      <x:c r="C50" s="6" t="n">
        <x:v>434000</x:v>
      </x:c>
      <x:c r="D50" s="6" t="n">
        <x:v>657000</x:v>
      </x:c>
      <x:c r="E50" s="6" t="n">
        <x:f>C50-D50</x:f>
        <x:v>-223000</x:v>
      </x:c>
      <x:c r="F50" s="6" t="n">
        <x:f>F49+E50</x:f>
        <x:v>-9412000</x:v>
      </x:c>
      <x:c r="G50" s="6" t="n">
        <x:v>-134000</x:v>
      </x:c>
      <x:c r="H50" s="6" t="n">
        <x:v>-89000</x:v>
      </x:c>
      <x:c r="I50" s="6" t="n">
        <x:v>-488000</x:v>
      </x:c>
      <x:c r="J50" s="6" t="n">
        <x:v>538000</x:v>
      </x:c>
      <x:c r="K50" s="11" t="n">
        <x:v>8</x:v>
      </x:c>
      <x:c r="L50" s="11" t="n">
        <x:v>86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685000</x:v>
      </x:c>
      <x:c r="D51" s="6" t="n">
        <x:v>755000</x:v>
      </x:c>
      <x:c r="E51" s="6" t="n">
        <x:f>C51-D51</x:f>
        <x:v>-70000</x:v>
      </x:c>
      <x:c r="F51" s="6" t="n">
        <x:f>F50+E51</x:f>
        <x:v>-9482000</x:v>
      </x:c>
      <x:c r="G51" s="6" t="n">
        <x:v>69000</x:v>
      </x:c>
      <x:c r="H51" s="6" t="n">
        <x:v>-139000</x:v>
      </x:c>
      <x:c r="I51" s="6" t="n">
        <x:v>-155000</x:v>
      </x:c>
      <x:c r="J51" s="6" t="n">
        <x:v>155000</x:v>
      </x:c>
      <x:c r="K51" s="11" t="n">
        <x:v>13</x:v>
      </x:c>
      <x:c r="L51" s="11" t="n">
        <x:v>28</x:v>
      </x:c>
    </x:row>
    <x:row r="52" ht="25" customHeight="1">
      <x:c r="A52" s="2" t="str">
        <x:v>2026-10-22_Day</x:v>
      </x:c>
      <x:c r="B52" s="2" t="str">
        <x:v>後13場</x:v>
      </x:c>
      <x:c r="C52" s="6" t="n">
        <x:v>664000</x:v>
      </x:c>
      <x:c r="D52" s="6" t="n">
        <x:v>1826000</x:v>
      </x:c>
      <x:c r="E52" s="6" t="n">
        <x:f>C52-D52</x:f>
        <x:v>-1162000</x:v>
      </x:c>
      <x:c r="F52" s="6" t="n">
        <x:f>F51+E52</x:f>
        <x:v>-10644000</x:v>
      </x:c>
      <x:c r="G52" s="6" t="n">
        <x:v>-1034000</x:v>
      </x:c>
      <x:c r="H52" s="6" t="n">
        <x:v>-128000</x:v>
      </x:c>
      <x:c r="I52" s="6" t="n">
        <x:v>-1402000</x:v>
      </x:c>
      <x:c r="J52" s="6" t="n">
        <x:v>1467000</x:v>
      </x:c>
      <x:c r="K52" s="11" t="n">
        <x:v>8</x:v>
      </x:c>
      <x:c r="L52" s="11" t="n">
        <x:v>61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932000</x:v>
      </x:c>
      <x:c r="D53" s="6" t="n">
        <x:v>1319000</x:v>
      </x:c>
      <x:c r="E53" s="6" t="n">
        <x:f>C53-D53</x:f>
        <x:v>-387000</x:v>
      </x:c>
      <x:c r="F53" s="6" t="n">
        <x:f>F52+E53</x:f>
        <x:v>-11031000</x:v>
      </x:c>
      <x:c r="G53" s="6" t="n">
        <x:v>-345000</x:v>
      </x:c>
      <x:c r="H53" s="6" t="n">
        <x:v>-42000</x:v>
      </x:c>
      <x:c r="I53" s="6" t="n">
        <x:v>-397000</x:v>
      </x:c>
      <x:c r="J53" s="6" t="n">
        <x:v>509000</x:v>
      </x:c>
      <x:c r="K53" s="11" t="n">
        <x:v>25</x:v>
      </x:c>
      <x:c r="L53" s="11" t="n">
        <x:v>57</x:v>
      </x:c>
    </x:row>
    <x:row r="54" ht="25" customHeight="1">
      <x:c r="A54" s="2" t="str">
        <x:v>2026-10-23_Day</x:v>
      </x:c>
      <x:c r="B54" s="2" t="str">
        <x:v>後13場</x:v>
      </x:c>
      <x:c r="C54" s="6" t="n">
        <x:v>1732000</x:v>
      </x:c>
      <x:c r="D54" s="6" t="n">
        <x:v>1820000</x:v>
      </x:c>
      <x:c r="E54" s="6" t="n">
        <x:f>C54-D54</x:f>
        <x:v>-88000</x:v>
      </x:c>
      <x:c r="F54" s="6" t="n">
        <x:f>F53+E54</x:f>
        <x:v>-11119000</x:v>
      </x:c>
      <x:c r="G54" s="6" t="n">
        <x:v>382000</x:v>
      </x:c>
      <x:c r="H54" s="6" t="n">
        <x:v>-470000</x:v>
      </x:c>
      <x:c r="I54" s="6" t="n">
        <x:v>-588000</x:v>
      </x:c>
      <x:c r="J54" s="6" t="n">
        <x:v>928000</x:v>
      </x:c>
      <x:c r="K54" s="11" t="n">
        <x:v>23</x:v>
      </x:c>
      <x:c r="L54" s="11" t="n">
        <x:v>164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519000</x:v>
      </x:c>
      <x:c r="D55" s="6" t="n">
        <x:v>710000</x:v>
      </x:c>
      <x:c r="E55" s="6" t="n">
        <x:f>C55-D55</x:f>
        <x:v>-191000</x:v>
      </x:c>
      <x:c r="F55" s="6" t="n">
        <x:f>F54+E55</x:f>
        <x:v>-11310000</x:v>
      </x:c>
      <x:c r="G55" s="6" t="n">
        <x:v>-183000</x:v>
      </x:c>
      <x:c r="H55" s="6" t="n">
        <x:v>-8000</x:v>
      </x:c>
      <x:c r="I55" s="6" t="n">
        <x:v>-211000</x:v>
      </x:c>
      <x:c r="J55" s="6" t="n">
        <x:v>240000</x:v>
      </x:c>
      <x:c r="K55" s="11" t="n">
        <x:v>13</x:v>
      </x:c>
      <x:c r="L55" s="11" t="n">
        <x:v>33</x:v>
      </x:c>
    </x:row>
    <x:row r="56" ht="25" customHeight="1">
      <x:c r="A56" s="2" t="str">
        <x:v>2026-10-26_Day</x:v>
      </x:c>
      <x:c r="B56" s="2" t="str">
        <x:v>後13場</x:v>
      </x:c>
      <x:c r="C56" s="6" t="n">
        <x:v>599000</x:v>
      </x:c>
      <x:c r="D56" s="6" t="n">
        <x:v>794000</x:v>
      </x:c>
      <x:c r="E56" s="6" t="n">
        <x:f>C56-D56</x:f>
        <x:v>-195000</x:v>
      </x:c>
      <x:c r="F56" s="6" t="n">
        <x:f>F55+E56</x:f>
        <x:v>-11505000</x:v>
      </x:c>
      <x:c r="G56" s="6" t="n">
        <x:v>-230000</x:v>
      </x:c>
      <x:c r="H56" s="6" t="n">
        <x:v>35000</x:v>
      </x:c>
      <x:c r="I56" s="6" t="n">
        <x:v>-365000</x:v>
      </x:c>
      <x:c r="J56" s="6" t="n">
        <x:v>365000</x:v>
      </x:c>
      <x:c r="K56" s="11" t="n">
        <x:v>9</x:v>
      </x:c>
      <x:c r="L56" s="11" t="n">
        <x:v>108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636000</x:v>
      </x:c>
      <x:c r="D57" s="6" t="n">
        <x:v>900000</x:v>
      </x:c>
      <x:c r="E57" s="6" t="n">
        <x:f>C57-D57</x:f>
        <x:v>-264000</x:v>
      </x:c>
      <x:c r="F57" s="6" t="n">
        <x:f>F56+E57</x:f>
        <x:v>-11769000</x:v>
      </x:c>
      <x:c r="G57" s="6" t="n">
        <x:v>-304000</x:v>
      </x:c>
      <x:c r="H57" s="6" t="n">
        <x:v>40000</x:v>
      </x:c>
      <x:c r="I57" s="6" t="n">
        <x:v>-284000</x:v>
      </x:c>
      <x:c r="J57" s="6" t="n">
        <x:v>326000</x:v>
      </x:c>
      <x:c r="K57" s="11" t="n">
        <x:v>11</x:v>
      </x:c>
      <x:c r="L57" s="11" t="n">
        <x:v>27</x:v>
      </x:c>
    </x:row>
    <x:row r="58" ht="25" customHeight="1">
      <x:c r="A58" s="2" t="str">
        <x:v>2026-10-27_Day</x:v>
      </x:c>
      <x:c r="B58" s="2" t="str">
        <x:v>後13場</x:v>
      </x:c>
      <x:c r="C58" s="6" t="n">
        <x:v>961000</x:v>
      </x:c>
      <x:c r="D58" s="6" t="n">
        <x:v>623000</x:v>
      </x:c>
      <x:c r="E58" s="6" t="n">
        <x:f>C58-D58</x:f>
        <x:v>338000</x:v>
      </x:c>
      <x:c r="F58" s="6" t="n">
        <x:f>F57+E58</x:f>
        <x:v>-11431000</x:v>
      </x:c>
      <x:c r="G58" s="6" t="n">
        <x:v>860000</x:v>
      </x:c>
      <x:c r="H58" s="6" t="n">
        <x:v>-522000</x:v>
      </x:c>
      <x:c r="I58" s="6" t="n">
        <x:v>-94000</x:v>
      </x:c>
      <x:c r="J58" s="6" t="n">
        <x:v>336000</x:v>
      </x:c>
      <x:c r="K58" s="11" t="n">
        <x:v>9</x:v>
      </x:c>
      <x:c r="L58" s="11" t="n">
        <x:v>94</x:v>
      </x:c>
    </x:row>
    <x:row r="59" ht="25" customHeight="1">
      <x:c r="A59" s="15" t="str">
        <x:v>累計／場内最悪値</x:v>
      </x:c>
      <x:c r="B59" s="15"/>
      <x:c r="C59" s="16" t="n">
        <x:f>SUM(C6:C58)</x:f>
        <x:v>32918000</x:v>
      </x:c>
      <x:c r="D59" s="16" t="n">
        <x:f>SUM(D6:D58)</x:f>
        <x:v>44349000</x:v>
      </x:c>
      <x:c r="E59" s="16" t="n">
        <x:f>C59-D59</x:f>
        <x:v>-11431000</x:v>
      </x:c>
      <x:c r="F59" s="16" t="n">
        <x:f>F58</x:f>
        <x:v>-11431000</x:v>
      </x:c>
      <x:c r="G59" s="16" t="n">
        <x:f>SUM(G6:G58)</x:f>
        <x:v>-5749000</x:v>
      </x:c>
      <x:c r="H59" s="16" t="n">
        <x:f>SUM(H6:H58)</x:f>
        <x:v>-5682000</x:v>
      </x:c>
      <x:c r="I59" s="16" t="n">
        <x:f>MIN(I6:I58)</x:f>
        <x:v>-1623000</x:v>
      </x:c>
      <x:c r="J59" s="16" t="n">
        <x:f>MAX(J6:J58)</x:f>
        <x:v>1734000</x:v>
      </x:c>
      <x:c r="K59" s="17" t="n">
        <x:f>SUM(K6:K58)</x:f>
        <x:v>539</x:v>
      </x:c>
      <x:c r="L59" s="17" t="n">
        <x:f>SUM(L6:L58)</x:f>
        <x:v>2797</x:v>
      </x:c>
    </x:row>
  </x:sheetData>
  <x:conditionalFormatting sqref="E6:I58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fa088798014e6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H02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段20・利益20起動・追尾10・完済後新基準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207000</x:v>
      </x:c>
      <x:c r="D6" s="6" t="n">
        <x:v>101000</x:v>
      </x:c>
      <x:c r="E6" s="6" t="n">
        <x:f>C6-D6</x:f>
        <x:v>106000</x:v>
      </x:c>
      <x:c r="F6" s="6" t="n">
        <x:f>E6</x:f>
        <x:v>106000</x:v>
      </x:c>
      <x:c r="G6" s="6" t="n">
        <x:v>200000</x:v>
      </x:c>
      <x:c r="H6" s="6" t="n">
        <x:v>-94000</x:v>
      </x:c>
      <x:c r="I6" s="6" t="n">
        <x:v>-61000</x:v>
      </x:c>
      <x:c r="J6" s="6" t="n">
        <x:v>120000</x:v>
      </x:c>
      <x:c r="K6" s="11" t="n">
        <x:v>2</x:v>
      </x:c>
      <x:c r="L6" s="11" t="n">
        <x:v>8</x:v>
      </x:c>
    </x:row>
    <x:row r="7" ht="25" customHeight="1">
      <x:c r="A7" s="2" t="str">
        <x:v>2026-09-21_Night</x:v>
      </x:c>
      <x:c r="B7" s="2" t="str">
        <x:v>前30場</x:v>
      </x:c>
      <x:c r="C7" s="6" t="n">
        <x:v>598000</x:v>
      </x:c>
      <x:c r="D7" s="6" t="n">
        <x:v>930000</x:v>
      </x:c>
      <x:c r="E7" s="6" t="n">
        <x:f>C7-D7</x:f>
        <x:v>-332000</x:v>
      </x:c>
      <x:c r="F7" s="6" t="n">
        <x:f>F6+E7</x:f>
        <x:v>-226000</x:v>
      </x:c>
      <x:c r="G7" s="6" t="n">
        <x:v>-426000</x:v>
      </x:c>
      <x:c r="H7" s="6" t="n">
        <x:v>94000</x:v>
      </x:c>
      <x:c r="I7" s="6" t="n">
        <x:v>-372000</x:v>
      </x:c>
      <x:c r="J7" s="6" t="n">
        <x:v>464000</x:v>
      </x:c>
      <x:c r="K7" s="11" t="n">
        <x:v>7</x:v>
      </x:c>
      <x:c r="L7" s="11" t="n">
        <x:v>154</x:v>
      </x:c>
    </x:row>
    <x:row r="8" ht="25" customHeight="1">
      <x:c r="A8" s="2" t="str">
        <x:v>2026-09-22_Day</x:v>
      </x:c>
      <x:c r="B8" s="2" t="str">
        <x:v>前30場</x:v>
      </x:c>
      <x:c r="C8" s="6" t="n">
        <x:v>155000</x:v>
      </x:c>
      <x:c r="D8" s="6" t="n">
        <x:v>43000</x:v>
      </x:c>
      <x:c r="E8" s="6" t="n">
        <x:f>C8-D8</x:f>
        <x:v>112000</x:v>
      </x:c>
      <x:c r="F8" s="6" t="n">
        <x:f>F7+E8</x:f>
        <x:v>-114000</x:v>
      </x:c>
      <x:c r="G8" s="6" t="n">
        <x:v>100000</x:v>
      </x:c>
      <x:c r="H8" s="6" t="n">
        <x:v>12000</x:v>
      </x:c>
      <x:c r="I8" s="6" t="n">
        <x:v>-271000</x:v>
      </x:c>
      <x:c r="J8" s="6" t="n">
        <x:v>338000</x:v>
      </x:c>
      <x:c r="K8" s="11" t="n">
        <x:v>1</x:v>
      </x:c>
      <x:c r="L8" s="11" t="n">
        <x:v>41</x:v>
      </x:c>
    </x:row>
    <x:row r="9" ht="25" customHeight="1">
      <x:c r="A9" s="2" t="str">
        <x:v>2026-09-22_Night</x:v>
      </x:c>
      <x:c r="B9" s="2" t="str">
        <x:v>前30場</x:v>
      </x:c>
      <x:c r="C9" s="6" t="n">
        <x:v>751000</x:v>
      </x:c>
      <x:c r="D9" s="6" t="n">
        <x:v>1238000</x:v>
      </x:c>
      <x:c r="E9" s="6" t="n">
        <x:f>C9-D9</x:f>
        <x:v>-487000</x:v>
      </x:c>
      <x:c r="F9" s="6" t="n">
        <x:f>F8+E9</x:f>
        <x:v>-601000</x:v>
      </x:c>
      <x:c r="G9" s="6" t="n">
        <x:v>-116000</x:v>
      </x:c>
      <x:c r="H9" s="6" t="n">
        <x:v>-371000</x:v>
      </x:c>
      <x:c r="I9" s="6" t="n">
        <x:v>-487000</x:v>
      </x:c>
      <x:c r="J9" s="6" t="n">
        <x:v>610000</x:v>
      </x:c>
      <x:c r="K9" s="11" t="n">
        <x:v>10</x:v>
      </x:c>
      <x:c r="L9" s="11" t="n">
        <x:v>162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-601000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612000</x:v>
      </x:c>
      <x:c r="D11" s="6" t="n">
        <x:v>1140000</x:v>
      </x:c>
      <x:c r="E11" s="6" t="n">
        <x:f>C11-D11</x:f>
        <x:v>-528000</x:v>
      </x:c>
      <x:c r="F11" s="6" t="n">
        <x:f>F10+E11</x:f>
        <x:v>-1129000</x:v>
      </x:c>
      <x:c r="G11" s="6" t="n">
        <x:v>-445000</x:v>
      </x:c>
      <x:c r="H11" s="6" t="n">
        <x:v>-83000</x:v>
      </x:c>
      <x:c r="I11" s="6" t="n">
        <x:v>-528000</x:v>
      </x:c>
      <x:c r="J11" s="6" t="n">
        <x:v>588000</x:v>
      </x:c>
      <x:c r="K11" s="11" t="n">
        <x:v>8</x:v>
      </x:c>
      <x:c r="L11" s="11" t="n">
        <x:v>176</x:v>
      </x:c>
    </x:row>
    <x:row r="12" ht="25" customHeight="1">
      <x:c r="A12" s="2" t="str">
        <x:v>2026-09-24_Day</x:v>
      </x:c>
      <x:c r="B12" s="2" t="str">
        <x:v>前30場</x:v>
      </x:c>
      <x:c r="C12" s="6" t="n">
        <x:v>351000</x:v>
      </x:c>
      <x:c r="D12" s="6" t="n">
        <x:v>491000</x:v>
      </x:c>
      <x:c r="E12" s="6" t="n">
        <x:f>C12-D12</x:f>
        <x:v>-140000</x:v>
      </x:c>
      <x:c r="F12" s="6" t="n">
        <x:f>F11+E12</x:f>
        <x:v>-1269000</x:v>
      </x:c>
      <x:c r="G12" s="6" t="n">
        <x:v>290000</x:v>
      </x:c>
      <x:c r="H12" s="6" t="n">
        <x:v>-430000</x:v>
      </x:c>
      <x:c r="I12" s="6" t="n">
        <x:v>-366000</x:v>
      </x:c>
      <x:c r="J12" s="6" t="n">
        <x:v>366000</x:v>
      </x:c>
      <x:c r="K12" s="11" t="n">
        <x:v>3</x:v>
      </x:c>
      <x:c r="L12" s="11" t="n">
        <x:v>53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1054000</x:v>
      </x:c>
      <x:c r="D13" s="6" t="n">
        <x:v>1613000</x:v>
      </x:c>
      <x:c r="E13" s="6" t="n">
        <x:f>C13-D13</x:f>
        <x:v>-559000</x:v>
      </x:c>
      <x:c r="F13" s="6" t="n">
        <x:f>F12+E13</x:f>
        <x:v>-1828000</x:v>
      </x:c>
      <x:c r="G13" s="6" t="n">
        <x:v>670000</x:v>
      </x:c>
      <x:c r="H13" s="6" t="n">
        <x:v>-1229000</x:v>
      </x:c>
      <x:c r="I13" s="6" t="n">
        <x:v>-643000</x:v>
      </x:c>
      <x:c r="J13" s="6" t="n">
        <x:v>723000</x:v>
      </x:c>
      <x:c r="K13" s="11" t="n">
        <x:v>12</x:v>
      </x:c>
      <x:c r="L13" s="11" t="n">
        <x:v>185</x:v>
      </x:c>
    </x:row>
    <x:row r="14" ht="25" customHeight="1">
      <x:c r="A14" s="2" t="str">
        <x:v>2026-09-25_Day</x:v>
      </x:c>
      <x:c r="B14" s="2" t="str">
        <x:v>前30場</x:v>
      </x:c>
      <x:c r="C14" s="6" t="n">
        <x:v>260000</x:v>
      </x:c>
      <x:c r="D14" s="6" t="n">
        <x:v>830000</x:v>
      </x:c>
      <x:c r="E14" s="6" t="n">
        <x:f>C14-D14</x:f>
        <x:v>-570000</x:v>
      </x:c>
      <x:c r="F14" s="6" t="n">
        <x:f>F13+E14</x:f>
        <x:v>-2398000</x:v>
      </x:c>
      <x:c r="G14" s="6" t="n">
        <x:v>-700000</x:v>
      </x:c>
      <x:c r="H14" s="6" t="n">
        <x:v>130000</x:v>
      </x:c>
      <x:c r="I14" s="6" t="n">
        <x:v>-580000</x:v>
      </x:c>
      <x:c r="J14" s="6" t="n">
        <x:v>638000</x:v>
      </x:c>
      <x:c r="K14" s="11" t="n">
        <x:v>1</x:v>
      </x:c>
      <x:c r="L14" s="11" t="n">
        <x:v>138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523000</x:v>
      </x:c>
      <x:c r="D15" s="6" t="n">
        <x:v>812000</x:v>
      </x:c>
      <x:c r="E15" s="6" t="n">
        <x:f>C15-D15</x:f>
        <x:v>-289000</x:v>
      </x:c>
      <x:c r="F15" s="6" t="n">
        <x:f>F14+E15</x:f>
        <x:v>-2687000</x:v>
      </x:c>
      <x:c r="G15" s="6" t="n">
        <x:v>-176000</x:v>
      </x:c>
      <x:c r="H15" s="6" t="n">
        <x:v>-113000</x:v>
      </x:c>
      <x:c r="I15" s="6" t="n">
        <x:v>-309000</x:v>
      </x:c>
      <x:c r="J15" s="6" t="n">
        <x:v>309000</x:v>
      </x:c>
      <x:c r="K15" s="11" t="n">
        <x:v>10</x:v>
      </x:c>
      <x:c r="L15" s="11" t="n">
        <x:v>113</x:v>
      </x:c>
    </x:row>
    <x:row r="16" ht="25" customHeight="1">
      <x:c r="A16" s="2" t="str">
        <x:v>2026-09-28_Day</x:v>
      </x:c>
      <x:c r="B16" s="2" t="str">
        <x:v>前30場</x:v>
      </x:c>
      <x:c r="C16" s="6" t="n">
        <x:v>414000</x:v>
      </x:c>
      <x:c r="D16" s="6" t="n">
        <x:v>632000</x:v>
      </x:c>
      <x:c r="E16" s="6" t="n">
        <x:f>C16-D16</x:f>
        <x:v>-218000</x:v>
      </x:c>
      <x:c r="F16" s="6" t="n">
        <x:f>F15+E16</x:f>
        <x:v>-2905000</x:v>
      </x:c>
      <x:c r="G16" s="6" t="n">
        <x:v>290000</x:v>
      </x:c>
      <x:c r="H16" s="6" t="n">
        <x:v>-508000</x:v>
      </x:c>
      <x:c r="I16" s="6" t="n">
        <x:v>-478000</x:v>
      </x:c>
      <x:c r="J16" s="6" t="n">
        <x:v>478000</x:v>
      </x:c>
      <x:c r="K16" s="11" t="n">
        <x:v>3</x:v>
      </x:c>
      <x:c r="L16" s="11" t="n">
        <x:v>84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825000</x:v>
      </x:c>
      <x:c r="D17" s="6" t="n">
        <x:v>1251000</x:v>
      </x:c>
      <x:c r="E17" s="6" t="n">
        <x:f>C17-D17</x:f>
        <x:v>-426000</x:v>
      </x:c>
      <x:c r="F17" s="6" t="n">
        <x:f>F16+E17</x:f>
        <x:v>-3331000</x:v>
      </x:c>
      <x:c r="G17" s="6" t="n">
        <x:v>272000</x:v>
      </x:c>
      <x:c r="H17" s="6" t="n">
        <x:v>-698000</x:v>
      </x:c>
      <x:c r="I17" s="6" t="n">
        <x:v>-446000</x:v>
      </x:c>
      <x:c r="J17" s="6" t="n">
        <x:v>459000</x:v>
      </x:c>
      <x:c r="K17" s="11" t="n">
        <x:v>18</x:v>
      </x:c>
      <x:c r="L17" s="11" t="n">
        <x:v>178</x:v>
      </x:c>
    </x:row>
    <x:row r="18" ht="25" customHeight="1">
      <x:c r="A18" s="2" t="str">
        <x:v>2026-09-29_Day</x:v>
      </x:c>
      <x:c r="B18" s="2" t="str">
        <x:v>前30場</x:v>
      </x:c>
      <x:c r="C18" s="6" t="n">
        <x:v>430000</x:v>
      </x:c>
      <x:c r="D18" s="6" t="n">
        <x:v>1177000</x:v>
      </x:c>
      <x:c r="E18" s="6" t="n">
        <x:f>C18-D18</x:f>
        <x:v>-747000</x:v>
      </x:c>
      <x:c r="F18" s="6" t="n">
        <x:f>F17+E18</x:f>
        <x:v>-4078000</x:v>
      </x:c>
      <x:c r="G18" s="6" t="n">
        <x:v>162000</x:v>
      </x:c>
      <x:c r="H18" s="6" t="n">
        <x:v>-909000</x:v>
      </x:c>
      <x:c r="I18" s="6" t="n">
        <x:v>-751000</x:v>
      </x:c>
      <x:c r="J18" s="6" t="n">
        <x:v>765000</x:v>
      </x:c>
      <x:c r="K18" s="11" t="n">
        <x:v>6</x:v>
      </x:c>
      <x:c r="L18" s="11" t="n">
        <x:v>187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551000</x:v>
      </x:c>
      <x:c r="D19" s="6" t="n">
        <x:v>923000</x:v>
      </x:c>
      <x:c r="E19" s="6" t="n">
        <x:f>C19-D19</x:f>
        <x:v>-372000</x:v>
      </x:c>
      <x:c r="F19" s="6" t="n">
        <x:f>F18+E19</x:f>
        <x:v>-4450000</x:v>
      </x:c>
      <x:c r="G19" s="6" t="n">
        <x:v>-126000</x:v>
      </x:c>
      <x:c r="H19" s="6" t="n">
        <x:v>-246000</x:v>
      </x:c>
      <x:c r="I19" s="6" t="n">
        <x:v>-373000</x:v>
      </x:c>
      <x:c r="J19" s="6" t="n">
        <x:v>373000</x:v>
      </x:c>
      <x:c r="K19" s="11" t="n">
        <x:v>14</x:v>
      </x:c>
      <x:c r="L19" s="11" t="n">
        <x:v>113</x:v>
      </x:c>
    </x:row>
    <x:row r="20" ht="25" customHeight="1">
      <x:c r="A20" s="2" t="str">
        <x:v>2026-09-30_Day</x:v>
      </x:c>
      <x:c r="B20" s="2" t="str">
        <x:v>前30場</x:v>
      </x:c>
      <x:c r="C20" s="6" t="n">
        <x:v>326000</x:v>
      </x:c>
      <x:c r="D20" s="6" t="n">
        <x:v>840000</x:v>
      </x:c>
      <x:c r="E20" s="6" t="n">
        <x:f>C20-D20</x:f>
        <x:v>-514000</x:v>
      </x:c>
      <x:c r="F20" s="6" t="n">
        <x:f>F19+E20</x:f>
        <x:v>-4964000</x:v>
      </x:c>
      <x:c r="G20" s="6" t="n">
        <x:v>-420000</x:v>
      </x:c>
      <x:c r="H20" s="6" t="n">
        <x:v>-94000</x:v>
      </x:c>
      <x:c r="I20" s="6" t="n">
        <x:v>-514000</x:v>
      </x:c>
      <x:c r="J20" s="6" t="n">
        <x:v>644000</x:v>
      </x:c>
      <x:c r="K20" s="11" t="n">
        <x:v>3</x:v>
      </x:c>
      <x:c r="L20" s="11" t="n">
        <x:v>112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805000</x:v>
      </x:c>
      <x:c r="D21" s="6" t="n">
        <x:v>1471000</x:v>
      </x:c>
      <x:c r="E21" s="6" t="n">
        <x:f>C21-D21</x:f>
        <x:v>-666000</x:v>
      </x:c>
      <x:c r="F21" s="6" t="n">
        <x:f>F20+E21</x:f>
        <x:v>-5630000</x:v>
      </x:c>
      <x:c r="G21" s="6" t="n">
        <x:v>124000</x:v>
      </x:c>
      <x:c r="H21" s="6" t="n">
        <x:v>-790000</x:v>
      </x:c>
      <x:c r="I21" s="6" t="n">
        <x:v>-666000</x:v>
      </x:c>
      <x:c r="J21" s="6" t="n">
        <x:v>666000</x:v>
      </x:c>
      <x:c r="K21" s="11" t="n">
        <x:v>21</x:v>
      </x:c>
      <x:c r="L21" s="11" t="n">
        <x:v>194</x:v>
      </x:c>
    </x:row>
    <x:row r="22" ht="25" customHeight="1">
      <x:c r="A22" s="2" t="str">
        <x:v>2026-10-01_Day</x:v>
      </x:c>
      <x:c r="B22" s="2" t="str">
        <x:v>前30場</x:v>
      </x:c>
      <x:c r="C22" s="6" t="n">
        <x:v>578000</x:v>
      </x:c>
      <x:c r="D22" s="6" t="n">
        <x:v>1752000</x:v>
      </x:c>
      <x:c r="E22" s="6" t="n">
        <x:f>C22-D22</x:f>
        <x:v>-1174000</x:v>
      </x:c>
      <x:c r="F22" s="6" t="n">
        <x:f>F21+E22</x:f>
        <x:v>-6804000</x:v>
      </x:c>
      <x:c r="G22" s="6" t="n">
        <x:v>-1509000</x:v>
      </x:c>
      <x:c r="H22" s="6" t="n">
        <x:v>335000</x:v>
      </x:c>
      <x:c r="I22" s="6" t="n">
        <x:v>-1374000</x:v>
      </x:c>
      <x:c r="J22" s="6" t="n">
        <x:v>1374000</x:v>
      </x:c>
      <x:c r="K22" s="11" t="n">
        <x:v>3</x:v>
      </x:c>
      <x:c r="L22" s="11" t="n">
        <x:v>360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890000</x:v>
      </x:c>
      <x:c r="D23" s="6" t="n">
        <x:v>1290000</x:v>
      </x:c>
      <x:c r="E23" s="6" t="n">
        <x:f>C23-D23</x:f>
        <x:v>-400000</x:v>
      </x:c>
      <x:c r="F23" s="6" t="n">
        <x:f>F22+E23</x:f>
        <x:v>-7204000</x:v>
      </x:c>
      <x:c r="G23" s="6" t="n">
        <x:v>216000</x:v>
      </x:c>
      <x:c r="H23" s="6" t="n">
        <x:v>-616000</x:v>
      </x:c>
      <x:c r="I23" s="6" t="n">
        <x:v>-466000</x:v>
      </x:c>
      <x:c r="J23" s="6" t="n">
        <x:v>569000</x:v>
      </x:c>
      <x:c r="K23" s="11" t="n">
        <x:v>17</x:v>
      </x:c>
      <x:c r="L23" s="11" t="n">
        <x:v>199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301000</x:v>
      </x:c>
      <x:c r="D24" s="6" t="n">
        <x:v>735000</x:v>
      </x:c>
      <x:c r="E24" s="6" t="n">
        <x:f>C24-D24</x:f>
        <x:v>-434000</x:v>
      </x:c>
      <x:c r="F24" s="6" t="n">
        <x:f>F23+E24</x:f>
        <x:v>-7638000</x:v>
      </x:c>
      <x:c r="G24" s="6" t="n">
        <x:v>30000</x:v>
      </x:c>
      <x:c r="H24" s="6" t="n">
        <x:v>-464000</x:v>
      </x:c>
      <x:c r="I24" s="6" t="n">
        <x:v>-524000</x:v>
      </x:c>
      <x:c r="J24" s="6" t="n">
        <x:v>544000</x:v>
      </x:c>
      <x:c r="K24" s="11" t="n">
        <x:v>5</x:v>
      </x:c>
      <x:c r="L24" s="11" t="n">
        <x:v>93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774000</x:v>
      </x:c>
      <x:c r="D25" s="6" t="n">
        <x:v>1179000</x:v>
      </x:c>
      <x:c r="E25" s="6" t="n">
        <x:f>C25-D25</x:f>
        <x:v>-405000</x:v>
      </x:c>
      <x:c r="F25" s="6" t="n">
        <x:f>F24+E25</x:f>
        <x:v>-8043000</x:v>
      </x:c>
      <x:c r="G25" s="6" t="n">
        <x:v>-551000</x:v>
      </x:c>
      <x:c r="H25" s="6" t="n">
        <x:v>146000</x:v>
      </x:c>
      <x:c r="I25" s="6" t="n">
        <x:v>-575000</x:v>
      </x:c>
      <x:c r="J25" s="6" t="n">
        <x:v>618000</x:v>
      </x:c>
      <x:c r="K25" s="11" t="n">
        <x:v>16</x:v>
      </x:c>
      <x:c r="L25" s="11" t="n">
        <x:v>123</x:v>
      </x:c>
    </x:row>
    <x:row r="26" ht="25" customHeight="1">
      <x:c r="A26" s="2" t="str">
        <x:v>2026-10-05_Day</x:v>
      </x:c>
      <x:c r="B26" s="2" t="str">
        <x:v>前30場</x:v>
      </x:c>
      <x:c r="C26" s="6" t="n">
        <x:v>247000</x:v>
      </x:c>
      <x:c r="D26" s="6" t="n">
        <x:v>625000</x:v>
      </x:c>
      <x:c r="E26" s="6" t="n">
        <x:f>C26-D26</x:f>
        <x:v>-378000</x:v>
      </x:c>
      <x:c r="F26" s="6" t="n">
        <x:f>F25+E26</x:f>
        <x:v>-8421000</x:v>
      </x:c>
      <x:c r="G26" s="6" t="n">
        <x:v>-48000</x:v>
      </x:c>
      <x:c r="H26" s="6" t="n">
        <x:v>-330000</x:v>
      </x:c>
      <x:c r="I26" s="6" t="n">
        <x:v>-410000</x:v>
      </x:c>
      <x:c r="J26" s="6" t="n">
        <x:v>460000</x:v>
      </x:c>
      <x:c r="K26" s="11" t="n">
        <x:v>3</x:v>
      </x:c>
      <x:c r="L26" s="11" t="n">
        <x:v>81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523000</x:v>
      </x:c>
      <x:c r="D27" s="6" t="n">
        <x:v>720000</x:v>
      </x:c>
      <x:c r="E27" s="6" t="n">
        <x:f>C27-D27</x:f>
        <x:v>-197000</x:v>
      </x:c>
      <x:c r="F27" s="6" t="n">
        <x:f>F26+E27</x:f>
        <x:v>-8618000</x:v>
      </x:c>
      <x:c r="G27" s="6" t="n">
        <x:v>346000</x:v>
      </x:c>
      <x:c r="H27" s="6" t="n">
        <x:v>-543000</x:v>
      </x:c>
      <x:c r="I27" s="6" t="n">
        <x:v>-253000</x:v>
      </x:c>
      <x:c r="J27" s="6" t="n">
        <x:v>273000</x:v>
      </x:c>
      <x:c r="K27" s="11" t="n">
        <x:v>14</x:v>
      </x:c>
      <x:c r="L27" s="11" t="n">
        <x:v>82</x:v>
      </x:c>
    </x:row>
    <x:row r="28" ht="25" customHeight="1">
      <x:c r="A28" s="2" t="str">
        <x:v>2026-10-06_Day</x:v>
      </x:c>
      <x:c r="B28" s="2" t="str">
        <x:v>前30場</x:v>
      </x:c>
      <x:c r="C28" s="6" t="n">
        <x:v>110000</x:v>
      </x:c>
      <x:c r="D28" s="6" t="n">
        <x:v>75000</x:v>
      </x:c>
      <x:c r="E28" s="6" t="n">
        <x:f>C28-D28</x:f>
        <x:v>35000</x:v>
      </x:c>
      <x:c r="F28" s="6" t="n">
        <x:f>F27+E28</x:f>
        <x:v>-8583000</x:v>
      </x:c>
      <x:c r="G28" s="6" t="n">
        <x:v>100000</x:v>
      </x:c>
      <x:c r="H28" s="6" t="n">
        <x:v>-65000</x:v>
      </x:c>
      <x:c r="I28" s="6" t="n">
        <x:v>-149000</x:v>
      </x:c>
      <x:c r="J28" s="6" t="n">
        <x:v>149000</x:v>
      </x:c>
      <x:c r="K28" s="11" t="n">
        <x:v>1</x:v>
      </x:c>
      <x:c r="L28" s="11" t="n">
        <x:v>10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593000</x:v>
      </x:c>
      <x:c r="D29" s="6" t="n">
        <x:v>766000</x:v>
      </x:c>
      <x:c r="E29" s="6" t="n">
        <x:f>C29-D29</x:f>
        <x:v>-173000</x:v>
      </x:c>
      <x:c r="F29" s="6" t="n">
        <x:f>F28+E29</x:f>
        <x:v>-8756000</x:v>
      </x:c>
      <x:c r="G29" s="6" t="n">
        <x:v>551000</x:v>
      </x:c>
      <x:c r="H29" s="6" t="n">
        <x:v>-724000</x:v>
      </x:c>
      <x:c r="I29" s="6" t="n">
        <x:v>-188000</x:v>
      </x:c>
      <x:c r="J29" s="6" t="n">
        <x:v>195000</x:v>
      </x:c>
      <x:c r="K29" s="11" t="n">
        <x:v>13</x:v>
      </x:c>
      <x:c r="L29" s="11" t="n">
        <x:v>54</x:v>
      </x:c>
    </x:row>
    <x:row r="30" ht="25" customHeight="1">
      <x:c r="A30" s="2" t="str">
        <x:v>2026-10-07_Day</x:v>
      </x:c>
      <x:c r="B30" s="2" t="str">
        <x:v>前30場</x:v>
      </x:c>
      <x:c r="C30" s="6" t="n">
        <x:v>185000</x:v>
      </x:c>
      <x:c r="D30" s="6" t="n">
        <x:v>145000</x:v>
      </x:c>
      <x:c r="E30" s="6" t="n">
        <x:f>C30-D30</x:f>
        <x:v>40000</x:v>
      </x:c>
      <x:c r="F30" s="6" t="n">
        <x:f>F29+E30</x:f>
        <x:v>-8716000</x:v>
      </x:c>
      <x:c r="G30" s="6" t="n">
        <x:v>180000</x:v>
      </x:c>
      <x:c r="H30" s="6" t="n">
        <x:v>-140000</x:v>
      </x:c>
      <x:c r="I30" s="6" t="n">
        <x:v>-96000</x:v>
      </x:c>
      <x:c r="J30" s="6" t="n">
        <x:v>166000</x:v>
      </x:c>
      <x:c r="K30" s="11" t="n">
        <x:v>2</x:v>
      </x:c>
      <x:c r="L30" s="11" t="n">
        <x:v>10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671000</x:v>
      </x:c>
      <x:c r="D31" s="6" t="n">
        <x:v>965000</x:v>
      </x:c>
      <x:c r="E31" s="6" t="n">
        <x:f>C31-D31</x:f>
        <x:v>-294000</x:v>
      </x:c>
      <x:c r="F31" s="6" t="n">
        <x:f>F30+E31</x:f>
        <x:v>-9010000</x:v>
      </x:c>
      <x:c r="G31" s="6" t="n">
        <x:v>-209000</x:v>
      </x:c>
      <x:c r="H31" s="6" t="n">
        <x:v>-85000</x:v>
      </x:c>
      <x:c r="I31" s="6" t="n">
        <x:v>-304000</x:v>
      </x:c>
      <x:c r="J31" s="6" t="n">
        <x:v>318000</x:v>
      </x:c>
      <x:c r="K31" s="11" t="n">
        <x:v>14</x:v>
      </x:c>
      <x:c r="L31" s="11" t="n">
        <x:v>161</x:v>
      </x:c>
    </x:row>
    <x:row r="32" ht="25" customHeight="1">
      <x:c r="A32" s="2" t="str">
        <x:v>2026-10-08_Day</x:v>
      </x:c>
      <x:c r="B32" s="2" t="str">
        <x:v>前30場</x:v>
      </x:c>
      <x:c r="C32" s="6" t="n">
        <x:v>828000</x:v>
      </x:c>
      <x:c r="D32" s="6" t="n">
        <x:v>1177000</x:v>
      </x:c>
      <x:c r="E32" s="6" t="n">
        <x:f>C32-D32</x:f>
        <x:v>-349000</x:v>
      </x:c>
      <x:c r="F32" s="6" t="n">
        <x:f>F31+E32</x:f>
        <x:v>-9359000</x:v>
      </x:c>
      <x:c r="G32" s="6" t="n">
        <x:v>-820000</x:v>
      </x:c>
      <x:c r="H32" s="6" t="n">
        <x:v>471000</x:v>
      </x:c>
      <x:c r="I32" s="6" t="n">
        <x:v>-359000</x:v>
      </x:c>
      <x:c r="J32" s="6" t="n">
        <x:v>590000</x:v>
      </x:c>
      <x:c r="K32" s="11" t="n">
        <x:v>4</x:v>
      </x:c>
      <x:c r="L32" s="11" t="n">
        <x:v>132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1389000</x:v>
      </x:c>
      <x:c r="D33" s="6" t="n">
        <x:v>1912000</x:v>
      </x:c>
      <x:c r="E33" s="6" t="n">
        <x:f>C33-D33</x:f>
        <x:v>-523000</x:v>
      </x:c>
      <x:c r="F33" s="6" t="n">
        <x:f>F32+E33</x:f>
        <x:v>-9882000</x:v>
      </x:c>
      <x:c r="G33" s="6" t="n">
        <x:v>-3000</x:v>
      </x:c>
      <x:c r="H33" s="6" t="n">
        <x:v>-520000</x:v>
      </x:c>
      <x:c r="I33" s="6" t="n">
        <x:v>-523000</x:v>
      </x:c>
      <x:c r="J33" s="6" t="n">
        <x:v>623000</x:v>
      </x:c>
      <x:c r="K33" s="11" t="n">
        <x:v>34</x:v>
      </x:c>
      <x:c r="L33" s="11" t="n">
        <x:v>298</x:v>
      </x:c>
    </x:row>
    <x:row r="34" ht="25" customHeight="1">
      <x:c r="A34" s="2" t="str">
        <x:v>2026-10-09_Day</x:v>
      </x:c>
      <x:c r="B34" s="2" t="str">
        <x:v>前30場</x:v>
      </x:c>
      <x:c r="C34" s="6" t="n">
        <x:v>759000</x:v>
      </x:c>
      <x:c r="D34" s="6" t="n">
        <x:v>1709000</x:v>
      </x:c>
      <x:c r="E34" s="6" t="n">
        <x:f>C34-D34</x:f>
        <x:v>-950000</x:v>
      </x:c>
      <x:c r="F34" s="6" t="n">
        <x:f>F33+E34</x:f>
        <x:v>-10832000</x:v>
      </x:c>
      <x:c r="G34" s="6" t="n">
        <x:v>-520000</x:v>
      </x:c>
      <x:c r="H34" s="6" t="n">
        <x:v>-430000</x:v>
      </x:c>
      <x:c r="I34" s="6" t="n">
        <x:v>-960000</x:v>
      </x:c>
      <x:c r="J34" s="6" t="n">
        <x:v>1028000</x:v>
      </x:c>
      <x:c r="K34" s="11" t="n">
        <x:v>7</x:v>
      </x:c>
      <x:c r="L34" s="11" t="n">
        <x:v>236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527000</x:v>
      </x:c>
      <x:c r="D35" s="6" t="n">
        <x:v>641000</x:v>
      </x:c>
      <x:c r="E35" s="6" t="n">
        <x:f>C35-D35</x:f>
        <x:v>-114000</x:v>
      </x:c>
      <x:c r="F35" s="6" t="n">
        <x:f>F34+E35</x:f>
        <x:v>-10946000</x:v>
      </x:c>
      <x:c r="G35" s="6" t="n">
        <x:v>-5000</x:v>
      </x:c>
      <x:c r="H35" s="6" t="n">
        <x:v>-109000</x:v>
      </x:c>
      <x:c r="I35" s="6" t="n">
        <x:v>-121000</x:v>
      </x:c>
      <x:c r="J35" s="6" t="n">
        <x:v>153000</x:v>
      </x:c>
      <x:c r="K35" s="11" t="n">
        <x:v>10</x:v>
      </x:c>
      <x:c r="L35" s="11" t="n">
        <x:v>73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-10946000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532000</x:v>
      </x:c>
      <x:c r="D37" s="6" t="n">
        <x:v>870000</x:v>
      </x:c>
      <x:c r="E37" s="6" t="n">
        <x:f>C37-D37</x:f>
        <x:v>-338000</x:v>
      </x:c>
      <x:c r="F37" s="6" t="n">
        <x:f>F36+E37</x:f>
        <x:v>-11284000</x:v>
      </x:c>
      <x:c r="G37" s="6" t="n">
        <x:v>-448000</x:v>
      </x:c>
      <x:c r="H37" s="6" t="n">
        <x:v>110000</x:v>
      </x:c>
      <x:c r="I37" s="6" t="n">
        <x:v>-338000</x:v>
      </x:c>
      <x:c r="J37" s="6" t="n">
        <x:v>348000</x:v>
      </x:c>
      <x:c r="K37" s="11" t="n">
        <x:v>9</x:v>
      </x:c>
      <x:c r="L37" s="11" t="n">
        <x:v>130</x:v>
      </x:c>
    </x:row>
    <x:row r="38" ht="25" customHeight="1">
      <x:c r="A38" s="2" t="str">
        <x:v>2026-10-13_Day</x:v>
      </x:c>
      <x:c r="B38" s="2" t="str">
        <x:v>次10場</x:v>
      </x:c>
      <x:c r="C38" s="6" t="n">
        <x:v>552000</x:v>
      </x:c>
      <x:c r="D38" s="6" t="n">
        <x:v>552000</x:v>
      </x:c>
      <x:c r="E38" s="6" t="n">
        <x:f>C38-D38</x:f>
        <x:v>0</x:v>
      </x:c>
      <x:c r="F38" s="6" t="n">
        <x:f>F37+E38</x:f>
        <x:v>-11284000</x:v>
      </x:c>
      <x:c r="G38" s="6" t="n">
        <x:v>469000</x:v>
      </x:c>
      <x:c r="H38" s="6" t="n">
        <x:v>-469000</x:v>
      </x:c>
      <x:c r="I38" s="6" t="n">
        <x:v>-242000</x:v>
      </x:c>
      <x:c r="J38" s="6" t="n">
        <x:v>242000</x:v>
      </x:c>
      <x:c r="K38" s="11" t="n">
        <x:v>6</x:v>
      </x:c>
      <x:c r="L38" s="11" t="n">
        <x:v>75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471000</x:v>
      </x:c>
      <x:c r="D39" s="6" t="n">
        <x:v>814000</x:v>
      </x:c>
      <x:c r="E39" s="6" t="n">
        <x:f>C39-D39</x:f>
        <x:v>-343000</x:v>
      </x:c>
      <x:c r="F39" s="6" t="n">
        <x:f>F38+E39</x:f>
        <x:v>-11627000</x:v>
      </x:c>
      <x:c r="G39" s="6" t="n">
        <x:v>142000</x:v>
      </x:c>
      <x:c r="H39" s="6" t="n">
        <x:v>-485000</x:v>
      </x:c>
      <x:c r="I39" s="6" t="n">
        <x:v>-349000</x:v>
      </x:c>
      <x:c r="J39" s="6" t="n">
        <x:v>349000</x:v>
      </x:c>
      <x:c r="K39" s="11" t="n">
        <x:v>9</x:v>
      </x:c>
      <x:c r="L39" s="11" t="n">
        <x:v>113</x:v>
      </x:c>
    </x:row>
    <x:row r="40" ht="25" customHeight="1">
      <x:c r="A40" s="2" t="str">
        <x:v>2026-10-14_Day</x:v>
      </x:c>
      <x:c r="B40" s="2" t="str">
        <x:v>次10場</x:v>
      </x:c>
      <x:c r="C40" s="6" t="n">
        <x:v>550000</x:v>
      </x:c>
      <x:c r="D40" s="6" t="n">
        <x:v>802000</x:v>
      </x:c>
      <x:c r="E40" s="6" t="n">
        <x:f>C40-D40</x:f>
        <x:v>-252000</x:v>
      </x:c>
      <x:c r="F40" s="6" t="n">
        <x:f>F39+E40</x:f>
        <x:v>-11879000</x:v>
      </x:c>
      <x:c r="G40" s="6" t="n">
        <x:v>184000</x:v>
      </x:c>
      <x:c r="H40" s="6" t="n">
        <x:v>-436000</x:v>
      </x:c>
      <x:c r="I40" s="6" t="n">
        <x:v>-356000</x:v>
      </x:c>
      <x:c r="J40" s="6" t="n">
        <x:v>482000</x:v>
      </x:c>
      <x:c r="K40" s="11" t="n">
        <x:v>5</x:v>
      </x:c>
      <x:c r="L40" s="11" t="n">
        <x:v>111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1135000</x:v>
      </x:c>
      <x:c r="D41" s="6" t="n">
        <x:v>1990000</x:v>
      </x:c>
      <x:c r="E41" s="6" t="n">
        <x:f>C41-D41</x:f>
        <x:v>-855000</x:v>
      </x:c>
      <x:c r="F41" s="6" t="n">
        <x:f>F40+E41</x:f>
        <x:v>-12734000</x:v>
      </x:c>
      <x:c r="G41" s="6" t="n">
        <x:v>-1268000</x:v>
      </x:c>
      <x:c r="H41" s="6" t="n">
        <x:v>413000</x:v>
      </x:c>
      <x:c r="I41" s="6" t="n">
        <x:v>-895000</x:v>
      </x:c>
      <x:c r="J41" s="6" t="n">
        <x:v>905000</x:v>
      </x:c>
      <x:c r="K41" s="11" t="n">
        <x:v>10</x:v>
      </x:c>
      <x:c r="L41" s="11" t="n">
        <x:v>307</x:v>
      </x:c>
    </x:row>
    <x:row r="42" ht="25" customHeight="1">
      <x:c r="A42" s="2" t="str">
        <x:v>2026-10-15_Day</x:v>
      </x:c>
      <x:c r="B42" s="2" t="str">
        <x:v>次10場</x:v>
      </x:c>
      <x:c r="C42" s="6" t="n">
        <x:v>1200000</x:v>
      </x:c>
      <x:c r="D42" s="6" t="n">
        <x:v>2108000</x:v>
      </x:c>
      <x:c r="E42" s="6" t="n">
        <x:f>C42-D42</x:f>
        <x:v>-908000</x:v>
      </x:c>
      <x:c r="F42" s="6" t="n">
        <x:f>F41+E42</x:f>
        <x:v>-13642000</x:v>
      </x:c>
      <x:c r="G42" s="6" t="n">
        <x:v>-450000</x:v>
      </x:c>
      <x:c r="H42" s="6" t="n">
        <x:v>-458000</x:v>
      </x:c>
      <x:c r="I42" s="6" t="n">
        <x:v>-928000</x:v>
      </x:c>
      <x:c r="J42" s="6" t="n">
        <x:v>1153000</x:v>
      </x:c>
      <x:c r="K42" s="11" t="n">
        <x:v>8</x:v>
      </x:c>
      <x:c r="L42" s="11" t="n">
        <x:v>377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2032000</x:v>
      </x:c>
      <x:c r="D43" s="6" t="n">
        <x:v>2349000</x:v>
      </x:c>
      <x:c r="E43" s="6" t="n">
        <x:f>C43-D43</x:f>
        <x:v>-317000</x:v>
      </x:c>
      <x:c r="F43" s="6" t="n">
        <x:f>F42+E43</x:f>
        <x:v>-13959000</x:v>
      </x:c>
      <x:c r="G43" s="6" t="n">
        <x:v>290000</x:v>
      </x:c>
      <x:c r="H43" s="6" t="n">
        <x:v>-607000</x:v>
      </x:c>
      <x:c r="I43" s="6" t="n">
        <x:v>-599000</x:v>
      </x:c>
      <x:c r="J43" s="6" t="n">
        <x:v>629000</x:v>
      </x:c>
      <x:c r="K43" s="11" t="n">
        <x:v>36</x:v>
      </x:c>
      <x:c r="L43" s="11" t="n">
        <x:v>339</x:v>
      </x:c>
    </x:row>
    <x:row r="44" ht="25" customHeight="1">
      <x:c r="A44" s="2" t="str">
        <x:v>2026-10-16_Day</x:v>
      </x:c>
      <x:c r="B44" s="2" t="str">
        <x:v>次10場</x:v>
      </x:c>
      <x:c r="C44" s="6" t="n">
        <x:v>837000</x:v>
      </x:c>
      <x:c r="D44" s="6" t="n">
        <x:v>437000</x:v>
      </x:c>
      <x:c r="E44" s="6" t="n">
        <x:f>C44-D44</x:f>
        <x:v>400000</x:v>
      </x:c>
      <x:c r="F44" s="6" t="n">
        <x:f>F43+E44</x:f>
        <x:v>-13559000</x:v>
      </x:c>
      <x:c r="G44" s="6" t="n">
        <x:v>557000</x:v>
      </x:c>
      <x:c r="H44" s="6" t="n">
        <x:v>-157000</x:v>
      </x:c>
      <x:c r="I44" s="6" t="n">
        <x:v>-61000</x:v>
      </x:c>
      <x:c r="J44" s="6" t="n">
        <x:v>412000</x:v>
      </x:c>
      <x:c r="K44" s="11" t="n">
        <x:v>15</x:v>
      </x:c>
      <x:c r="L44" s="11" t="n">
        <x:v>118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1194000</x:v>
      </x:c>
      <x:c r="D45" s="6" t="n">
        <x:v>2149000</x:v>
      </x:c>
      <x:c r="E45" s="6" t="n">
        <x:f>C45-D45</x:f>
        <x:v>-955000</x:v>
      </x:c>
      <x:c r="F45" s="6" t="n">
        <x:f>F44+E45</x:f>
        <x:v>-14514000</x:v>
      </x:c>
      <x:c r="G45" s="6" t="n">
        <x:v>-1266000</x:v>
      </x:c>
      <x:c r="H45" s="6" t="n">
        <x:v>311000</x:v>
      </x:c>
      <x:c r="I45" s="6" t="n">
        <x:v>-975000</x:v>
      </x:c>
      <x:c r="J45" s="6" t="n">
        <x:v>1062000</x:v>
      </x:c>
      <x:c r="K45" s="11" t="n">
        <x:v>14</x:v>
      </x:c>
      <x:c r="L45" s="11" t="n">
        <x:v>333</x:v>
      </x:c>
    </x:row>
    <x:row r="46" ht="25" customHeight="1">
      <x:c r="A46" s="2" t="str">
        <x:v>2026-10-19_Day</x:v>
      </x:c>
      <x:c r="B46" s="2" t="str">
        <x:v>後13場</x:v>
      </x:c>
      <x:c r="C46" s="6" t="n">
        <x:v>575000</x:v>
      </x:c>
      <x:c r="D46" s="6" t="n">
        <x:v>1709000</x:v>
      </x:c>
      <x:c r="E46" s="6" t="n">
        <x:f>C46-D46</x:f>
        <x:v>-1134000</x:v>
      </x:c>
      <x:c r="F46" s="6" t="n">
        <x:f>F45+E46</x:f>
        <x:v>-15648000</x:v>
      </x:c>
      <x:c r="G46" s="6" t="n">
        <x:v>-770000</x:v>
      </x:c>
      <x:c r="H46" s="6" t="n">
        <x:v>-364000</x:v>
      </x:c>
      <x:c r="I46" s="6" t="n">
        <x:v>-1154000</x:v>
      </x:c>
      <x:c r="J46" s="6" t="n">
        <x:v>1168000</x:v>
      </x:c>
      <x:c r="K46" s="11" t="n">
        <x:v>3</x:v>
      </x:c>
      <x:c r="L46" s="11" t="n">
        <x:v>255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681000</x:v>
      </x:c>
      <x:c r="D47" s="6" t="n">
        <x:v>852000</x:v>
      </x:c>
      <x:c r="E47" s="6" t="n">
        <x:f>C47-D47</x:f>
        <x:v>-171000</x:v>
      </x:c>
      <x:c r="F47" s="6" t="n">
        <x:f>F46+E47</x:f>
        <x:v>-15819000</x:v>
      </x:c>
      <x:c r="G47" s="6" t="n">
        <x:v>382000</x:v>
      </x:c>
      <x:c r="H47" s="6" t="n">
        <x:v>-553000</x:v>
      </x:c>
      <x:c r="I47" s="6" t="n">
        <x:v>-181000</x:v>
      </x:c>
      <x:c r="J47" s="6" t="n">
        <x:v>231000</x:v>
      </x:c>
      <x:c r="K47" s="11" t="n">
        <x:v>13</x:v>
      </x:c>
      <x:c r="L47" s="11" t="n">
        <x:v>116</x:v>
      </x:c>
    </x:row>
    <x:row r="48" ht="25" customHeight="1">
      <x:c r="A48" s="2" t="str">
        <x:v>2026-10-20_Day</x:v>
      </x:c>
      <x:c r="B48" s="2" t="str">
        <x:v>後13場</x:v>
      </x:c>
      <x:c r="C48" s="6" t="n">
        <x:v>581000</x:v>
      </x:c>
      <x:c r="D48" s="6" t="n">
        <x:v>913000</x:v>
      </x:c>
      <x:c r="E48" s="6" t="n">
        <x:f>C48-D48</x:f>
        <x:v>-332000</x:v>
      </x:c>
      <x:c r="F48" s="6" t="n">
        <x:f>F47+E48</x:f>
        <x:v>-16151000</x:v>
      </x:c>
      <x:c r="G48" s="6" t="n">
        <x:v>-84000</x:v>
      </x:c>
      <x:c r="H48" s="6" t="n">
        <x:v>-248000</x:v>
      </x:c>
      <x:c r="I48" s="6" t="n">
        <x:v>-350000</x:v>
      </x:c>
      <x:c r="J48" s="6" t="n">
        <x:v>497000</x:v>
      </x:c>
      <x:c r="K48" s="11" t="n">
        <x:v>10</x:v>
      </x:c>
      <x:c r="L48" s="11" t="n">
        <x:v>154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1057000</x:v>
      </x:c>
      <x:c r="D49" s="6" t="n">
        <x:v>1451000</x:v>
      </x:c>
      <x:c r="E49" s="6" t="n">
        <x:f>C49-D49</x:f>
        <x:v>-394000</x:v>
      </x:c>
      <x:c r="F49" s="6" t="n">
        <x:f>F48+E49</x:f>
        <x:v>-16545000</x:v>
      </x:c>
      <x:c r="G49" s="6" t="n">
        <x:v>122000</x:v>
      </x:c>
      <x:c r="H49" s="6" t="n">
        <x:v>-516000</x:v>
      </x:c>
      <x:c r="I49" s="6" t="n">
        <x:v>-424000</x:v>
      </x:c>
      <x:c r="J49" s="6" t="n">
        <x:v>524000</x:v>
      </x:c>
      <x:c r="K49" s="11" t="n">
        <x:v>18</x:v>
      </x:c>
      <x:c r="L49" s="11" t="n">
        <x:v>187</x:v>
      </x:c>
    </x:row>
    <x:row r="50" ht="25" customHeight="1">
      <x:c r="A50" s="2" t="str">
        <x:v>2026-10-21_Day</x:v>
      </x:c>
      <x:c r="B50" s="2" t="str">
        <x:v>後13場</x:v>
      </x:c>
      <x:c r="C50" s="6" t="n">
        <x:v>576000</x:v>
      </x:c>
      <x:c r="D50" s="6" t="n">
        <x:v>917000</x:v>
      </x:c>
      <x:c r="E50" s="6" t="n">
        <x:f>C50-D50</x:f>
        <x:v>-341000</x:v>
      </x:c>
      <x:c r="F50" s="6" t="n">
        <x:f>F49+E50</x:f>
        <x:v>-16886000</x:v>
      </x:c>
      <x:c r="G50" s="6" t="n">
        <x:v>-135000</x:v>
      </x:c>
      <x:c r="H50" s="6" t="n">
        <x:v>-206000</x:v>
      </x:c>
      <x:c r="I50" s="6" t="n">
        <x:v>-611000</x:v>
      </x:c>
      <x:c r="J50" s="6" t="n">
        <x:v>661000</x:v>
      </x:c>
      <x:c r="K50" s="11" t="n">
        <x:v>5</x:v>
      </x:c>
      <x:c r="L50" s="11" t="n">
        <x:v>170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740000</x:v>
      </x:c>
      <x:c r="D51" s="6" t="n">
        <x:v>932000</x:v>
      </x:c>
      <x:c r="E51" s="6" t="n">
        <x:f>C51-D51</x:f>
        <x:v>-192000</x:v>
      </x:c>
      <x:c r="F51" s="6" t="n">
        <x:f>F50+E51</x:f>
        <x:v>-17078000</x:v>
      </x:c>
      <x:c r="G51" s="6" t="n">
        <x:v>79000</x:v>
      </x:c>
      <x:c r="H51" s="6" t="n">
        <x:v>-271000</x:v>
      </x:c>
      <x:c r="I51" s="6" t="n">
        <x:v>-267000</x:v>
      </x:c>
      <x:c r="J51" s="6" t="n">
        <x:v>267000</x:v>
      </x:c>
      <x:c r="K51" s="11" t="n">
        <x:v>17</x:v>
      </x:c>
      <x:c r="L51" s="11" t="n">
        <x:v>123</x:v>
      </x:c>
    </x:row>
    <x:row r="52" ht="25" customHeight="1">
      <x:c r="A52" s="2" t="str">
        <x:v>2026-10-22_Day</x:v>
      </x:c>
      <x:c r="B52" s="2" t="str">
        <x:v>後13場</x:v>
      </x:c>
      <x:c r="C52" s="6" t="n">
        <x:v>781000</x:v>
      </x:c>
      <x:c r="D52" s="6" t="n">
        <x:v>1990000</x:v>
      </x:c>
      <x:c r="E52" s="6" t="n">
        <x:f>C52-D52</x:f>
        <x:v>-1209000</x:v>
      </x:c>
      <x:c r="F52" s="6" t="n">
        <x:f>F51+E52</x:f>
        <x:v>-18287000</x:v>
      </x:c>
      <x:c r="G52" s="6" t="n">
        <x:v>-1295000</x:v>
      </x:c>
      <x:c r="H52" s="6" t="n">
        <x:v>86000</x:v>
      </x:c>
      <x:c r="I52" s="6" t="n">
        <x:v>-1239000</x:v>
      </x:c>
      <x:c r="J52" s="6" t="n">
        <x:v>1289000</x:v>
      </x:c>
      <x:c r="K52" s="11" t="n">
        <x:v>5</x:v>
      </x:c>
      <x:c r="L52" s="11" t="n">
        <x:v>343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929000</x:v>
      </x:c>
      <x:c r="D53" s="6" t="n">
        <x:v>1449000</x:v>
      </x:c>
      <x:c r="E53" s="6" t="n">
        <x:f>C53-D53</x:f>
        <x:v>-520000</x:v>
      </x:c>
      <x:c r="F53" s="6" t="n">
        <x:f>F52+E53</x:f>
        <x:v>-18807000</x:v>
      </x:c>
      <x:c r="G53" s="6" t="n">
        <x:v>-365000</x:v>
      </x:c>
      <x:c r="H53" s="6" t="n">
        <x:v>-155000</x:v>
      </x:c>
      <x:c r="I53" s="6" t="n">
        <x:v>-533000</x:v>
      </x:c>
      <x:c r="J53" s="6" t="n">
        <x:v>603000</x:v>
      </x:c>
      <x:c r="K53" s="11" t="n">
        <x:v>21</x:v>
      </x:c>
      <x:c r="L53" s="11" t="n">
        <x:v>201</x:v>
      </x:c>
    </x:row>
    <x:row r="54" ht="25" customHeight="1">
      <x:c r="A54" s="2" t="str">
        <x:v>2026-10-23_Day</x:v>
      </x:c>
      <x:c r="B54" s="2" t="str">
        <x:v>後13場</x:v>
      </x:c>
      <x:c r="C54" s="6" t="n">
        <x:v>2316000</x:v>
      </x:c>
      <x:c r="D54" s="6" t="n">
        <x:v>3435000</x:v>
      </x:c>
      <x:c r="E54" s="6" t="n">
        <x:f>C54-D54</x:f>
        <x:v>-1119000</x:v>
      </x:c>
      <x:c r="F54" s="6" t="n">
        <x:f>F53+E54</x:f>
        <x:v>-19926000</x:v>
      </x:c>
      <x:c r="G54" s="6" t="n">
        <x:v>466000</x:v>
      </x:c>
      <x:c r="H54" s="6" t="n">
        <x:v>-1585000</x:v>
      </x:c>
      <x:c r="I54" s="6" t="n">
        <x:v>-1269000</x:v>
      </x:c>
      <x:c r="J54" s="6" t="n">
        <x:v>1299000</x:v>
      </x:c>
      <x:c r="K54" s="11" t="n">
        <x:v>26</x:v>
      </x:c>
      <x:c r="L54" s="11" t="n">
        <x:v>440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573000</x:v>
      </x:c>
      <x:c r="D55" s="6" t="n">
        <x:v>855000</x:v>
      </x:c>
      <x:c r="E55" s="6" t="n">
        <x:f>C55-D55</x:f>
        <x:v>-282000</x:v>
      </x:c>
      <x:c r="F55" s="6" t="n">
        <x:f>F54+E55</x:f>
        <x:v>-20208000</x:v>
      </x:c>
      <x:c r="G55" s="6" t="n">
        <x:v>-26000</x:v>
      </x:c>
      <x:c r="H55" s="6" t="n">
        <x:v>-256000</x:v>
      </x:c>
      <x:c r="I55" s="6" t="n">
        <x:v>-302000</x:v>
      </x:c>
      <x:c r="J55" s="6" t="n">
        <x:v>322000</x:v>
      </x:c>
      <x:c r="K55" s="11" t="n">
        <x:v>17</x:v>
      </x:c>
      <x:c r="L55" s="11" t="n">
        <x:v>129</x:v>
      </x:c>
    </x:row>
    <x:row r="56" ht="25" customHeight="1">
      <x:c r="A56" s="2" t="str">
        <x:v>2026-10-26_Day</x:v>
      </x:c>
      <x:c r="B56" s="2" t="str">
        <x:v>後13場</x:v>
      </x:c>
      <x:c r="C56" s="6" t="n">
        <x:v>995000</x:v>
      </x:c>
      <x:c r="D56" s="6" t="n">
        <x:v>1570000</x:v>
      </x:c>
      <x:c r="E56" s="6" t="n">
        <x:f>C56-D56</x:f>
        <x:v>-575000</x:v>
      </x:c>
      <x:c r="F56" s="6" t="n">
        <x:f>F55+E56</x:f>
        <x:v>-20783000</x:v>
      </x:c>
      <x:c r="G56" s="6" t="n">
        <x:v>553000</x:v>
      </x:c>
      <x:c r="H56" s="6" t="n">
        <x:v>-1128000</x:v>
      </x:c>
      <x:c r="I56" s="6" t="n">
        <x:v>-627000</x:v>
      </x:c>
      <x:c r="J56" s="6" t="n">
        <x:v>627000</x:v>
      </x:c>
      <x:c r="K56" s="11" t="n">
        <x:v>18</x:v>
      </x:c>
      <x:c r="L56" s="11" t="n">
        <x:v>197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591000</x:v>
      </x:c>
      <x:c r="D57" s="6" t="n">
        <x:v>920000</x:v>
      </x:c>
      <x:c r="E57" s="6" t="n">
        <x:f>C57-D57</x:f>
        <x:v>-329000</x:v>
      </x:c>
      <x:c r="F57" s="6" t="n">
        <x:f>F56+E57</x:f>
        <x:v>-21112000</x:v>
      </x:c>
      <x:c r="G57" s="6" t="n">
        <x:v>-490000</x:v>
      </x:c>
      <x:c r="H57" s="6" t="n">
        <x:v>161000</x:v>
      </x:c>
      <x:c r="I57" s="6" t="n">
        <x:v>-349000</x:v>
      </x:c>
      <x:c r="J57" s="6" t="n">
        <x:v>368000</x:v>
      </x:c>
      <x:c r="K57" s="11" t="n">
        <x:v>9</x:v>
      </x:c>
      <x:c r="L57" s="11" t="n">
        <x:v>133</x:v>
      </x:c>
    </x:row>
    <x:row r="58" ht="25" customHeight="1">
      <x:c r="A58" s="2" t="str">
        <x:v>2026-10-27_Day</x:v>
      </x:c>
      <x:c r="B58" s="2" t="str">
        <x:v>後13場</x:v>
      </x:c>
      <x:c r="C58" s="6" t="n">
        <x:v>1000000</x:v>
      </x:c>
      <x:c r="D58" s="6" t="n">
        <x:v>1037000</x:v>
      </x:c>
      <x:c r="E58" s="6" t="n">
        <x:f>C58-D58</x:f>
        <x:v>-37000</x:v>
      </x:c>
      <x:c r="F58" s="6" t="n">
        <x:f>F57+E58</x:f>
        <x:v>-21149000</x:v>
      </x:c>
      <x:c r="G58" s="6" t="n">
        <x:v>850000</x:v>
      </x:c>
      <x:c r="H58" s="6" t="n">
        <x:v>-887000</x:v>
      </x:c>
      <x:c r="I58" s="6" t="n">
        <x:v>-152000</x:v>
      </x:c>
      <x:c r="J58" s="6" t="n">
        <x:v>431000</x:v>
      </x:c>
      <x:c r="K58" s="11" t="n">
        <x:v>9</x:v>
      </x:c>
      <x:c r="L58" s="11" t="n">
        <x:v>134</x:v>
      </x:c>
    </x:row>
    <x:row r="59" ht="25" customHeight="1">
      <x:c r="A59" s="15" t="str">
        <x:v>累計／場内最悪値</x:v>
      </x:c>
      <x:c r="B59" s="15"/>
      <x:c r="C59" s="16" t="n">
        <x:f>SUM(C6:C58)</x:f>
        <x:v>36135000</x:v>
      </x:c>
      <x:c r="D59" s="16" t="n">
        <x:f>SUM(D6:D58)</x:f>
        <x:v>57284000</x:v>
      </x:c>
      <x:c r="E59" s="16" t="n">
        <x:f>C59-D59</x:f>
        <x:v>-21149000</x:v>
      </x:c>
      <x:c r="F59" s="16" t="n">
        <x:f>F58</x:f>
        <x:v>-21149000</x:v>
      </x:c>
      <x:c r="G59" s="16" t="n">
        <x:f>SUM(G6:G58)</x:f>
        <x:v>-5046000</x:v>
      </x:c>
      <x:c r="H59" s="16" t="n">
        <x:f>SUM(H6:H58)</x:f>
        <x:v>-16103000</x:v>
      </x:c>
      <x:c r="I59" s="16" t="n">
        <x:f>MIN(I6:I58)</x:f>
        <x:v>-1374000</x:v>
      </x:c>
      <x:c r="J59" s="16" t="n">
        <x:f>MAX(J6:J58)</x:f>
        <x:v>1374000</x:v>
      </x:c>
      <x:c r="K59" s="17" t="n">
        <x:f>SUM(K6:K58)</x:f>
        <x:v>545</x:v>
      </x:c>
      <x:c r="L59" s="17" t="n">
        <x:f>SUM(L6:L58)</x:f>
        <x:v>8295</x:v>
      </x:c>
    </x:row>
  </x:sheetData>
  <x:conditionalFormatting sqref="E6:I58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4aa3c4ea674dc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H03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段20・利益40起動・追尾20・固定段再交差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207000</x:v>
      </x:c>
      <x:c r="D6" s="6" t="n">
        <x:v>133000</x:v>
      </x:c>
      <x:c r="E6" s="6" t="n">
        <x:f>C6-D6</x:f>
        <x:v>74000</x:v>
      </x:c>
      <x:c r="F6" s="6" t="n">
        <x:f>E6</x:f>
        <x:v>74000</x:v>
      </x:c>
      <x:c r="G6" s="6" t="n">
        <x:v>200000</x:v>
      </x:c>
      <x:c r="H6" s="6" t="n">
        <x:v>-126000</x:v>
      </x:c>
      <x:c r="I6" s="6" t="n">
        <x:v>-61000</x:v>
      </x:c>
      <x:c r="J6" s="6" t="n">
        <x:v>116000</x:v>
      </x:c>
      <x:c r="K6" s="11" t="n">
        <x:v>2</x:v>
      </x:c>
      <x:c r="L6" s="11" t="n">
        <x:v>9</x:v>
      </x:c>
    </x:row>
    <x:row r="7" ht="25" customHeight="1">
      <x:c r="A7" s="2" t="str">
        <x:v>2026-09-21_Night</x:v>
      </x:c>
      <x:c r="B7" s="2" t="str">
        <x:v>前30場</x:v>
      </x:c>
      <x:c r="C7" s="6" t="n">
        <x:v>567000</x:v>
      </x:c>
      <x:c r="D7" s="6" t="n">
        <x:v>810000</x:v>
      </x:c>
      <x:c r="E7" s="6" t="n">
        <x:f>C7-D7</x:f>
        <x:v>-243000</x:v>
      </x:c>
      <x:c r="F7" s="6" t="n">
        <x:f>F6+E7</x:f>
        <x:v>-169000</x:v>
      </x:c>
      <x:c r="G7" s="6" t="n">
        <x:v>-344000</x:v>
      </x:c>
      <x:c r="H7" s="6" t="n">
        <x:v>101000</x:v>
      </x:c>
      <x:c r="I7" s="6" t="n">
        <x:v>-373000</x:v>
      </x:c>
      <x:c r="J7" s="6" t="n">
        <x:v>485000</x:v>
      </x:c>
      <x:c r="K7" s="11" t="n">
        <x:v>7</x:v>
      </x:c>
      <x:c r="L7" s="11" t="n">
        <x:v>24</x:v>
      </x:c>
    </x:row>
    <x:row r="8" ht="25" customHeight="1">
      <x:c r="A8" s="2" t="str">
        <x:v>2026-09-22_Day</x:v>
      </x:c>
      <x:c r="B8" s="2" t="str">
        <x:v>前30場</x:v>
      </x:c>
      <x:c r="C8" s="6" t="n">
        <x:v>212000</x:v>
      </x:c>
      <x:c r="D8" s="6" t="n">
        <x:v>210000</x:v>
      </x:c>
      <x:c r="E8" s="6" t="n">
        <x:f>C8-D8</x:f>
        <x:v>2000</x:v>
      </x:c>
      <x:c r="F8" s="6" t="n">
        <x:f>F7+E8</x:f>
        <x:v>-167000</x:v>
      </x:c>
      <x:c r="G8" s="6" t="n">
        <x:v>100000</x:v>
      </x:c>
      <x:c r="H8" s="6" t="n">
        <x:v>-98000</x:v>
      </x:c>
      <x:c r="I8" s="6" t="n">
        <x:v>-238000</x:v>
      </x:c>
      <x:c r="J8" s="6" t="n">
        <x:v>305000</x:v>
      </x:c>
      <x:c r="K8" s="11" t="n">
        <x:v>1</x:v>
      </x:c>
      <x:c r="L8" s="11" t="n">
        <x:v>39</x:v>
      </x:c>
    </x:row>
    <x:row r="9" ht="25" customHeight="1">
      <x:c r="A9" s="2" t="str">
        <x:v>2026-09-22_Night</x:v>
      </x:c>
      <x:c r="B9" s="2" t="str">
        <x:v>前30場</x:v>
      </x:c>
      <x:c r="C9" s="6" t="n">
        <x:v>653000</x:v>
      </x:c>
      <x:c r="D9" s="6" t="n">
        <x:v>920000</x:v>
      </x:c>
      <x:c r="E9" s="6" t="n">
        <x:f>C9-D9</x:f>
        <x:v>-267000</x:v>
      </x:c>
      <x:c r="F9" s="6" t="n">
        <x:f>F8+E9</x:f>
        <x:v>-434000</x:v>
      </x:c>
      <x:c r="G9" s="6" t="n">
        <x:v>-350000</x:v>
      </x:c>
      <x:c r="H9" s="6" t="n">
        <x:v>83000</x:v>
      </x:c>
      <x:c r="I9" s="6" t="n">
        <x:v>-437000</x:v>
      </x:c>
      <x:c r="J9" s="6" t="n">
        <x:v>560000</x:v>
      </x:c>
      <x:c r="K9" s="11" t="n">
        <x:v>7</x:v>
      </x:c>
      <x:c r="L9" s="11" t="n">
        <x:v>21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-434000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570000</x:v>
      </x:c>
      <x:c r="D11" s="6" t="n">
        <x:v>1070000</x:v>
      </x:c>
      <x:c r="E11" s="6" t="n">
        <x:f>C11-D11</x:f>
        <x:v>-500000</x:v>
      </x:c>
      <x:c r="F11" s="6" t="n">
        <x:f>F10+E11</x:f>
        <x:v>-934000</x:v>
      </x:c>
      <x:c r="G11" s="6" t="n">
        <x:v>-560000</x:v>
      </x:c>
      <x:c r="H11" s="6" t="n">
        <x:v>60000</x:v>
      </x:c>
      <x:c r="I11" s="6" t="n">
        <x:v>-500000</x:v>
      </x:c>
      <x:c r="J11" s="6" t="n">
        <x:v>560000</x:v>
      </x:c>
      <x:c r="K11" s="11" t="n">
        <x:v>9</x:v>
      </x:c>
      <x:c r="L11" s="11" t="n">
        <x:v>14</x:v>
      </x:c>
    </x:row>
    <x:row r="12" ht="25" customHeight="1">
      <x:c r="A12" s="2" t="str">
        <x:v>2026-09-24_Day</x:v>
      </x:c>
      <x:c r="B12" s="2" t="str">
        <x:v>前30場</x:v>
      </x:c>
      <x:c r="C12" s="6" t="n">
        <x:v>471000</x:v>
      </x:c>
      <x:c r="D12" s="6" t="n">
        <x:v>231000</x:v>
      </x:c>
      <x:c r="E12" s="6" t="n">
        <x:f>C12-D12</x:f>
        <x:v>240000</x:v>
      </x:c>
      <x:c r="F12" s="6" t="n">
        <x:f>F11+E12</x:f>
        <x:v>-694000</x:v>
      </x:c>
      <x:c r="G12" s="6" t="n">
        <x:v>300000</x:v>
      </x:c>
      <x:c r="H12" s="6" t="n">
        <x:v>-60000</x:v>
      </x:c>
      <x:c r="I12" s="6" t="n">
        <x:v>-315000</x:v>
      </x:c>
      <x:c r="J12" s="6" t="n">
        <x:v>315000</x:v>
      </x:c>
      <x:c r="K12" s="11" t="n">
        <x:v>3</x:v>
      </x:c>
      <x:c r="L12" s="11" t="n">
        <x:v>59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560000</x:v>
      </x:c>
      <x:c r="D13" s="6" t="n">
        <x:v>730000</x:v>
      </x:c>
      <x:c r="E13" s="6" t="n">
        <x:f>C13-D13</x:f>
        <x:v>-170000</x:v>
      </x:c>
      <x:c r="F13" s="6" t="n">
        <x:f>F12+E13</x:f>
        <x:v>-864000</x:v>
      </x:c>
      <x:c r="G13" s="6" t="n">
        <x:v>-272000</x:v>
      </x:c>
      <x:c r="H13" s="6" t="n">
        <x:v>102000</x:v>
      </x:c>
      <x:c r="I13" s="6" t="n">
        <x:v>-230000</x:v>
      </x:c>
      <x:c r="J13" s="6" t="n">
        <x:v>310000</x:v>
      </x:c>
      <x:c r="K13" s="11" t="n">
        <x:v>9</x:v>
      </x:c>
      <x:c r="L13" s="11" t="n">
        <x:v>27</x:v>
      </x:c>
    </x:row>
    <x:row r="14" ht="25" customHeight="1">
      <x:c r="A14" s="2" t="str">
        <x:v>2026-09-25_Day</x:v>
      </x:c>
      <x:c r="B14" s="2" t="str">
        <x:v>前30場</x:v>
      </x:c>
      <x:c r="C14" s="6" t="n">
        <x:v>159000</x:v>
      </x:c>
      <x:c r="D14" s="6" t="n">
        <x:v>700000</x:v>
      </x:c>
      <x:c r="E14" s="6" t="n">
        <x:f>C14-D14</x:f>
        <x:v>-541000</x:v>
      </x:c>
      <x:c r="F14" s="6" t="n">
        <x:f>F13+E14</x:f>
        <x:v>-1405000</x:v>
      </x:c>
      <x:c r="G14" s="6" t="n">
        <x:v>-664000</x:v>
      </x:c>
      <x:c r="H14" s="6" t="n">
        <x:v>123000</x:v>
      </x:c>
      <x:c r="I14" s="6" t="n">
        <x:v>-661000</x:v>
      </x:c>
      <x:c r="J14" s="6" t="n">
        <x:v>719000</x:v>
      </x:c>
      <x:c r="K14" s="11" t="n">
        <x:v>2</x:v>
      </x:c>
      <x:c r="L14" s="11" t="n">
        <x:v>35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535000</x:v>
      </x:c>
      <x:c r="D15" s="6" t="n">
        <x:v>722000</x:v>
      </x:c>
      <x:c r="E15" s="6" t="n">
        <x:f>C15-D15</x:f>
        <x:v>-187000</x:v>
      </x:c>
      <x:c r="F15" s="6" t="n">
        <x:f>F14+E15</x:f>
        <x:v>-1592000</x:v>
      </x:c>
      <x:c r="G15" s="6" t="n">
        <x:v>-186000</x:v>
      </x:c>
      <x:c r="H15" s="6" t="n">
        <x:v>-1000</x:v>
      </x:c>
      <x:c r="I15" s="6" t="n">
        <x:v>-207000</x:v>
      </x:c>
      <x:c r="J15" s="6" t="n">
        <x:v>207000</x:v>
      </x:c>
      <x:c r="K15" s="11" t="n">
        <x:v>10</x:v>
      </x:c>
      <x:c r="L15" s="11" t="n">
        <x:v>28</x:v>
      </x:c>
    </x:row>
    <x:row r="16" ht="25" customHeight="1">
      <x:c r="A16" s="2" t="str">
        <x:v>2026-09-28_Day</x:v>
      </x:c>
      <x:c r="B16" s="2" t="str">
        <x:v>前30場</x:v>
      </x:c>
      <x:c r="C16" s="6" t="n">
        <x:v>503000</x:v>
      </x:c>
      <x:c r="D16" s="6" t="n">
        <x:v>322000</x:v>
      </x:c>
      <x:c r="E16" s="6" t="n">
        <x:f>C16-D16</x:f>
        <x:v>181000</x:v>
      </x:c>
      <x:c r="F16" s="6" t="n">
        <x:f>F15+E16</x:f>
        <x:v>-1411000</x:v>
      </x:c>
      <x:c r="G16" s="6" t="n">
        <x:v>414000</x:v>
      </x:c>
      <x:c r="H16" s="6" t="n">
        <x:v>-233000</x:v>
      </x:c>
      <x:c r="I16" s="6" t="n">
        <x:v>-354000</x:v>
      </x:c>
      <x:c r="J16" s="6" t="n">
        <x:v>354000</x:v>
      </x:c>
      <x:c r="K16" s="11" t="n">
        <x:v>5</x:v>
      </x:c>
      <x:c r="L16" s="11" t="n">
        <x:v>36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830000</x:v>
      </x:c>
      <x:c r="D17" s="6" t="n">
        <x:v>688000</x:v>
      </x:c>
      <x:c r="E17" s="6" t="n">
        <x:f>C17-D17</x:f>
        <x:v>142000</x:v>
      </x:c>
      <x:c r="F17" s="6" t="n">
        <x:f>F16+E17</x:f>
        <x:v>-1269000</x:v>
      </x:c>
      <x:c r="G17" s="6" t="n">
        <x:v>520000</x:v>
      </x:c>
      <x:c r="H17" s="6" t="n">
        <x:v>-378000</x:v>
      </x:c>
      <x:c r="I17" s="6" t="n">
        <x:v>-208000</x:v>
      </x:c>
      <x:c r="J17" s="6" t="n">
        <x:v>237000</x:v>
      </x:c>
      <x:c r="K17" s="11" t="n">
        <x:v>15</x:v>
      </x:c>
      <x:c r="L17" s="11" t="n">
        <x:v>52</x:v>
      </x:c>
    </x:row>
    <x:row r="18" ht="25" customHeight="1">
      <x:c r="A18" s="2" t="str">
        <x:v>2026-09-29_Day</x:v>
      </x:c>
      <x:c r="B18" s="2" t="str">
        <x:v>前30場</x:v>
      </x:c>
      <x:c r="C18" s="6" t="n">
        <x:v>682000</x:v>
      </x:c>
      <x:c r="D18" s="6" t="n">
        <x:v>631000</x:v>
      </x:c>
      <x:c r="E18" s="6" t="n">
        <x:f>C18-D18</x:f>
        <x:v>51000</x:v>
      </x:c>
      <x:c r="F18" s="6" t="n">
        <x:f>F17+E18</x:f>
        <x:v>-1218000</x:v>
      </x:c>
      <x:c r="G18" s="6" t="n">
        <x:v>28000</x:v>
      </x:c>
      <x:c r="H18" s="6" t="n">
        <x:v>23000</x:v>
      </x:c>
      <x:c r="I18" s="6" t="n">
        <x:v>-531000</x:v>
      </x:c>
      <x:c r="J18" s="6" t="n">
        <x:v>656000</x:v>
      </x:c>
      <x:c r="K18" s="11" t="n">
        <x:v>8</x:v>
      </x:c>
      <x:c r="L18" s="11" t="n">
        <x:v>71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800000</x:v>
      </x:c>
      <x:c r="D19" s="6" t="n">
        <x:v>1021000</x:v>
      </x:c>
      <x:c r="E19" s="6" t="n">
        <x:f>C19-D19</x:f>
        <x:v>-221000</x:v>
      </x:c>
      <x:c r="F19" s="6" t="n">
        <x:f>F18+E19</x:f>
        <x:v>-1439000</x:v>
      </x:c>
      <x:c r="G19" s="6" t="n">
        <x:v>163000</x:v>
      </x:c>
      <x:c r="H19" s="6" t="n">
        <x:v>-384000</x:v>
      </x:c>
      <x:c r="I19" s="6" t="n">
        <x:v>-221000</x:v>
      </x:c>
      <x:c r="J19" s="6" t="n">
        <x:v>221000</x:v>
      </x:c>
      <x:c r="K19" s="11" t="n">
        <x:v>21</x:v>
      </x:c>
      <x:c r="L19" s="11" t="n">
        <x:v>62</x:v>
      </x:c>
    </x:row>
    <x:row r="20" ht="25" customHeight="1">
      <x:c r="A20" s="2" t="str">
        <x:v>2026-09-30_Day</x:v>
      </x:c>
      <x:c r="B20" s="2" t="str">
        <x:v>前30場</x:v>
      </x:c>
      <x:c r="C20" s="6" t="n">
        <x:v>296000</x:v>
      </x:c>
      <x:c r="D20" s="6" t="n">
        <x:v>794000</x:v>
      </x:c>
      <x:c r="E20" s="6" t="n">
        <x:f>C20-D20</x:f>
        <x:v>-498000</x:v>
      </x:c>
      <x:c r="F20" s="6" t="n">
        <x:f>F19+E20</x:f>
        <x:v>-1937000</x:v>
      </x:c>
      <x:c r="G20" s="6" t="n">
        <x:v>-420000</x:v>
      </x:c>
      <x:c r="H20" s="6" t="n">
        <x:v>-78000</x:v>
      </x:c>
      <x:c r="I20" s="6" t="n">
        <x:v>-498000</x:v>
      </x:c>
      <x:c r="J20" s="6" t="n">
        <x:v>628000</x:v>
      </x:c>
      <x:c r="K20" s="11" t="n">
        <x:v>3</x:v>
      </x:c>
      <x:c r="L20" s="11" t="n">
        <x:v>34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637000</x:v>
      </x:c>
      <x:c r="D21" s="6" t="n">
        <x:v>882000</x:v>
      </x:c>
      <x:c r="E21" s="6" t="n">
        <x:f>C21-D21</x:f>
        <x:v>-245000</x:v>
      </x:c>
      <x:c r="F21" s="6" t="n">
        <x:f>F20+E21</x:f>
        <x:v>-2182000</x:v>
      </x:c>
      <x:c r="G21" s="6" t="n">
        <x:v>-199000</x:v>
      </x:c>
      <x:c r="H21" s="6" t="n">
        <x:v>-46000</x:v>
      </x:c>
      <x:c r="I21" s="6" t="n">
        <x:v>-388000</x:v>
      </x:c>
      <x:c r="J21" s="6" t="n">
        <x:v>388000</x:v>
      </x:c>
      <x:c r="K21" s="11" t="n">
        <x:v>13</x:v>
      </x:c>
      <x:c r="L21" s="11" t="n">
        <x:v>47</x:v>
      </x:c>
    </x:row>
    <x:row r="22" ht="25" customHeight="1">
      <x:c r="A22" s="2" t="str">
        <x:v>2026-10-01_Day</x:v>
      </x:c>
      <x:c r="B22" s="2" t="str">
        <x:v>前30場</x:v>
      </x:c>
      <x:c r="C22" s="6" t="n">
        <x:v>289000</x:v>
      </x:c>
      <x:c r="D22" s="6" t="n">
        <x:v>1747000</x:v>
      </x:c>
      <x:c r="E22" s="6" t="n">
        <x:f>C22-D22</x:f>
        <x:v>-1458000</x:v>
      </x:c>
      <x:c r="F22" s="6" t="n">
        <x:f>F21+E22</x:f>
        <x:v>-3640000</x:v>
      </x:c>
      <x:c r="G22" s="6" t="n">
        <x:v>-1498000</x:v>
      </x:c>
      <x:c r="H22" s="6" t="n">
        <x:v>40000</x:v>
      </x:c>
      <x:c r="I22" s="6" t="n">
        <x:v>-1658000</x:v>
      </x:c>
      <x:c r="J22" s="6" t="n">
        <x:v>1664000</x:v>
      </x:c>
      <x:c r="K22" s="11" t="n">
        <x:v>3</x:v>
      </x:c>
      <x:c r="L22" s="11" t="n">
        <x:v>54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907000</x:v>
      </x:c>
      <x:c r="D23" s="6" t="n">
        <x:v>876000</x:v>
      </x:c>
      <x:c r="E23" s="6" t="n">
        <x:f>C23-D23</x:f>
        <x:v>31000</x:v>
      </x:c>
      <x:c r="F23" s="6" t="n">
        <x:f>F22+E23</x:f>
        <x:v>-3609000</x:v>
      </x:c>
      <x:c r="G23" s="6" t="n">
        <x:v>-80000</x:v>
      </x:c>
      <x:c r="H23" s="6" t="n">
        <x:v>111000</x:v>
      </x:c>
      <x:c r="I23" s="6" t="n">
        <x:v>-179000</x:v>
      </x:c>
      <x:c r="J23" s="6" t="n">
        <x:v>282000</x:v>
      </x:c>
      <x:c r="K23" s="11" t="n">
        <x:v>13</x:v>
      </x:c>
      <x:c r="L23" s="11" t="n">
        <x:v>31</x:v>
      </x:c>
    </x:row>
    <x:row r="24" ht="25" customHeight="1">
      <x:c r="A24" s="2" t="str">
        <x:v>2026-10-02_Day</x:v>
      </x:c>
      <x:c r="B24" s="2" t="str">
        <x:v>前30場</x:v>
      </x:c>
      <x:c r="C24" s="6" t="n">
        <x:v>379000</x:v>
      </x:c>
      <x:c r="D24" s="6" t="n">
        <x:v>480000</x:v>
      </x:c>
      <x:c r="E24" s="6" t="n">
        <x:f>C24-D24</x:f>
        <x:v>-101000</x:v>
      </x:c>
      <x:c r="F24" s="6" t="n">
        <x:f>F23+E24</x:f>
        <x:v>-3710000</x:v>
      </x:c>
      <x:c r="G24" s="6" t="n">
        <x:v>60000</x:v>
      </x:c>
      <x:c r="H24" s="6" t="n">
        <x:v>-161000</x:v>
      </x:c>
      <x:c r="I24" s="6" t="n">
        <x:v>-259000</x:v>
      </x:c>
      <x:c r="J24" s="6" t="n">
        <x:v>369000</x:v>
      </x:c>
      <x:c r="K24" s="11" t="n">
        <x:v>4</x:v>
      </x:c>
      <x:c r="L24" s="11" t="n">
        <x:v>55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1080000</x:v>
      </x:c>
      <x:c r="D25" s="6" t="n">
        <x:v>1210000</x:v>
      </x:c>
      <x:c r="E25" s="6" t="n">
        <x:f>C25-D25</x:f>
        <x:v>-130000</x:v>
      </x:c>
      <x:c r="F25" s="6" t="n">
        <x:f>F24+E25</x:f>
        <x:v>-3840000</x:v>
      </x:c>
      <x:c r="G25" s="6" t="n">
        <x:v>-111000</x:v>
      </x:c>
      <x:c r="H25" s="6" t="n">
        <x:v>-19000</x:v>
      </x:c>
      <x:c r="I25" s="6" t="n">
        <x:v>-444000</x:v>
      </x:c>
      <x:c r="J25" s="6" t="n">
        <x:v>487000</x:v>
      </x:c>
      <x:c r="K25" s="11" t="n">
        <x:v>21</x:v>
      </x:c>
      <x:c r="L25" s="11" t="n">
        <x:v>30</x:v>
      </x:c>
    </x:row>
    <x:row r="26" ht="25" customHeight="1">
      <x:c r="A26" s="2" t="str">
        <x:v>2026-10-05_Day</x:v>
      </x:c>
      <x:c r="B26" s="2" t="str">
        <x:v>前30場</x:v>
      </x:c>
      <x:c r="C26" s="6" t="n">
        <x:v>342000</x:v>
      </x:c>
      <x:c r="D26" s="6" t="n">
        <x:v>549000</x:v>
      </x:c>
      <x:c r="E26" s="6" t="n">
        <x:f>C26-D26</x:f>
        <x:v>-207000</x:v>
      </x:c>
      <x:c r="F26" s="6" t="n">
        <x:f>F25+E26</x:f>
        <x:v>-4047000</x:v>
      </x:c>
      <x:c r="G26" s="6" t="n">
        <x:v>-112000</x:v>
      </x:c>
      <x:c r="H26" s="6" t="n">
        <x:v>-95000</x:v>
      </x:c>
      <x:c r="I26" s="6" t="n">
        <x:v>-243000</x:v>
      </x:c>
      <x:c r="J26" s="6" t="n">
        <x:v>293000</x:v>
      </x:c>
      <x:c r="K26" s="11" t="n">
        <x:v>3</x:v>
      </x:c>
      <x:c r="L26" s="11" t="n">
        <x:v>47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561000</x:v>
      </x:c>
      <x:c r="D27" s="6" t="n">
        <x:v>890000</x:v>
      </x:c>
      <x:c r="E27" s="6" t="n">
        <x:f>C27-D27</x:f>
        <x:v>-329000</x:v>
      </x:c>
      <x:c r="F27" s="6" t="n">
        <x:f>F26+E27</x:f>
        <x:v>-4376000</x:v>
      </x:c>
      <x:c r="G27" s="6" t="n">
        <x:v>-65000</x:v>
      </x:c>
      <x:c r="H27" s="6" t="n">
        <x:v>-264000</x:v>
      </x:c>
      <x:c r="I27" s="6" t="n">
        <x:v>-339000</x:v>
      </x:c>
      <x:c r="J27" s="6" t="n">
        <x:v>359000</x:v>
      </x:c>
      <x:c r="K27" s="11" t="n">
        <x:v>12</x:v>
      </x:c>
      <x:c r="L27" s="11" t="n">
        <x:v>46</x:v>
      </x:c>
    </x:row>
    <x:row r="28" ht="25" customHeight="1">
      <x:c r="A28" s="2" t="str">
        <x:v>2026-10-06_Day</x:v>
      </x:c>
      <x:c r="B28" s="2" t="str">
        <x:v>前30場</x:v>
      </x:c>
      <x:c r="C28" s="6" t="n">
        <x:v>111000</x:v>
      </x:c>
      <x:c r="D28" s="6" t="n">
        <x:v>147000</x:v>
      </x:c>
      <x:c r="E28" s="6" t="n">
        <x:f>C28-D28</x:f>
        <x:v>-36000</x:v>
      </x:c>
      <x:c r="F28" s="6" t="n">
        <x:f>F27+E28</x:f>
        <x:v>-4412000</x:v>
      </x:c>
      <x:c r="G28" s="6" t="n">
        <x:v>100000</x:v>
      </x:c>
      <x:c r="H28" s="6" t="n">
        <x:v>-136000</x:v>
      </x:c>
      <x:c r="I28" s="6" t="n">
        <x:v>-144000</x:v>
      </x:c>
      <x:c r="J28" s="6" t="n">
        <x:v>144000</x:v>
      </x:c>
      <x:c r="K28" s="11" t="n">
        <x:v>1</x:v>
      </x:c>
      <x:c r="L28" s="11" t="n">
        <x:v>11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532000</x:v>
      </x:c>
      <x:c r="D29" s="6" t="n">
        <x:v>706000</x:v>
      </x:c>
      <x:c r="E29" s="6" t="n">
        <x:f>C29-D29</x:f>
        <x:v>-174000</x:v>
      </x:c>
      <x:c r="F29" s="6" t="n">
        <x:f>F28+E29</x:f>
        <x:v>-4586000</x:v>
      </x:c>
      <x:c r="G29" s="6" t="n">
        <x:v>28000</x:v>
      </x:c>
      <x:c r="H29" s="6" t="n">
        <x:v>-202000</x:v>
      </x:c>
      <x:c r="I29" s="6" t="n">
        <x:v>-302000</x:v>
      </x:c>
      <x:c r="J29" s="6" t="n">
        <x:v>321000</x:v>
      </x:c>
      <x:c r="K29" s="11" t="n">
        <x:v>11</x:v>
      </x:c>
      <x:c r="L29" s="11" t="n">
        <x:v>42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164000</x:v>
      </x:c>
      <x:c r="D30" s="6" t="n">
        <x:v>175000</x:v>
      </x:c>
      <x:c r="E30" s="6" t="n">
        <x:f>C30-D30</x:f>
        <x:v>-11000</x:v>
      </x:c>
      <x:c r="F30" s="6" t="n">
        <x:f>F29+E30</x:f>
        <x:v>-4597000</x:v>
      </x:c>
      <x:c r="G30" s="6" t="n">
        <x:v>160000</x:v>
      </x:c>
      <x:c r="H30" s="6" t="n">
        <x:v>-171000</x:v>
      </x:c>
      <x:c r="I30" s="6" t="n">
        <x:v>-95000</x:v>
      </x:c>
      <x:c r="J30" s="6" t="n">
        <x:v>165000</x:v>
      </x:c>
      <x:c r="K30" s="11" t="n">
        <x:v>2</x:v>
      </x:c>
      <x:c r="L30" s="11" t="n">
        <x:v>11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771000</x:v>
      </x:c>
      <x:c r="D31" s="6" t="n">
        <x:v>930000</x:v>
      </x:c>
      <x:c r="E31" s="6" t="n">
        <x:f>C31-D31</x:f>
        <x:v>-159000</x:v>
      </x:c>
      <x:c r="F31" s="6" t="n">
        <x:f>F30+E31</x:f>
        <x:v>-4756000</x:v>
      </x:c>
      <x:c r="G31" s="6" t="n">
        <x:v>-204000</x:v>
      </x:c>
      <x:c r="H31" s="6" t="n">
        <x:v>45000</x:v>
      </x:c>
      <x:c r="I31" s="6" t="n">
        <x:v>-169000</x:v>
      </x:c>
      <x:c r="J31" s="6" t="n">
        <x:v>183000</x:v>
      </x:c>
      <x:c r="K31" s="11" t="n">
        <x:v>12</x:v>
      </x:c>
      <x:c r="L31" s="11" t="n">
        <x:v>13</x:v>
      </x:c>
    </x:row>
    <x:row r="32" ht="25" customHeight="1">
      <x:c r="A32" s="2" t="str">
        <x:v>2026-10-08_Day</x:v>
      </x:c>
      <x:c r="B32" s="2" t="str">
        <x:v>前30場</x:v>
      </x:c>
      <x:c r="C32" s="6" t="n">
        <x:v>450000</x:v>
      </x:c>
      <x:c r="D32" s="6" t="n">
        <x:v>1191000</x:v>
      </x:c>
      <x:c r="E32" s="6" t="n">
        <x:f>C32-D32</x:f>
        <x:v>-741000</x:v>
      </x:c>
      <x:c r="F32" s="6" t="n">
        <x:f>F31+E32</x:f>
        <x:v>-5497000</x:v>
      </x:c>
      <x:c r="G32" s="6" t="n">
        <x:v>-860000</x:v>
      </x:c>
      <x:c r="H32" s="6" t="n">
        <x:v>119000</x:v>
      </x:c>
      <x:c r="I32" s="6" t="n">
        <x:v>-741000</x:v>
      </x:c>
      <x:c r="J32" s="6" t="n">
        <x:v>927000</x:v>
      </x:c>
      <x:c r="K32" s="11" t="n">
        <x:v>4</x:v>
      </x:c>
      <x:c r="L32" s="11" t="n">
        <x:v>60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1606000</x:v>
      </x:c>
      <x:c r="D33" s="6" t="n">
        <x:v>1941000</x:v>
      </x:c>
      <x:c r="E33" s="6" t="n">
        <x:f>C33-D33</x:f>
        <x:v>-335000</x:v>
      </x:c>
      <x:c r="F33" s="6" t="n">
        <x:f>F32+E33</x:f>
        <x:v>-5832000</x:v>
      </x:c>
      <x:c r="G33" s="6" t="n">
        <x:v>29000</x:v>
      </x:c>
      <x:c r="H33" s="6" t="n">
        <x:v>-364000</x:v>
      </x:c>
      <x:c r="I33" s="6" t="n">
        <x:v>-335000</x:v>
      </x:c>
      <x:c r="J33" s="6" t="n">
        <x:v>471000</x:v>
      </x:c>
      <x:c r="K33" s="11" t="n">
        <x:v>29</x:v>
      </x:c>
      <x:c r="L33" s="11" t="n">
        <x:v>82</x:v>
      </x:c>
    </x:row>
    <x:row r="34" ht="25" customHeight="1">
      <x:c r="A34" s="2" t="str">
        <x:v>2026-10-09_Day</x:v>
      </x:c>
      <x:c r="B34" s="2" t="str">
        <x:v>前30場</x:v>
      </x:c>
      <x:c r="C34" s="6" t="n">
        <x:v>773000</x:v>
      </x:c>
      <x:c r="D34" s="6" t="n">
        <x:v>1480000</x:v>
      </x:c>
      <x:c r="E34" s="6" t="n">
        <x:f>C34-D34</x:f>
        <x:v>-707000</x:v>
      </x:c>
      <x:c r="F34" s="6" t="n">
        <x:f>F33+E34</x:f>
        <x:v>-6539000</x:v>
      </x:c>
      <x:c r="G34" s="6" t="n">
        <x:v>-480000</x:v>
      </x:c>
      <x:c r="H34" s="6" t="n">
        <x:v>-227000</x:v>
      </x:c>
      <x:c r="I34" s="6" t="n">
        <x:v>-757000</x:v>
      </x:c>
      <x:c r="J34" s="6" t="n">
        <x:v>863000</x:v>
      </x:c>
      <x:c r="K34" s="11" t="n">
        <x:v>8</x:v>
      </x:c>
      <x:c r="L34" s="11" t="n">
        <x:v>112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512000</x:v>
      </x:c>
      <x:c r="D35" s="6" t="n">
        <x:v>473000</x:v>
      </x:c>
      <x:c r="E35" s="6" t="n">
        <x:f>C35-D35</x:f>
        <x:v>39000</x:v>
      </x:c>
      <x:c r="F35" s="6" t="n">
        <x:f>F34+E35</x:f>
        <x:v>-6500000</x:v>
      </x:c>
      <x:c r="G35" s="6" t="n">
        <x:v>-2000</x:v>
      </x:c>
      <x:c r="H35" s="6" t="n">
        <x:v>41000</x:v>
      </x:c>
      <x:c r="I35" s="6" t="n">
        <x:v>-121000</x:v>
      </x:c>
      <x:c r="J35" s="6" t="n">
        <x:v>157000</x:v>
      </x:c>
      <x:c r="K35" s="11" t="n">
        <x:v>12</x:v>
      </x:c>
      <x:c r="L35" s="11" t="n">
        <x:v>14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-6500000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671000</x:v>
      </x:c>
      <x:c r="D37" s="6" t="n">
        <x:v>820000</x:v>
      </x:c>
      <x:c r="E37" s="6" t="n">
        <x:f>C37-D37</x:f>
        <x:v>-149000</x:v>
      </x:c>
      <x:c r="F37" s="6" t="n">
        <x:f>F36+E37</x:f>
        <x:v>-6649000</x:v>
      </x:c>
      <x:c r="G37" s="6" t="n">
        <x:v>-193000</x:v>
      </x:c>
      <x:c r="H37" s="6" t="n">
        <x:v>44000</x:v>
      </x:c>
      <x:c r="I37" s="6" t="n">
        <x:v>-179000</x:v>
      </x:c>
      <x:c r="J37" s="6" t="n">
        <x:v>210000</x:v>
      </x:c>
      <x:c r="K37" s="11" t="n">
        <x:v>11</x:v>
      </x:c>
      <x:c r="L37" s="11" t="n">
        <x:v>15</x:v>
      </x:c>
    </x:row>
    <x:row r="38" ht="25" customHeight="1">
      <x:c r="A38" s="2" t="str">
        <x:v>2026-10-13_Day</x:v>
      </x:c>
      <x:c r="B38" s="2" t="str">
        <x:v>次10場</x:v>
      </x:c>
      <x:c r="C38" s="6" t="n">
        <x:v>565000</x:v>
      </x:c>
      <x:c r="D38" s="6" t="n">
        <x:v>566000</x:v>
      </x:c>
      <x:c r="E38" s="6" t="n">
        <x:f>C38-D38</x:f>
        <x:v>-1000</x:v>
      </x:c>
      <x:c r="F38" s="6" t="n">
        <x:f>F37+E38</x:f>
        <x:v>-6650000</x:v>
      </x:c>
      <x:c r="G38" s="6" t="n">
        <x:v>444000</x:v>
      </x:c>
      <x:c r="H38" s="6" t="n">
        <x:v>-445000</x:v>
      </x:c>
      <x:c r="I38" s="6" t="n">
        <x:v>-257000</x:v>
      </x:c>
      <x:c r="J38" s="6" t="n">
        <x:v>257000</x:v>
      </x:c>
      <x:c r="K38" s="11" t="n">
        <x:v>6</x:v>
      </x:c>
      <x:c r="L38" s="11" t="n">
        <x:v>59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390000</x:v>
      </x:c>
      <x:c r="D39" s="6" t="n">
        <x:v>460000</x:v>
      </x:c>
      <x:c r="E39" s="6" t="n">
        <x:f>C39-D39</x:f>
        <x:v>-70000</x:v>
      </x:c>
      <x:c r="F39" s="6" t="n">
        <x:f>F38+E39</x:f>
        <x:v>-6720000</x:v>
      </x:c>
      <x:c r="G39" s="6" t="n">
        <x:v>-106000</x:v>
      </x:c>
      <x:c r="H39" s="6" t="n">
        <x:v>36000</x:v>
      </x:c>
      <x:c r="I39" s="6" t="n">
        <x:v>-104000</x:v>
      </x:c>
      <x:c r="J39" s="6" t="n">
        <x:v>104000</x:v>
      </x:c>
      <x:c r="K39" s="11" t="n">
        <x:v>8</x:v>
      </x:c>
      <x:c r="L39" s="11" t="n">
        <x:v>46</x:v>
      </x:c>
    </x:row>
    <x:row r="40" ht="25" customHeight="1">
      <x:c r="A40" s="2" t="str">
        <x:v>2026-10-14_Day</x:v>
      </x:c>
      <x:c r="B40" s="2" t="str">
        <x:v>次10場</x:v>
      </x:c>
      <x:c r="C40" s="6" t="n">
        <x:v>633000</x:v>
      </x:c>
      <x:c r="D40" s="6" t="n">
        <x:v>528000</x:v>
      </x:c>
      <x:c r="E40" s="6" t="n">
        <x:f>C40-D40</x:f>
        <x:v>105000</x:v>
      </x:c>
      <x:c r="F40" s="6" t="n">
        <x:f>F39+E40</x:f>
        <x:v>-6615000</x:v>
      </x:c>
      <x:c r="G40" s="6" t="n">
        <x:v>256000</x:v>
      </x:c>
      <x:c r="H40" s="6" t="n">
        <x:v>-151000</x:v>
      </x:c>
      <x:c r="I40" s="6" t="n">
        <x:v>-256000</x:v>
      </x:c>
      <x:c r="J40" s="6" t="n">
        <x:v>388000</x:v>
      </x:c>
      <x:c r="K40" s="11" t="n">
        <x:v>5</x:v>
      </x:c>
      <x:c r="L40" s="11" t="n">
        <x:v>83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1505000</x:v>
      </x:c>
      <x:c r="D41" s="6" t="n">
        <x:v>2173000</x:v>
      </x:c>
      <x:c r="E41" s="6" t="n">
        <x:f>C41-D41</x:f>
        <x:v>-668000</x:v>
      </x:c>
      <x:c r="F41" s="6" t="n">
        <x:f>F40+E41</x:f>
        <x:v>-7283000</x:v>
      </x:c>
      <x:c r="G41" s="6" t="n">
        <x:v>-384000</x:v>
      </x:c>
      <x:c r="H41" s="6" t="n">
        <x:v>-284000</x:v>
      </x:c>
      <x:c r="I41" s="6" t="n">
        <x:v>-698000</x:v>
      </x:c>
      <x:c r="J41" s="6" t="n">
        <x:v>708000</x:v>
      </x:c>
      <x:c r="K41" s="11" t="n">
        <x:v>23</x:v>
      </x:c>
      <x:c r="L41" s="11" t="n">
        <x:v>62</x:v>
      </x:c>
    </x:row>
    <x:row r="42" ht="25" customHeight="1">
      <x:c r="A42" s="2" t="str">
        <x:v>2026-10-15_Day</x:v>
      </x:c>
      <x:c r="B42" s="2" t="str">
        <x:v>次10場</x:v>
      </x:c>
      <x:c r="C42" s="6" t="n">
        <x:v>1207000</x:v>
      </x:c>
      <x:c r="D42" s="6" t="n">
        <x:v>1266000</x:v>
      </x:c>
      <x:c r="E42" s="6" t="n">
        <x:f>C42-D42</x:f>
        <x:v>-59000</x:v>
      </x:c>
      <x:c r="F42" s="6" t="n">
        <x:f>F41+E42</x:f>
        <x:v>-7342000</x:v>
      </x:c>
      <x:c r="G42" s="6" t="n">
        <x:v>-68000</x:v>
      </x:c>
      <x:c r="H42" s="6" t="n">
        <x:v>9000</x:v>
      </x:c>
      <x:c r="I42" s="6" t="n">
        <x:v>-969000</x:v>
      </x:c>
      <x:c r="J42" s="6" t="n">
        <x:v>1250000</x:v>
      </x:c>
      <x:c r="K42" s="11" t="n">
        <x:v>13</x:v>
      </x:c>
      <x:c r="L42" s="11" t="n">
        <x:v>62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1569000</x:v>
      </x:c>
      <x:c r="D43" s="6" t="n">
        <x:v>1776000</x:v>
      </x:c>
      <x:c r="E43" s="6" t="n">
        <x:f>C43-D43</x:f>
        <x:v>-207000</x:v>
      </x:c>
      <x:c r="F43" s="6" t="n">
        <x:f>F42+E43</x:f>
        <x:v>-7549000</x:v>
      </x:c>
      <x:c r="G43" s="6" t="n">
        <x:v>-76000</x:v>
      </x:c>
      <x:c r="H43" s="6" t="n">
        <x:v>-131000</x:v>
      </x:c>
      <x:c r="I43" s="6" t="n">
        <x:v>-467000</x:v>
      </x:c>
      <x:c r="J43" s="6" t="n">
        <x:v>497000</x:v>
      </x:c>
      <x:c r="K43" s="11" t="n">
        <x:v>23</x:v>
      </x:c>
      <x:c r="L43" s="11" t="n">
        <x:v>102</x:v>
      </x:c>
    </x:row>
    <x:row r="44" ht="25" customHeight="1">
      <x:c r="A44" s="2" t="str">
        <x:v>2026-10-16_Day</x:v>
      </x:c>
      <x:c r="B44" s="2" t="str">
        <x:v>次10場</x:v>
      </x:c>
      <x:c r="C44" s="6" t="n">
        <x:v>1185000</x:v>
      </x:c>
      <x:c r="D44" s="6" t="n">
        <x:v>694000</x:v>
      </x:c>
      <x:c r="E44" s="6" t="n">
        <x:f>C44-D44</x:f>
        <x:v>491000</x:v>
      </x:c>
      <x:c r="F44" s="6" t="n">
        <x:f>F43+E44</x:f>
        <x:v>-7058000</x:v>
      </x:c>
      <x:c r="G44" s="6" t="n">
        <x:v>858000</x:v>
      </x:c>
      <x:c r="H44" s="6" t="n">
        <x:v>-367000</x:v>
      </x:c>
      <x:c r="I44" s="6" t="n">
        <x:v>-61000</x:v>
      </x:c>
      <x:c r="J44" s="6" t="n">
        <x:v>261000</x:v>
      </x:c>
      <x:c r="K44" s="11" t="n">
        <x:v>16</x:v>
      </x:c>
      <x:c r="L44" s="11" t="n">
        <x:v>102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1616000</x:v>
      </x:c>
      <x:c r="D45" s="6" t="n">
        <x:v>2206000</x:v>
      </x:c>
      <x:c r="E45" s="6" t="n">
        <x:f>C45-D45</x:f>
        <x:v>-590000</x:v>
      </x:c>
      <x:c r="F45" s="6" t="n">
        <x:f>F44+E45</x:f>
        <x:v>-7648000</x:v>
      </x:c>
      <x:c r="G45" s="6" t="n">
        <x:v>-404000</x:v>
      </x:c>
      <x:c r="H45" s="6" t="n">
        <x:v>-186000</x:v>
      </x:c>
      <x:c r="I45" s="6" t="n">
        <x:v>-630000</x:v>
      </x:c>
      <x:c r="J45" s="6" t="n">
        <x:v>710000</x:v>
      </x:c>
      <x:c r="K45" s="11" t="n">
        <x:v>26</x:v>
      </x:c>
      <x:c r="L45" s="11" t="n">
        <x:v>33</x:v>
      </x:c>
    </x:row>
    <x:row r="46" ht="25" customHeight="1">
      <x:c r="A46" s="2" t="str">
        <x:v>2026-10-19_Day</x:v>
      </x:c>
      <x:c r="B46" s="2" t="str">
        <x:v>後13場</x:v>
      </x:c>
      <x:c r="C46" s="6" t="n">
        <x:v>592000</x:v>
      </x:c>
      <x:c r="D46" s="6" t="n">
        <x:v>1030000</x:v>
      </x:c>
      <x:c r="E46" s="6" t="n">
        <x:f>C46-D46</x:f>
        <x:v>-438000</x:v>
      </x:c>
      <x:c r="F46" s="6" t="n">
        <x:f>F45+E46</x:f>
        <x:v>-8086000</x:v>
      </x:c>
      <x:c r="G46" s="6" t="n">
        <x:v>-120000</x:v>
      </x:c>
      <x:c r="H46" s="6" t="n">
        <x:v>-318000</x:v>
      </x:c>
      <x:c r="I46" s="6" t="n">
        <x:v>-658000</x:v>
      </x:c>
      <x:c r="J46" s="6" t="n">
        <x:v>672000</x:v>
      </x:c>
      <x:c r="K46" s="11" t="n">
        <x:v>5</x:v>
      </x:c>
      <x:c r="L46" s="11" t="n">
        <x:v>92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762000</x:v>
      </x:c>
      <x:c r="D47" s="6" t="n">
        <x:v>911000</x:v>
      </x:c>
      <x:c r="E47" s="6" t="n">
        <x:f>C47-D47</x:f>
        <x:v>-149000</x:v>
      </x:c>
      <x:c r="F47" s="6" t="n">
        <x:f>F46+E47</x:f>
        <x:v>-8235000</x:v>
      </x:c>
      <x:c r="G47" s="6" t="n">
        <x:v>350000</x:v>
      </x:c>
      <x:c r="H47" s="6" t="n">
        <x:v>-499000</x:v>
      </x:c>
      <x:c r="I47" s="6" t="n">
        <x:v>-181000</x:v>
      </x:c>
      <x:c r="J47" s="6" t="n">
        <x:v>181000</x:v>
      </x:c>
      <x:c r="K47" s="11" t="n">
        <x:v>16</x:v>
      </x:c>
      <x:c r="L47" s="11" t="n">
        <x:v>65</x:v>
      </x:c>
    </x:row>
    <x:row r="48" ht="25" customHeight="1">
      <x:c r="A48" s="2" t="str">
        <x:v>2026-10-20_Day</x:v>
      </x:c>
      <x:c r="B48" s="2" t="str">
        <x:v>後13場</x:v>
      </x:c>
      <x:c r="C48" s="6" t="n">
        <x:v>699000</x:v>
      </x:c>
      <x:c r="D48" s="6" t="n">
        <x:v>630000</x:v>
      </x:c>
      <x:c r="E48" s="6" t="n">
        <x:f>C48-D48</x:f>
        <x:v>69000</x:v>
      </x:c>
      <x:c r="F48" s="6" t="n">
        <x:f>F47+E48</x:f>
        <x:v>-8166000</x:v>
      </x:c>
      <x:c r="G48" s="6" t="n">
        <x:v>153000</x:v>
      </x:c>
      <x:c r="H48" s="6" t="n">
        <x:v>-84000</x:v>
      </x:c>
      <x:c r="I48" s="6" t="n">
        <x:v>-296000</x:v>
      </x:c>
      <x:c r="J48" s="6" t="n">
        <x:v>430000</x:v>
      </x:c>
      <x:c r="K48" s="11" t="n">
        <x:v>9</x:v>
      </x:c>
      <x:c r="L48" s="11" t="n">
        <x:v>55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1079000</x:v>
      </x:c>
      <x:c r="D49" s="6" t="n">
        <x:v>1330000</x:v>
      </x:c>
      <x:c r="E49" s="6" t="n">
        <x:f>C49-D49</x:f>
        <x:v>-251000</x:v>
      </x:c>
      <x:c r="F49" s="6" t="n">
        <x:f>F48+E49</x:f>
        <x:v>-8417000</x:v>
      </x:c>
      <x:c r="G49" s="6" t="n">
        <x:v>-357000</x:v>
      </x:c>
      <x:c r="H49" s="6" t="n">
        <x:v>106000</x:v>
      </x:c>
      <x:c r="I49" s="6" t="n">
        <x:v>-281000</x:v>
      </x:c>
      <x:c r="J49" s="6" t="n">
        <x:v>381000</x:v>
      </x:c>
      <x:c r="K49" s="11" t="n">
        <x:v>13</x:v>
      </x:c>
      <x:c r="L49" s="11" t="n">
        <x:v>33</x:v>
      </x:c>
    </x:row>
    <x:row r="50" ht="25" customHeight="1">
      <x:c r="A50" s="2" t="str">
        <x:v>2026-10-21_Day</x:v>
      </x:c>
      <x:c r="B50" s="2" t="str">
        <x:v>後13場</x:v>
      </x:c>
      <x:c r="C50" s="6" t="n">
        <x:v>517000</x:v>
      </x:c>
      <x:c r="D50" s="6" t="n">
        <x:v>539000</x:v>
      </x:c>
      <x:c r="E50" s="6" t="n">
        <x:f>C50-D50</x:f>
        <x:v>-22000</x:v>
      </x:c>
      <x:c r="F50" s="6" t="n">
        <x:f>F49+E50</x:f>
        <x:v>-8439000</x:v>
      </x:c>
      <x:c r="G50" s="6" t="n">
        <x:v>-190000</x:v>
      </x:c>
      <x:c r="H50" s="6" t="n">
        <x:v>168000</x:v>
      </x:c>
      <x:c r="I50" s="6" t="n">
        <x:v>-361000</x:v>
      </x:c>
      <x:c r="J50" s="6" t="n">
        <x:v>411000</x:v>
      </x:c>
      <x:c r="K50" s="11" t="n">
        <x:v>4</x:v>
      </x:c>
      <x:c r="L50" s="11" t="n">
        <x:v>58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691000</x:v>
      </x:c>
      <x:c r="D51" s="6" t="n">
        <x:v>695000</x:v>
      </x:c>
      <x:c r="E51" s="6" t="n">
        <x:f>C51-D51</x:f>
        <x:v>-4000</x:v>
      </x:c>
      <x:c r="F51" s="6" t="n">
        <x:f>F50+E51</x:f>
        <x:v>-8443000</x:v>
      </x:c>
      <x:c r="G51" s="6" t="n">
        <x:v>11000</x:v>
      </x:c>
      <x:c r="H51" s="6" t="n">
        <x:v>-15000</x:v>
      </x:c>
      <x:c r="I51" s="6" t="n">
        <x:v>-129000</x:v>
      </x:c>
      <x:c r="J51" s="6" t="n">
        <x:v>129000</x:v>
      </x:c>
      <x:c r="K51" s="11" t="n">
        <x:v>11</x:v>
      </x:c>
      <x:c r="L51" s="11" t="n">
        <x:v>24</x:v>
      </x:c>
    </x:row>
    <x:row r="52" ht="25" customHeight="1">
      <x:c r="A52" s="2" t="str">
        <x:v>2026-10-22_Day</x:v>
      </x:c>
      <x:c r="B52" s="2" t="str">
        <x:v>後13場</x:v>
      </x:c>
      <x:c r="C52" s="6" t="n">
        <x:v>722000</x:v>
      </x:c>
      <x:c r="D52" s="6" t="n">
        <x:v>1889000</x:v>
      </x:c>
      <x:c r="E52" s="6" t="n">
        <x:f>C52-D52</x:f>
        <x:v>-1167000</x:v>
      </x:c>
      <x:c r="F52" s="6" t="n">
        <x:f>F51+E52</x:f>
        <x:v>-9610000</x:v>
      </x:c>
      <x:c r="G52" s="6" t="n">
        <x:v>-1102000</x:v>
      </x:c>
      <x:c r="H52" s="6" t="n">
        <x:v>-65000</x:v>
      </x:c>
      <x:c r="I52" s="6" t="n">
        <x:v>-1407000</x:v>
      </x:c>
      <x:c r="J52" s="6" t="n">
        <x:v>1457000</x:v>
      </x:c>
      <x:c r="K52" s="11" t="n">
        <x:v>8</x:v>
      </x:c>
      <x:c r="L52" s="11" t="n">
        <x:v>54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879000</x:v>
      </x:c>
      <x:c r="D53" s="6" t="n">
        <x:v>1242000</x:v>
      </x:c>
      <x:c r="E53" s="6" t="n">
        <x:f>C53-D53</x:f>
        <x:v>-363000</x:v>
      </x:c>
      <x:c r="F53" s="6" t="n">
        <x:f>F52+E53</x:f>
        <x:v>-9973000</x:v>
      </x:c>
      <x:c r="G53" s="6" t="n">
        <x:v>-434000</x:v>
      </x:c>
      <x:c r="H53" s="6" t="n">
        <x:v>71000</x:v>
      </x:c>
      <x:c r="I53" s="6" t="n">
        <x:v>-373000</x:v>
      </x:c>
      <x:c r="J53" s="6" t="n">
        <x:v>500000</x:v>
      </x:c>
      <x:c r="K53" s="11" t="n">
        <x:v>17</x:v>
      </x:c>
      <x:c r="L53" s="11" t="n">
        <x:v>34</x:v>
      </x:c>
    </x:row>
    <x:row r="54" ht="25" customHeight="1">
      <x:c r="A54" s="2" t="str">
        <x:v>2026-10-23_Day</x:v>
      </x:c>
      <x:c r="B54" s="2" t="str">
        <x:v>後13場</x:v>
      </x:c>
      <x:c r="C54" s="6" t="n">
        <x:v>1989000</x:v>
      </x:c>
      <x:c r="D54" s="6" t="n">
        <x:v>2373000</x:v>
      </x:c>
      <x:c r="E54" s="6" t="n">
        <x:f>C54-D54</x:f>
        <x:v>-384000</x:v>
      </x:c>
      <x:c r="F54" s="6" t="n">
        <x:f>F53+E54</x:f>
        <x:v>-10357000</x:v>
      </x:c>
      <x:c r="G54" s="6" t="n">
        <x:v>433000</x:v>
      </x:c>
      <x:c r="H54" s="6" t="n">
        <x:v>-817000</x:v>
      </x:c>
      <x:c r="I54" s="6" t="n">
        <x:v>-884000</x:v>
      </x:c>
      <x:c r="J54" s="6" t="n">
        <x:v>1109000</x:v>
      </x:c>
      <x:c r="K54" s="11" t="n">
        <x:v>23</x:v>
      </x:c>
      <x:c r="L54" s="11" t="n">
        <x:v>169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571000</x:v>
      </x:c>
      <x:c r="D55" s="6" t="n">
        <x:v>710000</x:v>
      </x:c>
      <x:c r="E55" s="6" t="n">
        <x:f>C55-D55</x:f>
        <x:v>-139000</x:v>
      </x:c>
      <x:c r="F55" s="6" t="n">
        <x:f>F54+E55</x:f>
        <x:v>-10496000</x:v>
      </x:c>
      <x:c r="G55" s="6" t="n">
        <x:v>-192000</x:v>
      </x:c>
      <x:c r="H55" s="6" t="n">
        <x:v>53000</x:v>
      </x:c>
      <x:c r="I55" s="6" t="n">
        <x:v>-159000</x:v>
      </x:c>
      <x:c r="J55" s="6" t="n">
        <x:v>179000</x:v>
      </x:c>
      <x:c r="K55" s="11" t="n">
        <x:v>16</x:v>
      </x:c>
      <x:c r="L55" s="11" t="n">
        <x:v>30</x:v>
      </x:c>
    </x:row>
    <x:row r="56" ht="25" customHeight="1">
      <x:c r="A56" s="2" t="str">
        <x:v>2026-10-26_Day</x:v>
      </x:c>
      <x:c r="B56" s="2" t="str">
        <x:v>後13場</x:v>
      </x:c>
      <x:c r="C56" s="6" t="n">
        <x:v>725000</x:v>
      </x:c>
      <x:c r="D56" s="6" t="n">
        <x:v>830000</x:v>
      </x:c>
      <x:c r="E56" s="6" t="n">
        <x:f>C56-D56</x:f>
        <x:v>-105000</x:v>
      </x:c>
      <x:c r="F56" s="6" t="n">
        <x:f>F55+E56</x:f>
        <x:v>-10601000</x:v>
      </x:c>
      <x:c r="G56" s="6" t="n">
        <x:v>-180000</x:v>
      </x:c>
      <x:c r="H56" s="6" t="n">
        <x:v>75000</x:v>
      </x:c>
      <x:c r="I56" s="6" t="n">
        <x:v>-272000</x:v>
      </x:c>
      <x:c r="J56" s="6" t="n">
        <x:v>345000</x:v>
      </x:c>
      <x:c r="K56" s="11" t="n">
        <x:v>9</x:v>
      </x:c>
      <x:c r="L56" s="11" t="n">
        <x:v>74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665000</x:v>
      </x:c>
      <x:c r="D57" s="6" t="n">
        <x:v>900000</x:v>
      </x:c>
      <x:c r="E57" s="6" t="n">
        <x:f>C57-D57</x:f>
        <x:v>-235000</x:v>
      </x:c>
      <x:c r="F57" s="6" t="n">
        <x:f>F56+E57</x:f>
        <x:v>-10836000</x:v>
      </x:c>
      <x:c r="G57" s="6" t="n">
        <x:v>-290000</x:v>
      </x:c>
      <x:c r="H57" s="6" t="n">
        <x:v>55000</x:v>
      </x:c>
      <x:c r="I57" s="6" t="n">
        <x:v>-255000</x:v>
      </x:c>
      <x:c r="J57" s="6" t="n">
        <x:v>279000</x:v>
      </x:c>
      <x:c r="K57" s="11" t="n">
        <x:v>10</x:v>
      </x:c>
      <x:c r="L57" s="11" t="n">
        <x:v>19</x:v>
      </x:c>
    </x:row>
    <x:row r="58" ht="25" customHeight="1">
      <x:c r="A58" s="2" t="str">
        <x:v>2026-10-27_Day</x:v>
      </x:c>
      <x:c r="B58" s="2" t="str">
        <x:v>後13場</x:v>
      </x:c>
      <x:c r="C58" s="6" t="n">
        <x:v>1074000</x:v>
      </x:c>
      <x:c r="D58" s="6" t="n">
        <x:v>764000</x:v>
      </x:c>
      <x:c r="E58" s="6" t="n">
        <x:f>C58-D58</x:f>
        <x:v>310000</x:v>
      </x:c>
      <x:c r="F58" s="6" t="n">
        <x:f>F57+E58</x:f>
        <x:v>-10526000</x:v>
      </x:c>
      <x:c r="G58" s="6" t="n">
        <x:v>820000</x:v>
      </x:c>
      <x:c r="H58" s="6" t="n">
        <x:v>-510000</x:v>
      </x:c>
      <x:c r="I58" s="6" t="n">
        <x:v>-99000</x:v>
      </x:c>
      <x:c r="J58" s="6" t="n">
        <x:v>289000</x:v>
      </x:c>
      <x:c r="K58" s="11" t="n">
        <x:v>9</x:v>
      </x:c>
      <x:c r="L58" s="11" t="n">
        <x:v>114</x:v>
      </x:c>
    </x:row>
    <x:row r="59" ht="25" customHeight="1">
      <x:c r="A59" s="15" t="str">
        <x:v>累計／場内最悪値</x:v>
      </x:c>
      <x:c r="B59" s="15"/>
      <x:c r="C59" s="16" t="n">
        <x:f>SUM(C6:C58)</x:f>
        <x:v>36465000</x:v>
      </x:c>
      <x:c r="D59" s="16" t="n">
        <x:f>SUM(D6:D58)</x:f>
        <x:v>46991000</x:v>
      </x:c>
      <x:c r="E59" s="16" t="n">
        <x:f>C59-D59</x:f>
        <x:v>-10526000</x:v>
      </x:c>
      <x:c r="F59" s="16" t="n">
        <x:f>F58</x:f>
        <x:v>-10526000</x:v>
      </x:c>
      <x:c r="G59" s="16" t="n">
        <x:f>SUM(G6:G58)</x:f>
        <x:v>-5076000</x:v>
      </x:c>
      <x:c r="H59" s="16" t="n">
        <x:f>SUM(H6:H58)</x:f>
        <x:v>-5450000</x:v>
      </x:c>
      <x:c r="I59" s="16" t="n">
        <x:f>MIN(I6:I58)</x:f>
        <x:v>-1658000</x:v>
      </x:c>
      <x:c r="J59" s="16" t="n">
        <x:f>MAX(J6:J58)</x:f>
        <x:v>1664000</x:v>
      </x:c>
      <x:c r="K59" s="17" t="n">
        <x:f>SUM(K6:K58)</x:f>
        <x:v>531</x:v>
      </x:c>
      <x:c r="L59" s="17" t="n">
        <x:f>SUM(L6:L58)</x:f>
        <x:v>2551</x:v>
      </x:c>
    </x:row>
  </x:sheetData>
  <x:conditionalFormatting sqref="E6:I58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37385e192d4f8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H04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段20・利益40起動・追尾20・完済後新基準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207000</x:v>
      </x:c>
      <x:c r="D6" s="6" t="n">
        <x:v>99000</x:v>
      </x:c>
      <x:c r="E6" s="6" t="n">
        <x:f>C6-D6</x:f>
        <x:v>108000</x:v>
      </x:c>
      <x:c r="F6" s="6" t="n">
        <x:f>E6</x:f>
        <x:v>108000</x:v>
      </x:c>
      <x:c r="G6" s="6" t="n">
        <x:v>200000</x:v>
      </x:c>
      <x:c r="H6" s="6" t="n">
        <x:v>-92000</x:v>
      </x:c>
      <x:c r="I6" s="6" t="n">
        <x:v>-61000</x:v>
      </x:c>
      <x:c r="J6" s="6" t="n">
        <x:v>116000</x:v>
      </x:c>
      <x:c r="K6" s="11" t="n">
        <x:v>2</x:v>
      </x:c>
      <x:c r="L6" s="11" t="n">
        <x:v>7</x:v>
      </x:c>
    </x:row>
    <x:row r="7" ht="25" customHeight="1">
      <x:c r="A7" s="2" t="str">
        <x:v>2026-09-21_Night</x:v>
      </x:c>
      <x:c r="B7" s="2" t="str">
        <x:v>前30場</x:v>
      </x:c>
      <x:c r="C7" s="6" t="n">
        <x:v>653000</x:v>
      </x:c>
      <x:c r="D7" s="6" t="n">
        <x:v>810000</x:v>
      </x:c>
      <x:c r="E7" s="6" t="n">
        <x:f>C7-D7</x:f>
        <x:v>-157000</x:v>
      </x:c>
      <x:c r="F7" s="6" t="n">
        <x:f>F6+E7</x:f>
        <x:v>-49000</x:v>
      </x:c>
      <x:c r="G7" s="6" t="n">
        <x:v>-504000</x:v>
      </x:c>
      <x:c r="H7" s="6" t="n">
        <x:v>347000</x:v>
      </x:c>
      <x:c r="I7" s="6" t="n">
        <x:v>-287000</x:v>
      </x:c>
      <x:c r="J7" s="6" t="n">
        <x:v>377000</x:v>
      </x:c>
      <x:c r="K7" s="11" t="n">
        <x:v>6</x:v>
      </x:c>
      <x:c r="L7" s="11" t="n">
        <x:v>104</x:v>
      </x:c>
    </x:row>
    <x:row r="8" ht="25" customHeight="1">
      <x:c r="A8" s="2" t="str">
        <x:v>2026-09-22_Day</x:v>
      </x:c>
      <x:c r="B8" s="2" t="str">
        <x:v>前30場</x:v>
      </x:c>
      <x:c r="C8" s="6" t="n">
        <x:v>195000</x:v>
      </x:c>
      <x:c r="D8" s="6" t="n">
        <x:v>416000</x:v>
      </x:c>
      <x:c r="E8" s="6" t="n">
        <x:f>C8-D8</x:f>
        <x:v>-221000</x:v>
      </x:c>
      <x:c r="F8" s="6" t="n">
        <x:f>F7+E8</x:f>
        <x:v>-270000</x:v>
      </x:c>
      <x:c r="G8" s="6" t="n">
        <x:v>100000</x:v>
      </x:c>
      <x:c r="H8" s="6" t="n">
        <x:v>-321000</x:v>
      </x:c>
      <x:c r="I8" s="6" t="n">
        <x:v>-241000</x:v>
      </x:c>
      <x:c r="J8" s="6" t="n">
        <x:v>308000</x:v>
      </x:c>
      <x:c r="K8" s="11" t="n">
        <x:v>1</x:v>
      </x:c>
      <x:c r="L8" s="11" t="n">
        <x:v>34</x:v>
      </x:c>
    </x:row>
    <x:row r="9" ht="25" customHeight="1">
      <x:c r="A9" s="2" t="str">
        <x:v>2026-09-22_Night</x:v>
      </x:c>
      <x:c r="B9" s="2" t="str">
        <x:v>前30場</x:v>
      </x:c>
      <x:c r="C9" s="6" t="n">
        <x:v>978000</x:v>
      </x:c>
      <x:c r="D9" s="6" t="n">
        <x:v>1264000</x:v>
      </x:c>
      <x:c r="E9" s="6" t="n">
        <x:f>C9-D9</x:f>
        <x:v>-286000</x:v>
      </x:c>
      <x:c r="F9" s="6" t="n">
        <x:f>F8+E9</x:f>
        <x:v>-556000</x:v>
      </x:c>
      <x:c r="G9" s="6" t="n">
        <x:v>77000</x:v>
      </x:c>
      <x:c r="H9" s="6" t="n">
        <x:v>-363000</x:v>
      </x:c>
      <x:c r="I9" s="6" t="n">
        <x:v>-286000</x:v>
      </x:c>
      <x:c r="J9" s="6" t="n">
        <x:v>409000</x:v>
      </x:c>
      <x:c r="K9" s="11" t="n">
        <x:v>10</x:v>
      </x:c>
      <x:c r="L9" s="11" t="n">
        <x:v>128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-556000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703000</x:v>
      </x:c>
      <x:c r="D11" s="6" t="n">
        <x:v>1100000</x:v>
      </x:c>
      <x:c r="E11" s="6" t="n">
        <x:f>C11-D11</x:f>
        <x:v>-397000</x:v>
      </x:c>
      <x:c r="F11" s="6" t="n">
        <x:f>F10+E11</x:f>
        <x:v>-953000</x:v>
      </x:c>
      <x:c r="G11" s="6" t="n">
        <x:v>-580000</x:v>
      </x:c>
      <x:c r="H11" s="6" t="n">
        <x:v>183000</x:v>
      </x:c>
      <x:c r="I11" s="6" t="n">
        <x:v>-397000</x:v>
      </x:c>
      <x:c r="J11" s="6" t="n">
        <x:v>457000</x:v>
      </x:c>
      <x:c r="K11" s="11" t="n">
        <x:v>5</x:v>
      </x:c>
      <x:c r="L11" s="11" t="n">
        <x:v>117</x:v>
      </x:c>
    </x:row>
    <x:row r="12" ht="25" customHeight="1">
      <x:c r="A12" s="2" t="str">
        <x:v>2026-09-24_Day</x:v>
      </x:c>
      <x:c r="B12" s="2" t="str">
        <x:v>前30場</x:v>
      </x:c>
      <x:c r="C12" s="6" t="n">
        <x:v>377000</x:v>
      </x:c>
      <x:c r="D12" s="6" t="n">
        <x:v>464000</x:v>
      </x:c>
      <x:c r="E12" s="6" t="n">
        <x:f>C12-D12</x:f>
        <x:v>-87000</x:v>
      </x:c>
      <x:c r="F12" s="6" t="n">
        <x:f>F11+E12</x:f>
        <x:v>-1040000</x:v>
      </x:c>
      <x:c r="G12" s="6" t="n">
        <x:v>290000</x:v>
      </x:c>
      <x:c r="H12" s="6" t="n">
        <x:v>-377000</x:v>
      </x:c>
      <x:c r="I12" s="6" t="n">
        <x:v>-313000</x:v>
      </x:c>
      <x:c r="J12" s="6" t="n">
        <x:v>313000</x:v>
      </x:c>
      <x:c r="K12" s="11" t="n">
        <x:v>3</x:v>
      </x:c>
      <x:c r="L12" s="11" t="n">
        <x:v>39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1065000</x:v>
      </x:c>
      <x:c r="D13" s="6" t="n">
        <x:v>1558000</x:v>
      </x:c>
      <x:c r="E13" s="6" t="n">
        <x:f>C13-D13</x:f>
        <x:v>-493000</x:v>
      </x:c>
      <x:c r="F13" s="6" t="n">
        <x:f>F12+E13</x:f>
        <x:v>-1533000</x:v>
      </x:c>
      <x:c r="G13" s="6" t="n">
        <x:v>570000</x:v>
      </x:c>
      <x:c r="H13" s="6" t="n">
        <x:v>-1063000</x:v>
      </x:c>
      <x:c r="I13" s="6" t="n">
        <x:v>-519000</x:v>
      </x:c>
      <x:c r="J13" s="6" t="n">
        <x:v>599000</x:v>
      </x:c>
      <x:c r="K13" s="11" t="n">
        <x:v>15</x:v>
      </x:c>
      <x:c r="L13" s="11" t="n">
        <x:v>135</x:v>
      </x:c>
    </x:row>
    <x:row r="14" ht="25" customHeight="1">
      <x:c r="A14" s="2" t="str">
        <x:v>2026-09-25_Day</x:v>
      </x:c>
      <x:c r="B14" s="2" t="str">
        <x:v>前30場</x:v>
      </x:c>
      <x:c r="C14" s="6" t="n">
        <x:v>370000</x:v>
      </x:c>
      <x:c r="D14" s="6" t="n">
        <x:v>700000</x:v>
      </x:c>
      <x:c r="E14" s="6" t="n">
        <x:f>C14-D14</x:f>
        <x:v>-330000</x:v>
      </x:c>
      <x:c r="F14" s="6" t="n">
        <x:f>F13+E14</x:f>
        <x:v>-1863000</x:v>
      </x:c>
      <x:c r="G14" s="6" t="n">
        <x:v>-700000</x:v>
      </x:c>
      <x:c r="H14" s="6" t="n">
        <x:v>370000</x:v>
      </x:c>
      <x:c r="I14" s="6" t="n">
        <x:v>-450000</x:v>
      </x:c>
      <x:c r="J14" s="6" t="n">
        <x:v>508000</x:v>
      </x:c>
      <x:c r="K14" s="11" t="n">
        <x:v>1</x:v>
      </x:c>
      <x:c r="L14" s="11" t="n">
        <x:v>101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573000</x:v>
      </x:c>
      <x:c r="D15" s="6" t="n">
        <x:v>781000</x:v>
      </x:c>
      <x:c r="E15" s="6" t="n">
        <x:f>C15-D15</x:f>
        <x:v>-208000</x:v>
      </x:c>
      <x:c r="F15" s="6" t="n">
        <x:f>F14+E15</x:f>
        <x:v>-2071000</x:v>
      </x:c>
      <x:c r="G15" s="6" t="n">
        <x:v>114000</x:v>
      </x:c>
      <x:c r="H15" s="6" t="n">
        <x:v>-322000</x:v>
      </x:c>
      <x:c r="I15" s="6" t="n">
        <x:v>-244000</x:v>
      </x:c>
      <x:c r="J15" s="6" t="n">
        <x:v>244000</x:v>
      </x:c>
      <x:c r="K15" s="11" t="n">
        <x:v>11</x:v>
      </x:c>
      <x:c r="L15" s="11" t="n">
        <x:v>81</x:v>
      </x:c>
    </x:row>
    <x:row r="16" ht="25" customHeight="1">
      <x:c r="A16" s="2" t="str">
        <x:v>2026-09-28_Day</x:v>
      </x:c>
      <x:c r="B16" s="2" t="str">
        <x:v>前30場</x:v>
      </x:c>
      <x:c r="C16" s="6" t="n">
        <x:v>472000</x:v>
      </x:c>
      <x:c r="D16" s="6" t="n">
        <x:v>620000</x:v>
      </x:c>
      <x:c r="E16" s="6" t="n">
        <x:f>C16-D16</x:f>
        <x:v>-148000</x:v>
      </x:c>
      <x:c r="F16" s="6" t="n">
        <x:f>F15+E16</x:f>
        <x:v>-2219000</x:v>
      </x:c>
      <x:c r="G16" s="6" t="n">
        <x:v>290000</x:v>
      </x:c>
      <x:c r="H16" s="6" t="n">
        <x:v>-438000</x:v>
      </x:c>
      <x:c r="I16" s="6" t="n">
        <x:v>-388000</x:v>
      </x:c>
      <x:c r="J16" s="6" t="n">
        <x:v>388000</x:v>
      </x:c>
      <x:c r="K16" s="11" t="n">
        <x:v>3</x:v>
      </x:c>
      <x:c r="L16" s="11" t="n">
        <x:v>55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980000</x:v>
      </x:c>
      <x:c r="D17" s="6" t="n">
        <x:v>1326000</x:v>
      </x:c>
      <x:c r="E17" s="6" t="n">
        <x:f>C17-D17</x:f>
        <x:v>-346000</x:v>
      </x:c>
      <x:c r="F17" s="6" t="n">
        <x:f>F16+E17</x:f>
        <x:v>-2565000</x:v>
      </x:c>
      <x:c r="G17" s="6" t="n">
        <x:v>175000</x:v>
      </x:c>
      <x:c r="H17" s="6" t="n">
        <x:v>-521000</x:v>
      </x:c>
      <x:c r="I17" s="6" t="n">
        <x:v>-366000</x:v>
      </x:c>
      <x:c r="J17" s="6" t="n">
        <x:v>393000</x:v>
      </x:c>
      <x:c r="K17" s="11" t="n">
        <x:v>18</x:v>
      </x:c>
      <x:c r="L17" s="11" t="n">
        <x:v>118</x:v>
      </x:c>
    </x:row>
    <x:row r="18" ht="25" customHeight="1">
      <x:c r="A18" s="2" t="str">
        <x:v>2026-09-29_Day</x:v>
      </x:c>
      <x:c r="B18" s="2" t="str">
        <x:v>前30場</x:v>
      </x:c>
      <x:c r="C18" s="6" t="n">
        <x:v>870000</x:v>
      </x:c>
      <x:c r="D18" s="6" t="n">
        <x:v>619000</x:v>
      </x:c>
      <x:c r="E18" s="6" t="n">
        <x:f>C18-D18</x:f>
        <x:v>251000</x:v>
      </x:c>
      <x:c r="F18" s="6" t="n">
        <x:f>F17+E18</x:f>
        <x:v>-2314000</x:v>
      </x:c>
      <x:c r="G18" s="6" t="n">
        <x:v>-20000</x:v>
      </x:c>
      <x:c r="H18" s="6" t="n">
        <x:v>271000</x:v>
      </x:c>
      <x:c r="I18" s="6" t="n">
        <x:v>-369000</x:v>
      </x:c>
      <x:c r="J18" s="6" t="n">
        <x:v>520000</x:v>
      </x:c>
      <x:c r="K18" s="11" t="n">
        <x:v>7</x:v>
      </x:c>
      <x:c r="L18" s="11" t="n">
        <x:v>148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818000</x:v>
      </x:c>
      <x:c r="D19" s="6" t="n">
        <x:v>1102000</x:v>
      </x:c>
      <x:c r="E19" s="6" t="n">
        <x:f>C19-D19</x:f>
        <x:v>-284000</x:v>
      </x:c>
      <x:c r="F19" s="6" t="n">
        <x:f>F18+E19</x:f>
        <x:v>-2598000</x:v>
      </x:c>
      <x:c r="G19" s="6" t="n">
        <x:v>191000</x:v>
      </x:c>
      <x:c r="H19" s="6" t="n">
        <x:v>-475000</x:v>
      </x:c>
      <x:c r="I19" s="6" t="n">
        <x:v>-287000</x:v>
      </x:c>
      <x:c r="J19" s="6" t="n">
        <x:v>287000</x:v>
      </x:c>
      <x:c r="K19" s="11" t="n">
        <x:v>23</x:v>
      </x:c>
      <x:c r="L19" s="11" t="n">
        <x:v>96</x:v>
      </x:c>
    </x:row>
    <x:row r="20" ht="25" customHeight="1">
      <x:c r="A20" s="2" t="str">
        <x:v>2026-09-30_Day</x:v>
      </x:c>
      <x:c r="B20" s="2" t="str">
        <x:v>前30場</x:v>
      </x:c>
      <x:c r="C20" s="6" t="n">
        <x:v>513000</x:v>
      </x:c>
      <x:c r="D20" s="6" t="n">
        <x:v>838000</x:v>
      </x:c>
      <x:c r="E20" s="6" t="n">
        <x:f>C20-D20</x:f>
        <x:v>-325000</x:v>
      </x:c>
      <x:c r="F20" s="6" t="n">
        <x:f>F19+E20</x:f>
        <x:v>-2923000</x:v>
      </x:c>
      <x:c r="G20" s="6" t="n">
        <x:v>-420000</x:v>
      </x:c>
      <x:c r="H20" s="6" t="n">
        <x:v>95000</x:v>
      </x:c>
      <x:c r="I20" s="6" t="n">
        <x:v>-345000</x:v>
      </x:c>
      <x:c r="J20" s="6" t="n">
        <x:v>475000</x:v>
      </x:c>
      <x:c r="K20" s="11" t="n">
        <x:v>3</x:v>
      </x:c>
      <x:c r="L20" s="11" t="n">
        <x:v>76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501000</x:v>
      </x:c>
      <x:c r="D21" s="6" t="n">
        <x:v>849000</x:v>
      </x:c>
      <x:c r="E21" s="6" t="n">
        <x:f>C21-D21</x:f>
        <x:v>-348000</x:v>
      </x:c>
      <x:c r="F21" s="6" t="n">
        <x:f>F20+E21</x:f>
        <x:v>-3271000</x:v>
      </x:c>
      <x:c r="G21" s="6" t="n">
        <x:v>-285000</x:v>
      </x:c>
      <x:c r="H21" s="6" t="n">
        <x:v>-63000</x:v>
      </x:c>
      <x:c r="I21" s="6" t="n">
        <x:v>-533000</x:v>
      </x:c>
      <x:c r="J21" s="6" t="n">
        <x:v>533000</x:v>
      </x:c>
      <x:c r="K21" s="11" t="n">
        <x:v>10</x:v>
      </x:c>
      <x:c r="L21" s="11" t="n">
        <x:v>89</x:v>
      </x:c>
    </x:row>
    <x:row r="22" ht="25" customHeight="1">
      <x:c r="A22" s="2" t="str">
        <x:v>2026-10-01_Day</x:v>
      </x:c>
      <x:c r="B22" s="2" t="str">
        <x:v>前30場</x:v>
      </x:c>
      <x:c r="C22" s="6" t="n">
        <x:v>993000</x:v>
      </x:c>
      <x:c r="D22" s="6" t="n">
        <x:v>1928000</x:v>
      </x:c>
      <x:c r="E22" s="6" t="n">
        <x:f>C22-D22</x:f>
        <x:v>-935000</x:v>
      </x:c>
      <x:c r="F22" s="6" t="n">
        <x:f>F21+E22</x:f>
        <x:v>-4206000</x:v>
      </x:c>
      <x:c r="G22" s="6" t="n">
        <x:v>-1509000</x:v>
      </x:c>
      <x:c r="H22" s="6" t="n">
        <x:v>574000</x:v>
      </x:c>
      <x:c r="I22" s="6" t="n">
        <x:v>-965000</x:v>
      </x:c>
      <x:c r="J22" s="6" t="n">
        <x:v>965000</x:v>
      </x:c>
      <x:c r="K22" s="11" t="n">
        <x:v>3</x:v>
      </x:c>
      <x:c r="L22" s="11" t="n">
        <x:v>248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1638000</x:v>
      </x:c>
      <x:c r="D23" s="6" t="n">
        <x:v>2000000</x:v>
      </x:c>
      <x:c r="E23" s="6" t="n">
        <x:f>C23-D23</x:f>
        <x:v>-362000</x:v>
      </x:c>
      <x:c r="F23" s="6" t="n">
        <x:f>F22+E23</x:f>
        <x:v>-4568000</x:v>
      </x:c>
      <x:c r="G23" s="6" t="n">
        <x:v>921000</x:v>
      </x:c>
      <x:c r="H23" s="6" t="n">
        <x:v>-1283000</x:v>
      </x:c>
      <x:c r="I23" s="6" t="n">
        <x:v>-402000</x:v>
      </x:c>
      <x:c r="J23" s="6" t="n">
        <x:v>505000</x:v>
      </x:c>
      <x:c r="K23" s="11" t="n">
        <x:v>29</x:v>
      </x:c>
      <x:c r="L23" s="11" t="n">
        <x:v>195</x:v>
      </x:c>
    </x:row>
    <x:row r="24" ht="25" customHeight="1">
      <x:c r="A24" s="2" t="str">
        <x:v>2026-10-02_Day</x:v>
      </x:c>
      <x:c r="B24" s="2" t="str">
        <x:v>前30場</x:v>
      </x:c>
      <x:c r="C24" s="6" t="n">
        <x:v>403000</x:v>
      </x:c>
      <x:c r="D24" s="6" t="n">
        <x:v>480000</x:v>
      </x:c>
      <x:c r="E24" s="6" t="n">
        <x:f>C24-D24</x:f>
        <x:v>-77000</x:v>
      </x:c>
      <x:c r="F24" s="6" t="n">
        <x:f>F23+E24</x:f>
        <x:v>-4645000</x:v>
      </x:c>
      <x:c r="G24" s="6" t="n">
        <x:v>70000</x:v>
      </x:c>
      <x:c r="H24" s="6" t="n">
        <x:v>-147000</x:v>
      </x:c>
      <x:c r="I24" s="6" t="n">
        <x:v>-223000</x:v>
      </x:c>
      <x:c r="J24" s="6" t="n">
        <x:v>272000</x:v>
      </x:c>
      <x:c r="K24" s="11" t="n">
        <x:v>4</x:v>
      </x:c>
      <x:c r="L24" s="11" t="n">
        <x:v>60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731000</x:v>
      </x:c>
      <x:c r="D25" s="6" t="n">
        <x:v>1131000</x:v>
      </x:c>
      <x:c r="E25" s="6" t="n">
        <x:f>C25-D25</x:f>
        <x:v>-400000</x:v>
      </x:c>
      <x:c r="F25" s="6" t="n">
        <x:f>F24+E25</x:f>
        <x:v>-5045000</x:v>
      </x:c>
      <x:c r="G25" s="6" t="n">
        <x:v>-668000</x:v>
      </x:c>
      <x:c r="H25" s="6" t="n">
        <x:v>268000</x:v>
      </x:c>
      <x:c r="I25" s="6" t="n">
        <x:v>-710000</x:v>
      </x:c>
      <x:c r="J25" s="6" t="n">
        <x:v>753000</x:v>
      </x:c>
      <x:c r="K25" s="11" t="n">
        <x:v>9</x:v>
      </x:c>
      <x:c r="L25" s="11" t="n">
        <x:v>102</x:v>
      </x:c>
    </x:row>
    <x:row r="26" ht="25" customHeight="1">
      <x:c r="A26" s="2" t="str">
        <x:v>2026-10-05_Day</x:v>
      </x:c>
      <x:c r="B26" s="2" t="str">
        <x:v>前30場</x:v>
      </x:c>
      <x:c r="C26" s="6" t="n">
        <x:v>314000</x:v>
      </x:c>
      <x:c r="D26" s="6" t="n">
        <x:v>714000</x:v>
      </x:c>
      <x:c r="E26" s="6" t="n">
        <x:f>C26-D26</x:f>
        <x:v>-400000</x:v>
      </x:c>
      <x:c r="F26" s="6" t="n">
        <x:f>F25+E26</x:f>
        <x:v>-5445000</x:v>
      </x:c>
      <x:c r="G26" s="6" t="n">
        <x:v>138000</x:v>
      </x:c>
      <x:c r="H26" s="6" t="n">
        <x:v>-538000</x:v>
      </x:c>
      <x:c r="I26" s="6" t="n">
        <x:v>-408000</x:v>
      </x:c>
      <x:c r="J26" s="6" t="n">
        <x:v>458000</x:v>
      </x:c>
      <x:c r="K26" s="11" t="n">
        <x:v>3</x:v>
      </x:c>
      <x:c r="L26" s="11" t="n">
        <x:v>56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690000</x:v>
      </x:c>
      <x:c r="D27" s="6" t="n">
        <x:v>1016000</x:v>
      </x:c>
      <x:c r="E27" s="6" t="n">
        <x:f>C27-D27</x:f>
        <x:v>-326000</x:v>
      </x:c>
      <x:c r="F27" s="6" t="n">
        <x:f>F26+E27</x:f>
        <x:v>-5771000</x:v>
      </x:c>
      <x:c r="G27" s="6" t="n">
        <x:v>213000</x:v>
      </x:c>
      <x:c r="H27" s="6" t="n">
        <x:v>-539000</x:v>
      </x:c>
      <x:c r="I27" s="6" t="n">
        <x:v>-329000</x:v>
      </x:c>
      <x:c r="J27" s="6" t="n">
        <x:v>349000</x:v>
      </x:c>
      <x:c r="K27" s="11" t="n">
        <x:v>17</x:v>
      </x:c>
      <x:c r="L27" s="11" t="n">
        <x:v>84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106000</x:v>
      </x:c>
      <x:c r="D28" s="6" t="n">
        <x:v>164000</x:v>
      </x:c>
      <x:c r="E28" s="6" t="n">
        <x:f>C28-D28</x:f>
        <x:v>-58000</x:v>
      </x:c>
      <x:c r="F28" s="6" t="n">
        <x:f>F27+E28</x:f>
        <x:v>-5829000</x:v>
      </x:c>
      <x:c r="G28" s="6" t="n">
        <x:v>100000</x:v>
      </x:c>
      <x:c r="H28" s="6" t="n">
        <x:v>-158000</x:v>
      </x:c>
      <x:c r="I28" s="6" t="n">
        <x:v>-142000</x:v>
      </x:c>
      <x:c r="J28" s="6" t="n">
        <x:v>142000</x:v>
      </x:c>
      <x:c r="K28" s="11" t="n">
        <x:v>1</x:v>
      </x:c>
      <x:c r="L28" s="11" t="n">
        <x:v>10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552000</x:v>
      </x:c>
      <x:c r="D29" s="6" t="n">
        <x:v>730000</x:v>
      </x:c>
      <x:c r="E29" s="6" t="n">
        <x:f>C29-D29</x:f>
        <x:v>-178000</x:v>
      </x:c>
      <x:c r="F29" s="6" t="n">
        <x:f>F28+E29</x:f>
        <x:v>-6007000</x:v>
      </x:c>
      <x:c r="G29" s="6" t="n">
        <x:v>-10000</x:v>
      </x:c>
      <x:c r="H29" s="6" t="n">
        <x:v>-168000</x:v>
      </x:c>
      <x:c r="I29" s="6" t="n">
        <x:v>-187000</x:v>
      </x:c>
      <x:c r="J29" s="6" t="n">
        <x:v>207000</x:v>
      </x:c>
      <x:c r="K29" s="11" t="n">
        <x:v>11</x:v>
      </x:c>
      <x:c r="L29" s="11" t="n">
        <x:v>66</x:v>
      </x:c>
    </x:row>
    <x:row r="30" ht="25" customHeight="1">
      <x:c r="A30" s="2" t="str">
        <x:v>2026-10-07_Day</x:v>
      </x:c>
      <x:c r="B30" s="2" t="str">
        <x:v>前30場</x:v>
      </x:c>
      <x:c r="C30" s="6" t="n">
        <x:v>174000</x:v>
      </x:c>
      <x:c r="D30" s="6" t="n">
        <x:v>164000</x:v>
      </x:c>
      <x:c r="E30" s="6" t="n">
        <x:f>C30-D30</x:f>
        <x:v>10000</x:v>
      </x:c>
      <x:c r="F30" s="6" t="n">
        <x:f>F29+E30</x:f>
        <x:v>-5997000</x:v>
      </x:c>
      <x:c r="G30" s="6" t="n">
        <x:v>170000</x:v>
      </x:c>
      <x:c r="H30" s="6" t="n">
        <x:v>-160000</x:v>
      </x:c>
      <x:c r="I30" s="6" t="n">
        <x:v>-96000</x:v>
      </x:c>
      <x:c r="J30" s="6" t="n">
        <x:v>166000</x:v>
      </x:c>
      <x:c r="K30" s="11" t="n">
        <x:v>2</x:v>
      </x:c>
      <x:c r="L30" s="11" t="n">
        <x:v>10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663000</x:v>
      </x:c>
      <x:c r="D31" s="6" t="n">
        <x:v>930000</x:v>
      </x:c>
      <x:c r="E31" s="6" t="n">
        <x:f>C31-D31</x:f>
        <x:v>-267000</x:v>
      </x:c>
      <x:c r="F31" s="6" t="n">
        <x:f>F30+E31</x:f>
        <x:v>-6264000</x:v>
      </x:c>
      <x:c r="G31" s="6" t="n">
        <x:v>-560000</x:v>
      </x:c>
      <x:c r="H31" s="6" t="n">
        <x:v>293000</x:v>
      </x:c>
      <x:c r="I31" s="6" t="n">
        <x:v>-277000</x:v>
      </x:c>
      <x:c r="J31" s="6" t="n">
        <x:v>291000</x:v>
      </x:c>
      <x:c r="K31" s="11" t="n">
        <x:v>9</x:v>
      </x:c>
      <x:c r="L31" s="11" t="n">
        <x:v>89</x:v>
      </x:c>
    </x:row>
    <x:row r="32" ht="25" customHeight="1">
      <x:c r="A32" s="2" t="str">
        <x:v>2026-10-08_Day</x:v>
      </x:c>
      <x:c r="B32" s="2" t="str">
        <x:v>前30場</x:v>
      </x:c>
      <x:c r="C32" s="6" t="n">
        <x:v>893000</x:v>
      </x:c>
      <x:c r="D32" s="6" t="n">
        <x:v>1191000</x:v>
      </x:c>
      <x:c r="E32" s="6" t="n">
        <x:f>C32-D32</x:f>
        <x:v>-298000</x:v>
      </x:c>
      <x:c r="F32" s="6" t="n">
        <x:f>F31+E32</x:f>
        <x:v>-6562000</x:v>
      </x:c>
      <x:c r="G32" s="6" t="n">
        <x:v>-870000</x:v>
      </x:c>
      <x:c r="H32" s="6" t="n">
        <x:v>572000</x:v>
      </x:c>
      <x:c r="I32" s="6" t="n">
        <x:v>-308000</x:v>
      </x:c>
      <x:c r="J32" s="6" t="n">
        <x:v>447000</x:v>
      </x:c>
      <x:c r="K32" s="11" t="n">
        <x:v>4</x:v>
      </x:c>
      <x:c r="L32" s="11" t="n">
        <x:v>97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1765000</x:v>
      </x:c>
      <x:c r="D33" s="6" t="n">
        <x:v>2385000</x:v>
      </x:c>
      <x:c r="E33" s="6" t="n">
        <x:f>C33-D33</x:f>
        <x:v>-620000</x:v>
      </x:c>
      <x:c r="F33" s="6" t="n">
        <x:f>F32+E33</x:f>
        <x:v>-7182000</x:v>
      </x:c>
      <x:c r="G33" s="6" t="n">
        <x:v>299000</x:v>
      </x:c>
      <x:c r="H33" s="6" t="n">
        <x:v>-919000</x:v>
      </x:c>
      <x:c r="I33" s="6" t="n">
        <x:v>-620000</x:v>
      </x:c>
      <x:c r="J33" s="6" t="n">
        <x:v>720000</x:v>
      </x:c>
      <x:c r="K33" s="11" t="n">
        <x:v>38</x:v>
      </x:c>
      <x:c r="L33" s="11" t="n">
        <x:v>210</x:v>
      </x:c>
    </x:row>
    <x:row r="34" ht="25" customHeight="1">
      <x:c r="A34" s="2" t="str">
        <x:v>2026-10-09_Day</x:v>
      </x:c>
      <x:c r="B34" s="2" t="str">
        <x:v>前30場</x:v>
      </x:c>
      <x:c r="C34" s="6" t="n">
        <x:v>935000</x:v>
      </x:c>
      <x:c r="D34" s="6" t="n">
        <x:v>1894000</x:v>
      </x:c>
      <x:c r="E34" s="6" t="n">
        <x:f>C34-D34</x:f>
        <x:v>-959000</x:v>
      </x:c>
      <x:c r="F34" s="6" t="n">
        <x:f>F33+E34</x:f>
        <x:v>-8141000</x:v>
      </x:c>
      <x:c r="G34" s="6" t="n">
        <x:v>-500000</x:v>
      </x:c>
      <x:c r="H34" s="6" t="n">
        <x:v>-459000</x:v>
      </x:c>
      <x:c r="I34" s="6" t="n">
        <x:v>-969000</x:v>
      </x:c>
      <x:c r="J34" s="6" t="n">
        <x:v>1037000</x:v>
      </x:c>
      <x:c r="K34" s="11" t="n">
        <x:v>7</x:v>
      </x:c>
      <x:c r="L34" s="11" t="n">
        <x:v>191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456000</x:v>
      </x:c>
      <x:c r="D35" s="6" t="n">
        <x:v>609000</x:v>
      </x:c>
      <x:c r="E35" s="6" t="n">
        <x:f>C35-D35</x:f>
        <x:v>-153000</x:v>
      </x:c>
      <x:c r="F35" s="6" t="n">
        <x:f>F34+E35</x:f>
        <x:v>-8294000</x:v>
      </x:c>
      <x:c r="G35" s="6" t="n">
        <x:v>-162000</x:v>
      </x:c>
      <x:c r="H35" s="6" t="n">
        <x:v>9000</x:v>
      </x:c>
      <x:c r="I35" s="6" t="n">
        <x:v>-177000</x:v>
      </x:c>
      <x:c r="J35" s="6" t="n">
        <x:v>177000</x:v>
      </x:c>
      <x:c r="K35" s="11" t="n">
        <x:v>8</x:v>
      </x:c>
      <x:c r="L35" s="11" t="n">
        <x:v>61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-8294000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637000</x:v>
      </x:c>
      <x:c r="D37" s="6" t="n">
        <x:v>870000</x:v>
      </x:c>
      <x:c r="E37" s="6" t="n">
        <x:f>C37-D37</x:f>
        <x:v>-233000</x:v>
      </x:c>
      <x:c r="F37" s="6" t="n">
        <x:f>F36+E37</x:f>
        <x:v>-8527000</x:v>
      </x:c>
      <x:c r="G37" s="6" t="n">
        <x:v>-428000</x:v>
      </x:c>
      <x:c r="H37" s="6" t="n">
        <x:v>195000</x:v>
      </x:c>
      <x:c r="I37" s="6" t="n">
        <x:v>-233000</x:v>
      </x:c>
      <x:c r="J37" s="6" t="n">
        <x:v>243000</x:v>
      </x:c>
      <x:c r="K37" s="11" t="n">
        <x:v>7</x:v>
      </x:c>
      <x:c r="L37" s="11" t="n">
        <x:v>83</x:v>
      </x:c>
    </x:row>
    <x:row r="38" ht="25" customHeight="1">
      <x:c r="A38" s="2" t="str">
        <x:v>2026-10-13_Day</x:v>
      </x:c>
      <x:c r="B38" s="2" t="str">
        <x:v>次10場</x:v>
      </x:c>
      <x:c r="C38" s="6" t="n">
        <x:v>605000</x:v>
      </x:c>
      <x:c r="D38" s="6" t="n">
        <x:v>640000</x:v>
      </x:c>
      <x:c r="E38" s="6" t="n">
        <x:f>C38-D38</x:f>
        <x:v>-35000</x:v>
      </x:c>
      <x:c r="F38" s="6" t="n">
        <x:f>F37+E38</x:f>
        <x:v>-8562000</x:v>
      </x:c>
      <x:c r="G38" s="6" t="n">
        <x:v>470000</x:v>
      </x:c>
      <x:c r="H38" s="6" t="n">
        <x:v>-505000</x:v>
      </x:c>
      <x:c r="I38" s="6" t="n">
        <x:v>-215000</x:v>
      </x:c>
      <x:c r="J38" s="6" t="n">
        <x:v>217000</x:v>
      </x:c>
      <x:c r="K38" s="11" t="n">
        <x:v>5</x:v>
      </x:c>
      <x:c r="L38" s="11" t="n">
        <x:v>58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462000</x:v>
      </x:c>
      <x:c r="D39" s="6" t="n">
        <x:v>600000</x:v>
      </x:c>
      <x:c r="E39" s="6" t="n">
        <x:f>C39-D39</x:f>
        <x:v>-138000</x:v>
      </x:c>
      <x:c r="F39" s="6" t="n">
        <x:f>F38+E39</x:f>
        <x:v>-8700000</x:v>
      </x:c>
      <x:c r="G39" s="6" t="n">
        <x:v>3000</x:v>
      </x:c>
      <x:c r="H39" s="6" t="n">
        <x:v>-141000</x:v>
      </x:c>
      <x:c r="I39" s="6" t="n">
        <x:v>-138000</x:v>
      </x:c>
      <x:c r="J39" s="6" t="n">
        <x:v>138000</x:v>
      </x:c>
      <x:c r="K39" s="11" t="n">
        <x:v>8</x:v>
      </x:c>
      <x:c r="L39" s="11" t="n">
        <x:v>65</x:v>
      </x:c>
    </x:row>
    <x:row r="40" ht="25" customHeight="1">
      <x:c r="A40" s="2" t="str">
        <x:v>2026-10-14_Day</x:v>
      </x:c>
      <x:c r="B40" s="2" t="str">
        <x:v>次10場</x:v>
      </x:c>
      <x:c r="C40" s="6" t="n">
        <x:v>591000</x:v>
      </x:c>
      <x:c r="D40" s="6" t="n">
        <x:v>880000</x:v>
      </x:c>
      <x:c r="E40" s="6" t="n">
        <x:f>C40-D40</x:f>
        <x:v>-289000</x:v>
      </x:c>
      <x:c r="F40" s="6" t="n">
        <x:f>F39+E40</x:f>
        <x:v>-8989000</x:v>
      </x:c>
      <x:c r="G40" s="6" t="n">
        <x:v>308000</x:v>
      </x:c>
      <x:c r="H40" s="6" t="n">
        <x:v>-597000</x:v>
      </x:c>
      <x:c r="I40" s="6" t="n">
        <x:v>-381000</x:v>
      </x:c>
      <x:c r="J40" s="6" t="n">
        <x:v>506000</x:v>
      </x:c>
      <x:c r="K40" s="11" t="n">
        <x:v>5</x:v>
      </x:c>
      <x:c r="L40" s="11" t="n">
        <x:v>73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1753000</x:v>
      </x:c>
      <x:c r="D41" s="6" t="n">
        <x:v>2367000</x:v>
      </x:c>
      <x:c r="E41" s="6" t="n">
        <x:f>C41-D41</x:f>
        <x:v>-614000</x:v>
      </x:c>
      <x:c r="F41" s="6" t="n">
        <x:f>F40+E41</x:f>
        <x:v>-9603000</x:v>
      </x:c>
      <x:c r="G41" s="6" t="n">
        <x:v>-515000</x:v>
      </x:c>
      <x:c r="H41" s="6" t="n">
        <x:v>-99000</x:v>
      </x:c>
      <x:c r="I41" s="6" t="n">
        <x:v>-644000</x:v>
      </x:c>
      <x:c r="J41" s="6" t="n">
        <x:v>654000</x:v>
      </x:c>
      <x:c r="K41" s="11" t="n">
        <x:v>26</x:v>
      </x:c>
      <x:c r="L41" s="11" t="n">
        <x:v>253</x:v>
      </x:c>
    </x:row>
    <x:row r="42" ht="25" customHeight="1">
      <x:c r="A42" s="2" t="str">
        <x:v>2026-10-15_Day</x:v>
      </x:c>
      <x:c r="B42" s="2" t="str">
        <x:v>次10場</x:v>
      </x:c>
      <x:c r="C42" s="6" t="n">
        <x:v>1873000</x:v>
      </x:c>
      <x:c r="D42" s="6" t="n">
        <x:v>1527000</x:v>
      </x:c>
      <x:c r="E42" s="6" t="n">
        <x:f>C42-D42</x:f>
        <x:v>346000</x:v>
      </x:c>
      <x:c r="F42" s="6" t="n">
        <x:f>F41+E42</x:f>
        <x:v>-9257000</x:v>
      </x:c>
      <x:c r="G42" s="6" t="n">
        <x:v>-110000</x:v>
      </x:c>
      <x:c r="H42" s="6" t="n">
        <x:v>456000</x:v>
      </x:c>
      <x:c r="I42" s="6" t="n">
        <x:v>-564000</x:v>
      </x:c>
      <x:c r="J42" s="6" t="n">
        <x:v>779000</x:v>
      </x:c>
      <x:c r="K42" s="11" t="n">
        <x:v>11</x:v>
      </x:c>
      <x:c r="L42" s="11" t="n">
        <x:v>255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1515000</x:v>
      </x:c>
      <x:c r="D43" s="6" t="n">
        <x:v>1448000</x:v>
      </x:c>
      <x:c r="E43" s="6" t="n">
        <x:f>C43-D43</x:f>
        <x:v>67000</x:v>
      </x:c>
      <x:c r="F43" s="6" t="n">
        <x:f>F42+E43</x:f>
        <x:v>-9190000</x:v>
      </x:c>
      <x:c r="G43" s="6" t="n">
        <x:v>-285000</x:v>
      </x:c>
      <x:c r="H43" s="6" t="n">
        <x:v>352000</x:v>
      </x:c>
      <x:c r="I43" s="6" t="n">
        <x:v>-487000</x:v>
      </x:c>
      <x:c r="J43" s="6" t="n">
        <x:v>517000</x:v>
      </x:c>
      <x:c r="K43" s="11" t="n">
        <x:v>20</x:v>
      </x:c>
      <x:c r="L43" s="11" t="n">
        <x:v>160</x:v>
      </x:c>
    </x:row>
    <x:row r="44" ht="25" customHeight="1">
      <x:c r="A44" s="2" t="str">
        <x:v>2026-10-16_Day</x:v>
      </x:c>
      <x:c r="B44" s="2" t="str">
        <x:v>次10場</x:v>
      </x:c>
      <x:c r="C44" s="6" t="n">
        <x:v>918000</x:v>
      </x:c>
      <x:c r="D44" s="6" t="n">
        <x:v>422000</x:v>
      </x:c>
      <x:c r="E44" s="6" t="n">
        <x:f>C44-D44</x:f>
        <x:v>496000</x:v>
      </x:c>
      <x:c r="F44" s="6" t="n">
        <x:f>F43+E44</x:f>
        <x:v>-8694000</x:v>
      </x:c>
      <x:c r="G44" s="6" t="n">
        <x:v>523000</x:v>
      </x:c>
      <x:c r="H44" s="6" t="n">
        <x:v>-27000</x:v>
      </x:c>
      <x:c r="I44" s="6" t="n">
        <x:v>-61000</x:v>
      </x:c>
      <x:c r="J44" s="6" t="n">
        <x:v>360000</x:v>
      </x:c>
      <x:c r="K44" s="11" t="n">
        <x:v>10</x:v>
      </x:c>
      <x:c r="L44" s="11" t="n">
        <x:v>84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1944000</x:v>
      </x:c>
      <x:c r="D45" s="6" t="n">
        <x:v>2180000</x:v>
      </x:c>
      <x:c r="E45" s="6" t="n">
        <x:f>C45-D45</x:f>
        <x:v>-236000</x:v>
      </x:c>
      <x:c r="F45" s="6" t="n">
        <x:f>F44+E45</x:f>
        <x:v>-8930000</x:v>
      </x:c>
      <x:c r="G45" s="6" t="n">
        <x:v>-684000</x:v>
      </x:c>
      <x:c r="H45" s="6" t="n">
        <x:v>448000</x:v>
      </x:c>
      <x:c r="I45" s="6" t="n">
        <x:v>-266000</x:v>
      </x:c>
      <x:c r="J45" s="6" t="n">
        <x:v>330000</x:v>
      </x:c>
      <x:c r="K45" s="11" t="n">
        <x:v>18</x:v>
      </x:c>
      <x:c r="L45" s="11" t="n">
        <x:v>189</x:v>
      </x:c>
    </x:row>
    <x:row r="46" ht="25" customHeight="1">
      <x:c r="A46" s="2" t="str">
        <x:v>2026-10-19_Day</x:v>
      </x:c>
      <x:c r="B46" s="2" t="str">
        <x:v>後13場</x:v>
      </x:c>
      <x:c r="C46" s="6" t="n">
        <x:v>1047000</x:v>
      </x:c>
      <x:c r="D46" s="6" t="n">
        <x:v>1460000</x:v>
      </x:c>
      <x:c r="E46" s="6" t="n">
        <x:f>C46-D46</x:f>
        <x:v>-413000</x:v>
      </x:c>
      <x:c r="F46" s="6" t="n">
        <x:f>F45+E46</x:f>
        <x:v>-9343000</x:v>
      </x:c>
      <x:c r="G46" s="6" t="n">
        <x:v>-540000</x:v>
      </x:c>
      <x:c r="H46" s="6" t="n">
        <x:v>127000</x:v>
      </x:c>
      <x:c r="I46" s="6" t="n">
        <x:v>-623000</x:v>
      </x:c>
      <x:c r="J46" s="6" t="n">
        <x:v>681000</x:v>
      </x:c>
      <x:c r="K46" s="11" t="n">
        <x:v>5</x:v>
      </x:c>
      <x:c r="L46" s="11" t="n">
        <x:v>184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780000</x:v>
      </x:c>
      <x:c r="D47" s="6" t="n">
        <x:v>1094000</x:v>
      </x:c>
      <x:c r="E47" s="6" t="n">
        <x:f>C47-D47</x:f>
        <x:v>-314000</x:v>
      </x:c>
      <x:c r="F47" s="6" t="n">
        <x:f>F46+E47</x:f>
        <x:v>-9657000</x:v>
      </x:c>
      <x:c r="G47" s="6" t="n">
        <x:v>365000</x:v>
      </x:c>
      <x:c r="H47" s="6" t="n">
        <x:v>-679000</x:v>
      </x:c>
      <x:c r="I47" s="6" t="n">
        <x:v>-318000</x:v>
      </x:c>
      <x:c r="J47" s="6" t="n">
        <x:v>318000</x:v>
      </x:c>
      <x:c r="K47" s="11" t="n">
        <x:v>15</x:v>
      </x:c>
      <x:c r="L47" s="11" t="n">
        <x:v>120</x:v>
      </x:c>
    </x:row>
    <x:row r="48" ht="25" customHeight="1">
      <x:c r="A48" s="2" t="str">
        <x:v>2026-10-20_Day</x:v>
      </x:c>
      <x:c r="B48" s="2" t="str">
        <x:v>後13場</x:v>
      </x:c>
      <x:c r="C48" s="6" t="n">
        <x:v>872000</x:v>
      </x:c>
      <x:c r="D48" s="6" t="n">
        <x:v>1027000</x:v>
      </x:c>
      <x:c r="E48" s="6" t="n">
        <x:f>C48-D48</x:f>
        <x:v>-155000</x:v>
      </x:c>
      <x:c r="F48" s="6" t="n">
        <x:f>F47+E48</x:f>
        <x:v>-9812000</x:v>
      </x:c>
      <x:c r="G48" s="6" t="n">
        <x:v>91000</x:v>
      </x:c>
      <x:c r="H48" s="6" t="n">
        <x:v>-246000</x:v>
      </x:c>
      <x:c r="I48" s="6" t="n">
        <x:v>-171000</x:v>
      </x:c>
      <x:c r="J48" s="6" t="n">
        <x:v>365000</x:v>
      </x:c>
      <x:c r="K48" s="11" t="n">
        <x:v>10</x:v>
      </x:c>
      <x:c r="L48" s="11" t="n">
        <x:v>103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1497000</x:v>
      </x:c>
      <x:c r="D49" s="6" t="n">
        <x:v>1810000</x:v>
      </x:c>
      <x:c r="E49" s="6" t="n">
        <x:f>C49-D49</x:f>
        <x:v>-313000</x:v>
      </x:c>
      <x:c r="F49" s="6" t="n">
        <x:f>F48+E49</x:f>
        <x:v>-10125000</x:v>
      </x:c>
      <x:c r="G49" s="6" t="n">
        <x:v>-398000</x:v>
      </x:c>
      <x:c r="H49" s="6" t="n">
        <x:v>85000</x:v>
      </x:c>
      <x:c r="I49" s="6" t="n">
        <x:v>-343000</x:v>
      </x:c>
      <x:c r="J49" s="6" t="n">
        <x:v>443000</x:v>
      </x:c>
      <x:c r="K49" s="11" t="n">
        <x:v>11</x:v>
      </x:c>
      <x:c r="L49" s="11" t="n">
        <x:v>191</x:v>
      </x:c>
    </x:row>
    <x:row r="50" ht="25" customHeight="1">
      <x:c r="A50" s="2" t="str">
        <x:v>2026-10-21_Day</x:v>
      </x:c>
      <x:c r="B50" s="2" t="str">
        <x:v>後13場</x:v>
      </x:c>
      <x:c r="C50" s="6" t="n">
        <x:v>686000</x:v>
      </x:c>
      <x:c r="D50" s="6" t="n">
        <x:v>1107000</x:v>
      </x:c>
      <x:c r="E50" s="6" t="n">
        <x:f>C50-D50</x:f>
        <x:v>-421000</x:v>
      </x:c>
      <x:c r="F50" s="6" t="n">
        <x:f>F49+E50</x:f>
        <x:v>-10546000</x:v>
      </x:c>
      <x:c r="G50" s="6" t="n">
        <x:v>170000</x:v>
      </x:c>
      <x:c r="H50" s="6" t="n">
        <x:v>-591000</x:v>
      </x:c>
      <x:c r="I50" s="6" t="n">
        <x:v>-491000</x:v>
      </x:c>
      <x:c r="J50" s="6" t="n">
        <x:v>541000</x:v>
      </x:c>
      <x:c r="K50" s="11" t="n">
        <x:v>8</x:v>
      </x:c>
      <x:c r="L50" s="11" t="n">
        <x:v>116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737000</x:v>
      </x:c>
      <x:c r="D51" s="6" t="n">
        <x:v>904000</x:v>
      </x:c>
      <x:c r="E51" s="6" t="n">
        <x:f>C51-D51</x:f>
        <x:v>-167000</x:v>
      </x:c>
      <x:c r="F51" s="6" t="n">
        <x:f>F50+E51</x:f>
        <x:v>-10713000</x:v>
      </x:c>
      <x:c r="G51" s="6" t="n">
        <x:v>-19000</x:v>
      </x:c>
      <x:c r="H51" s="6" t="n">
        <x:v>-148000</x:v>
      </x:c>
      <x:c r="I51" s="6" t="n">
        <x:v>-225000</x:v>
      </x:c>
      <x:c r="J51" s="6" t="n">
        <x:v>225000</x:v>
      </x:c>
      <x:c r="K51" s="11" t="n">
        <x:v>13</x:v>
      </x:c>
      <x:c r="L51" s="11" t="n">
        <x:v>81</x:v>
      </x:c>
    </x:row>
    <x:row r="52" ht="25" customHeight="1">
      <x:c r="A52" s="2" t="str">
        <x:v>2026-10-22_Day</x:v>
      </x:c>
      <x:c r="B52" s="2" t="str">
        <x:v>後13場</x:v>
      </x:c>
      <x:c r="C52" s="6" t="n">
        <x:v>938000</x:v>
      </x:c>
      <x:c r="D52" s="6" t="n">
        <x:v>1977000</x:v>
      </x:c>
      <x:c r="E52" s="6" t="n">
        <x:f>C52-D52</x:f>
        <x:v>-1039000</x:v>
      </x:c>
      <x:c r="F52" s="6" t="n">
        <x:f>F51+E52</x:f>
        <x:v>-11752000</x:v>
      </x:c>
      <x:c r="G52" s="6" t="n">
        <x:v>-1120000</x:v>
      </x:c>
      <x:c r="H52" s="6" t="n">
        <x:v>81000</x:v>
      </x:c>
      <x:c r="I52" s="6" t="n">
        <x:v>-1069000</x:v>
      </x:c>
      <x:c r="J52" s="6" t="n">
        <x:v>1119000</x:v>
      </x:c>
      <x:c r="K52" s="11" t="n">
        <x:v>4</x:v>
      </x:c>
      <x:c r="L52" s="11" t="n">
        <x:v>256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1145000</x:v>
      </x:c>
      <x:c r="D53" s="6" t="n">
        <x:v>1454000</x:v>
      </x:c>
      <x:c r="E53" s="6" t="n">
        <x:f>C53-D53</x:f>
        <x:v>-309000</x:v>
      </x:c>
      <x:c r="F53" s="6" t="n">
        <x:f>F52+E53</x:f>
        <x:v>-12061000</x:v>
      </x:c>
      <x:c r="G53" s="6" t="n">
        <x:v>-550000</x:v>
      </x:c>
      <x:c r="H53" s="6" t="n">
        <x:v>241000</x:v>
      </x:c>
      <x:c r="I53" s="6" t="n">
        <x:v>-339000</x:v>
      </x:c>
      <x:c r="J53" s="6" t="n">
        <x:v>409000</x:v>
      </x:c>
      <x:c r="K53" s="11" t="n">
        <x:v>13</x:v>
      </x:c>
      <x:c r="L53" s="11" t="n">
        <x:v>158</x:v>
      </x:c>
    </x:row>
    <x:row r="54" ht="25" customHeight="1">
      <x:c r="A54" s="2" t="str">
        <x:v>2026-10-23_Day</x:v>
      </x:c>
      <x:c r="B54" s="2" t="str">
        <x:v>後13場</x:v>
      </x:c>
      <x:c r="C54" s="6" t="n">
        <x:v>2259000</x:v>
      </x:c>
      <x:c r="D54" s="6" t="n">
        <x:v>2568000</x:v>
      </x:c>
      <x:c r="E54" s="6" t="n">
        <x:f>C54-D54</x:f>
        <x:v>-309000</x:v>
      </x:c>
      <x:c r="F54" s="6" t="n">
        <x:f>F53+E54</x:f>
        <x:v>-12370000</x:v>
      </x:c>
      <x:c r="G54" s="6" t="n">
        <x:v>104000</x:v>
      </x:c>
      <x:c r="H54" s="6" t="n">
        <x:v>-413000</x:v>
      </x:c>
      <x:c r="I54" s="6" t="n">
        <x:v>-459000</x:v>
      </x:c>
      <x:c r="J54" s="6" t="n">
        <x:v>679000</x:v>
      </x:c>
      <x:c r="K54" s="11" t="n">
        <x:v>17</x:v>
      </x:c>
      <x:c r="L54" s="11" t="n">
        <x:v>278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614000</x:v>
      </x:c>
      <x:c r="D55" s="6" t="n">
        <x:v>861000</x:v>
      </x:c>
      <x:c r="E55" s="6" t="n">
        <x:f>C55-D55</x:f>
        <x:v>-247000</x:v>
      </x:c>
      <x:c r="F55" s="6" t="n">
        <x:f>F54+E55</x:f>
        <x:v>-12617000</x:v>
      </x:c>
      <x:c r="G55" s="6" t="n">
        <x:v>-239000</x:v>
      </x:c>
      <x:c r="H55" s="6" t="n">
        <x:v>-8000</x:v>
      </x:c>
      <x:c r="I55" s="6" t="n">
        <x:v>-267000</x:v>
      </x:c>
      <x:c r="J55" s="6" t="n">
        <x:v>287000</x:v>
      </x:c>
      <x:c r="K55" s="11" t="n">
        <x:v>11</x:v>
      </x:c>
      <x:c r="L55" s="11" t="n">
        <x:v>85</x:v>
      </x:c>
    </x:row>
    <x:row r="56" ht="25" customHeight="1">
      <x:c r="A56" s="2" t="str">
        <x:v>2026-10-26_Day</x:v>
      </x:c>
      <x:c r="B56" s="2" t="str">
        <x:v>後13場</x:v>
      </x:c>
      <x:c r="C56" s="6" t="n">
        <x:v>759000</x:v>
      </x:c>
      <x:c r="D56" s="6" t="n">
        <x:v>1150000</x:v>
      </x:c>
      <x:c r="E56" s="6" t="n">
        <x:f>C56-D56</x:f>
        <x:v>-391000</x:v>
      </x:c>
      <x:c r="F56" s="6" t="n">
        <x:f>F55+E56</x:f>
        <x:v>-13008000</x:v>
      </x:c>
      <x:c r="G56" s="6" t="n">
        <x:v>-280000</x:v>
      </x:c>
      <x:c r="H56" s="6" t="n">
        <x:v>-111000</x:v>
      </x:c>
      <x:c r="I56" s="6" t="n">
        <x:v>-411000</x:v>
      </x:c>
      <x:c r="J56" s="6" t="n">
        <x:v>510000</x:v>
      </x:c>
      <x:c r="K56" s="11" t="n">
        <x:v>5</x:v>
      </x:c>
      <x:c r="L56" s="11" t="n">
        <x:v>128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683000</x:v>
      </x:c>
      <x:c r="D57" s="6" t="n">
        <x:v>920000</x:v>
      </x:c>
      <x:c r="E57" s="6" t="n">
        <x:f>C57-D57</x:f>
        <x:v>-237000</x:v>
      </x:c>
      <x:c r="F57" s="6" t="n">
        <x:f>F56+E57</x:f>
        <x:v>-13245000</x:v>
      </x:c>
      <x:c r="G57" s="6" t="n">
        <x:v>-554000</x:v>
      </x:c>
      <x:c r="H57" s="6" t="n">
        <x:v>317000</x:v>
      </x:c>
      <x:c r="I57" s="6" t="n">
        <x:v>-257000</x:v>
      </x:c>
      <x:c r="J57" s="6" t="n">
        <x:v>271000</x:v>
      </x:c>
      <x:c r="K57" s="11" t="n">
        <x:v>9</x:v>
      </x:c>
      <x:c r="L57" s="11" t="n">
        <x:v>94</x:v>
      </x:c>
    </x:row>
    <x:row r="58" ht="25" customHeight="1">
      <x:c r="A58" s="2" t="str">
        <x:v>2026-10-27_Day</x:v>
      </x:c>
      <x:c r="B58" s="2" t="str">
        <x:v>後13場</x:v>
      </x:c>
      <x:c r="C58" s="6" t="n">
        <x:v>1046000</x:v>
      </x:c>
      <x:c r="D58" s="6" t="n">
        <x:v>1197000</x:v>
      </x:c>
      <x:c r="E58" s="6" t="n">
        <x:f>C58-D58</x:f>
        <x:v>-151000</x:v>
      </x:c>
      <x:c r="F58" s="6" t="n">
        <x:f>F57+E58</x:f>
        <x:v>-13396000</x:v>
      </x:c>
      <x:c r="G58" s="6" t="n">
        <x:v>830000</x:v>
      </x:c>
      <x:c r="H58" s="6" t="n">
        <x:v>-981000</x:v>
      </x:c>
      <x:c r="I58" s="6" t="n">
        <x:v>-195000</x:v>
      </x:c>
      <x:c r="J58" s="6" t="n">
        <x:v>404000</x:v>
      </x:c>
      <x:c r="K58" s="11" t="n">
        <x:v>9</x:v>
      </x:c>
      <x:c r="L58" s="11" t="n">
        <x:v>109</x:v>
      </x:c>
    </x:row>
    <x:row r="59" ht="25" customHeight="1">
      <x:c r="A59" s="15" t="str">
        <x:v>累計／場内最悪値</x:v>
      </x:c>
      <x:c r="B59" s="15"/>
      <x:c r="C59" s="16" t="n">
        <x:f>SUM(C6:C58)</x:f>
        <x:v>42949000</x:v>
      </x:c>
      <x:c r="D59" s="16" t="n">
        <x:f>SUM(D6:D58)</x:f>
        <x:v>56345000</x:v>
      </x:c>
      <x:c r="E59" s="16" t="n">
        <x:f>C59-D59</x:f>
        <x:v>-13396000</x:v>
      </x:c>
      <x:c r="F59" s="16" t="n">
        <x:f>F58</x:f>
        <x:v>-13396000</x:v>
      </x:c>
      <x:c r="G59" s="16" t="n">
        <x:f>SUM(G6:G58)</x:f>
        <x:v>-5728000</x:v>
      </x:c>
      <x:c r="H59" s="16" t="n">
        <x:f>SUM(H6:H58)</x:f>
        <x:v>-7668000</x:v>
      </x:c>
      <x:c r="I59" s="16" t="n">
        <x:f>MIN(I6:I58)</x:f>
        <x:v>-1069000</x:v>
      </x:c>
      <x:c r="J59" s="16" t="n">
        <x:f>MAX(J6:J58)</x:f>
        <x:v>1119000</x:v>
      </x:c>
      <x:c r="K59" s="17" t="n">
        <x:f>SUM(K6:K58)</x:f>
        <x:v>503</x:v>
      </x:c>
      <x:c r="L59" s="17" t="n">
        <x:f>SUM(L6:L58)</x:f>
        <x:v>5930</x:v>
      </x:c>
    </x:row>
  </x:sheetData>
  <x:conditionalFormatting sqref="E6:I58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1f8389005d4aa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H06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段40・利益20起動・追尾10・完済後新基準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203000</x:v>
      </x:c>
      <x:c r="D6" s="6" t="n">
        <x:v>39000</x:v>
      </x:c>
      <x:c r="E6" s="6" t="n">
        <x:f>C6-D6</x:f>
        <x:v>164000</x:v>
      </x:c>
      <x:c r="F6" s="6" t="n">
        <x:f>E6</x:f>
        <x:v>164000</x:v>
      </x:c>
      <x:c r="G6" s="6" t="n">
        <x:v>200000</x:v>
      </x:c>
      <x:c r="H6" s="6" t="n">
        <x:v>-36000</x:v>
      </x:c>
      <x:c r="I6" s="6" t="n">
        <x:v>-61000</x:v>
      </x:c>
      <x:c r="J6" s="6" t="n">
        <x:v>125000</x:v>
      </x:c>
      <x:c r="K6" s="11" t="n">
        <x:v>2</x:v>
      </x:c>
      <x:c r="L6" s="11" t="n">
        <x:v>3</x:v>
      </x:c>
    </x:row>
    <x:row r="7" ht="25" customHeight="1">
      <x:c r="A7" s="2" t="str">
        <x:v>2026-09-21_Night</x:v>
      </x:c>
      <x:c r="B7" s="2" t="str">
        <x:v>前30場</x:v>
      </x:c>
      <x:c r="C7" s="6" t="n">
        <x:v>626000</x:v>
      </x:c>
      <x:c r="D7" s="6" t="n">
        <x:v>810000</x:v>
      </x:c>
      <x:c r="E7" s="6" t="n">
        <x:f>C7-D7</x:f>
        <x:v>-184000</x:v>
      </x:c>
      <x:c r="F7" s="6" t="n">
        <x:f>F6+E7</x:f>
        <x:v>-20000</x:v>
      </x:c>
      <x:c r="G7" s="6" t="n">
        <x:v>-358000</x:v>
      </x:c>
      <x:c r="H7" s="6" t="n">
        <x:v>174000</x:v>
      </x:c>
      <x:c r="I7" s="6" t="n">
        <x:v>-314000</x:v>
      </x:c>
      <x:c r="J7" s="6" t="n">
        <x:v>446000</x:v>
      </x:c>
      <x:c r="K7" s="11" t="n">
        <x:v>8</x:v>
      </x:c>
      <x:c r="L7" s="11" t="n">
        <x:v>98</x:v>
      </x:c>
    </x:row>
    <x:row r="8" ht="25" customHeight="1">
      <x:c r="A8" s="2" t="str">
        <x:v>2026-09-22_Day</x:v>
      </x:c>
      <x:c r="B8" s="2" t="str">
        <x:v>前30場</x:v>
      </x:c>
      <x:c r="C8" s="6" t="n">
        <x:v>128000</x:v>
      </x:c>
      <x:c r="D8" s="6" t="n">
        <x:v>42000</x:v>
      </x:c>
      <x:c r="E8" s="6" t="n">
        <x:f>C8-D8</x:f>
        <x:v>86000</x:v>
      </x:c>
      <x:c r="F8" s="6" t="n">
        <x:f>F7+E8</x:f>
        <x:v>66000</x:v>
      </x:c>
      <x:c r="G8" s="6" t="n">
        <x:v>100000</x:v>
      </x:c>
      <x:c r="H8" s="6" t="n">
        <x:v>-14000</x:v>
      </x:c>
      <x:c r="I8" s="6" t="n">
        <x:v>-293000</x:v>
      </x:c>
      <x:c r="J8" s="6" t="n">
        <x:v>373000</x:v>
      </x:c>
      <x:c r="K8" s="11" t="n">
        <x:v>1</x:v>
      </x:c>
      <x:c r="L8" s="11" t="n">
        <x:v>16</x:v>
      </x:c>
    </x:row>
    <x:row r="9" ht="25" customHeight="1">
      <x:c r="A9" s="2" t="str">
        <x:v>2026-09-22_Night</x:v>
      </x:c>
      <x:c r="B9" s="2" t="str">
        <x:v>前30場</x:v>
      </x:c>
      <x:c r="C9" s="6" t="n">
        <x:v>671000</x:v>
      </x:c>
      <x:c r="D9" s="6" t="n">
        <x:v>1123000</x:v>
      </x:c>
      <x:c r="E9" s="6" t="n">
        <x:f>C9-D9</x:f>
        <x:v>-452000</x:v>
      </x:c>
      <x:c r="F9" s="6" t="n">
        <x:f>F8+E9</x:f>
        <x:v>-386000</x:v>
      </x:c>
      <x:c r="G9" s="6" t="n">
        <x:v>-349000</x:v>
      </x:c>
      <x:c r="H9" s="6" t="n">
        <x:v>-103000</x:v>
      </x:c>
      <x:c r="I9" s="6" t="n">
        <x:v>-454000</x:v>
      </x:c>
      <x:c r="J9" s="6" t="n">
        <x:v>584000</x:v>
      </x:c>
      <x:c r="K9" s="11" t="n">
        <x:v>11</x:v>
      </x:c>
      <x:c r="L9" s="11" t="n">
        <x:v>118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-386000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548000</x:v>
      </x:c>
      <x:c r="D11" s="6" t="n">
        <x:v>1140000</x:v>
      </x:c>
      <x:c r="E11" s="6" t="n">
        <x:f>C11-D11</x:f>
        <x:v>-592000</x:v>
      </x:c>
      <x:c r="F11" s="6" t="n">
        <x:f>F10+E11</x:f>
        <x:v>-978000</x:v>
      </x:c>
      <x:c r="G11" s="6" t="n">
        <x:v>-433000</x:v>
      </x:c>
      <x:c r="H11" s="6" t="n">
        <x:v>-159000</x:v>
      </x:c>
      <x:c r="I11" s="6" t="n">
        <x:v>-592000</x:v>
      </x:c>
      <x:c r="J11" s="6" t="n">
        <x:v>652000</x:v>
      </x:c>
      <x:c r="K11" s="11" t="n">
        <x:v>8</x:v>
      </x:c>
      <x:c r="L11" s="11" t="n">
        <x:v>117</x:v>
      </x:c>
    </x:row>
    <x:row r="12" ht="25" customHeight="1">
      <x:c r="A12" s="2" t="str">
        <x:v>2026-09-24_Day</x:v>
      </x:c>
      <x:c r="B12" s="2" t="str">
        <x:v>前30場</x:v>
      </x:c>
      <x:c r="C12" s="6" t="n">
        <x:v>283000</x:v>
      </x:c>
      <x:c r="D12" s="6" t="n">
        <x:v>568000</x:v>
      </x:c>
      <x:c r="E12" s="6" t="n">
        <x:f>C12-D12</x:f>
        <x:v>-285000</x:v>
      </x:c>
      <x:c r="F12" s="6" t="n">
        <x:f>F11+E12</x:f>
        <x:v>-1263000</x:v>
      </x:c>
      <x:c r="G12" s="6" t="n">
        <x:v>236000</x:v>
      </x:c>
      <x:c r="H12" s="6" t="n">
        <x:v>-521000</x:v>
      </x:c>
      <x:c r="I12" s="6" t="n">
        <x:v>-385000</x:v>
      </x:c>
      <x:c r="J12" s="6" t="n">
        <x:v>385000</x:v>
      </x:c>
      <x:c r="K12" s="11" t="n">
        <x:v>4</x:v>
      </x:c>
      <x:c r="L12" s="11" t="n">
        <x:v>40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512000</x:v>
      </x:c>
      <x:c r="D13" s="6" t="n">
        <x:v>744000</x:v>
      </x:c>
      <x:c r="E13" s="6" t="n">
        <x:f>C13-D13</x:f>
        <x:v>-232000</x:v>
      </x:c>
      <x:c r="F13" s="6" t="n">
        <x:f>F12+E13</x:f>
        <x:v>-1495000</x:v>
      </x:c>
      <x:c r="G13" s="6" t="n">
        <x:v>-252000</x:v>
      </x:c>
      <x:c r="H13" s="6" t="n">
        <x:v>20000</x:v>
      </x:c>
      <x:c r="I13" s="6" t="n">
        <x:v>-260000</x:v>
      </x:c>
      <x:c r="J13" s="6" t="n">
        <x:v>340000</x:v>
      </x:c>
      <x:c r="K13" s="11" t="n">
        <x:v>10</x:v>
      </x:c>
      <x:c r="L13" s="11" t="n">
        <x:v>65</x:v>
      </x:c>
    </x:row>
    <x:row r="14" ht="25" customHeight="1">
      <x:c r="A14" s="2" t="str">
        <x:v>2026-09-25_Day</x:v>
      </x:c>
      <x:c r="B14" s="2" t="str">
        <x:v>前30場</x:v>
      </x:c>
      <x:c r="C14" s="6" t="n">
        <x:v>194000</x:v>
      </x:c>
      <x:c r="D14" s="6" t="n">
        <x:v>713000</x:v>
      </x:c>
      <x:c r="E14" s="6" t="n">
        <x:f>C14-D14</x:f>
        <x:v>-519000</x:v>
      </x:c>
      <x:c r="F14" s="6" t="n">
        <x:f>F13+E14</x:f>
        <x:v>-2014000</x:v>
      </x:c>
      <x:c r="G14" s="6" t="n">
        <x:v>-646000</x:v>
      </x:c>
      <x:c r="H14" s="6" t="n">
        <x:v>127000</x:v>
      </x:c>
      <x:c r="I14" s="6" t="n">
        <x:v>-628000</x:v>
      </x:c>
      <x:c r="J14" s="6" t="n">
        <x:v>698000</x:v>
      </x:c>
      <x:c r="K14" s="11" t="n">
        <x:v>2</x:v>
      </x:c>
      <x:c r="L14" s="11" t="n">
        <x:v>88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553000</x:v>
      </x:c>
      <x:c r="D15" s="6" t="n">
        <x:v>834000</x:v>
      </x:c>
      <x:c r="E15" s="6" t="n">
        <x:f>C15-D15</x:f>
        <x:v>-281000</x:v>
      </x:c>
      <x:c r="F15" s="6" t="n">
        <x:f>F14+E15</x:f>
        <x:v>-2295000</x:v>
      </x:c>
      <x:c r="G15" s="6" t="n">
        <x:v>140000</x:v>
      </x:c>
      <x:c r="H15" s="6" t="n">
        <x:v>-421000</x:v>
      </x:c>
      <x:c r="I15" s="6" t="n">
        <x:v>-301000</x:v>
      </x:c>
      <x:c r="J15" s="6" t="n">
        <x:v>301000</x:v>
      </x:c>
      <x:c r="K15" s="11" t="n">
        <x:v>12</x:v>
      </x:c>
      <x:c r="L15" s="11" t="n">
        <x:v>90</x:v>
      </x:c>
    </x:row>
    <x:row r="16" ht="25" customHeight="1">
      <x:c r="A16" s="2" t="str">
        <x:v>2026-09-28_Day</x:v>
      </x:c>
      <x:c r="B16" s="2" t="str">
        <x:v>前30場</x:v>
      </x:c>
      <x:c r="C16" s="6" t="n">
        <x:v>465000</x:v>
      </x:c>
      <x:c r="D16" s="6" t="n">
        <x:v>315000</x:v>
      </x:c>
      <x:c r="E16" s="6" t="n">
        <x:f>C16-D16</x:f>
        <x:v>150000</x:v>
      </x:c>
      <x:c r="F16" s="6" t="n">
        <x:f>F15+E16</x:f>
        <x:v>-2145000</x:v>
      </x:c>
      <x:c r="G16" s="6" t="n">
        <x:v>395000</x:v>
      </x:c>
      <x:c r="H16" s="6" t="n">
        <x:v>-245000</x:v>
      </x:c>
      <x:c r="I16" s="6" t="n">
        <x:v>-359000</x:v>
      </x:c>
      <x:c r="J16" s="6" t="n">
        <x:v>370000</x:v>
      </x:c>
      <x:c r="K16" s="11" t="n">
        <x:v>5</x:v>
      </x:c>
      <x:c r="L16" s="11" t="n">
        <x:v>42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874000</x:v>
      </x:c>
      <x:c r="D17" s="6" t="n">
        <x:v>904000</x:v>
      </x:c>
      <x:c r="E17" s="6" t="n">
        <x:f>C17-D17</x:f>
        <x:v>-30000</x:v>
      </x:c>
      <x:c r="F17" s="6" t="n">
        <x:f>F16+E17</x:f>
        <x:v>-2175000</x:v>
      </x:c>
      <x:c r="G17" s="6" t="n">
        <x:v>504000</x:v>
      </x:c>
      <x:c r="H17" s="6" t="n">
        <x:v>-534000</x:v>
      </x:c>
      <x:c r="I17" s="6" t="n">
        <x:v>-191000</x:v>
      </x:c>
      <x:c r="J17" s="6" t="n">
        <x:v>212000</x:v>
      </x:c>
      <x:c r="K17" s="11" t="n">
        <x:v>17</x:v>
      </x:c>
      <x:c r="L17" s="11" t="n">
        <x:v>112</x:v>
      </x:c>
    </x:row>
    <x:row r="18" ht="25" customHeight="1">
      <x:c r="A18" s="2" t="str">
        <x:v>2026-09-29_Day</x:v>
      </x:c>
      <x:c r="B18" s="2" t="str">
        <x:v>前30場</x:v>
      </x:c>
      <x:c r="C18" s="6" t="n">
        <x:v>536000</x:v>
      </x:c>
      <x:c r="D18" s="6" t="n">
        <x:v>524000</x:v>
      </x:c>
      <x:c r="E18" s="6" t="n">
        <x:f>C18-D18</x:f>
        <x:v>12000</x:v>
      </x:c>
      <x:c r="F18" s="6" t="n">
        <x:f>F17+E18</x:f>
        <x:v>-2163000</x:v>
      </x:c>
      <x:c r="G18" s="6" t="n">
        <x:v>-96000</x:v>
      </x:c>
      <x:c r="H18" s="6" t="n">
        <x:v>108000</x:v>
      </x:c>
      <x:c r="I18" s="6" t="n">
        <x:v>-602000</x:v>
      </x:c>
      <x:c r="J18" s="6" t="n">
        <x:v>612000</x:v>
      </x:c>
      <x:c r="K18" s="11" t="n">
        <x:v>7</x:v>
      </x:c>
      <x:c r="L18" s="11" t="n">
        <x:v>126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673000</x:v>
      </x:c>
      <x:c r="D19" s="6" t="n">
        <x:v>856000</x:v>
      </x:c>
      <x:c r="E19" s="6" t="n">
        <x:f>C19-D19</x:f>
        <x:v>-183000</x:v>
      </x:c>
      <x:c r="F19" s="6" t="n">
        <x:f>F18+E19</x:f>
        <x:v>-2346000</x:v>
      </x:c>
      <x:c r="G19" s="6" t="n">
        <x:v>-152000</x:v>
      </x:c>
      <x:c r="H19" s="6" t="n">
        <x:v>-31000</x:v>
      </x:c>
      <x:c r="I19" s="6" t="n">
        <x:v>-183000</x:v>
      </x:c>
      <x:c r="J19" s="6" t="n">
        <x:v>258000</x:v>
      </x:c>
      <x:c r="K19" s="11" t="n">
        <x:v>12</x:v>
      </x:c>
      <x:c r="L19" s="11" t="n">
        <x:v>66</x:v>
      </x:c>
    </x:row>
    <x:row r="20" ht="25" customHeight="1">
      <x:c r="A20" s="2" t="str">
        <x:v>2026-09-30_Day</x:v>
      </x:c>
      <x:c r="B20" s="2" t="str">
        <x:v>前30場</x:v>
      </x:c>
      <x:c r="C20" s="6" t="n">
        <x:v>279000</x:v>
      </x:c>
      <x:c r="D20" s="6" t="n">
        <x:v>670000</x:v>
      </x:c>
      <x:c r="E20" s="6" t="n">
        <x:f>C20-D20</x:f>
        <x:v>-391000</x:v>
      </x:c>
      <x:c r="F20" s="6" t="n">
        <x:f>F19+E20</x:f>
        <x:v>-2737000</x:v>
      </x:c>
      <x:c r="G20" s="6" t="n">
        <x:v>-420000</x:v>
      </x:c>
      <x:c r="H20" s="6" t="n">
        <x:v>29000</x:v>
      </x:c>
      <x:c r="I20" s="6" t="n">
        <x:v>-391000</x:v>
      </x:c>
      <x:c r="J20" s="6" t="n">
        <x:v>537000</x:v>
      </x:c>
      <x:c r="K20" s="11" t="n">
        <x:v>3</x:v>
      </x:c>
      <x:c r="L20" s="11" t="n">
        <x:v>58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668000</x:v>
      </x:c>
      <x:c r="D21" s="6" t="n">
        <x:v>1202000</x:v>
      </x:c>
      <x:c r="E21" s="6" t="n">
        <x:f>C21-D21</x:f>
        <x:v>-534000</x:v>
      </x:c>
      <x:c r="F21" s="6" t="n">
        <x:f>F20+E21</x:f>
        <x:v>-3271000</x:v>
      </x:c>
      <x:c r="G21" s="6" t="n">
        <x:v>-122000</x:v>
      </x:c>
      <x:c r="H21" s="6" t="n">
        <x:v>-412000</x:v>
      </x:c>
      <x:c r="I21" s="6" t="n">
        <x:v>-534000</x:v>
      </x:c>
      <x:c r="J21" s="6" t="n">
        <x:v>534000</x:v>
      </x:c>
      <x:c r="K21" s="11" t="n">
        <x:v>20</x:v>
      </x:c>
      <x:c r="L21" s="11" t="n">
        <x:v>146</x:v>
      </x:c>
    </x:row>
    <x:row r="22" ht="25" customHeight="1">
      <x:c r="A22" s="2" t="str">
        <x:v>2026-10-01_Day</x:v>
      </x:c>
      <x:c r="B22" s="2" t="str">
        <x:v>前30場</x:v>
      </x:c>
      <x:c r="C22" s="6" t="n">
        <x:v>527000</x:v>
      </x:c>
      <x:c r="D22" s="6" t="n">
        <x:v>1671000</x:v>
      </x:c>
      <x:c r="E22" s="6" t="n">
        <x:f>C22-D22</x:f>
        <x:v>-1144000</x:v>
      </x:c>
      <x:c r="F22" s="6" t="n">
        <x:f>F21+E22</x:f>
        <x:v>-4415000</x:v>
      </x:c>
      <x:c r="G22" s="6" t="n">
        <x:v>-1443000</x:v>
      </x:c>
      <x:c r="H22" s="6" t="n">
        <x:v>299000</x:v>
      </x:c>
      <x:c r="I22" s="6" t="n">
        <x:v>-1344000</x:v>
      </x:c>
      <x:c r="J22" s="6" t="n">
        <x:v>1444000</x:v>
      </x:c>
      <x:c r="K22" s="11" t="n">
        <x:v>3</x:v>
      </x:c>
      <x:c r="L22" s="11" t="n">
        <x:v>232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1336000</x:v>
      </x:c>
      <x:c r="D23" s="6" t="n">
        <x:v>1610000</x:v>
      </x:c>
      <x:c r="E23" s="6" t="n">
        <x:f>C23-D23</x:f>
        <x:v>-274000</x:v>
      </x:c>
      <x:c r="F23" s="6" t="n">
        <x:f>F22+E23</x:f>
        <x:v>-4689000</x:v>
      </x:c>
      <x:c r="G23" s="6" t="n">
        <x:v>553000</x:v>
      </x:c>
      <x:c r="H23" s="6" t="n">
        <x:v>-827000</x:v>
      </x:c>
      <x:c r="I23" s="6" t="n">
        <x:v>-378000</x:v>
      </x:c>
      <x:c r="J23" s="6" t="n">
        <x:v>488000</x:v>
      </x:c>
      <x:c r="K23" s="11" t="n">
        <x:v>29</x:v>
      </x:c>
      <x:c r="L23" s="11" t="n">
        <x:v>182</x:v>
      </x:c>
    </x:row>
    <x:row r="24" ht="25" customHeight="1">
      <x:c r="A24" s="2" t="str">
        <x:v>2026-10-02_Day</x:v>
      </x:c>
      <x:c r="B24" s="2" t="str">
        <x:v>前30場</x:v>
      </x:c>
      <x:c r="C24" s="6" t="n">
        <x:v>279000</x:v>
      </x:c>
      <x:c r="D24" s="6" t="n">
        <x:v>746000</x:v>
      </x:c>
      <x:c r="E24" s="6" t="n">
        <x:f>C24-D24</x:f>
        <x:v>-467000</x:v>
      </x:c>
      <x:c r="F24" s="6" t="n">
        <x:f>F23+E24</x:f>
        <x:v>-5156000</x:v>
      </x:c>
      <x:c r="G24" s="6" t="n">
        <x:v>70000</x:v>
      </x:c>
      <x:c r="H24" s="6" t="n">
        <x:v>-537000</x:v>
      </x:c>
      <x:c r="I24" s="6" t="n">
        <x:v>-553000</x:v>
      </x:c>
      <x:c r="J24" s="6" t="n">
        <x:v>573000</x:v>
      </x:c>
      <x:c r="K24" s="11" t="n">
        <x:v>5</x:v>
      </x:c>
      <x:c r="L24" s="11" t="n">
        <x:v>51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842000</x:v>
      </x:c>
      <x:c r="D25" s="6" t="n">
        <x:v>1193000</x:v>
      </x:c>
      <x:c r="E25" s="6" t="n">
        <x:f>C25-D25</x:f>
        <x:v>-351000</x:v>
      </x:c>
      <x:c r="F25" s="6" t="n">
        <x:f>F24+E25</x:f>
        <x:v>-5507000</x:v>
      </x:c>
      <x:c r="G25" s="6" t="n">
        <x:v>-242000</x:v>
      </x:c>
      <x:c r="H25" s="6" t="n">
        <x:v>-109000</x:v>
      </x:c>
      <x:c r="I25" s="6" t="n">
        <x:v>-519000</x:v>
      </x:c>
      <x:c r="J25" s="6" t="n">
        <x:v>575000</x:v>
      </x:c>
      <x:c r="K25" s="11" t="n">
        <x:v>20</x:v>
      </x:c>
      <x:c r="L25" s="11" t="n">
        <x:v>109</x:v>
      </x:c>
    </x:row>
    <x:row r="26" ht="25" customHeight="1">
      <x:c r="A26" s="2" t="str">
        <x:v>2026-10-05_Day</x:v>
      </x:c>
      <x:c r="B26" s="2" t="str">
        <x:v>前30場</x:v>
      </x:c>
      <x:c r="C26" s="6" t="n">
        <x:v>189000</x:v>
      </x:c>
      <x:c r="D26" s="6" t="n">
        <x:v>551000</x:v>
      </x:c>
      <x:c r="E26" s="6" t="n">
        <x:f>C26-D26</x:f>
        <x:v>-362000</x:v>
      </x:c>
      <x:c r="F26" s="6" t="n">
        <x:f>F25+E26</x:f>
        <x:v>-5869000</x:v>
      </x:c>
      <x:c r="G26" s="6" t="n">
        <x:v>-234000</x:v>
      </x:c>
      <x:c r="H26" s="6" t="n">
        <x:v>-128000</x:v>
      </x:c>
      <x:c r="I26" s="6" t="n">
        <x:v>-404000</x:v>
      </x:c>
      <x:c r="J26" s="6" t="n">
        <x:v>454000</x:v>
      </x:c>
      <x:c r="K26" s="11" t="n">
        <x:v>3</x:v>
      </x:c>
      <x:c r="L26" s="11" t="n">
        <x:v>57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453000</x:v>
      </x:c>
      <x:c r="D27" s="6" t="n">
        <x:v>667000</x:v>
      </x:c>
      <x:c r="E27" s="6" t="n">
        <x:f>C27-D27</x:f>
        <x:v>-214000</x:v>
      </x:c>
      <x:c r="F27" s="6" t="n">
        <x:f>F26+E27</x:f>
        <x:v>-6083000</x:v>
      </x:c>
      <x:c r="G27" s="6" t="n">
        <x:v>186000</x:v>
      </x:c>
      <x:c r="H27" s="6" t="n">
        <x:v>-400000</x:v>
      </x:c>
      <x:c r="I27" s="6" t="n">
        <x:v>-277000</x:v>
      </x:c>
      <x:c r="J27" s="6" t="n">
        <x:v>297000</x:v>
      </x:c>
      <x:c r="K27" s="11" t="n">
        <x:v>10</x:v>
      </x:c>
      <x:c r="L27" s="11" t="n">
        <x:v>57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102000</x:v>
      </x:c>
      <x:c r="D28" s="6" t="n">
        <x:v>49000</x:v>
      </x:c>
      <x:c r="E28" s="6" t="n">
        <x:f>C28-D28</x:f>
        <x:v>53000</x:v>
      </x:c>
      <x:c r="F28" s="6" t="n">
        <x:f>F27+E28</x:f>
        <x:v>-6030000</x:v>
      </x:c>
      <x:c r="G28" s="6" t="n">
        <x:v>100000</x:v>
      </x:c>
      <x:c r="H28" s="6" t="n">
        <x:v>-47000</x:v>
      </x:c>
      <x:c r="I28" s="6" t="n">
        <x:v>-157000</x:v>
      </x:c>
      <x:c r="J28" s="6" t="n">
        <x:v>157000</x:v>
      </x:c>
      <x:c r="K28" s="11" t="n">
        <x:v>1</x:v>
      </x:c>
      <x:c r="L28" s="11" t="n">
        <x:v>4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479000</x:v>
      </x:c>
      <x:c r="D29" s="6" t="n">
        <x:v>633000</x:v>
      </x:c>
      <x:c r="E29" s="6" t="n">
        <x:f>C29-D29</x:f>
        <x:v>-154000</x:v>
      </x:c>
      <x:c r="F29" s="6" t="n">
        <x:f>F28+E29</x:f>
        <x:v>-6184000</x:v>
      </x:c>
      <x:c r="G29" s="6" t="n">
        <x:v>161000</x:v>
      </x:c>
      <x:c r="H29" s="6" t="n">
        <x:v>-315000</x:v>
      </x:c>
      <x:c r="I29" s="6" t="n">
        <x:v>-186000</x:v>
      </x:c>
      <x:c r="J29" s="6" t="n">
        <x:v>224000</x:v>
      </x:c>
      <x:c r="K29" s="11" t="n">
        <x:v>8</x:v>
      </x:c>
      <x:c r="L29" s="11" t="n">
        <x:v>52</x:v>
      </x:c>
    </x:row>
    <x:row r="30" ht="25" customHeight="1">
      <x:c r="A30" s="2" t="str">
        <x:v>2026-10-07_Day</x:v>
      </x:c>
      <x:c r="B30" s="2" t="str">
        <x:v>前30場</x:v>
      </x:c>
      <x:c r="C30" s="6" t="n">
        <x:v>193000</x:v>
      </x:c>
      <x:c r="D30" s="6" t="n">
        <x:v>62000</x:v>
      </x:c>
      <x:c r="E30" s="6" t="n">
        <x:f>C30-D30</x:f>
        <x:v>131000</x:v>
      </x:c>
      <x:c r="F30" s="6" t="n">
        <x:f>F29+E30</x:f>
        <x:v>-6053000</x:v>
      </x:c>
      <x:c r="G30" s="6" t="n">
        <x:v>190000</x:v>
      </x:c>
      <x:c r="H30" s="6" t="n">
        <x:v>-59000</x:v>
      </x:c>
      <x:c r="I30" s="6" t="n">
        <x:v>-98000</x:v>
      </x:c>
      <x:c r="J30" s="6" t="n">
        <x:v>168000</x:v>
      </x:c>
      <x:c r="K30" s="11" t="n">
        <x:v>2</x:v>
      </x:c>
      <x:c r="L30" s="11" t="n">
        <x:v>4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760000</x:v>
      </x:c>
      <x:c r="D31" s="6" t="n">
        <x:v>980000</x:v>
      </x:c>
      <x:c r="E31" s="6" t="n">
        <x:f>C31-D31</x:f>
        <x:v>-220000</x:v>
      </x:c>
      <x:c r="F31" s="6" t="n">
        <x:f>F30+E31</x:f>
        <x:v>-6273000</x:v>
      </x:c>
      <x:c r="G31" s="6" t="n">
        <x:v>-215000</x:v>
      </x:c>
      <x:c r="H31" s="6" t="n">
        <x:v>-5000</x:v>
      </x:c>
      <x:c r="I31" s="6" t="n">
        <x:v>-230000</x:v>
      </x:c>
      <x:c r="J31" s="6" t="n">
        <x:v>250000</x:v>
      </x:c>
      <x:c r="K31" s="11" t="n">
        <x:v>16</x:v>
      </x:c>
      <x:c r="L31" s="11" t="n">
        <x:v>89</x:v>
      </x:c>
    </x:row>
    <x:row r="32" ht="25" customHeight="1">
      <x:c r="A32" s="2" t="str">
        <x:v>2026-10-08_Day</x:v>
      </x:c>
      <x:c r="B32" s="2" t="str">
        <x:v>前30場</x:v>
      </x:c>
      <x:c r="C32" s="6" t="n">
        <x:v>373000</x:v>
      </x:c>
      <x:c r="D32" s="6" t="n">
        <x:v>1143000</x:v>
      </x:c>
      <x:c r="E32" s="6" t="n">
        <x:f>C32-D32</x:f>
        <x:v>-770000</x:v>
      </x:c>
      <x:c r="F32" s="6" t="n">
        <x:f>F31+E32</x:f>
        <x:v>-7043000</x:v>
      </x:c>
      <x:c r="G32" s="6" t="n">
        <x:v>-840000</x:v>
      </x:c>
      <x:c r="H32" s="6" t="n">
        <x:v>70000</x:v>
      </x:c>
      <x:c r="I32" s="6" t="n">
        <x:v>-770000</x:v>
      </x:c>
      <x:c r="J32" s="6" t="n">
        <x:v>977000</x:v>
      </x:c>
      <x:c r="K32" s="11" t="n">
        <x:v>4</x:v>
      </x:c>
      <x:c r="L32" s="11" t="n">
        <x:v>77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1494000</x:v>
      </x:c>
      <x:c r="D33" s="6" t="n">
        <x:v>1900000</x:v>
      </x:c>
      <x:c r="E33" s="6" t="n">
        <x:f>C33-D33</x:f>
        <x:v>-406000</x:v>
      </x:c>
      <x:c r="F33" s="6" t="n">
        <x:f>F32+E33</x:f>
        <x:v>-7449000</x:v>
      </x:c>
      <x:c r="G33" s="6" t="n">
        <x:v>182000</x:v>
      </x:c>
      <x:c r="H33" s="6" t="n">
        <x:v>-588000</x:v>
      </x:c>
      <x:c r="I33" s="6" t="n">
        <x:v>-406000</x:v>
      </x:c>
      <x:c r="J33" s="6" t="n">
        <x:v>506000</x:v>
      </x:c>
      <x:c r="K33" s="11" t="n">
        <x:v>33</x:v>
      </x:c>
      <x:c r="L33" s="11" t="n">
        <x:v>199</x:v>
      </x:c>
    </x:row>
    <x:row r="34" ht="25" customHeight="1">
      <x:c r="A34" s="2" t="str">
        <x:v>2026-10-09_Day</x:v>
      </x:c>
      <x:c r="B34" s="2" t="str">
        <x:v>前30場</x:v>
      </x:c>
      <x:c r="C34" s="6" t="n">
        <x:v>731000</x:v>
      </x:c>
      <x:c r="D34" s="6" t="n">
        <x:v>1417000</x:v>
      </x:c>
      <x:c r="E34" s="6" t="n">
        <x:f>C34-D34</x:f>
        <x:v>-686000</x:v>
      </x:c>
      <x:c r="F34" s="6" t="n">
        <x:f>F33+E34</x:f>
        <x:v>-8135000</x:v>
      </x:c>
      <x:c r="G34" s="6" t="n">
        <x:v>-490000</x:v>
      </x:c>
      <x:c r="H34" s="6" t="n">
        <x:v>-196000</x:v>
      </x:c>
      <x:c r="I34" s="6" t="n">
        <x:v>-690000</x:v>
      </x:c>
      <x:c r="J34" s="6" t="n">
        <x:v>862000</x:v>
      </x:c>
      <x:c r="K34" s="11" t="n">
        <x:v>7</x:v>
      </x:c>
      <x:c r="L34" s="11" t="n">
        <x:v>141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484000</x:v>
      </x:c>
      <x:c r="D35" s="6" t="n">
        <x:v>640000</x:v>
      </x:c>
      <x:c r="E35" s="6" t="n">
        <x:f>C35-D35</x:f>
        <x:v>-156000</x:v>
      </x:c>
      <x:c r="F35" s="6" t="n">
        <x:f>F34+E35</x:f>
        <x:v>-8291000</x:v>
      </x:c>
      <x:c r="G35" s="6" t="n">
        <x:v>-40000</x:v>
      </x:c>
      <x:c r="H35" s="6" t="n">
        <x:v>-116000</x:v>
      </x:c>
      <x:c r="I35" s="6" t="n">
        <x:v>-163000</x:v>
      </x:c>
      <x:c r="J35" s="6" t="n">
        <x:v>217000</x:v>
      </x:c>
      <x:c r="K35" s="11" t="n">
        <x:v>9</x:v>
      </x:c>
      <x:c r="L35" s="11" t="n">
        <x:v>49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-8291000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595000</x:v>
      </x:c>
      <x:c r="D37" s="6" t="n">
        <x:v>870000</x:v>
      </x:c>
      <x:c r="E37" s="6" t="n">
        <x:f>C37-D37</x:f>
        <x:v>-275000</x:v>
      </x:c>
      <x:c r="F37" s="6" t="n">
        <x:f>F36+E37</x:f>
        <x:v>-8566000</x:v>
      </x:c>
      <x:c r="G37" s="6" t="n">
        <x:v>-334000</x:v>
      </x:c>
      <x:c r="H37" s="6" t="n">
        <x:v>59000</x:v>
      </x:c>
      <x:c r="I37" s="6" t="n">
        <x:v>-275000</x:v>
      </x:c>
      <x:c r="J37" s="6" t="n">
        <x:v>285000</x:v>
      </x:c>
      <x:c r="K37" s="11" t="n">
        <x:v>10</x:v>
      </x:c>
      <x:c r="L37" s="11" t="n">
        <x:v>76</x:v>
      </x:c>
    </x:row>
    <x:row r="38" ht="25" customHeight="1">
      <x:c r="A38" s="2" t="str">
        <x:v>2026-10-13_Day</x:v>
      </x:c>
      <x:c r="B38" s="2" t="str">
        <x:v>次10場</x:v>
      </x:c>
      <x:c r="C38" s="6" t="n">
        <x:v>527000</x:v>
      </x:c>
      <x:c r="D38" s="6" t="n">
        <x:v>324000</x:v>
      </x:c>
      <x:c r="E38" s="6" t="n">
        <x:f>C38-D38</x:f>
        <x:v>203000</x:v>
      </x:c>
      <x:c r="F38" s="6" t="n">
        <x:f>F37+E38</x:f>
        <x:v>-8363000</x:v>
      </x:c>
      <x:c r="G38" s="6" t="n">
        <x:v>491000</x:v>
      </x:c>
      <x:c r="H38" s="6" t="n">
        <x:v>-288000</x:v>
      </x:c>
      <x:c r="I38" s="6" t="n">
        <x:v>-223000</x:v>
      </x:c>
      <x:c r="J38" s="6" t="n">
        <x:v>265000</x:v>
      </x:c>
      <x:c r="K38" s="11" t="n">
        <x:v>6</x:v>
      </x:c>
      <x:c r="L38" s="11" t="n">
        <x:v>34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375000</x:v>
      </x:c>
      <x:c r="D39" s="6" t="n">
        <x:v>534000</x:v>
      </x:c>
      <x:c r="E39" s="6" t="n">
        <x:f>C39-D39</x:f>
        <x:v>-159000</x:v>
      </x:c>
      <x:c r="F39" s="6" t="n">
        <x:f>F38+E39</x:f>
        <x:v>-8522000</x:v>
      </x:c>
      <x:c r="G39" s="6" t="n">
        <x:v>2000</x:v>
      </x:c>
      <x:c r="H39" s="6" t="n">
        <x:v>-161000</x:v>
      </x:c>
      <x:c r="I39" s="6" t="n">
        <x:v>-159000</x:v>
      </x:c>
      <x:c r="J39" s="6" t="n">
        <x:v>159000</x:v>
      </x:c>
      <x:c r="K39" s="11" t="n">
        <x:v>10</x:v>
      </x:c>
      <x:c r="L39" s="11" t="n">
        <x:v>51</x:v>
      </x:c>
    </x:row>
    <x:row r="40" ht="25" customHeight="1">
      <x:c r="A40" s="2" t="str">
        <x:v>2026-10-14_Day</x:v>
      </x:c>
      <x:c r="B40" s="2" t="str">
        <x:v>次10場</x:v>
      </x:c>
      <x:c r="C40" s="6" t="n">
        <x:v>474000</x:v>
      </x:c>
      <x:c r="D40" s="6" t="n">
        <x:v>629000</x:v>
      </x:c>
      <x:c r="E40" s="6" t="n">
        <x:f>C40-D40</x:f>
        <x:v>-155000</x:v>
      </x:c>
      <x:c r="F40" s="6" t="n">
        <x:f>F39+E40</x:f>
        <x:v>-8677000</x:v>
      </x:c>
      <x:c r="G40" s="6" t="n">
        <x:v>102000</x:v>
      </x:c>
      <x:c r="H40" s="6" t="n">
        <x:v>-257000</x:v>
      </x:c>
      <x:c r="I40" s="6" t="n">
        <x:v>-319000</x:v>
      </x:c>
      <x:c r="J40" s="6" t="n">
        <x:v>492000</x:v>
      </x:c>
      <x:c r="K40" s="11" t="n">
        <x:v>5</x:v>
      </x:c>
      <x:c r="L40" s="11" t="n">
        <x:v>60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1135000</x:v>
      </x:c>
      <x:c r="D41" s="6" t="n">
        <x:v>2061000</x:v>
      </x:c>
      <x:c r="E41" s="6" t="n">
        <x:f>C41-D41</x:f>
        <x:v>-926000</x:v>
      </x:c>
      <x:c r="F41" s="6" t="n">
        <x:f>F40+E41</x:f>
        <x:v>-9603000</x:v>
      </x:c>
      <x:c r="G41" s="6" t="n">
        <x:v>-1030000</x:v>
      </x:c>
      <x:c r="H41" s="6" t="n">
        <x:v>104000</x:v>
      </x:c>
      <x:c r="I41" s="6" t="n">
        <x:v>-956000</x:v>
      </x:c>
      <x:c r="J41" s="6" t="n">
        <x:v>966000</x:v>
      </x:c>
      <x:c r="K41" s="11" t="n">
        <x:v>21</x:v>
      </x:c>
      <x:c r="L41" s="11" t="n">
        <x:v>234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1199000</x:v>
      </x:c>
      <x:c r="D42" s="6" t="n">
        <x:v>1302000</x:v>
      </x:c>
      <x:c r="E42" s="6" t="n">
        <x:f>C42-D42</x:f>
        <x:v>-103000</x:v>
      </x:c>
      <x:c r="F42" s="6" t="n">
        <x:f>F41+E42</x:f>
        <x:v>-9706000</x:v>
      </x:c>
      <x:c r="G42" s="6" t="n">
        <x:v>-348000</x:v>
      </x:c>
      <x:c r="H42" s="6" t="n">
        <x:v>245000</x:v>
      </x:c>
      <x:c r="I42" s="6" t="n">
        <x:v>-1013000</x:v>
      </x:c>
      <x:c r="J42" s="6" t="n">
        <x:v>1252000</x:v>
      </x:c>
      <x:c r="K42" s="11" t="n">
        <x:v>10</x:v>
      </x:c>
      <x:c r="L42" s="11" t="n">
        <x:v>244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1636000</x:v>
      </x:c>
      <x:c r="D43" s="6" t="n">
        <x:v>1881000</x:v>
      </x:c>
      <x:c r="E43" s="6" t="n">
        <x:f>C43-D43</x:f>
        <x:v>-245000</x:v>
      </x:c>
      <x:c r="F43" s="6" t="n">
        <x:f>F42+E43</x:f>
        <x:v>-9951000</x:v>
      </x:c>
      <x:c r="G43" s="6" t="n">
        <x:v>-112000</x:v>
      </x:c>
      <x:c r="H43" s="6" t="n">
        <x:v>-133000</x:v>
      </x:c>
      <x:c r="I43" s="6" t="n">
        <x:v>-586000</x:v>
      </x:c>
      <x:c r="J43" s="6" t="n">
        <x:v>616000</x:v>
      </x:c>
      <x:c r="K43" s="11" t="n">
        <x:v>23</x:v>
      </x:c>
      <x:c r="L43" s="11" t="n">
        <x:v>206</x:v>
      </x:c>
    </x:row>
    <x:row r="44" ht="25" customHeight="1">
      <x:c r="A44" s="2" t="str">
        <x:v>2026-10-16_Day</x:v>
      </x:c>
      <x:c r="B44" s="2" t="str">
        <x:v>次10場</x:v>
      </x:c>
      <x:c r="C44" s="6" t="n">
        <x:v>935000</x:v>
      </x:c>
      <x:c r="D44" s="6" t="n">
        <x:v>495000</x:v>
      </x:c>
      <x:c r="E44" s="6" t="n">
        <x:f>C44-D44</x:f>
        <x:v>440000</x:v>
      </x:c>
      <x:c r="F44" s="6" t="n">
        <x:f>F43+E44</x:f>
        <x:v>-9511000</x:v>
      </x:c>
      <x:c r="G44" s="6" t="n">
        <x:v>724000</x:v>
      </x:c>
      <x:c r="H44" s="6" t="n">
        <x:v>-284000</x:v>
      </x:c>
      <x:c r="I44" s="6" t="n">
        <x:v>-61000</x:v>
      </x:c>
      <x:c r="J44" s="6" t="n">
        <x:v>343000</x:v>
      </x:c>
      <x:c r="K44" s="11" t="n">
        <x:v>16</x:v>
      </x:c>
      <x:c r="L44" s="11" t="n">
        <x:v>63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1384000</x:v>
      </x:c>
      <x:c r="D45" s="6" t="n">
        <x:v>2099000</x:v>
      </x:c>
      <x:c r="E45" s="6" t="n">
        <x:f>C45-D45</x:f>
        <x:v>-715000</x:v>
      </x:c>
      <x:c r="F45" s="6" t="n">
        <x:f>F44+E45</x:f>
        <x:v>-10226000</x:v>
      </x:c>
      <x:c r="G45" s="6" t="n">
        <x:v>-982000</x:v>
      </x:c>
      <x:c r="H45" s="6" t="n">
        <x:v>267000</x:v>
      </x:c>
      <x:c r="I45" s="6" t="n">
        <x:v>-745000</x:v>
      </x:c>
      <x:c r="J45" s="6" t="n">
        <x:v>878000</x:v>
      </x:c>
      <x:c r="K45" s="11" t="n">
        <x:v>25</x:v>
      </x:c>
      <x:c r="L45" s="11" t="n">
        <x:v>224</x:v>
      </x:c>
    </x:row>
    <x:row r="46" ht="25" customHeight="1">
      <x:c r="A46" s="2" t="str">
        <x:v>2026-10-19_Day</x:v>
      </x:c>
      <x:c r="B46" s="2" t="str">
        <x:v>後13場</x:v>
      </x:c>
      <x:c r="C46" s="6" t="n">
        <x:v>496000</x:v>
      </x:c>
      <x:c r="D46" s="6" t="n">
        <x:v>1051000</x:v>
      </x:c>
      <x:c r="E46" s="6" t="n">
        <x:f>C46-D46</x:f>
        <x:v>-555000</x:v>
      </x:c>
      <x:c r="F46" s="6" t="n">
        <x:f>F45+E46</x:f>
        <x:v>-10781000</x:v>
      </x:c>
      <x:c r="G46" s="6" t="n">
        <x:v>-90000</x:v>
      </x:c>
      <x:c r="H46" s="6" t="n">
        <x:v>-465000</x:v>
      </x:c>
      <x:c r="I46" s="6" t="n">
        <x:v>-754000</x:v>
      </x:c>
      <x:c r="J46" s="6" t="n">
        <x:v>774000</x:v>
      </x:c>
      <x:c r="K46" s="11" t="n">
        <x:v>5</x:v>
      </x:c>
      <x:c r="L46" s="11" t="n">
        <x:v>111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568000</x:v>
      </x:c>
      <x:c r="D47" s="6" t="n">
        <x:v>726000</x:v>
      </x:c>
      <x:c r="E47" s="6" t="n">
        <x:f>C47-D47</x:f>
        <x:v>-158000</x:v>
      </x:c>
      <x:c r="F47" s="6" t="n">
        <x:f>F46+E47</x:f>
        <x:v>-10939000</x:v>
      </x:c>
      <x:c r="G47" s="6" t="n">
        <x:v>215000</x:v>
      </x:c>
      <x:c r="H47" s="6" t="n">
        <x:v>-373000</x:v>
      </x:c>
      <x:c r="I47" s="6" t="n">
        <x:v>-168000</x:v>
      </x:c>
      <x:c r="J47" s="6" t="n">
        <x:v>256000</x:v>
      </x:c>
      <x:c r="K47" s="11" t="n">
        <x:v>11</x:v>
      </x:c>
      <x:c r="L47" s="11" t="n">
        <x:v>89</x:v>
      </x:c>
    </x:row>
    <x:row r="48" ht="25" customHeight="1">
      <x:c r="A48" s="2" t="str">
        <x:v>2026-10-20_Day</x:v>
      </x:c>
      <x:c r="B48" s="2" t="str">
        <x:v>後13場</x:v>
      </x:c>
      <x:c r="C48" s="6" t="n">
        <x:v>509000</x:v>
      </x:c>
      <x:c r="D48" s="6" t="n">
        <x:v>921000</x:v>
      </x:c>
      <x:c r="E48" s="6" t="n">
        <x:f>C48-D48</x:f>
        <x:v>-412000</x:v>
      </x:c>
      <x:c r="F48" s="6" t="n">
        <x:f>F47+E48</x:f>
        <x:v>-11351000</x:v>
      </x:c>
      <x:c r="G48" s="6" t="n">
        <x:v>-75000</x:v>
      </x:c>
      <x:c r="H48" s="6" t="n">
        <x:v>-337000</x:v>
      </x:c>
      <x:c r="I48" s="6" t="n">
        <x:v>-463000</x:v>
      </x:c>
      <x:c r="J48" s="6" t="n">
        <x:v>609000</x:v>
      </x:c>
      <x:c r="K48" s="11" t="n">
        <x:v>9</x:v>
      </x:c>
      <x:c r="L48" s="11" t="n">
        <x:v>120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1105000</x:v>
      </x:c>
      <x:c r="D49" s="6" t="n">
        <x:v>1465000</x:v>
      </x:c>
      <x:c r="E49" s="6" t="n">
        <x:f>C49-D49</x:f>
        <x:v>-360000</x:v>
      </x:c>
      <x:c r="F49" s="6" t="n">
        <x:f>F48+E49</x:f>
        <x:v>-11711000</x:v>
      </x:c>
      <x:c r="G49" s="6" t="n">
        <x:v>115000</x:v>
      </x:c>
      <x:c r="H49" s="6" t="n">
        <x:v>-475000</x:v>
      </x:c>
      <x:c r="I49" s="6" t="n">
        <x:v>-360000</x:v>
      </x:c>
      <x:c r="J49" s="6" t="n">
        <x:v>460000</x:v>
      </x:c>
      <x:c r="K49" s="11" t="n">
        <x:v>23</x:v>
      </x:c>
      <x:c r="L49" s="11" t="n">
        <x:v>134</x:v>
      </x:c>
    </x:row>
    <x:row r="50" ht="25" customHeight="1">
      <x:c r="A50" s="2" t="str">
        <x:v>2026-10-21_Day</x:v>
      </x:c>
      <x:c r="B50" s="2" t="str">
        <x:v>後13場</x:v>
      </x:c>
      <x:c r="C50" s="6" t="n">
        <x:v>497000</x:v>
      </x:c>
      <x:c r="D50" s="6" t="n">
        <x:v>944000</x:v>
      </x:c>
      <x:c r="E50" s="6" t="n">
        <x:f>C50-D50</x:f>
        <x:v>-447000</x:v>
      </x:c>
      <x:c r="F50" s="6" t="n">
        <x:f>F49+E50</x:f>
        <x:v>-12158000</x:v>
      </x:c>
      <x:c r="G50" s="6" t="n">
        <x:v>142000</x:v>
      </x:c>
      <x:c r="H50" s="6" t="n">
        <x:v>-589000</x:v>
      </x:c>
      <x:c r="I50" s="6" t="n">
        <x:v>-589000</x:v>
      </x:c>
      <x:c r="J50" s="6" t="n">
        <x:v>639000</x:v>
      </x:c>
      <x:c r="K50" s="11" t="n">
        <x:v>9</x:v>
      </x:c>
      <x:c r="L50" s="11" t="n">
        <x:v>105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774000</x:v>
      </x:c>
      <x:c r="D51" s="6" t="n">
        <x:v>1048000</x:v>
      </x:c>
      <x:c r="E51" s="6" t="n">
        <x:f>C51-D51</x:f>
        <x:v>-274000</x:v>
      </x:c>
      <x:c r="F51" s="6" t="n">
        <x:f>F50+E51</x:f>
        <x:v>-12432000</x:v>
      </x:c>
      <x:c r="G51" s="6" t="n">
        <x:v>178000</x:v>
      </x:c>
      <x:c r="H51" s="6" t="n">
        <x:v>-452000</x:v>
      </x:c>
      <x:c r="I51" s="6" t="n">
        <x:v>-304000</x:v>
      </x:c>
      <x:c r="J51" s="6" t="n">
        <x:v>304000</x:v>
      </x:c>
      <x:c r="K51" s="11" t="n">
        <x:v>18</x:v>
      </x:c>
      <x:c r="L51" s="11" t="n">
        <x:v>90</x:v>
      </x:c>
    </x:row>
    <x:row r="52" ht="25" customHeight="1">
      <x:c r="A52" s="2" t="str">
        <x:v>2026-10-22_Day</x:v>
      </x:c>
      <x:c r="B52" s="2" t="str">
        <x:v>後13場</x:v>
      </x:c>
      <x:c r="C52" s="6" t="n">
        <x:v>693000</x:v>
      </x:c>
      <x:c r="D52" s="6" t="n">
        <x:v>1861000</x:v>
      </x:c>
      <x:c r="E52" s="6" t="n">
        <x:f>C52-D52</x:f>
        <x:v>-1168000</x:v>
      </x:c>
      <x:c r="F52" s="6" t="n">
        <x:f>F51+E52</x:f>
        <x:v>-13600000</x:v>
      </x:c>
      <x:c r="G52" s="6" t="n">
        <x:v>-1258000</x:v>
      </x:c>
      <x:c r="H52" s="6" t="n">
        <x:v>90000</x:v>
      </x:c>
      <x:c r="I52" s="6" t="n">
        <x:v>-1198000</x:v>
      </x:c>
      <x:c r="J52" s="6" t="n">
        <x:v>1280000</x:v>
      </x:c>
      <x:c r="K52" s="11" t="n">
        <x:v>6</x:v>
      </x:c>
      <x:c r="L52" s="11" t="n">
        <x:v>229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1040000</x:v>
      </x:c>
      <x:c r="D53" s="6" t="n">
        <x:v>1444000</x:v>
      </x:c>
      <x:c r="E53" s="6" t="n">
        <x:f>C53-D53</x:f>
        <x:v>-404000</x:v>
      </x:c>
      <x:c r="F53" s="6" t="n">
        <x:f>F52+E53</x:f>
        <x:v>-14004000</x:v>
      </x:c>
      <x:c r="G53" s="6" t="n">
        <x:v>35000</x:v>
      </x:c>
      <x:c r="H53" s="6" t="n">
        <x:v>-439000</x:v>
      </x:c>
      <x:c r="I53" s="6" t="n">
        <x:v>-423000</x:v>
      </x:c>
      <x:c r="J53" s="6" t="n">
        <x:v>493000</x:v>
      </x:c>
      <x:c r="K53" s="11" t="n">
        <x:v>25</x:v>
      </x:c>
      <x:c r="L53" s="11" t="n">
        <x:v>138</x:v>
      </x:c>
    </x:row>
    <x:row r="54" ht="25" customHeight="1">
      <x:c r="A54" s="2" t="str">
        <x:v>2026-10-23_Day</x:v>
      </x:c>
      <x:c r="B54" s="2" t="str">
        <x:v>後13場</x:v>
      </x:c>
      <x:c r="C54" s="6" t="n">
        <x:v>1936000</x:v>
      </x:c>
      <x:c r="D54" s="6" t="n">
        <x:v>2938000</x:v>
      </x:c>
      <x:c r="E54" s="6" t="n">
        <x:f>C54-D54</x:f>
        <x:v>-1002000</x:v>
      </x:c>
      <x:c r="F54" s="6" t="n">
        <x:f>F53+E54</x:f>
        <x:v>-15006000</x:v>
      </x:c>
      <x:c r="G54" s="6" t="n">
        <x:v>453000</x:v>
      </x:c>
      <x:c r="H54" s="6" t="n">
        <x:v>-1455000</x:v>
      </x:c>
      <x:c r="I54" s="6" t="n">
        <x:v>-1032000</x:v>
      </x:c>
      <x:c r="J54" s="6" t="n">
        <x:v>1357000</x:v>
      </x:c>
      <x:c r="K54" s="11" t="n">
        <x:v>26</x:v>
      </x:c>
      <x:c r="L54" s="11" t="n">
        <x:v>269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495000</x:v>
      </x:c>
      <x:c r="D55" s="6" t="n">
        <x:v>771000</x:v>
      </x:c>
      <x:c r="E55" s="6" t="n">
        <x:f>C55-D55</x:f>
        <x:v>-276000</x:v>
      </x:c>
      <x:c r="F55" s="6" t="n">
        <x:f>F54+E55</x:f>
        <x:v>-15282000</x:v>
      </x:c>
      <x:c r="G55" s="6" t="n">
        <x:v>-87000</x:v>
      </x:c>
      <x:c r="H55" s="6" t="n">
        <x:v>-189000</x:v>
      </x:c>
      <x:c r="I55" s="6" t="n">
        <x:v>-296000</x:v>
      </x:c>
      <x:c r="J55" s="6" t="n">
        <x:v>325000</x:v>
      </x:c>
      <x:c r="K55" s="11" t="n">
        <x:v>13</x:v>
      </x:c>
      <x:c r="L55" s="11" t="n">
        <x:v>74</x:v>
      </x:c>
    </x:row>
    <x:row r="56" ht="25" customHeight="1">
      <x:c r="A56" s="2" t="str">
        <x:v>2026-10-26_Day</x:v>
      </x:c>
      <x:c r="B56" s="2" t="str">
        <x:v>後13場</x:v>
      </x:c>
      <x:c r="C56" s="6" t="n">
        <x:v>684000</x:v>
      </x:c>
      <x:c r="D56" s="6" t="n">
        <x:v>1079000</x:v>
      </x:c>
      <x:c r="E56" s="6" t="n">
        <x:f>C56-D56</x:f>
        <x:v>-395000</x:v>
      </x:c>
      <x:c r="F56" s="6" t="n">
        <x:f>F55+E56</x:f>
        <x:v>-15677000</x:v>
      </x:c>
      <x:c r="G56" s="6" t="n">
        <x:v>-37000</x:v>
      </x:c>
      <x:c r="H56" s="6" t="n">
        <x:v>-358000</x:v>
      </x:c>
      <x:c r="I56" s="6" t="n">
        <x:v>-408000</x:v>
      </x:c>
      <x:c r="J56" s="6" t="n">
        <x:v>408000</x:v>
      </x:c>
      <x:c r="K56" s="11" t="n">
        <x:v>19</x:v>
      </x:c>
      <x:c r="L56" s="11" t="n">
        <x:v>127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653000</x:v>
      </x:c>
      <x:c r="D57" s="6" t="n">
        <x:v>916000</x:v>
      </x:c>
      <x:c r="E57" s="6" t="n">
        <x:f>C57-D57</x:f>
        <x:v>-263000</x:v>
      </x:c>
      <x:c r="F57" s="6" t="n">
        <x:f>F56+E57</x:f>
        <x:v>-15940000</x:v>
      </x:c>
      <x:c r="G57" s="6" t="n">
        <x:v>-301000</x:v>
      </x:c>
      <x:c r="H57" s="6" t="n">
        <x:v>38000</x:v>
      </x:c>
      <x:c r="I57" s="6" t="n">
        <x:v>-283000</x:v>
      </x:c>
      <x:c r="J57" s="6" t="n">
        <x:v>326000</x:v>
      </x:c>
      <x:c r="K57" s="11" t="n">
        <x:v>13</x:v>
      </x:c>
      <x:c r="L57" s="11" t="n">
        <x:v>89</x:v>
      </x:c>
    </x:row>
    <x:row r="58" ht="25" customHeight="1">
      <x:c r="A58" s="2" t="str">
        <x:v>2026-10-27_Day</x:v>
      </x:c>
      <x:c r="B58" s="2" t="str">
        <x:v>後13場</x:v>
      </x:c>
      <x:c r="C58" s="6" t="n">
        <x:v>938000</x:v>
      </x:c>
      <x:c r="D58" s="6" t="n">
        <x:v>408000</x:v>
      </x:c>
      <x:c r="E58" s="6" t="n">
        <x:f>C58-D58</x:f>
        <x:v>530000</x:v>
      </x:c>
      <x:c r="F58" s="6" t="n">
        <x:f>F57+E58</x:f>
        <x:v>-15410000</x:v>
      </x:c>
      <x:c r="G58" s="6" t="n">
        <x:v>880000</x:v>
      </x:c>
      <x:c r="H58" s="6" t="n">
        <x:v>-350000</x:v>
      </x:c>
      <x:c r="I58" s="6" t="n">
        <x:v>-98000</x:v>
      </x:c>
      <x:c r="J58" s="6" t="n">
        <x:v>306000</x:v>
      </x:c>
      <x:c r="K58" s="11" t="n">
        <x:v>9</x:v>
      </x:c>
      <x:c r="L58" s="11" t="n">
        <x:v>56</x:v>
      </x:c>
    </x:row>
    <x:row r="59" ht="25" customHeight="1">
      <x:c r="A59" s="15" t="str">
        <x:v>累計／場内最悪値</x:v>
      </x:c>
      <x:c r="B59" s="15"/>
      <x:c r="C59" s="16" t="n">
        <x:f>SUM(C6:C58)</x:f>
        <x:v>34103000</x:v>
      </x:c>
      <x:c r="D59" s="16" t="n">
        <x:f>SUM(D6:D58)</x:f>
        <x:v>49513000</x:v>
      </x:c>
      <x:c r="E59" s="16" t="n">
        <x:f>C59-D59</x:f>
        <x:v>-15410000</x:v>
      </x:c>
      <x:c r="F59" s="16" t="n">
        <x:f>F58</x:f>
        <x:v>-15410000</x:v>
      </x:c>
      <x:c r="G59" s="16" t="n">
        <x:f>SUM(G6:G58)</x:f>
        <x:v>-4632000</x:v>
      </x:c>
      <x:c r="H59" s="16" t="n">
        <x:f>SUM(H6:H58)</x:f>
        <x:v>-10778000</x:v>
      </x:c>
      <x:c r="I59" s="16" t="n">
        <x:f>MIN(I6:I58)</x:f>
        <x:v>-1344000</x:v>
      </x:c>
      <x:c r="J59" s="16" t="n">
        <x:f>MAX(J6:J58)</x:f>
        <x:v>1444000</x:v>
      </x:c>
      <x:c r="K59" s="17" t="n">
        <x:f>SUM(K6:K58)</x:f>
        <x:v>584</x:v>
      </x:c>
      <x:c r="L59" s="17" t="n">
        <x:f>SUM(L6:L58)</x:f>
        <x:v>5311</x:v>
      </x:c>
    </x:row>
  </x:sheetData>
  <x:conditionalFormatting sqref="E6:I58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b088563933455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H07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段40・利益40起動・追尾20・固定段再交差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202000</x:v>
      </x:c>
      <x:c r="D6" s="6" t="n">
        <x:v>57000</x:v>
      </x:c>
      <x:c r="E6" s="6" t="n">
        <x:f>C6-D6</x:f>
        <x:v>145000</x:v>
      </x:c>
      <x:c r="F6" s="6" t="n">
        <x:f>E6</x:f>
        <x:v>145000</x:v>
      </x:c>
      <x:c r="G6" s="6" t="n">
        <x:v>200000</x:v>
      </x:c>
      <x:c r="H6" s="6" t="n">
        <x:v>-55000</x:v>
      </x:c>
      <x:c r="I6" s="6" t="n">
        <x:v>-61000</x:v>
      </x:c>
      <x:c r="J6" s="6" t="n">
        <x:v>125000</x:v>
      </x:c>
      <x:c r="K6" s="11" t="n">
        <x:v>2</x:v>
      </x:c>
      <x:c r="L6" s="11" t="n">
        <x:v>4</x:v>
      </x:c>
    </x:row>
    <x:row r="7" ht="25" customHeight="1">
      <x:c r="A7" s="2" t="str">
        <x:v>2026-09-21_Night</x:v>
      </x:c>
      <x:c r="B7" s="2" t="str">
        <x:v>前30場</x:v>
      </x:c>
      <x:c r="C7" s="6" t="n">
        <x:v>580000</x:v>
      </x:c>
      <x:c r="D7" s="6" t="n">
        <x:v>810000</x:v>
      </x:c>
      <x:c r="E7" s="6" t="n">
        <x:f>C7-D7</x:f>
        <x:v>-230000</x:v>
      </x:c>
      <x:c r="F7" s="6" t="n">
        <x:f>F6+E7</x:f>
        <x:v>-85000</x:v>
      </x:c>
      <x:c r="G7" s="6" t="n">
        <x:v>-317000</x:v>
      </x:c>
      <x:c r="H7" s="6" t="n">
        <x:v>87000</x:v>
      </x:c>
      <x:c r="I7" s="6" t="n">
        <x:v>-360000</x:v>
      </x:c>
      <x:c r="J7" s="6" t="n">
        <x:v>495000</x:v>
      </x:c>
      <x:c r="K7" s="11" t="n">
        <x:v>7</x:v>
      </x:c>
      <x:c r="L7" s="11" t="n">
        <x:v>22</x:v>
      </x:c>
    </x:row>
    <x:row r="8" ht="25" customHeight="1">
      <x:c r="A8" s="2" t="str">
        <x:v>2026-09-22_Day</x:v>
      </x:c>
      <x:c r="B8" s="2" t="str">
        <x:v>前30場</x:v>
      </x:c>
      <x:c r="C8" s="6" t="n">
        <x:v>166000</x:v>
      </x:c>
      <x:c r="D8" s="6" t="n">
        <x:v>176000</x:v>
      </x:c>
      <x:c r="E8" s="6" t="n">
        <x:f>C8-D8</x:f>
        <x:v>-10000</x:v>
      </x:c>
      <x:c r="F8" s="6" t="n">
        <x:f>F7+E8</x:f>
        <x:v>-95000</x:v>
      </x:c>
      <x:c r="G8" s="6" t="n">
        <x:v>100000</x:v>
      </x:c>
      <x:c r="H8" s="6" t="n">
        <x:v>-110000</x:v>
      </x:c>
      <x:c r="I8" s="6" t="n">
        <x:v>-275000</x:v>
      </x:c>
      <x:c r="J8" s="6" t="n">
        <x:v>355000</x:v>
      </x:c>
      <x:c r="K8" s="11" t="n">
        <x:v>1</x:v>
      </x:c>
      <x:c r="L8" s="11" t="n">
        <x:v>25</x:v>
      </x:c>
    </x:row>
    <x:row r="9" ht="25" customHeight="1">
      <x:c r="A9" s="2" t="str">
        <x:v>2026-09-22_Night</x:v>
      </x:c>
      <x:c r="B9" s="2" t="str">
        <x:v>前30場</x:v>
      </x:c>
      <x:c r="C9" s="6" t="n">
        <x:v>631000</x:v>
      </x:c>
      <x:c r="D9" s="6" t="n">
        <x:v>959000</x:v>
      </x:c>
      <x:c r="E9" s="6" t="n">
        <x:f>C9-D9</x:f>
        <x:v>-328000</x:v>
      </x:c>
      <x:c r="F9" s="6" t="n">
        <x:f>F8+E9</x:f>
        <x:v>-423000</x:v>
      </x:c>
      <x:c r="G9" s="6" t="n">
        <x:v>-314000</x:v>
      </x:c>
      <x:c r="H9" s="6" t="n">
        <x:v>-14000</x:v>
      </x:c>
      <x:c r="I9" s="6" t="n">
        <x:v>-498000</x:v>
      </x:c>
      <x:c r="J9" s="6" t="n">
        <x:v>628000</x:v>
      </x:c>
      <x:c r="K9" s="11" t="n">
        <x:v>9</x:v>
      </x:c>
      <x:c r="L9" s="11" t="n">
        <x:v>29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-423000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602000</x:v>
      </x:c>
      <x:c r="D11" s="6" t="n">
        <x:v>1070000</x:v>
      </x:c>
      <x:c r="E11" s="6" t="n">
        <x:f>C11-D11</x:f>
        <x:v>-468000</x:v>
      </x:c>
      <x:c r="F11" s="6" t="n">
        <x:f>F10+E11</x:f>
        <x:v>-891000</x:v>
      </x:c>
      <x:c r="G11" s="6" t="n">
        <x:v>-529000</x:v>
      </x:c>
      <x:c r="H11" s="6" t="n">
        <x:v>61000</x:v>
      </x:c>
      <x:c r="I11" s="6" t="n">
        <x:v>-468000</x:v>
      </x:c>
      <x:c r="J11" s="6" t="n">
        <x:v>528000</x:v>
      </x:c>
      <x:c r="K11" s="11" t="n">
        <x:v>8</x:v>
      </x:c>
      <x:c r="L11" s="11" t="n">
        <x:v>15</x:v>
      </x:c>
    </x:row>
    <x:row r="12" ht="25" customHeight="1">
      <x:c r="A12" s="2" t="str">
        <x:v>2026-09-24_Day</x:v>
      </x:c>
      <x:c r="B12" s="2" t="str">
        <x:v>前30場</x:v>
      </x:c>
      <x:c r="C12" s="6" t="n">
        <x:v>415000</x:v>
      </x:c>
      <x:c r="D12" s="6" t="n">
        <x:v>355000</x:v>
      </x:c>
      <x:c r="E12" s="6" t="n">
        <x:f>C12-D12</x:f>
        <x:v>60000</x:v>
      </x:c>
      <x:c r="F12" s="6" t="n">
        <x:f>F11+E12</x:f>
        <x:v>-831000</x:v>
      </x:c>
      <x:c r="G12" s="6" t="n">
        <x:v>297000</x:v>
      </x:c>
      <x:c r="H12" s="6" t="n">
        <x:v>-237000</x:v>
      </x:c>
      <x:c r="I12" s="6" t="n">
        <x:v>-314000</x:v>
      </x:c>
      <x:c r="J12" s="6" t="n">
        <x:v>314000</x:v>
      </x:c>
      <x:c r="K12" s="11" t="n">
        <x:v>4</x:v>
      </x:c>
      <x:c r="L12" s="11" t="n">
        <x:v>45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475000</x:v>
      </x:c>
      <x:c r="D13" s="6" t="n">
        <x:v>721000</x:v>
      </x:c>
      <x:c r="E13" s="6" t="n">
        <x:f>C13-D13</x:f>
        <x:v>-246000</x:v>
      </x:c>
      <x:c r="F13" s="6" t="n">
        <x:f>F12+E13</x:f>
        <x:v>-1077000</x:v>
      </x:c>
      <x:c r="G13" s="6" t="n">
        <x:v>-281000</x:v>
      </x:c>
      <x:c r="H13" s="6" t="n">
        <x:v>35000</x:v>
      </x:c>
      <x:c r="I13" s="6" t="n">
        <x:v>-266000</x:v>
      </x:c>
      <x:c r="J13" s="6" t="n">
        <x:v>346000</x:v>
      </x:c>
      <x:c r="K13" s="11" t="n">
        <x:v>9</x:v>
      </x:c>
      <x:c r="L13" s="11" t="n">
        <x:v>24</x:v>
      </x:c>
    </x:row>
    <x:row r="14" ht="25" customHeight="1">
      <x:c r="A14" s="2" t="str">
        <x:v>2026-09-25_Day</x:v>
      </x:c>
      <x:c r="B14" s="2" t="str">
        <x:v>前30場</x:v>
      </x:c>
      <x:c r="C14" s="6" t="n">
        <x:v>156000</x:v>
      </x:c>
      <x:c r="D14" s="6" t="n">
        <x:v>700000</x:v>
      </x:c>
      <x:c r="E14" s="6" t="n">
        <x:f>C14-D14</x:f>
        <x:v>-544000</x:v>
      </x:c>
      <x:c r="F14" s="6" t="n">
        <x:f>F13+E14</x:f>
        <x:v>-1621000</x:v>
      </x:c>
      <x:c r="G14" s="6" t="n">
        <x:v>-646000</x:v>
      </x:c>
      <x:c r="H14" s="6" t="n">
        <x:v>102000</x:v>
      </x:c>
      <x:c r="I14" s="6" t="n">
        <x:v>-664000</x:v>
      </x:c>
      <x:c r="J14" s="6" t="n">
        <x:v>734000</x:v>
      </x:c>
      <x:c r="K14" s="11" t="n">
        <x:v>2</x:v>
      </x:c>
      <x:c r="L14" s="11" t="n">
        <x:v>23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481000</x:v>
      </x:c>
      <x:c r="D15" s="6" t="n">
        <x:v>675000</x:v>
      </x:c>
      <x:c r="E15" s="6" t="n">
        <x:f>C15-D15</x:f>
        <x:v>-194000</x:v>
      </x:c>
      <x:c r="F15" s="6" t="n">
        <x:f>F14+E15</x:f>
        <x:v>-1815000</x:v>
      </x:c>
      <x:c r="G15" s="6" t="n">
        <x:v>-242000</x:v>
      </x:c>
      <x:c r="H15" s="6" t="n">
        <x:v>48000</x:v>
      </x:c>
      <x:c r="I15" s="6" t="n">
        <x:v>-214000</x:v>
      </x:c>
      <x:c r="J15" s="6" t="n">
        <x:v>214000</x:v>
      </x:c>
      <x:c r="K15" s="11" t="n">
        <x:v>11</x:v>
      </x:c>
      <x:c r="L15" s="11" t="n">
        <x:v>23</x:v>
      </x:c>
    </x:row>
    <x:row r="16" ht="25" customHeight="1">
      <x:c r="A16" s="2" t="str">
        <x:v>2026-09-28_Day</x:v>
      </x:c>
      <x:c r="B16" s="2" t="str">
        <x:v>前30場</x:v>
      </x:c>
      <x:c r="C16" s="6" t="n">
        <x:v>493000</x:v>
      </x:c>
      <x:c r="D16" s="6" t="n">
        <x:v>376000</x:v>
      </x:c>
      <x:c r="E16" s="6" t="n">
        <x:f>C16-D16</x:f>
        <x:v>117000</x:v>
      </x:c>
      <x:c r="F16" s="6" t="n">
        <x:f>F15+E16</x:f>
        <x:v>-1698000</x:v>
      </x:c>
      <x:c r="G16" s="6" t="n">
        <x:v>368000</x:v>
      </x:c>
      <x:c r="H16" s="6" t="n">
        <x:v>-251000</x:v>
      </x:c>
      <x:c r="I16" s="6" t="n">
        <x:v>-339000</x:v>
      </x:c>
      <x:c r="J16" s="6" t="n">
        <x:v>350000</x:v>
      </x:c>
      <x:c r="K16" s="11" t="n">
        <x:v>5</x:v>
      </x:c>
      <x:c r="L16" s="11" t="n">
        <x:v>45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835000</x:v>
      </x:c>
      <x:c r="D17" s="6" t="n">
        <x:v>670000</x:v>
      </x:c>
      <x:c r="E17" s="6" t="n">
        <x:f>C17-D17</x:f>
        <x:v>165000</x:v>
      </x:c>
      <x:c r="F17" s="6" t="n">
        <x:f>F16+E17</x:f>
        <x:v>-1533000</x:v>
      </x:c>
      <x:c r="G17" s="6" t="n">
        <x:v>512000</x:v>
      </x:c>
      <x:c r="H17" s="6" t="n">
        <x:v>-347000</x:v>
      </x:c>
      <x:c r="I17" s="6" t="n">
        <x:v>-178000</x:v>
      </x:c>
      <x:c r="J17" s="6" t="n">
        <x:v>199000</x:v>
      </x:c>
      <x:c r="K17" s="11" t="n">
        <x:v>16</x:v>
      </x:c>
      <x:c r="L17" s="11" t="n">
        <x:v>48</x:v>
      </x:c>
    </x:row>
    <x:row r="18" ht="25" customHeight="1">
      <x:c r="A18" s="2" t="str">
        <x:v>2026-09-29_Day</x:v>
      </x:c>
      <x:c r="B18" s="2" t="str">
        <x:v>前30場</x:v>
      </x:c>
      <x:c r="C18" s="6" t="n">
        <x:v>606000</x:v>
      </x:c>
      <x:c r="D18" s="6" t="n">
        <x:v>544000</x:v>
      </x:c>
      <x:c r="E18" s="6" t="n">
        <x:f>C18-D18</x:f>
        <x:v>62000</x:v>
      </x:c>
      <x:c r="F18" s="6" t="n">
        <x:f>F17+E18</x:f>
        <x:v>-1471000</x:v>
      </x:c>
      <x:c r="G18" s="6" t="n">
        <x:v>-10000</x:v>
      </x:c>
      <x:c r="H18" s="6" t="n">
        <x:v>72000</x:v>
      </x:c>
      <x:c r="I18" s="6" t="n">
        <x:v>-548000</x:v>
      </x:c>
      <x:c r="J18" s="6" t="n">
        <x:v>662000</x:v>
      </x:c>
      <x:c r="K18" s="11" t="n">
        <x:v>7</x:v>
      </x:c>
      <x:c r="L18" s="11" t="n">
        <x:v>59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819000</x:v>
      </x:c>
      <x:c r="D19" s="6" t="n">
        <x:v>871000</x:v>
      </x:c>
      <x:c r="E19" s="6" t="n">
        <x:f>C19-D19</x:f>
        <x:v>-52000</x:v>
      </x:c>
      <x:c r="F19" s="6" t="n">
        <x:f>F18+E19</x:f>
        <x:v>-1523000</x:v>
      </x:c>
      <x:c r="G19" s="6" t="n">
        <x:v>93000</x:v>
      </x:c>
      <x:c r="H19" s="6" t="n">
        <x:v>-145000</x:v>
      </x:c>
      <x:c r="I19" s="6" t="n">
        <x:v>-97000</x:v>
      </x:c>
      <x:c r="J19" s="6" t="n">
        <x:v>174000</x:v>
      </x:c>
      <x:c r="K19" s="11" t="n">
        <x:v>17</x:v>
      </x:c>
      <x:c r="L19" s="11" t="n">
        <x:v>48</x:v>
      </x:c>
    </x:row>
    <x:row r="20" ht="25" customHeight="1">
      <x:c r="A20" s="2" t="str">
        <x:v>2026-09-30_Day</x:v>
      </x:c>
      <x:c r="B20" s="2" t="str">
        <x:v>前30場</x:v>
      </x:c>
      <x:c r="C20" s="6" t="n">
        <x:v>301000</x:v>
      </x:c>
      <x:c r="D20" s="6" t="n">
        <x:v>706000</x:v>
      </x:c>
      <x:c r="E20" s="6" t="n">
        <x:f>C20-D20</x:f>
        <x:v>-405000</x:v>
      </x:c>
      <x:c r="F20" s="6" t="n">
        <x:f>F19+E20</x:f>
        <x:v>-1928000</x:v>
      </x:c>
      <x:c r="G20" s="6" t="n">
        <x:v>-420000</x:v>
      </x:c>
      <x:c r="H20" s="6" t="n">
        <x:v>15000</x:v>
      </x:c>
      <x:c r="I20" s="6" t="n">
        <x:v>-405000</x:v>
      </x:c>
      <x:c r="J20" s="6" t="n">
        <x:v>545000</x:v>
      </x:c>
      <x:c r="K20" s="11" t="n">
        <x:v>3</x:v>
      </x:c>
      <x:c r="L20" s="11" t="n">
        <x:v>27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711000</x:v>
      </x:c>
      <x:c r="D21" s="6" t="n">
        <x:v>1017000</x:v>
      </x:c>
      <x:c r="E21" s="6" t="n">
        <x:f>C21-D21</x:f>
        <x:v>-306000</x:v>
      </x:c>
      <x:c r="F21" s="6" t="n">
        <x:f>F20+E21</x:f>
        <x:v>-2234000</x:v>
      </x:c>
      <x:c r="G21" s="6" t="n">
        <x:v>-119000</x:v>
      </x:c>
      <x:c r="H21" s="6" t="n">
        <x:v>-187000</x:v>
      </x:c>
      <x:c r="I21" s="6" t="n">
        <x:v>-432000</x:v>
      </x:c>
      <x:c r="J21" s="6" t="n">
        <x:v>432000</x:v>
      </x:c>
      <x:c r="K21" s="11" t="n">
        <x:v>16</x:v>
      </x:c>
      <x:c r="L21" s="11" t="n">
        <x:v>55</x:v>
      </x:c>
    </x:row>
    <x:row r="22" ht="25" customHeight="1">
      <x:c r="A22" s="2" t="str">
        <x:v>2026-10-01_Day</x:v>
      </x:c>
      <x:c r="B22" s="2" t="str">
        <x:v>前30場</x:v>
      </x:c>
      <x:c r="C22" s="6" t="n">
        <x:v>271000</x:v>
      </x:c>
      <x:c r="D22" s="6" t="n">
        <x:v>1686000</x:v>
      </x:c>
      <x:c r="E22" s="6" t="n">
        <x:f>C22-D22</x:f>
        <x:v>-1415000</x:v>
      </x:c>
      <x:c r="F22" s="6" t="n">
        <x:f>F21+E22</x:f>
        <x:v>-3649000</x:v>
      </x:c>
      <x:c r="G22" s="6" t="n">
        <x:v>-1454000</x:v>
      </x:c>
      <x:c r="H22" s="6" t="n">
        <x:v>39000</x:v>
      </x:c>
      <x:c r="I22" s="6" t="n">
        <x:v>-1615000</x:v>
      </x:c>
      <x:c r="J22" s="6" t="n">
        <x:v>1707000</x:v>
      </x:c>
      <x:c r="K22" s="11" t="n">
        <x:v>3</x:v>
      </x:c>
      <x:c r="L22" s="11" t="n">
        <x:v>36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973000</x:v>
      </x:c>
      <x:c r="D23" s="6" t="n">
        <x:v>1003000</x:v>
      </x:c>
      <x:c r="E23" s="6" t="n">
        <x:f>C23-D23</x:f>
        <x:v>-30000</x:v>
      </x:c>
      <x:c r="F23" s="6" t="n">
        <x:f>F22+E23</x:f>
        <x:v>-3679000</x:v>
      </x:c>
      <x:c r="G23" s="6" t="n">
        <x:v>2000</x:v>
      </x:c>
      <x:c r="H23" s="6" t="n">
        <x:v>-32000</x:v>
      </x:c>
      <x:c r="I23" s="6" t="n">
        <x:v>-200000</x:v>
      </x:c>
      <x:c r="J23" s="6" t="n">
        <x:v>310000</x:v>
      </x:c>
      <x:c r="K23" s="11" t="n">
        <x:v>17</x:v>
      </x:c>
      <x:c r="L23" s="11" t="n">
        <x:v>35</x:v>
      </x:c>
    </x:row>
    <x:row r="24" ht="25" customHeight="1">
      <x:c r="A24" s="2" t="str">
        <x:v>2026-10-02_Day</x:v>
      </x:c>
      <x:c r="B24" s="2" t="str">
        <x:v>前30場</x:v>
      </x:c>
      <x:c r="C24" s="6" t="n">
        <x:v>331000</x:v>
      </x:c>
      <x:c r="D24" s="6" t="n">
        <x:v>495000</x:v>
      </x:c>
      <x:c r="E24" s="6" t="n">
        <x:f>C24-D24</x:f>
        <x:v>-164000</x:v>
      </x:c>
      <x:c r="F24" s="6" t="n">
        <x:f>F23+E24</x:f>
        <x:v>-3843000</x:v>
      </x:c>
      <x:c r="G24" s="6" t="n">
        <x:v>60000</x:v>
      </x:c>
      <x:c r="H24" s="6" t="n">
        <x:v>-224000</x:v>
      </x:c>
      <x:c r="I24" s="6" t="n">
        <x:v>-298000</x:v>
      </x:c>
      <x:c r="J24" s="6" t="n">
        <x:v>369000</x:v>
      </x:c>
      <x:c r="K24" s="11" t="n">
        <x:v>5</x:v>
      </x:c>
      <x:c r="L24" s="11" t="n">
        <x:v>44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1001000</x:v>
      </x:c>
      <x:c r="D25" s="6" t="n">
        <x:v>1166000</x:v>
      </x:c>
      <x:c r="E25" s="6" t="n">
        <x:f>C25-D25</x:f>
        <x:v>-165000</x:v>
      </x:c>
      <x:c r="F25" s="6" t="n">
        <x:f>F24+E25</x:f>
        <x:v>-4008000</x:v>
      </x:c>
      <x:c r="G25" s="6" t="n">
        <x:v>-218000</x:v>
      </x:c>
      <x:c r="H25" s="6" t="n">
        <x:v>53000</x:v>
      </x:c>
      <x:c r="I25" s="6" t="n">
        <x:v>-475000</x:v>
      </x:c>
      <x:c r="J25" s="6" t="n">
        <x:v>531000</x:v>
      </x:c>
      <x:c r="K25" s="11" t="n">
        <x:v>18</x:v>
      </x:c>
      <x:c r="L25" s="11" t="n">
        <x:v>23</x:v>
      </x:c>
    </x:row>
    <x:row r="26" ht="25" customHeight="1">
      <x:c r="A26" s="2" t="str">
        <x:v>2026-10-05_Day</x:v>
      </x:c>
      <x:c r="B26" s="2" t="str">
        <x:v>前30場</x:v>
      </x:c>
      <x:c r="C26" s="6" t="n">
        <x:v>330000</x:v>
      </x:c>
      <x:c r="D26" s="6" t="n">
        <x:v>546000</x:v>
      </x:c>
      <x:c r="E26" s="6" t="n">
        <x:f>C26-D26</x:f>
        <x:v>-216000</x:v>
      </x:c>
      <x:c r="F26" s="6" t="n">
        <x:f>F25+E26</x:f>
        <x:v>-4224000</x:v>
      </x:c>
      <x:c r="G26" s="6" t="n">
        <x:v>-122000</x:v>
      </x:c>
      <x:c r="H26" s="6" t="n">
        <x:v>-94000</x:v>
      </x:c>
      <x:c r="I26" s="6" t="n">
        <x:v>-304000</x:v>
      </x:c>
      <x:c r="J26" s="6" t="n">
        <x:v>354000</x:v>
      </x:c>
      <x:c r="K26" s="11" t="n">
        <x:v>3</x:v>
      </x:c>
      <x:c r="L26" s="11" t="n">
        <x:v>46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529000</x:v>
      </x:c>
      <x:c r="D27" s="6" t="n">
        <x:v>697000</x:v>
      </x:c>
      <x:c r="E27" s="6" t="n">
        <x:f>C27-D27</x:f>
        <x:v>-168000</x:v>
      </x:c>
      <x:c r="F27" s="6" t="n">
        <x:f>F26+E27</x:f>
        <x:v>-4392000</x:v>
      </x:c>
      <x:c r="G27" s="6" t="n">
        <x:v>-94000</x:v>
      </x:c>
      <x:c r="H27" s="6" t="n">
        <x:v>-74000</x:v>
      </x:c>
      <x:c r="I27" s="6" t="n">
        <x:v>-298000</x:v>
      </x:c>
      <x:c r="J27" s="6" t="n">
        <x:v>318000</x:v>
      </x:c>
      <x:c r="K27" s="11" t="n">
        <x:v>10</x:v>
      </x:c>
      <x:c r="L27" s="11" t="n">
        <x:v>57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102000</x:v>
      </x:c>
      <x:c r="D28" s="6" t="n">
        <x:v>64000</x:v>
      </x:c>
      <x:c r="E28" s="6" t="n">
        <x:f>C28-D28</x:f>
        <x:v>38000</x:v>
      </x:c>
      <x:c r="F28" s="6" t="n">
        <x:f>F27+E28</x:f>
        <x:v>-4354000</x:v>
      </x:c>
      <x:c r="G28" s="6" t="n">
        <x:v>100000</x:v>
      </x:c>
      <x:c r="H28" s="6" t="n">
        <x:v>-62000</x:v>
      </x:c>
      <x:c r="I28" s="6" t="n">
        <x:v>-155000</x:v>
      </x:c>
      <x:c r="J28" s="6" t="n">
        <x:v>155000</x:v>
      </x:c>
      <x:c r="K28" s="11" t="n">
        <x:v>1</x:v>
      </x:c>
      <x:c r="L28" s="11" t="n">
        <x:v>4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548000</x:v>
      </x:c>
      <x:c r="D29" s="6" t="n">
        <x:v>579000</x:v>
      </x:c>
      <x:c r="E29" s="6" t="n">
        <x:f>C29-D29</x:f>
        <x:v>-31000</x:v>
      </x:c>
      <x:c r="F29" s="6" t="n">
        <x:f>F28+E29</x:f>
        <x:v>-4385000</x:v>
      </x:c>
      <x:c r="G29" s="6" t="n">
        <x:v>-30000</x:v>
      </x:c>
      <x:c r="H29" s="6" t="n">
        <x:v>-1000</x:v>
      </x:c>
      <x:c r="I29" s="6" t="n">
        <x:v>-177000</x:v>
      </x:c>
      <x:c r="J29" s="6" t="n">
        <x:v>215000</x:v>
      </x:c>
      <x:c r="K29" s="11" t="n">
        <x:v>10</x:v>
      </x:c>
      <x:c r="L29" s="11" t="n">
        <x:v>29</x:v>
      </x:c>
    </x:row>
    <x:row r="30" ht="25" customHeight="1">
      <x:c r="A30" s="2" t="str">
        <x:v>2026-10-07_Day</x:v>
      </x:c>
      <x:c r="B30" s="2" t="str">
        <x:v>前30場</x:v>
      </x:c>
      <x:c r="C30" s="6" t="n">
        <x:v>182000</x:v>
      </x:c>
      <x:c r="D30" s="6" t="n">
        <x:v>78000</x:v>
      </x:c>
      <x:c r="E30" s="6" t="n">
        <x:f>C30-D30</x:f>
        <x:v>104000</x:v>
      </x:c>
      <x:c r="F30" s="6" t="n">
        <x:f>F29+E30</x:f>
        <x:v>-4281000</x:v>
      </x:c>
      <x:c r="G30" s="6" t="n">
        <x:v>180000</x:v>
      </x:c>
      <x:c r="H30" s="6" t="n">
        <x:v>-76000</x:v>
      </x:c>
      <x:c r="I30" s="6" t="n">
        <x:v>-98000</x:v>
      </x:c>
      <x:c r="J30" s="6" t="n">
        <x:v>168000</x:v>
      </x:c>
      <x:c r="K30" s="11" t="n">
        <x:v>2</x:v>
      </x:c>
      <x:c r="L30" s="11" t="n">
        <x:v>5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776000</x:v>
      </x:c>
      <x:c r="D31" s="6" t="n">
        <x:v>930000</x:v>
      </x:c>
      <x:c r="E31" s="6" t="n">
        <x:f>C31-D31</x:f>
        <x:v>-154000</x:v>
      </x:c>
      <x:c r="F31" s="6" t="n">
        <x:f>F30+E31</x:f>
        <x:v>-4435000</x:v>
      </x:c>
      <x:c r="G31" s="6" t="n">
        <x:v>-207000</x:v>
      </x:c>
      <x:c r="H31" s="6" t="n">
        <x:v>53000</x:v>
      </x:c>
      <x:c r="I31" s="6" t="n">
        <x:v>-164000</x:v>
      </x:c>
      <x:c r="J31" s="6" t="n">
        <x:v>184000</x:v>
      </x:c>
      <x:c r="K31" s="11" t="n">
        <x:v>12</x:v>
      </x:c>
      <x:c r="L31" s="11" t="n">
        <x:v>16</x:v>
      </x:c>
    </x:row>
    <x:row r="32" ht="25" customHeight="1">
      <x:c r="A32" s="2" t="str">
        <x:v>2026-10-08_Day</x:v>
      </x:c>
      <x:c r="B32" s="2" t="str">
        <x:v>前30場</x:v>
      </x:c>
      <x:c r="C32" s="6" t="n">
        <x:v>524000</x:v>
      </x:c>
      <x:c r="D32" s="6" t="n">
        <x:v>1143000</x:v>
      </x:c>
      <x:c r="E32" s="6" t="n">
        <x:f>C32-D32</x:f>
        <x:v>-619000</x:v>
      </x:c>
      <x:c r="F32" s="6" t="n">
        <x:f>F31+E32</x:f>
        <x:v>-5054000</x:v>
      </x:c>
      <x:c r="G32" s="6" t="n">
        <x:v>-840000</x:v>
      </x:c>
      <x:c r="H32" s="6" t="n">
        <x:v>221000</x:v>
      </x:c>
      <x:c r="I32" s="6" t="n">
        <x:v>-619000</x:v>
      </x:c>
      <x:c r="J32" s="6" t="n">
        <x:v>826000</x:v>
      </x:c>
      <x:c r="K32" s="11" t="n">
        <x:v>4</x:v>
      </x:c>
      <x:c r="L32" s="11" t="n">
        <x:v>70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1514000</x:v>
      </x:c>
      <x:c r="D33" s="6" t="n">
        <x:v>1768000</x:v>
      </x:c>
      <x:c r="E33" s="6" t="n">
        <x:f>C33-D33</x:f>
        <x:v>-254000</x:v>
      </x:c>
      <x:c r="F33" s="6" t="n">
        <x:f>F32+E33</x:f>
        <x:v>-5308000</x:v>
      </x:c>
      <x:c r="G33" s="6" t="n">
        <x:v>-95000</x:v>
      </x:c>
      <x:c r="H33" s="6" t="n">
        <x:v>-159000</x:v>
      </x:c>
      <x:c r="I33" s="6" t="n">
        <x:v>-254000</x:v>
      </x:c>
      <x:c r="J33" s="6" t="n">
        <x:v>406000</x:v>
      </x:c>
      <x:c r="K33" s="11" t="n">
        <x:v>30</x:v>
      </x:c>
      <x:c r="L33" s="11" t="n">
        <x:v>84</x:v>
      </x:c>
    </x:row>
    <x:row r="34" ht="25" customHeight="1">
      <x:c r="A34" s="2" t="str">
        <x:v>2026-10-09_Day</x:v>
      </x:c>
      <x:c r="B34" s="2" t="str">
        <x:v>前30場</x:v>
      </x:c>
      <x:c r="C34" s="6" t="n">
        <x:v>629000</x:v>
      </x:c>
      <x:c r="D34" s="6" t="n">
        <x:v>1387000</x:v>
      </x:c>
      <x:c r="E34" s="6" t="n">
        <x:f>C34-D34</x:f>
        <x:v>-758000</x:v>
      </x:c>
      <x:c r="F34" s="6" t="n">
        <x:f>F33+E34</x:f>
        <x:v>-6066000</x:v>
      </x:c>
      <x:c r="G34" s="6" t="n">
        <x:v>-530000</x:v>
      </x:c>
      <x:c r="H34" s="6" t="n">
        <x:v>-228000</x:v>
      </x:c>
      <x:c r="I34" s="6" t="n">
        <x:v>-808000</x:v>
      </x:c>
      <x:c r="J34" s="6" t="n">
        <x:v>906000</x:v>
      </x:c>
      <x:c r="K34" s="11" t="n">
        <x:v>8</x:v>
      </x:c>
      <x:c r="L34" s="11" t="n">
        <x:v>77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509000</x:v>
      </x:c>
      <x:c r="D35" s="6" t="n">
        <x:v>470000</x:v>
      </x:c>
      <x:c r="E35" s="6" t="n">
        <x:f>C35-D35</x:f>
        <x:v>39000</x:v>
      </x:c>
      <x:c r="F35" s="6" t="n">
        <x:f>F34+E35</x:f>
        <x:v>-6027000</x:v>
      </x:c>
      <x:c r="G35" s="6" t="n">
        <x:v>-27000</x:v>
      </x:c>
      <x:c r="H35" s="6" t="n">
        <x:v>66000</x:v>
      </x:c>
      <x:c r="I35" s="6" t="n">
        <x:v>-121000</x:v>
      </x:c>
      <x:c r="J35" s="6" t="n">
        <x:v>178000</x:v>
      </x:c>
      <x:c r="K35" s="11" t="n">
        <x:v>13</x:v>
      </x:c>
      <x:c r="L35" s="11" t="n">
        <x:v>22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-6027000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632000</x:v>
      </x:c>
      <x:c r="D37" s="6" t="n">
        <x:v>820000</x:v>
      </x:c>
      <x:c r="E37" s="6" t="n">
        <x:f>C37-D37</x:f>
        <x:v>-188000</x:v>
      </x:c>
      <x:c r="F37" s="6" t="n">
        <x:f>F36+E37</x:f>
        <x:v>-6215000</x:v>
      </x:c>
      <x:c r="G37" s="6" t="n">
        <x:v>-244000</x:v>
      </x:c>
      <x:c r="H37" s="6" t="n">
        <x:v>56000</x:v>
      </x:c>
      <x:c r="I37" s="6" t="n">
        <x:v>-218000</x:v>
      </x:c>
      <x:c r="J37" s="6" t="n">
        <x:v>228000</x:v>
      </x:c>
      <x:c r="K37" s="11" t="n">
        <x:v>11</x:v>
      </x:c>
      <x:c r="L37" s="11" t="n">
        <x:v>19</x:v>
      </x:c>
    </x:row>
    <x:row r="38" ht="25" customHeight="1">
      <x:c r="A38" s="2" t="str">
        <x:v>2026-10-13_Day</x:v>
      </x:c>
      <x:c r="B38" s="2" t="str">
        <x:v>次10場</x:v>
      </x:c>
      <x:c r="C38" s="6" t="n">
        <x:v>533000</x:v>
      </x:c>
      <x:c r="D38" s="6" t="n">
        <x:v>460000</x:v>
      </x:c>
      <x:c r="E38" s="6" t="n">
        <x:f>C38-D38</x:f>
        <x:v>73000</x:v>
      </x:c>
      <x:c r="F38" s="6" t="n">
        <x:f>F37+E38</x:f>
        <x:v>-6142000</x:v>
      </x:c>
      <x:c r="G38" s="6" t="n">
        <x:v>474000</x:v>
      </x:c>
      <x:c r="H38" s="6" t="n">
        <x:v>-401000</x:v>
      </x:c>
      <x:c r="I38" s="6" t="n">
        <x:v>-243000</x:v>
      </x:c>
      <x:c r="J38" s="6" t="n">
        <x:v>260000</x:v>
      </x:c>
      <x:c r="K38" s="11" t="n">
        <x:v>6</x:v>
      </x:c>
      <x:c r="L38" s="11" t="n">
        <x:v>34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458000</x:v>
      </x:c>
      <x:c r="D39" s="6" t="n">
        <x:v>495000</x:v>
      </x:c>
      <x:c r="E39" s="6" t="n">
        <x:f>C39-D39</x:f>
        <x:v>-37000</x:v>
      </x:c>
      <x:c r="F39" s="6" t="n">
        <x:f>F38+E39</x:f>
        <x:v>-6179000</x:v>
      </x:c>
      <x:c r="G39" s="6" t="n">
        <x:v>21000</x:v>
      </x:c>
      <x:c r="H39" s="6" t="n">
        <x:v>-58000</x:v>
      </x:c>
      <x:c r="I39" s="6" t="n">
        <x:v>-106000</x:v>
      </x:c>
      <x:c r="J39" s="6" t="n">
        <x:v>106000</x:v>
      </x:c>
      <x:c r="K39" s="11" t="n">
        <x:v>9</x:v>
      </x:c>
      <x:c r="L39" s="11" t="n">
        <x:v>55</x:v>
      </x:c>
    </x:row>
    <x:row r="40" ht="25" customHeight="1">
      <x:c r="A40" s="2" t="str">
        <x:v>2026-10-14_Day</x:v>
      </x:c>
      <x:c r="B40" s="2" t="str">
        <x:v>次10場</x:v>
      </x:c>
      <x:c r="C40" s="6" t="n">
        <x:v>546000</x:v>
      </x:c>
      <x:c r="D40" s="6" t="n">
        <x:v>648000</x:v>
      </x:c>
      <x:c r="E40" s="6" t="n">
        <x:f>C40-D40</x:f>
        <x:v>-102000</x:v>
      </x:c>
      <x:c r="F40" s="6" t="n">
        <x:f>F39+E40</x:f>
        <x:v>-6281000</x:v>
      </x:c>
      <x:c r="G40" s="6" t="n">
        <x:v>154000</x:v>
      </x:c>
      <x:c r="H40" s="6" t="n">
        <x:v>-256000</x:v>
      </x:c>
      <x:c r="I40" s="6" t="n">
        <x:v>-286000</x:v>
      </x:c>
      <x:c r="J40" s="6" t="n">
        <x:v>459000</x:v>
      </x:c>
      <x:c r="K40" s="11" t="n">
        <x:v>5</x:v>
      </x:c>
      <x:c r="L40" s="11" t="n">
        <x:v>64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1423000</x:v>
      </x:c>
      <x:c r="D41" s="6" t="n">
        <x:v>2072000</x:v>
      </x:c>
      <x:c r="E41" s="6" t="n">
        <x:f>C41-D41</x:f>
        <x:v>-649000</x:v>
      </x:c>
      <x:c r="F41" s="6" t="n">
        <x:f>F40+E41</x:f>
        <x:v>-6930000</x:v>
      </x:c>
      <x:c r="G41" s="6" t="n">
        <x:v>-494000</x:v>
      </x:c>
      <x:c r="H41" s="6" t="n">
        <x:v>-155000</x:v>
      </x:c>
      <x:c r="I41" s="6" t="n">
        <x:v>-679000</x:v>
      </x:c>
      <x:c r="J41" s="6" t="n">
        <x:v>689000</x:v>
      </x:c>
      <x:c r="K41" s="11" t="n">
        <x:v>20</x:v>
      </x:c>
      <x:c r="L41" s="11" t="n">
        <x:v>49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1194000</x:v>
      </x:c>
      <x:c r="D42" s="6" t="n">
        <x:v>1273000</x:v>
      </x:c>
      <x:c r="E42" s="6" t="n">
        <x:f>C42-D42</x:f>
        <x:v>-79000</x:v>
      </x:c>
      <x:c r="F42" s="6" t="n">
        <x:f>F41+E42</x:f>
        <x:v>-7009000</x:v>
      </x:c>
      <x:c r="G42" s="6" t="n">
        <x:v>-76000</x:v>
      </x:c>
      <x:c r="H42" s="6" t="n">
        <x:v>-3000</x:v>
      </x:c>
      <x:c r="I42" s="6" t="n">
        <x:v>-989000</x:v>
      </x:c>
      <x:c r="J42" s="6" t="n">
        <x:v>1246000</x:v>
      </x:c>
      <x:c r="K42" s="11" t="n">
        <x:v>13</x:v>
      </x:c>
      <x:c r="L42" s="11" t="n">
        <x:v>42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1420000</x:v>
      </x:c>
      <x:c r="D43" s="6" t="n">
        <x:v>1699000</x:v>
      </x:c>
      <x:c r="E43" s="6" t="n">
        <x:f>C43-D43</x:f>
        <x:v>-279000</x:v>
      </x:c>
      <x:c r="F43" s="6" t="n">
        <x:f>F42+E43</x:f>
        <x:v>-7288000</x:v>
      </x:c>
      <x:c r="G43" s="6" t="n">
        <x:v>-143000</x:v>
      </x:c>
      <x:c r="H43" s="6" t="n">
        <x:v>-136000</x:v>
      </x:c>
      <x:c r="I43" s="6" t="n">
        <x:v>-539000</x:v>
      </x:c>
      <x:c r="J43" s="6" t="n">
        <x:v>569000</x:v>
      </x:c>
      <x:c r="K43" s="11" t="n">
        <x:v>23</x:v>
      </x:c>
      <x:c r="L43" s="11" t="n">
        <x:v>70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1113000</x:v>
      </x:c>
      <x:c r="D44" s="6" t="n">
        <x:v>471000</x:v>
      </x:c>
      <x:c r="E44" s="6" t="n">
        <x:f>C44-D44</x:f>
        <x:v>642000</x:v>
      </x:c>
      <x:c r="F44" s="6" t="n">
        <x:f>F43+E44</x:f>
        <x:v>-6646000</x:v>
      </x:c>
      <x:c r="G44" s="6" t="n">
        <x:v>759000</x:v>
      </x:c>
      <x:c r="H44" s="6" t="n">
        <x:v>-117000</x:v>
      </x:c>
      <x:c r="I44" s="6" t="n">
        <x:v>-61000</x:v>
      </x:c>
      <x:c r="J44" s="6" t="n">
        <x:v>291000</x:v>
      </x:c>
      <x:c r="K44" s="11" t="n">
        <x:v>16</x:v>
      </x:c>
      <x:c r="L44" s="11" t="n">
        <x:v>86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1536000</x:v>
      </x:c>
      <x:c r="D45" s="6" t="n">
        <x:v>2149000</x:v>
      </x:c>
      <x:c r="E45" s="6" t="n">
        <x:f>C45-D45</x:f>
        <x:v>-613000</x:v>
      </x:c>
      <x:c r="F45" s="6" t="n">
        <x:f>F44+E45</x:f>
        <x:v>-7259000</x:v>
      </x:c>
      <x:c r="G45" s="6" t="n">
        <x:v>-465000</x:v>
      </x:c>
      <x:c r="H45" s="6" t="n">
        <x:v>-148000</x:v>
      </x:c>
      <x:c r="I45" s="6" t="n">
        <x:v>-653000</x:v>
      </x:c>
      <x:c r="J45" s="6" t="n">
        <x:v>753000</x:v>
      </x:c>
      <x:c r="K45" s="11" t="n">
        <x:v>27</x:v>
      </x:c>
      <x:c r="L45" s="11" t="n">
        <x:v>35</x:v>
      </x:c>
    </x:row>
    <x:row r="46" ht="25" customHeight="1">
      <x:c r="A46" s="2" t="str">
        <x:v>2026-10-19_Day</x:v>
      </x:c>
      <x:c r="B46" s="2" t="str">
        <x:v>後13場</x:v>
      </x:c>
      <x:c r="C46" s="6" t="n">
        <x:v>547000</x:v>
      </x:c>
      <x:c r="D46" s="6" t="n">
        <x:v>1142000</x:v>
      </x:c>
      <x:c r="E46" s="6" t="n">
        <x:f>C46-D46</x:f>
        <x:v>-595000</x:v>
      </x:c>
      <x:c r="F46" s="6" t="n">
        <x:f>F45+E46</x:f>
        <x:v>-7854000</x:v>
      </x:c>
      <x:c r="G46" s="6" t="n">
        <x:v>-218000</x:v>
      </x:c>
      <x:c r="H46" s="6" t="n">
        <x:v>-377000</x:v>
      </x:c>
      <x:c r="I46" s="6" t="n">
        <x:v>-815000</x:v>
      </x:c>
      <x:c r="J46" s="6" t="n">
        <x:v>847000</x:v>
      </x:c>
      <x:c r="K46" s="11" t="n">
        <x:v>7</x:v>
      </x:c>
      <x:c r="L46" s="11" t="n">
        <x:v>64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634000</x:v>
      </x:c>
      <x:c r="D47" s="6" t="n">
        <x:v>708000</x:v>
      </x:c>
      <x:c r="E47" s="6" t="n">
        <x:f>C47-D47</x:f>
        <x:v>-74000</x:v>
      </x:c>
      <x:c r="F47" s="6" t="n">
        <x:f>F46+E47</x:f>
        <x:v>-7928000</x:v>
      </x:c>
      <x:c r="G47" s="6" t="n">
        <x:v>104000</x:v>
      </x:c>
      <x:c r="H47" s="6" t="n">
        <x:v>-178000</x:v>
      </x:c>
      <x:c r="I47" s="6" t="n">
        <x:v>-130000</x:v>
      </x:c>
      <x:c r="J47" s="6" t="n">
        <x:v>176000</x:v>
      </x:c>
      <x:c r="K47" s="11" t="n">
        <x:v>13</x:v>
      </x:c>
      <x:c r="L47" s="11" t="n">
        <x:v>52</x:v>
      </x:c>
    </x:row>
    <x:row r="48" ht="25" customHeight="1">
      <x:c r="A48" s="2" t="str">
        <x:v>2026-10-20_Day</x:v>
      </x:c>
      <x:c r="B48" s="2" t="str">
        <x:v>後13場</x:v>
      </x:c>
      <x:c r="C48" s="6" t="n">
        <x:v>671000</x:v>
      </x:c>
      <x:c r="D48" s="6" t="n">
        <x:v>587000</x:v>
      </x:c>
      <x:c r="E48" s="6" t="n">
        <x:f>C48-D48</x:f>
        <x:v>84000</x:v>
      </x:c>
      <x:c r="F48" s="6" t="n">
        <x:f>F47+E48</x:f>
        <x:v>-7844000</x:v>
      </x:c>
      <x:c r="G48" s="6" t="n">
        <x:v>59000</x:v>
      </x:c>
      <x:c r="H48" s="6" t="n">
        <x:v>25000</x:v>
      </x:c>
      <x:c r="I48" s="6" t="n">
        <x:v>-323000</x:v>
      </x:c>
      <x:c r="J48" s="6" t="n">
        <x:v>469000</x:v>
      </x:c>
      <x:c r="K48" s="11" t="n">
        <x:v>9</x:v>
      </x:c>
      <x:c r="L48" s="11" t="n">
        <x:v>54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1113000</x:v>
      </x:c>
      <x:c r="D49" s="6" t="n">
        <x:v>1374000</x:v>
      </x:c>
      <x:c r="E49" s="6" t="n">
        <x:f>C49-D49</x:f>
        <x:v>-261000</x:v>
      </x:c>
      <x:c r="F49" s="6" t="n">
        <x:f>F48+E49</x:f>
        <x:v>-8105000</x:v>
      </x:c>
      <x:c r="G49" s="6" t="n">
        <x:v>-333000</x:v>
      </x:c>
      <x:c r="H49" s="6" t="n">
        <x:v>72000</x:v>
      </x:c>
      <x:c r="I49" s="6" t="n">
        <x:v>-291000</x:v>
      </x:c>
      <x:c r="J49" s="6" t="n">
        <x:v>391000</x:v>
      </x:c>
      <x:c r="K49" s="11" t="n">
        <x:v>14</x:v>
      </x:c>
      <x:c r="L49" s="11" t="n">
        <x:v>36</x:v>
      </x:c>
    </x:row>
    <x:row r="50" ht="25" customHeight="1">
      <x:c r="A50" s="2" t="str">
        <x:v>2026-10-21_Day</x:v>
      </x:c>
      <x:c r="B50" s="2" t="str">
        <x:v>後13場</x:v>
      </x:c>
      <x:c r="C50" s="6" t="n">
        <x:v>521000</x:v>
      </x:c>
      <x:c r="D50" s="6" t="n">
        <x:v>683000</x:v>
      </x:c>
      <x:c r="E50" s="6" t="n">
        <x:f>C50-D50</x:f>
        <x:v>-162000</x:v>
      </x:c>
      <x:c r="F50" s="6" t="n">
        <x:f>F49+E50</x:f>
        <x:v>-8267000</x:v>
      </x:c>
      <x:c r="G50" s="6" t="n">
        <x:v>-124000</x:v>
      </x:c>
      <x:c r="H50" s="6" t="n">
        <x:v>-38000</x:v>
      </x:c>
      <x:c r="I50" s="6" t="n">
        <x:v>-440000</x:v>
      </x:c>
      <x:c r="J50" s="6" t="n">
        <x:v>490000</x:v>
      </x:c>
      <x:c r="K50" s="11" t="n">
        <x:v>8</x:v>
      </x:c>
      <x:c r="L50" s="11" t="n">
        <x:v>67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700000</x:v>
      </x:c>
      <x:c r="D51" s="6" t="n">
        <x:v>755000</x:v>
      </x:c>
      <x:c r="E51" s="6" t="n">
        <x:f>C51-D51</x:f>
        <x:v>-55000</x:v>
      </x:c>
      <x:c r="F51" s="6" t="n">
        <x:f>F50+E51</x:f>
        <x:v>-8322000</x:v>
      </x:c>
      <x:c r="G51" s="6" t="n">
        <x:v>60000</x:v>
      </x:c>
      <x:c r="H51" s="6" t="n">
        <x:v>-115000</x:v>
      </x:c>
      <x:c r="I51" s="6" t="n">
        <x:v>-120000</x:v>
      </x:c>
      <x:c r="J51" s="6" t="n">
        <x:v>120000</x:v>
      </x:c>
      <x:c r="K51" s="11" t="n">
        <x:v>11</x:v>
      </x:c>
      <x:c r="L51" s="11" t="n">
        <x:v>27</x:v>
      </x:c>
    </x:row>
    <x:row r="52" ht="25" customHeight="1">
      <x:c r="A52" s="2" t="str">
        <x:v>2026-10-22_Day</x:v>
      </x:c>
      <x:c r="B52" s="2" t="str">
        <x:v>後13場</x:v>
      </x:c>
      <x:c r="C52" s="6" t="n">
        <x:v>709000</x:v>
      </x:c>
      <x:c r="D52" s="6" t="n">
        <x:v>1822000</x:v>
      </x:c>
      <x:c r="E52" s="6" t="n">
        <x:f>C52-D52</x:f>
        <x:v>-1113000</x:v>
      </x:c>
      <x:c r="F52" s="6" t="n">
        <x:f>F51+E52</x:f>
        <x:v>-9435000</x:v>
      </x:c>
      <x:c r="G52" s="6" t="n">
        <x:v>-1034000</x:v>
      </x:c>
      <x:c r="H52" s="6" t="n">
        <x:v>-79000</x:v>
      </x:c>
      <x:c r="I52" s="6" t="n">
        <x:v>-1353000</x:v>
      </x:c>
      <x:c r="J52" s="6" t="n">
        <x:v>1419000</x:v>
      </x:c>
      <x:c r="K52" s="11" t="n">
        <x:v>8</x:v>
      </x:c>
      <x:c r="L52" s="11" t="n">
        <x:v>48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922000</x:v>
      </x:c>
      <x:c r="D53" s="6" t="n">
        <x:v>1323000</x:v>
      </x:c>
      <x:c r="E53" s="6" t="n">
        <x:f>C53-D53</x:f>
        <x:v>-401000</x:v>
      </x:c>
      <x:c r="F53" s="6" t="n">
        <x:f>F52+E53</x:f>
        <x:v>-9836000</x:v>
      </x:c>
      <x:c r="G53" s="6" t="n">
        <x:v>-426000</x:v>
      </x:c>
      <x:c r="H53" s="6" t="n">
        <x:v>25000</x:v>
      </x:c>
      <x:c r="I53" s="6" t="n">
        <x:v>-411000</x:v>
      </x:c>
      <x:c r="J53" s="6" t="n">
        <x:v>502000</x:v>
      </x:c>
      <x:c r="K53" s="11" t="n">
        <x:v>18</x:v>
      </x:c>
      <x:c r="L53" s="11" t="n">
        <x:v>44</x:v>
      </x:c>
    </x:row>
    <x:row r="54" ht="25" customHeight="1">
      <x:c r="A54" s="2" t="str">
        <x:v>2026-10-23_Day</x:v>
      </x:c>
      <x:c r="B54" s="2" t="str">
        <x:v>後13場</x:v>
      </x:c>
      <x:c r="C54" s="6" t="n">
        <x:v>1903000</x:v>
      </x:c>
      <x:c r="D54" s="6" t="n">
        <x:v>1974000</x:v>
      </x:c>
      <x:c r="E54" s="6" t="n">
        <x:f>C54-D54</x:f>
        <x:v>-71000</x:v>
      </x:c>
      <x:c r="F54" s="6" t="n">
        <x:f>F53+E54</x:f>
        <x:v>-9907000</x:v>
      </x:c>
      <x:c r="G54" s="6" t="n">
        <x:v>383000</x:v>
      </x:c>
      <x:c r="H54" s="6" t="n">
        <x:v>-454000</x:v>
      </x:c>
      <x:c r="I54" s="6" t="n">
        <x:v>-571000</x:v>
      </x:c>
      <x:c r="J54" s="6" t="n">
        <x:v>951000</x:v>
      </x:c>
      <x:c r="K54" s="11" t="n">
        <x:v>24</x:v>
      </x:c>
      <x:c r="L54" s="11" t="n">
        <x:v>138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581000</x:v>
      </x:c>
      <x:c r="D55" s="6" t="n">
        <x:v>723000</x:v>
      </x:c>
      <x:c r="E55" s="6" t="n">
        <x:f>C55-D55</x:f>
        <x:v>-142000</x:v>
      </x:c>
      <x:c r="F55" s="6" t="n">
        <x:f>F54+E55</x:f>
        <x:v>-10049000</x:v>
      </x:c>
      <x:c r="G55" s="6" t="n">
        <x:v>-173000</x:v>
      </x:c>
      <x:c r="H55" s="6" t="n">
        <x:v>31000</x:v>
      </x:c>
      <x:c r="I55" s="6" t="n">
        <x:v>-162000</x:v>
      </x:c>
      <x:c r="J55" s="6" t="n">
        <x:v>191000</x:v>
      </x:c>
      <x:c r="K55" s="11" t="n">
        <x:v>13</x:v>
      </x:c>
      <x:c r="L55" s="11" t="n">
        <x:v>26</x:v>
      </x:c>
    </x:row>
    <x:row r="56" ht="25" customHeight="1">
      <x:c r="A56" s="2" t="str">
        <x:v>2026-10-26_Day</x:v>
      </x:c>
      <x:c r="B56" s="2" t="str">
        <x:v>後13場</x:v>
      </x:c>
      <x:c r="C56" s="6" t="n">
        <x:v>625000</x:v>
      </x:c>
      <x:c r="D56" s="6" t="n">
        <x:v>794000</x:v>
      </x:c>
      <x:c r="E56" s="6" t="n">
        <x:f>C56-D56</x:f>
        <x:v>-169000</x:v>
      </x:c>
      <x:c r="F56" s="6" t="n">
        <x:f>F55+E56</x:f>
        <x:v>-10218000</x:v>
      </x:c>
      <x:c r="G56" s="6" t="n">
        <x:v>-260000</x:v>
      </x:c>
      <x:c r="H56" s="6" t="n">
        <x:v>91000</x:v>
      </x:c>
      <x:c r="I56" s="6" t="n">
        <x:v>-306000</x:v>
      </x:c>
      <x:c r="J56" s="6" t="n">
        <x:v>306000</x:v>
      </x:c>
      <x:c r="K56" s="11" t="n">
        <x:v>8</x:v>
      </x:c>
      <x:c r="L56" s="11" t="n">
        <x:v>69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690000</x:v>
      </x:c>
      <x:c r="D57" s="6" t="n">
        <x:v>900000</x:v>
      </x:c>
      <x:c r="E57" s="6" t="n">
        <x:f>C57-D57</x:f>
        <x:v>-210000</x:v>
      </x:c>
      <x:c r="F57" s="6" t="n">
        <x:f>F56+E57</x:f>
        <x:v>-10428000</x:v>
      </x:c>
      <x:c r="G57" s="6" t="n">
        <x:v>-272000</x:v>
      </x:c>
      <x:c r="H57" s="6" t="n">
        <x:v>62000</x:v>
      </x:c>
      <x:c r="I57" s="6" t="n">
        <x:v>-230000</x:v>
      </x:c>
      <x:c r="J57" s="6" t="n">
        <x:v>283000</x:v>
      </x:c>
      <x:c r="K57" s="11" t="n">
        <x:v>12</x:v>
      </x:c>
      <x:c r="L57" s="11" t="n">
        <x:v>21</x:v>
      </x:c>
    </x:row>
    <x:row r="58" ht="25" customHeight="1">
      <x:c r="A58" s="2" t="str">
        <x:v>2026-10-27_Day</x:v>
      </x:c>
      <x:c r="B58" s="2" t="str">
        <x:v>後13場</x:v>
      </x:c>
      <x:c r="C58" s="6" t="n">
        <x:v>994000</x:v>
      </x:c>
      <x:c r="D58" s="6" t="n">
        <x:v>622000</x:v>
      </x:c>
      <x:c r="E58" s="6" t="n">
        <x:f>C58-D58</x:f>
        <x:v>372000</x:v>
      </x:c>
      <x:c r="F58" s="6" t="n">
        <x:f>F57+E58</x:f>
        <x:v>-10056000</x:v>
      </x:c>
      <x:c r="G58" s="6" t="n">
        <x:v>860000</x:v>
      </x:c>
      <x:c r="H58" s="6" t="n">
        <x:v>-488000</x:v>
      </x:c>
      <x:c r="I58" s="6" t="n">
        <x:v>-92000</x:v>
      </x:c>
      <x:c r="J58" s="6" t="n">
        <x:v>306000</x:v>
      </x:c>
      <x:c r="K58" s="11" t="n">
        <x:v>9</x:v>
      </x:c>
      <x:c r="L58" s="11" t="n">
        <x:v>66</x:v>
      </x:c>
    </x:row>
    <x:row r="59" ht="25" customHeight="1">
      <x:c r="A59" s="15" t="str">
        <x:v>累計／場内最悪値</x:v>
      </x:c>
      <x:c r="B59" s="15"/>
      <x:c r="C59" s="16" t="n">
        <x:f>SUM(C6:C58)</x:f>
        <x:v>35157000</x:v>
      </x:c>
      <x:c r="D59" s="16" t="n">
        <x:f>SUM(D6:D58)</x:f>
        <x:v>45213000</x:v>
      </x:c>
      <x:c r="E59" s="16" t="n">
        <x:f>C59-D59</x:f>
        <x:v>-10056000</x:v>
      </x:c>
      <x:c r="F59" s="16" t="n">
        <x:f>F58</x:f>
        <x:v>-10056000</x:v>
      </x:c>
      <x:c r="G59" s="16" t="n">
        <x:f>SUM(G6:G58)</x:f>
        <x:v>-5971000</x:v>
      </x:c>
      <x:c r="H59" s="16" t="n">
        <x:f>SUM(H6:H58)</x:f>
        <x:v>-4085000</x:v>
      </x:c>
      <x:c r="I59" s="16" t="n">
        <x:f>MIN(I6:I58)</x:f>
        <x:v>-1615000</x:v>
      </x:c>
      <x:c r="J59" s="16" t="n">
        <x:f>MAX(J6:J58)</x:f>
        <x:v>1707000</x:v>
      </x:c>
      <x:c r="K59" s="17" t="n">
        <x:f>SUM(K6:K58)</x:f>
        <x:v>537</x:v>
      </x:c>
      <x:c r="L59" s="17" t="n">
        <x:f>SUM(L6:L58)</x:f>
        <x:v>2206</x:v>
      </x:c>
    </x:row>
  </x:sheetData>
  <x:conditionalFormatting sqref="E6:I58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23c30077bc4e0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H08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段40・利益40起動・追尾20・完済後新基準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202000</x:v>
      </x:c>
      <x:c r="D6" s="6" t="n">
        <x:v>39000</x:v>
      </x:c>
      <x:c r="E6" s="6" t="n">
        <x:f>C6-D6</x:f>
        <x:v>163000</x:v>
      </x:c>
      <x:c r="F6" s="6" t="n">
        <x:f>E6</x:f>
        <x:v>163000</x:v>
      </x:c>
      <x:c r="G6" s="6" t="n">
        <x:v>200000</x:v>
      </x:c>
      <x:c r="H6" s="6" t="n">
        <x:v>-37000</x:v>
      </x:c>
      <x:c r="I6" s="6" t="n">
        <x:v>-61000</x:v>
      </x:c>
      <x:c r="J6" s="6" t="n">
        <x:v>125000</x:v>
      </x:c>
      <x:c r="K6" s="11" t="n">
        <x:v>2</x:v>
      </x:c>
      <x:c r="L6" s="11" t="n">
        <x:v>3</x:v>
      </x:c>
    </x:row>
    <x:row r="7" ht="25" customHeight="1">
      <x:c r="A7" s="2" t="str">
        <x:v>2026-09-21_Night</x:v>
      </x:c>
      <x:c r="B7" s="2" t="str">
        <x:v>前30場</x:v>
      </x:c>
      <x:c r="C7" s="6" t="n">
        <x:v>726000</x:v>
      </x:c>
      <x:c r="D7" s="6" t="n">
        <x:v>810000</x:v>
      </x:c>
      <x:c r="E7" s="6" t="n">
        <x:f>C7-D7</x:f>
        <x:v>-84000</x:v>
      </x:c>
      <x:c r="F7" s="6" t="n">
        <x:f>F6+E7</x:f>
        <x:v>79000</x:v>
      </x:c>
      <x:c r="G7" s="6" t="n">
        <x:v>-367000</x:v>
      </x:c>
      <x:c r="H7" s="6" t="n">
        <x:v>283000</x:v>
      </x:c>
      <x:c r="I7" s="6" t="n">
        <x:v>-214000</x:v>
      </x:c>
      <x:c r="J7" s="6" t="n">
        <x:v>349000</x:v>
      </x:c>
      <x:c r="K7" s="11" t="n">
        <x:v>7</x:v>
      </x:c>
      <x:c r="L7" s="11" t="n">
        <x:v>71</x:v>
      </x:c>
    </x:row>
    <x:row r="8" ht="25" customHeight="1">
      <x:c r="A8" s="2" t="str">
        <x:v>2026-09-22_Day</x:v>
      </x:c>
      <x:c r="B8" s="2" t="str">
        <x:v>前30場</x:v>
      </x:c>
      <x:c r="C8" s="6" t="n">
        <x:v>140000</x:v>
      </x:c>
      <x:c r="D8" s="6" t="n">
        <x:v>82000</x:v>
      </x:c>
      <x:c r="E8" s="6" t="n">
        <x:f>C8-D8</x:f>
        <x:v>58000</x:v>
      </x:c>
      <x:c r="F8" s="6" t="n">
        <x:f>F7+E8</x:f>
        <x:v>137000</x:v>
      </x:c>
      <x:c r="G8" s="6" t="n">
        <x:v>100000</x:v>
      </x:c>
      <x:c r="H8" s="6" t="n">
        <x:v>-42000</x:v>
      </x:c>
      <x:c r="I8" s="6" t="n">
        <x:v>-280000</x:v>
      </x:c>
      <x:c r="J8" s="6" t="n">
        <x:v>360000</x:v>
      </x:c>
      <x:c r="K8" s="11" t="n">
        <x:v>1</x:v>
      </x:c>
      <x:c r="L8" s="11" t="n">
        <x:v>14</x:v>
      </x:c>
    </x:row>
    <x:row r="9" ht="25" customHeight="1">
      <x:c r="A9" s="2" t="str">
        <x:v>2026-09-22_Night</x:v>
      </x:c>
      <x:c r="B9" s="2" t="str">
        <x:v>前30場</x:v>
      </x:c>
      <x:c r="C9" s="6" t="n">
        <x:v>732000</x:v>
      </x:c>
      <x:c r="D9" s="6" t="n">
        <x:v>970000</x:v>
      </x:c>
      <x:c r="E9" s="6" t="n">
        <x:f>C9-D9</x:f>
        <x:v>-238000</x:v>
      </x:c>
      <x:c r="F9" s="6" t="n">
        <x:f>F8+E9</x:f>
        <x:v>-101000</x:v>
      </x:c>
      <x:c r="G9" s="6" t="n">
        <x:v>-348000</x:v>
      </x:c>
      <x:c r="H9" s="6" t="n">
        <x:v>110000</x:v>
      </x:c>
      <x:c r="I9" s="6" t="n">
        <x:v>-408000</x:v>
      </x:c>
      <x:c r="J9" s="6" t="n">
        <x:v>538000</x:v>
      </x:c>
      <x:c r="K9" s="11" t="n">
        <x:v>10</x:v>
      </x:c>
      <x:c r="L9" s="11" t="n">
        <x:v>83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-101000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770000</x:v>
      </x:c>
      <x:c r="D11" s="6" t="n">
        <x:v>1122000</x:v>
      </x:c>
      <x:c r="E11" s="6" t="n">
        <x:f>C11-D11</x:f>
        <x:v>-352000</x:v>
      </x:c>
      <x:c r="F11" s="6" t="n">
        <x:f>F10+E11</x:f>
        <x:v>-453000</x:v>
      </x:c>
      <x:c r="G11" s="6" t="n">
        <x:v>-348000</x:v>
      </x:c>
      <x:c r="H11" s="6" t="n">
        <x:v>-4000</x:v>
      </x:c>
      <x:c r="I11" s="6" t="n">
        <x:v>-352000</x:v>
      </x:c>
      <x:c r="J11" s="6" t="n">
        <x:v>412000</x:v>
      </x:c>
      <x:c r="K11" s="11" t="n">
        <x:v>7</x:v>
      </x:c>
      <x:c r="L11" s="11" t="n">
        <x:v>78</x:v>
      </x:c>
    </x:row>
    <x:row r="12" ht="25" customHeight="1">
      <x:c r="A12" s="2" t="str">
        <x:v>2026-09-24_Day</x:v>
      </x:c>
      <x:c r="B12" s="2" t="str">
        <x:v>前30場</x:v>
      </x:c>
      <x:c r="C12" s="6" t="n">
        <x:v>366000</x:v>
      </x:c>
      <x:c r="D12" s="6" t="n">
        <x:v>292000</x:v>
      </x:c>
      <x:c r="E12" s="6" t="n">
        <x:f>C12-D12</x:f>
        <x:v>74000</x:v>
      </x:c>
      <x:c r="F12" s="6" t="n">
        <x:f>F11+E12</x:f>
        <x:v>-379000</x:v>
      </x:c>
      <x:c r="G12" s="6" t="n">
        <x:v>294000</x:v>
      </x:c>
      <x:c r="H12" s="6" t="n">
        <x:v>-220000</x:v>
      </x:c>
      <x:c r="I12" s="6" t="n">
        <x:v>-298000</x:v>
      </x:c>
      <x:c r="J12" s="6" t="n">
        <x:v>298000</x:v>
      </x:c>
      <x:c r="K12" s="11" t="n">
        <x:v>4</x:v>
      </x:c>
      <x:c r="L12" s="11" t="n">
        <x:v>27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540000</x:v>
      </x:c>
      <x:c r="D13" s="6" t="n">
        <x:v>929000</x:v>
      </x:c>
      <x:c r="E13" s="6" t="n">
        <x:f>C13-D13</x:f>
        <x:v>-389000</x:v>
      </x:c>
      <x:c r="F13" s="6" t="n">
        <x:f>F12+E13</x:f>
        <x:v>-768000</x:v>
      </x:c>
      <x:c r="G13" s="6" t="n">
        <x:v>-149000</x:v>
      </x:c>
      <x:c r="H13" s="6" t="n">
        <x:v>-240000</x:v>
      </x:c>
      <x:c r="I13" s="6" t="n">
        <x:v>-409000</x:v>
      </x:c>
      <x:c r="J13" s="6" t="n">
        <x:v>489000</x:v>
      </x:c>
      <x:c r="K13" s="11" t="n">
        <x:v>9</x:v>
      </x:c>
      <x:c r="L13" s="11" t="n">
        <x:v>72</x:v>
      </x:c>
    </x:row>
    <x:row r="14" ht="25" customHeight="1">
      <x:c r="A14" s="2" t="str">
        <x:v>2026-09-25_Day</x:v>
      </x:c>
      <x:c r="B14" s="2" t="str">
        <x:v>前30場</x:v>
      </x:c>
      <x:c r="C14" s="6" t="n">
        <x:v>319000</x:v>
      </x:c>
      <x:c r="D14" s="6" t="n">
        <x:v>790000</x:v>
      </x:c>
      <x:c r="E14" s="6" t="n">
        <x:f>C14-D14</x:f>
        <x:v>-471000</x:v>
      </x:c>
      <x:c r="F14" s="6" t="n">
        <x:f>F13+E14</x:f>
        <x:v>-1239000</x:v>
      </x:c>
      <x:c r="G14" s="6" t="n">
        <x:v>-637000</x:v>
      </x:c>
      <x:c r="H14" s="6" t="n">
        <x:v>166000</x:v>
      </x:c>
      <x:c r="I14" s="6" t="n">
        <x:v>-481000</x:v>
      </x:c>
      <x:c r="J14" s="6" t="n">
        <x:v>551000</x:v>
      </x:c>
      <x:c r="K14" s="11" t="n">
        <x:v>2</x:v>
      </x:c>
      <x:c r="L14" s="11" t="n">
        <x:v>63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542000</x:v>
      </x:c>
      <x:c r="D15" s="6" t="n">
        <x:v>292000</x:v>
      </x:c>
      <x:c r="E15" s="6" t="n">
        <x:f>C15-D15</x:f>
        <x:v>250000</x:v>
      </x:c>
      <x:c r="F15" s="6" t="n">
        <x:f>F14+E15</x:f>
        <x:v>-989000</x:v>
      </x:c>
      <x:c r="G15" s="6" t="n">
        <x:v>200000</x:v>
      </x:c>
      <x:c r="H15" s="6" t="n">
        <x:v>50000</x:v>
      </x:c>
      <x:c r="I15" s="6" t="n">
        <x:v>-248000</x:v>
      </x:c>
      <x:c r="J15" s="6" t="n">
        <x:v>248000</x:v>
      </x:c>
      <x:c r="K15" s="11" t="n">
        <x:v>12</x:v>
      </x:c>
      <x:c r="L15" s="11" t="n">
        <x:v>50</x:v>
      </x:c>
    </x:row>
    <x:row r="16" ht="25" customHeight="1">
      <x:c r="A16" s="2" t="str">
        <x:v>2026-09-28_Day</x:v>
      </x:c>
      <x:c r="B16" s="2" t="str">
        <x:v>前30場</x:v>
      </x:c>
      <x:c r="C16" s="6" t="n">
        <x:v>494000</x:v>
      </x:c>
      <x:c r="D16" s="6" t="n">
        <x:v>243000</x:v>
      </x:c>
      <x:c r="E16" s="6" t="n">
        <x:f>C16-D16</x:f>
        <x:v>251000</x:v>
      </x:c>
      <x:c r="F16" s="6" t="n">
        <x:f>F15+E16</x:f>
        <x:v>-738000</x:v>
      </x:c>
      <x:c r="G16" s="6" t="n">
        <x:v>394000</x:v>
      </x:c>
      <x:c r="H16" s="6" t="n">
        <x:v>-143000</x:v>
      </x:c>
      <x:c r="I16" s="6" t="n">
        <x:v>-324000</x:v>
      </x:c>
      <x:c r="J16" s="6" t="n">
        <x:v>335000</x:v>
      </x:c>
      <x:c r="K16" s="11" t="n">
        <x:v>5</x:v>
      </x:c>
      <x:c r="L16" s="11" t="n">
        <x:v>33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880000</x:v>
      </x:c>
      <x:c r="D17" s="6" t="n">
        <x:v>1009000</x:v>
      </x:c>
      <x:c r="E17" s="6" t="n">
        <x:f>C17-D17</x:f>
        <x:v>-129000</x:v>
      </x:c>
      <x:c r="F17" s="6" t="n">
        <x:f>F16+E17</x:f>
        <x:v>-867000</x:v>
      </x:c>
      <x:c r="G17" s="6" t="n">
        <x:v>272000</x:v>
      </x:c>
      <x:c r="H17" s="6" t="n">
        <x:v>-401000</x:v>
      </x:c>
      <x:c r="I17" s="6" t="n">
        <x:v>-149000</x:v>
      </x:c>
      <x:c r="J17" s="6" t="n">
        <x:v>226000</x:v>
      </x:c>
      <x:c r="K17" s="11" t="n">
        <x:v>16</x:v>
      </x:c>
      <x:c r="L17" s="11" t="n">
        <x:v>83</x:v>
      </x:c>
    </x:row>
    <x:row r="18" ht="25" customHeight="1">
      <x:c r="A18" s="2" t="str">
        <x:v>2026-09-29_Day</x:v>
      </x:c>
      <x:c r="B18" s="2" t="str">
        <x:v>前30場</x:v>
      </x:c>
      <x:c r="C18" s="6" t="n">
        <x:v>535000</x:v>
      </x:c>
      <x:c r="D18" s="6" t="n">
        <x:v>1158000</x:v>
      </x:c>
      <x:c r="E18" s="6" t="n">
        <x:f>C18-D18</x:f>
        <x:v>-623000</x:v>
      </x:c>
      <x:c r="F18" s="6" t="n">
        <x:f>F17+E18</x:f>
        <x:v>-1490000</x:v>
      </x:c>
      <x:c r="G18" s="6" t="n">
        <x:v>222000</x:v>
      </x:c>
      <x:c r="H18" s="6" t="n">
        <x:v>-845000</x:v>
      </x:c>
      <x:c r="I18" s="6" t="n">
        <x:v>-625000</x:v>
      </x:c>
      <x:c r="J18" s="6" t="n">
        <x:v>633000</x:v>
      </x:c>
      <x:c r="K18" s="11" t="n">
        <x:v>7</x:v>
      </x:c>
      <x:c r="L18" s="11" t="n">
        <x:v>103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838000</x:v>
      </x:c>
      <x:c r="D19" s="6" t="n">
        <x:v>973000</x:v>
      </x:c>
      <x:c r="E19" s="6" t="n">
        <x:f>C19-D19</x:f>
        <x:v>-135000</x:v>
      </x:c>
      <x:c r="F19" s="6" t="n">
        <x:f>F18+E19</x:f>
        <x:v>-1625000</x:v>
      </x:c>
      <x:c r="G19" s="6" t="n">
        <x:v>174000</x:v>
      </x:c>
      <x:c r="H19" s="6" t="n">
        <x:v>-309000</x:v>
      </x:c>
      <x:c r="I19" s="6" t="n">
        <x:v>-135000</x:v>
      </x:c>
      <x:c r="J19" s="6" t="n">
        <x:v>212000</x:v>
      </x:c>
      <x:c r="K19" s="11" t="n">
        <x:v>20</x:v>
      </x:c>
      <x:c r="L19" s="11" t="n">
        <x:v>69</x:v>
      </x:c>
    </x:row>
    <x:row r="20" ht="25" customHeight="1">
      <x:c r="A20" s="2" t="str">
        <x:v>2026-09-30_Day</x:v>
      </x:c>
      <x:c r="B20" s="2" t="str">
        <x:v>前30場</x:v>
      </x:c>
      <x:c r="C20" s="6" t="n">
        <x:v>398000</x:v>
      </x:c>
      <x:c r="D20" s="6" t="n">
        <x:v>722000</x:v>
      </x:c>
      <x:c r="E20" s="6" t="n">
        <x:f>C20-D20</x:f>
        <x:v>-324000</x:v>
      </x:c>
      <x:c r="F20" s="6" t="n">
        <x:f>F19+E20</x:f>
        <x:v>-1949000</x:v>
      </x:c>
      <x:c r="G20" s="6" t="n">
        <x:v>-420000</x:v>
      </x:c>
      <x:c r="H20" s="6" t="n">
        <x:v>96000</x:v>
      </x:c>
      <x:c r="I20" s="6" t="n">
        <x:v>-324000</x:v>
      </x:c>
      <x:c r="J20" s="6" t="n">
        <x:v>464000</x:v>
      </x:c>
      <x:c r="K20" s="11" t="n">
        <x:v>3</x:v>
      </x:c>
      <x:c r="L20" s="11" t="n">
        <x:v>39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699000</x:v>
      </x:c>
      <x:c r="D21" s="6" t="n">
        <x:v>1152000</x:v>
      </x:c>
      <x:c r="E21" s="6" t="n">
        <x:f>C21-D21</x:f>
        <x:v>-453000</x:v>
      </x:c>
      <x:c r="F21" s="6" t="n">
        <x:f>F20+E21</x:f>
        <x:v>-2402000</x:v>
      </x:c>
      <x:c r="G21" s="6" t="n">
        <x:v>-223000</x:v>
      </x:c>
      <x:c r="H21" s="6" t="n">
        <x:v>-230000</x:v>
      </x:c>
      <x:c r="I21" s="6" t="n">
        <x:v>-518000</x:v>
      </x:c>
      <x:c r="J21" s="6" t="n">
        <x:v>518000</x:v>
      </x:c>
      <x:c r="K21" s="11" t="n">
        <x:v>17</x:v>
      </x:c>
      <x:c r="L21" s="11" t="n">
        <x:v>112</x:v>
      </x:c>
    </x:row>
    <x:row r="22" ht="25" customHeight="1">
      <x:c r="A22" s="2" t="str">
        <x:v>2026-10-01_Day</x:v>
      </x:c>
      <x:c r="B22" s="2" t="str">
        <x:v>前30場</x:v>
      </x:c>
      <x:c r="C22" s="6" t="n">
        <x:v>898000</x:v>
      </x:c>
      <x:c r="D22" s="6" t="n">
        <x:v>1878000</x:v>
      </x:c>
      <x:c r="E22" s="6" t="n">
        <x:f>C22-D22</x:f>
        <x:v>-980000</x:v>
      </x:c>
      <x:c r="F22" s="6" t="n">
        <x:f>F21+E22</x:f>
        <x:v>-3382000</x:v>
      </x:c>
      <x:c r="G22" s="6" t="n">
        <x:v>-1421000</x:v>
      </x:c>
      <x:c r="H22" s="6" t="n">
        <x:v>441000</x:v>
      </x:c>
      <x:c r="I22" s="6" t="n">
        <x:v>-1010000</x:v>
      </x:c>
      <x:c r="J22" s="6" t="n">
        <x:v>1098000</x:v>
      </x:c>
      <x:c r="K22" s="11" t="n">
        <x:v>3</x:v>
      </x:c>
      <x:c r="L22" s="11" t="n">
        <x:v>173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1412000</x:v>
      </x:c>
      <x:c r="D23" s="6" t="n">
        <x:v>1668000</x:v>
      </x:c>
      <x:c r="E23" s="6" t="n">
        <x:f>C23-D23</x:f>
        <x:v>-256000</x:v>
      </x:c>
      <x:c r="F23" s="6" t="n">
        <x:f>F22+E23</x:f>
        <x:v>-3638000</x:v>
      </x:c>
      <x:c r="G23" s="6" t="n">
        <x:v>415000</x:v>
      </x:c>
      <x:c r="H23" s="6" t="n">
        <x:v>-671000</x:v>
      </x:c>
      <x:c r="I23" s="6" t="n">
        <x:v>-321000</x:v>
      </x:c>
      <x:c r="J23" s="6" t="n">
        <x:v>431000</x:v>
      </x:c>
      <x:c r="K23" s="11" t="n">
        <x:v>27</x:v>
      </x:c>
      <x:c r="L23" s="11" t="n">
        <x:v>140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353000</x:v>
      </x:c>
      <x:c r="D24" s="6" t="n">
        <x:v>506000</x:v>
      </x:c>
      <x:c r="E24" s="6" t="n">
        <x:f>C24-D24</x:f>
        <x:v>-153000</x:v>
      </x:c>
      <x:c r="F24" s="6" t="n">
        <x:f>F23+E24</x:f>
        <x:v>-3791000</x:v>
      </x:c>
      <x:c r="G24" s="6" t="n">
        <x:v>90000</x:v>
      </x:c>
      <x:c r="H24" s="6" t="n">
        <x:v>-243000</x:v>
      </x:c>
      <x:c r="I24" s="6" t="n">
        <x:v>-293000</x:v>
      </x:c>
      <x:c r="J24" s="6" t="n">
        <x:v>338000</x:v>
      </x:c>
      <x:c r="K24" s="11" t="n">
        <x:v>5</x:v>
      </x:c>
      <x:c r="L24" s="11" t="n">
        <x:v>40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903000</x:v>
      </x:c>
      <x:c r="D25" s="6" t="n">
        <x:v>1216000</x:v>
      </x:c>
      <x:c r="E25" s="6" t="n">
        <x:f>C25-D25</x:f>
        <x:v>-313000</x:v>
      </x:c>
      <x:c r="F25" s="6" t="n">
        <x:f>F24+E25</x:f>
        <x:v>-4104000</x:v>
      </x:c>
      <x:c r="G25" s="6" t="n">
        <x:v>-190000</x:v>
      </x:c>
      <x:c r="H25" s="6" t="n">
        <x:v>-123000</x:v>
      </x:c>
      <x:c r="I25" s="6" t="n">
        <x:v>-453000</x:v>
      </x:c>
      <x:c r="J25" s="6" t="n">
        <x:v>509000</x:v>
      </x:c>
      <x:c r="K25" s="11" t="n">
        <x:v>13</x:v>
      </x:c>
      <x:c r="L25" s="11" t="n">
        <x:v>83</x:v>
      </x:c>
    </x:row>
    <x:row r="26" ht="25" customHeight="1">
      <x:c r="A26" s="2" t="str">
        <x:v>2026-10-05_Day</x:v>
      </x:c>
      <x:c r="B26" s="2" t="str">
        <x:v>前30場</x:v>
      </x:c>
      <x:c r="C26" s="6" t="n">
        <x:v>296000</x:v>
      </x:c>
      <x:c r="D26" s="6" t="n">
        <x:v>575000</x:v>
      </x:c>
      <x:c r="E26" s="6" t="n">
        <x:f>C26-D26</x:f>
        <x:v>-279000</x:v>
      </x:c>
      <x:c r="F26" s="6" t="n">
        <x:f>F25+E26</x:f>
        <x:v>-4383000</x:v>
      </x:c>
      <x:c r="G26" s="6" t="n">
        <x:v>-164000</x:v>
      </x:c>
      <x:c r="H26" s="6" t="n">
        <x:v>-115000</x:v>
      </x:c>
      <x:c r="I26" s="6" t="n">
        <x:v>-316000</x:v>
      </x:c>
      <x:c r="J26" s="6" t="n">
        <x:v>366000</x:v>
      </x:c>
      <x:c r="K26" s="11" t="n">
        <x:v>3</x:v>
      </x:c>
      <x:c r="L26" s="11" t="n">
        <x:v>47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599000</x:v>
      </x:c>
      <x:c r="D27" s="6" t="n">
        <x:v>852000</x:v>
      </x:c>
      <x:c r="E27" s="6" t="n">
        <x:f>C27-D27</x:f>
        <x:v>-253000</x:v>
      </x:c>
      <x:c r="F27" s="6" t="n">
        <x:f>F26+E27</x:f>
        <x:v>-4636000</x:v>
      </x:c>
      <x:c r="G27" s="6" t="n">
        <x:v>231000</x:v>
      </x:c>
      <x:c r="H27" s="6" t="n">
        <x:v>-484000</x:v>
      </x:c>
      <x:c r="I27" s="6" t="n">
        <x:v>-263000</x:v>
      </x:c>
      <x:c r="J27" s="6" t="n">
        <x:v>283000</x:v>
      </x:c>
      <x:c r="K27" s="11" t="n">
        <x:v>16</x:v>
      </x:c>
      <x:c r="L27" s="11" t="n">
        <x:v>63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102000</x:v>
      </x:c>
      <x:c r="D28" s="6" t="n">
        <x:v>72000</x:v>
      </x:c>
      <x:c r="E28" s="6" t="n">
        <x:f>C28-D28</x:f>
        <x:v>30000</x:v>
      </x:c>
      <x:c r="F28" s="6" t="n">
        <x:f>F27+E28</x:f>
        <x:v>-4606000</x:v>
      </x:c>
      <x:c r="G28" s="6" t="n">
        <x:v>100000</x:v>
      </x:c>
      <x:c r="H28" s="6" t="n">
        <x:v>-70000</x:v>
      </x:c>
      <x:c r="I28" s="6" t="n">
        <x:v>-155000</x:v>
      </x:c>
      <x:c r="J28" s="6" t="n">
        <x:v>155000</x:v>
      </x:c>
      <x:c r="K28" s="11" t="n">
        <x:v>1</x:v>
      </x:c>
      <x:c r="L28" s="11" t="n">
        <x:v>4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496000</x:v>
      </x:c>
      <x:c r="D29" s="6" t="n">
        <x:v>587000</x:v>
      </x:c>
      <x:c r="E29" s="6" t="n">
        <x:f>C29-D29</x:f>
        <x:v>-91000</x:v>
      </x:c>
      <x:c r="F29" s="6" t="n">
        <x:f>F28+E29</x:f>
        <x:v>-4697000</x:v>
      </x:c>
      <x:c r="G29" s="6" t="n">
        <x:v>-50000</x:v>
      </x:c>
      <x:c r="H29" s="6" t="n">
        <x:v>-41000</x:v>
      </x:c>
      <x:c r="I29" s="6" t="n">
        <x:v>-156000</x:v>
      </x:c>
      <x:c r="J29" s="6" t="n">
        <x:v>194000</x:v>
      </x:c>
      <x:c r="K29" s="11" t="n">
        <x:v>9</x:v>
      </x:c>
      <x:c r="L29" s="11" t="n">
        <x:v>42</x:v>
      </x:c>
    </x:row>
    <x:row r="30" ht="25" customHeight="1">
      <x:c r="A30" s="2" t="str">
        <x:v>2026-10-07_Day</x:v>
      </x:c>
      <x:c r="B30" s="2" t="str">
        <x:v>前30場</x:v>
      </x:c>
      <x:c r="C30" s="6" t="n">
        <x:v>192000</x:v>
      </x:c>
      <x:c r="D30" s="6" t="n">
        <x:v>62000</x:v>
      </x:c>
      <x:c r="E30" s="6" t="n">
        <x:f>C30-D30</x:f>
        <x:v>130000</x:v>
      </x:c>
      <x:c r="F30" s="6" t="n">
        <x:f>F29+E30</x:f>
        <x:v>-4567000</x:v>
      </x:c>
      <x:c r="G30" s="6" t="n">
        <x:v>190000</x:v>
      </x:c>
      <x:c r="H30" s="6" t="n">
        <x:v>-60000</x:v>
      </x:c>
      <x:c r="I30" s="6" t="n">
        <x:v>-98000</x:v>
      </x:c>
      <x:c r="J30" s="6" t="n">
        <x:v>168000</x:v>
      </x:c>
      <x:c r="K30" s="11" t="n">
        <x:v>2</x:v>
      </x:c>
      <x:c r="L30" s="11" t="n">
        <x:v>4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679000</x:v>
      </x:c>
      <x:c r="D31" s="6" t="n">
        <x:v>965000</x:v>
      </x:c>
      <x:c r="E31" s="6" t="n">
        <x:f>C31-D31</x:f>
        <x:v>-286000</x:v>
      </x:c>
      <x:c r="F31" s="6" t="n">
        <x:f>F30+E31</x:f>
        <x:v>-4853000</x:v>
      </x:c>
      <x:c r="G31" s="6" t="n">
        <x:v>-259000</x:v>
      </x:c>
      <x:c r="H31" s="6" t="n">
        <x:v>-27000</x:v>
      </x:c>
      <x:c r="I31" s="6" t="n">
        <x:v>-296000</x:v>
      </x:c>
      <x:c r="J31" s="6" t="n">
        <x:v>316000</x:v>
      </x:c>
      <x:c r="K31" s="11" t="n">
        <x:v>10</x:v>
      </x:c>
      <x:c r="L31" s="11" t="n">
        <x:v>75</x:v>
      </x:c>
    </x:row>
    <x:row r="32" ht="25" customHeight="1">
      <x:c r="A32" s="2" t="str">
        <x:v>2026-10-08_Day</x:v>
      </x:c>
      <x:c r="B32" s="2" t="str">
        <x:v>前30場</x:v>
      </x:c>
      <x:c r="C32" s="6" t="n">
        <x:v>650000</x:v>
      </x:c>
      <x:c r="D32" s="6" t="n">
        <x:v>1143000</x:v>
      </x:c>
      <x:c r="E32" s="6" t="n">
        <x:f>C32-D32</x:f>
        <x:v>-493000</x:v>
      </x:c>
      <x:c r="F32" s="6" t="n">
        <x:f>F31+E32</x:f>
        <x:v>-5346000</x:v>
      </x:c>
      <x:c r="G32" s="6" t="n">
        <x:v>-830000</x:v>
      </x:c>
      <x:c r="H32" s="6" t="n">
        <x:v>337000</x:v>
      </x:c>
      <x:c r="I32" s="6" t="n">
        <x:v>-493000</x:v>
      </x:c>
      <x:c r="J32" s="6" t="n">
        <x:v>680000</x:v>
      </x:c>
      <x:c r="K32" s="11" t="n">
        <x:v>4</x:v>
      </x:c>
      <x:c r="L32" s="11" t="n">
        <x:v>62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1500000</x:v>
      </x:c>
      <x:c r="D33" s="6" t="n">
        <x:v>1654000</x:v>
      </x:c>
      <x:c r="E33" s="6" t="n">
        <x:f>C33-D33</x:f>
        <x:v>-154000</x:v>
      </x:c>
      <x:c r="F33" s="6" t="n">
        <x:f>F32+E33</x:f>
        <x:v>-5500000</x:v>
      </x:c>
      <x:c r="G33" s="6" t="n">
        <x:v>61000</x:v>
      </x:c>
      <x:c r="H33" s="6" t="n">
        <x:v>-215000</x:v>
      </x:c>
      <x:c r="I33" s="6" t="n">
        <x:v>-154000</x:v>
      </x:c>
      <x:c r="J33" s="6" t="n">
        <x:v>568000</x:v>
      </x:c>
      <x:c r="K33" s="11" t="n">
        <x:v>34</x:v>
      </x:c>
      <x:c r="L33" s="11" t="n">
        <x:v>170</x:v>
      </x:c>
    </x:row>
    <x:row r="34" ht="25" customHeight="1">
      <x:c r="A34" s="2" t="str">
        <x:v>2026-10-09_Day</x:v>
      </x:c>
      <x:c r="B34" s="2" t="str">
        <x:v>前30場</x:v>
      </x:c>
      <x:c r="C34" s="6" t="n">
        <x:v>743000</x:v>
      </x:c>
      <x:c r="D34" s="6" t="n">
        <x:v>1556000</x:v>
      </x:c>
      <x:c r="E34" s="6" t="n">
        <x:f>C34-D34</x:f>
        <x:v>-813000</x:v>
      </x:c>
      <x:c r="F34" s="6" t="n">
        <x:f>F33+E34</x:f>
        <x:v>-6313000</x:v>
      </x:c>
      <x:c r="G34" s="6" t="n">
        <x:v>-520000</x:v>
      </x:c>
      <x:c r="H34" s="6" t="n">
        <x:v>-293000</x:v>
      </x:c>
      <x:c r="I34" s="6" t="n">
        <x:v>-823000</x:v>
      </x:c>
      <x:c r="J34" s="6" t="n">
        <x:v>906000</x:v>
      </x:c>
      <x:c r="K34" s="11" t="n">
        <x:v>8</x:v>
      </x:c>
      <x:c r="L34" s="11" t="n">
        <x:v>120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479000</x:v>
      </x:c>
      <x:c r="D35" s="6" t="n">
        <x:v>578000</x:v>
      </x:c>
      <x:c r="E35" s="6" t="n">
        <x:f>C35-D35</x:f>
        <x:v>-99000</x:v>
      </x:c>
      <x:c r="F35" s="6" t="n">
        <x:f>F34+E35</x:f>
        <x:v>-6412000</x:v>
      </x:c>
      <x:c r="G35" s="6" t="n">
        <x:v>-107000</x:v>
      </x:c>
      <x:c r="H35" s="6" t="n">
        <x:v>8000</x:v>
      </x:c>
      <x:c r="I35" s="6" t="n">
        <x:v>-140000</x:v>
      </x:c>
      <x:c r="J35" s="6" t="n">
        <x:v>149000</x:v>
      </x:c>
      <x:c r="K35" s="11" t="n">
        <x:v>9</x:v>
      </x:c>
      <x:c r="L35" s="11" t="n">
        <x:v>42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-6412000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624000</x:v>
      </x:c>
      <x:c r="D37" s="6" t="n">
        <x:v>869000</x:v>
      </x:c>
      <x:c r="E37" s="6" t="n">
        <x:f>C37-D37</x:f>
        <x:v>-245000</x:v>
      </x:c>
      <x:c r="F37" s="6" t="n">
        <x:f>F36+E37</x:f>
        <x:v>-6657000</x:v>
      </x:c>
      <x:c r="G37" s="6" t="n">
        <x:v>-363000</x:v>
      </x:c>
      <x:c r="H37" s="6" t="n">
        <x:v>118000</x:v>
      </x:c>
      <x:c r="I37" s="6" t="n">
        <x:v>-245000</x:v>
      </x:c>
      <x:c r="J37" s="6" t="n">
        <x:v>255000</x:v>
      </x:c>
      <x:c r="K37" s="11" t="n">
        <x:v>10</x:v>
      </x:c>
      <x:c r="L37" s="11" t="n">
        <x:v>69</x:v>
      </x:c>
    </x:row>
    <x:row r="38" ht="25" customHeight="1">
      <x:c r="A38" s="2" t="str">
        <x:v>2026-10-13_Day</x:v>
      </x:c>
      <x:c r="B38" s="2" t="str">
        <x:v>次10場</x:v>
      </x:c>
      <x:c r="C38" s="6" t="n">
        <x:v>542000</x:v>
      </x:c>
      <x:c r="D38" s="6" t="n">
        <x:v>363000</x:v>
      </x:c>
      <x:c r="E38" s="6" t="n">
        <x:f>C38-D38</x:f>
        <x:v>179000</x:v>
      </x:c>
      <x:c r="F38" s="6" t="n">
        <x:f>F37+E38</x:f>
        <x:v>-6478000</x:v>
      </x:c>
      <x:c r="G38" s="6" t="n">
        <x:v>482000</x:v>
      </x:c>
      <x:c r="H38" s="6" t="n">
        <x:v>-303000</x:v>
      </x:c>
      <x:c r="I38" s="6" t="n">
        <x:v>-215000</x:v>
      </x:c>
      <x:c r="J38" s="6" t="n">
        <x:v>248000</x:v>
      </x:c>
      <x:c r="K38" s="11" t="n">
        <x:v>6</x:v>
      </x:c>
      <x:c r="L38" s="11" t="n">
        <x:v>29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430000</x:v>
      </x:c>
      <x:c r="D39" s="6" t="n">
        <x:v>542000</x:v>
      </x:c>
      <x:c r="E39" s="6" t="n">
        <x:f>C39-D39</x:f>
        <x:v>-112000</x:v>
      </x:c>
      <x:c r="F39" s="6" t="n">
        <x:f>F38+E39</x:f>
        <x:v>-6590000</x:v>
      </x:c>
      <x:c r="G39" s="6" t="n">
        <x:v>34000</x:v>
      </x:c>
      <x:c r="H39" s="6" t="n">
        <x:v>-146000</x:v>
      </x:c>
      <x:c r="I39" s="6" t="n">
        <x:v>-114000</x:v>
      </x:c>
      <x:c r="J39" s="6" t="n">
        <x:v>140000</x:v>
      </x:c>
      <x:c r="K39" s="11" t="n">
        <x:v>9</x:v>
      </x:c>
      <x:c r="L39" s="11" t="n">
        <x:v>47</x:v>
      </x:c>
    </x:row>
    <x:row r="40" ht="25" customHeight="1">
      <x:c r="A40" s="2" t="str">
        <x:v>2026-10-14_Day</x:v>
      </x:c>
      <x:c r="B40" s="2" t="str">
        <x:v>次10場</x:v>
      </x:c>
      <x:c r="C40" s="6" t="n">
        <x:v>534000</x:v>
      </x:c>
      <x:c r="D40" s="6" t="n">
        <x:v>759000</x:v>
      </x:c>
      <x:c r="E40" s="6" t="n">
        <x:f>C40-D40</x:f>
        <x:v>-225000</x:v>
      </x:c>
      <x:c r="F40" s="6" t="n">
        <x:f>F39+E40</x:f>
        <x:v>-6815000</x:v>
      </x:c>
      <x:c r="G40" s="6" t="n">
        <x:v>138000</x:v>
      </x:c>
      <x:c r="H40" s="6" t="n">
        <x:v>-363000</x:v>
      </x:c>
      <x:c r="I40" s="6" t="n">
        <x:v>-337000</x:v>
      </x:c>
      <x:c r="J40" s="6" t="n">
        <x:v>510000</x:v>
      </x:c>
      <x:c r="K40" s="11" t="n">
        <x:v>5</x:v>
      </x:c>
      <x:c r="L40" s="11" t="n">
        <x:v>48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1590000</x:v>
      </x:c>
      <x:c r="D41" s="6" t="n">
        <x:v>2342000</x:v>
      </x:c>
      <x:c r="E41" s="6" t="n">
        <x:f>C41-D41</x:f>
        <x:v>-752000</x:v>
      </x:c>
      <x:c r="F41" s="6" t="n">
        <x:f>F40+E41</x:f>
        <x:v>-7567000</x:v>
      </x:c>
      <x:c r="G41" s="6" t="n">
        <x:v>-666000</x:v>
      </x:c>
      <x:c r="H41" s="6" t="n">
        <x:v>-86000</x:v>
      </x:c>
      <x:c r="I41" s="6" t="n">
        <x:v>-782000</x:v>
      </x:c>
      <x:c r="J41" s="6" t="n">
        <x:v>792000</x:v>
      </x:c>
      <x:c r="K41" s="11" t="n">
        <x:v>27</x:v>
      </x:c>
      <x:c r="L41" s="11" t="n">
        <x:v>214</x:v>
      </x:c>
    </x:row>
    <x:row r="42" ht="25" customHeight="1">
      <x:c r="A42" s="2" t="str">
        <x:v>2026-10-15_Day</x:v>
      </x:c>
      <x:c r="B42" s="2" t="str">
        <x:v>次10場</x:v>
      </x:c>
      <x:c r="C42" s="6" t="n">
        <x:v>1287000</x:v>
      </x:c>
      <x:c r="D42" s="6" t="n">
        <x:v>1902000</x:v>
      </x:c>
      <x:c r="E42" s="6" t="n">
        <x:f>C42-D42</x:f>
        <x:v>-615000</x:v>
      </x:c>
      <x:c r="F42" s="6" t="n">
        <x:f>F41+E42</x:f>
        <x:v>-8182000</x:v>
      </x:c>
      <x:c r="G42" s="6" t="n">
        <x:v>-506000</x:v>
      </x:c>
      <x:c r="H42" s="6" t="n">
        <x:v>-109000</x:v>
      </x:c>
      <x:c r="I42" s="6" t="n">
        <x:v>-635000</x:v>
      </x:c>
      <x:c r="J42" s="6" t="n">
        <x:v>890000</x:v>
      </x:c>
      <x:c r="K42" s="11" t="n">
        <x:v>9</x:v>
      </x:c>
      <x:c r="L42" s="11" t="n">
        <x:v>180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1391000</x:v>
      </x:c>
      <x:c r="D43" s="6" t="n">
        <x:v>1701000</x:v>
      </x:c>
      <x:c r="E43" s="6" t="n">
        <x:f>C43-D43</x:f>
        <x:v>-310000</x:v>
      </x:c>
      <x:c r="F43" s="6" t="n">
        <x:f>F42+E43</x:f>
        <x:v>-8492000</x:v>
      </x:c>
      <x:c r="G43" s="6" t="n">
        <x:v>282000</x:v>
      </x:c>
      <x:c r="H43" s="6" t="n">
        <x:v>-592000</x:v>
      </x:c>
      <x:c r="I43" s="6" t="n">
        <x:v>-465000</x:v>
      </x:c>
      <x:c r="J43" s="6" t="n">
        <x:v>600000</x:v>
      </x:c>
      <x:c r="K43" s="11" t="n">
        <x:v>27</x:v>
      </x:c>
      <x:c r="L43" s="11" t="n">
        <x:v>122</x:v>
      </x:c>
    </x:row>
    <x:row r="44" ht="25" customHeight="1">
      <x:c r="A44" s="2" t="str">
        <x:v>2026-10-16_Day</x:v>
      </x:c>
      <x:c r="B44" s="2" t="str">
        <x:v>次10場</x:v>
      </x:c>
      <x:c r="C44" s="6" t="n">
        <x:v>952000</x:v>
      </x:c>
      <x:c r="D44" s="6" t="n">
        <x:v>693000</x:v>
      </x:c>
      <x:c r="E44" s="6" t="n">
        <x:f>C44-D44</x:f>
        <x:v>259000</x:v>
      </x:c>
      <x:c r="F44" s="6" t="n">
        <x:f>F43+E44</x:f>
        <x:v>-8233000</x:v>
      </x:c>
      <x:c r="G44" s="6" t="n">
        <x:v>695000</x:v>
      </x:c>
      <x:c r="H44" s="6" t="n">
        <x:v>-436000</x:v>
      </x:c>
      <x:c r="I44" s="6" t="n">
        <x:v>-61000</x:v>
      </x:c>
      <x:c r="J44" s="6" t="n">
        <x:v>309000</x:v>
      </x:c>
      <x:c r="K44" s="11" t="n">
        <x:v>16</x:v>
      </x:c>
      <x:c r="L44" s="11" t="n">
        <x:v>59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1788000</x:v>
      </x:c>
      <x:c r="D45" s="6" t="n">
        <x:v>2092000</x:v>
      </x:c>
      <x:c r="E45" s="6" t="n">
        <x:f>C45-D45</x:f>
        <x:v>-304000</x:v>
      </x:c>
      <x:c r="F45" s="6" t="n">
        <x:f>F44+E45</x:f>
        <x:v>-8537000</x:v>
      </x:c>
      <x:c r="G45" s="6" t="n">
        <x:v>-840000</x:v>
      </x:c>
      <x:c r="H45" s="6" t="n">
        <x:v>536000</x:v>
      </x:c>
      <x:c r="I45" s="6" t="n">
        <x:v>-334000</x:v>
      </x:c>
      <x:c r="J45" s="6" t="n">
        <x:v>450000</x:v>
      </x:c>
      <x:c r="K45" s="11" t="n">
        <x:v>18</x:v>
      </x:c>
      <x:c r="L45" s="11" t="n">
        <x:v>148</x:v>
      </x:c>
    </x:row>
    <x:row r="46" ht="25" customHeight="1">
      <x:c r="A46" s="2" t="str">
        <x:v>2026-10-19_Day</x:v>
      </x:c>
      <x:c r="B46" s="2" t="str">
        <x:v>後13場</x:v>
      </x:c>
      <x:c r="C46" s="6" t="n">
        <x:v>638000</x:v>
      </x:c>
      <x:c r="D46" s="6" t="n">
        <x:v>1369000</x:v>
      </x:c>
      <x:c r="E46" s="6" t="n">
        <x:f>C46-D46</x:f>
        <x:v>-731000</x:v>
      </x:c>
      <x:c r="F46" s="6" t="n">
        <x:f>F45+E46</x:f>
        <x:v>-9268000</x:v>
      </x:c>
      <x:c r="G46" s="6" t="n">
        <x:v>-568000</x:v>
      </x:c>
      <x:c r="H46" s="6" t="n">
        <x:v>-163000</x:v>
      </x:c>
      <x:c r="I46" s="6" t="n">
        <x:v>-941000</x:v>
      </x:c>
      <x:c r="J46" s="6" t="n">
        <x:v>992000</x:v>
      </x:c>
      <x:c r="K46" s="11" t="n">
        <x:v>7</x:v>
      </x:c>
      <x:c r="L46" s="11" t="n">
        <x:v>125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577000</x:v>
      </x:c>
      <x:c r="D47" s="6" t="n">
        <x:v>837000</x:v>
      </x:c>
      <x:c r="E47" s="6" t="n">
        <x:f>C47-D47</x:f>
        <x:v>-260000</x:v>
      </x:c>
      <x:c r="F47" s="6" t="n">
        <x:f>F46+E47</x:f>
        <x:v>-9528000</x:v>
      </x:c>
      <x:c r="G47" s="6" t="n">
        <x:v>-39000</x:v>
      </x:c>
      <x:c r="H47" s="6" t="n">
        <x:v>-221000</x:v>
      </x:c>
      <x:c r="I47" s="6" t="n">
        <x:v>-270000</x:v>
      </x:c>
      <x:c r="J47" s="6" t="n">
        <x:v>285000</x:v>
      </x:c>
      <x:c r="K47" s="11" t="n">
        <x:v>17</x:v>
      </x:c>
      <x:c r="L47" s="11" t="n">
        <x:v>72</x:v>
      </x:c>
    </x:row>
    <x:row r="48" ht="25" customHeight="1">
      <x:c r="A48" s="2" t="str">
        <x:v>2026-10-20_Day</x:v>
      </x:c>
      <x:c r="B48" s="2" t="str">
        <x:v>後13場</x:v>
      </x:c>
      <x:c r="C48" s="6" t="n">
        <x:v>667000</x:v>
      </x:c>
      <x:c r="D48" s="6" t="n">
        <x:v>901000</x:v>
      </x:c>
      <x:c r="E48" s="6" t="n">
        <x:f>C48-D48</x:f>
        <x:v>-234000</x:v>
      </x:c>
      <x:c r="F48" s="6" t="n">
        <x:f>F47+E48</x:f>
        <x:v>-9762000</x:v>
      </x:c>
      <x:c r="G48" s="6" t="n">
        <x:v>-58000</x:v>
      </x:c>
      <x:c r="H48" s="6" t="n">
        <x:v>-176000</x:v>
      </x:c>
      <x:c r="I48" s="6" t="n">
        <x:v>-265000</x:v>
      </x:c>
      <x:c r="J48" s="6" t="n">
        <x:v>453000</x:v>
      </x:c>
      <x:c r="K48" s="11" t="n">
        <x:v>9</x:v>
      </x:c>
      <x:c r="L48" s="11" t="n">
        <x:v>76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1330000</x:v>
      </x:c>
      <x:c r="D49" s="6" t="n">
        <x:v>1561000</x:v>
      </x:c>
      <x:c r="E49" s="6" t="n">
        <x:f>C49-D49</x:f>
        <x:v>-231000</x:v>
      </x:c>
      <x:c r="F49" s="6" t="n">
        <x:f>F48+E49</x:f>
        <x:v>-9993000</x:v>
      </x:c>
      <x:c r="G49" s="6" t="n">
        <x:v>-59000</x:v>
      </x:c>
      <x:c r="H49" s="6" t="n">
        <x:v>-172000</x:v>
      </x:c>
      <x:c r="I49" s="6" t="n">
        <x:v>-261000</x:v>
      </x:c>
      <x:c r="J49" s="6" t="n">
        <x:v>361000</x:v>
      </x:c>
      <x:c r="K49" s="11" t="n">
        <x:v>21</x:v>
      </x:c>
      <x:c r="L49" s="11" t="n">
        <x:v>116</x:v>
      </x:c>
    </x:row>
    <x:row r="50" ht="25" customHeight="1">
      <x:c r="A50" s="2" t="str">
        <x:v>2026-10-21_Day</x:v>
      </x:c>
      <x:c r="B50" s="2" t="str">
        <x:v>後13場</x:v>
      </x:c>
      <x:c r="C50" s="6" t="n">
        <x:v>567000</x:v>
      </x:c>
      <x:c r="D50" s="6" t="n">
        <x:v>736000</x:v>
      </x:c>
      <x:c r="E50" s="6" t="n">
        <x:f>C50-D50</x:f>
        <x:v>-169000</x:v>
      </x:c>
      <x:c r="F50" s="6" t="n">
        <x:f>F49+E50</x:f>
        <x:v>-10162000</x:v>
      </x:c>
      <x:c r="G50" s="6" t="n">
        <x:v>-173000</x:v>
      </x:c>
      <x:c r="H50" s="6" t="n">
        <x:v>4000</x:v>
      </x:c>
      <x:c r="I50" s="6" t="n">
        <x:v>-449000</x:v>
      </x:c>
      <x:c r="J50" s="6" t="n">
        <x:v>499000</x:v>
      </x:c>
      <x:c r="K50" s="11" t="n">
        <x:v>6</x:v>
      </x:c>
      <x:c r="L50" s="11" t="n">
        <x:v>73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811000</x:v>
      </x:c>
      <x:c r="D51" s="6" t="n">
        <x:v>866000</x:v>
      </x:c>
      <x:c r="E51" s="6" t="n">
        <x:f>C51-D51</x:f>
        <x:v>-55000</x:v>
      </x:c>
      <x:c r="F51" s="6" t="n">
        <x:f>F50+E51</x:f>
        <x:v>-10217000</x:v>
      </x:c>
      <x:c r="G51" s="6" t="n">
        <x:v>82000</x:v>
      </x:c>
      <x:c r="H51" s="6" t="n">
        <x:v>-137000</x:v>
      </x:c>
      <x:c r="I51" s="6" t="n">
        <x:v>-190000</x:v>
      </x:c>
      <x:c r="J51" s="6" t="n">
        <x:v>190000</x:v>
      </x:c>
      <x:c r="K51" s="11" t="n">
        <x:v>19</x:v>
      </x:c>
      <x:c r="L51" s="11" t="n">
        <x:v>60</x:v>
      </x:c>
    </x:row>
    <x:row r="52" ht="25" customHeight="1">
      <x:c r="A52" s="2" t="str">
        <x:v>2026-10-22_Day</x:v>
      </x:c>
      <x:c r="B52" s="2" t="str">
        <x:v>後13場</x:v>
      </x:c>
      <x:c r="C52" s="6" t="n">
        <x:v>1081000</x:v>
      </x:c>
      <x:c r="D52" s="6" t="n">
        <x:v>1907000</x:v>
      </x:c>
      <x:c r="E52" s="6" t="n">
        <x:f>C52-D52</x:f>
        <x:v>-826000</x:v>
      </x:c>
      <x:c r="F52" s="6" t="n">
        <x:f>F51+E52</x:f>
        <x:v>-11043000</x:v>
      </x:c>
      <x:c r="G52" s="6" t="n">
        <x:v>-927000</x:v>
      </x:c>
      <x:c r="H52" s="6" t="n">
        <x:v>101000</x:v>
      </x:c>
      <x:c r="I52" s="6" t="n">
        <x:v>-1066000</x:v>
      </x:c>
      <x:c r="J52" s="6" t="n">
        <x:v>1116000</x:v>
      </x:c>
      <x:c r="K52" s="11" t="n">
        <x:v>8</x:v>
      </x:c>
      <x:c r="L52" s="11" t="n">
        <x:v>183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967000</x:v>
      </x:c>
      <x:c r="D53" s="6" t="n">
        <x:v>1294000</x:v>
      </x:c>
      <x:c r="E53" s="6" t="n">
        <x:f>C53-D53</x:f>
        <x:v>-327000</x:v>
      </x:c>
      <x:c r="F53" s="6" t="n">
        <x:f>F52+E53</x:f>
        <x:v>-11370000</x:v>
      </x:c>
      <x:c r="G53" s="6" t="n">
        <x:v>-560000</x:v>
      </x:c>
      <x:c r="H53" s="6" t="n">
        <x:v>233000</x:v>
      </x:c>
      <x:c r="I53" s="6" t="n">
        <x:v>-337000</x:v>
      </x:c>
      <x:c r="J53" s="6" t="n">
        <x:v>490000</x:v>
      </x:c>
      <x:c r="K53" s="11" t="n">
        <x:v>13</x:v>
      </x:c>
      <x:c r="L53" s="11" t="n">
        <x:v>94</x:v>
      </x:c>
    </x:row>
    <x:row r="54" ht="25" customHeight="1">
      <x:c r="A54" s="2" t="str">
        <x:v>2026-10-23_Day</x:v>
      </x:c>
      <x:c r="B54" s="2" t="str">
        <x:v>後13場</x:v>
      </x:c>
      <x:c r="C54" s="6" t="n">
        <x:v>1839000</x:v>
      </x:c>
      <x:c r="D54" s="6" t="n">
        <x:v>2994000</x:v>
      </x:c>
      <x:c r="E54" s="6" t="n">
        <x:f>C54-D54</x:f>
        <x:v>-1155000</x:v>
      </x:c>
      <x:c r="F54" s="6" t="n">
        <x:f>F53+E54</x:f>
        <x:v>-12525000</x:v>
      </x:c>
      <x:c r="G54" s="6" t="n">
        <x:v>127000</x:v>
      </x:c>
      <x:c r="H54" s="6" t="n">
        <x:v>-1282000</x:v>
      </x:c>
      <x:c r="I54" s="6" t="n">
        <x:v>-1185000</x:v>
      </x:c>
      <x:c r="J54" s="6" t="n">
        <x:v>1400000</x:v>
      </x:c>
      <x:c r="K54" s="11" t="n">
        <x:v>24</x:v>
      </x:c>
      <x:c r="L54" s="11" t="n">
        <x:v>213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579000</x:v>
      </x:c>
      <x:c r="D55" s="6" t="n">
        <x:v>733000</x:v>
      </x:c>
      <x:c r="E55" s="6" t="n">
        <x:f>C55-D55</x:f>
        <x:v>-154000</x:v>
      </x:c>
      <x:c r="F55" s="6" t="n">
        <x:f>F54+E55</x:f>
        <x:v>-12679000</x:v>
      </x:c>
      <x:c r="G55" s="6" t="n">
        <x:v>-212000</x:v>
      </x:c>
      <x:c r="H55" s="6" t="n">
        <x:v>58000</x:v>
      </x:c>
      <x:c r="I55" s="6" t="n">
        <x:v>-177000</x:v>
      </x:c>
      <x:c r="J55" s="6" t="n">
        <x:v>206000</x:v>
      </x:c>
      <x:c r="K55" s="11" t="n">
        <x:v>12</x:v>
      </x:c>
      <x:c r="L55" s="11" t="n">
        <x:v>45</x:v>
      </x:c>
    </x:row>
    <x:row r="56" ht="25" customHeight="1">
      <x:c r="A56" s="2" t="str">
        <x:v>2026-10-26_Day</x:v>
      </x:c>
      <x:c r="B56" s="2" t="str">
        <x:v>後13場</x:v>
      </x:c>
      <x:c r="C56" s="6" t="n">
        <x:v>1013000</x:v>
      </x:c>
      <x:c r="D56" s="6" t="n">
        <x:v>1210000</x:v>
      </x:c>
      <x:c r="E56" s="6" t="n">
        <x:f>C56-D56</x:f>
        <x:v>-197000</x:v>
      </x:c>
      <x:c r="F56" s="6" t="n">
        <x:f>F55+E56</x:f>
        <x:v>-12876000</x:v>
      </x:c>
      <x:c r="G56" s="6" t="n">
        <x:v>793000</x:v>
      </x:c>
      <x:c r="H56" s="6" t="n">
        <x:v>-990000</x:v>
      </x:c>
      <x:c r="I56" s="6" t="n">
        <x:v>-407000</x:v>
      </x:c>
      <x:c r="J56" s="6" t="n">
        <x:v>407000</x:v>
      </x:c>
      <x:c r="K56" s="11" t="n">
        <x:v>17</x:v>
      </x:c>
      <x:c r="L56" s="11" t="n">
        <x:v>78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676000</x:v>
      </x:c>
      <x:c r="D57" s="6" t="n">
        <x:v>914000</x:v>
      </x:c>
      <x:c r="E57" s="6" t="n">
        <x:f>C57-D57</x:f>
        <x:v>-238000</x:v>
      </x:c>
      <x:c r="F57" s="6" t="n">
        <x:f>F56+E57</x:f>
        <x:v>-13114000</x:v>
      </x:c>
      <x:c r="G57" s="6" t="n">
        <x:v>-374000</x:v>
      </x:c>
      <x:c r="H57" s="6" t="n">
        <x:v>136000</x:v>
      </x:c>
      <x:c r="I57" s="6" t="n">
        <x:v>-284000</x:v>
      </x:c>
      <x:c r="J57" s="6" t="n">
        <x:v>329000</x:v>
      </x:c>
      <x:c r="K57" s="11" t="n">
        <x:v>11</x:v>
      </x:c>
      <x:c r="L57" s="11" t="n">
        <x:v>70</x:v>
      </x:c>
    </x:row>
    <x:row r="58" ht="25" customHeight="1">
      <x:c r="A58" s="2" t="str">
        <x:v>2026-10-27_Day</x:v>
      </x:c>
      <x:c r="B58" s="2" t="str">
        <x:v>後13場</x:v>
      </x:c>
      <x:c r="C58" s="6" t="n">
        <x:v>978000</x:v>
      </x:c>
      <x:c r="D58" s="6" t="n">
        <x:v>328000</x:v>
      </x:c>
      <x:c r="E58" s="6" t="n">
        <x:f>C58-D58</x:f>
        <x:v>650000</x:v>
      </x:c>
      <x:c r="F58" s="6" t="n">
        <x:f>F57+E58</x:f>
        <x:v>-12464000</x:v>
      </x:c>
      <x:c r="G58" s="6" t="n">
        <x:v>870000</x:v>
      </x:c>
      <x:c r="H58" s="6" t="n">
        <x:v>-220000</x:v>
      </x:c>
      <x:c r="I58" s="6" t="n">
        <x:v>-90000</x:v>
      </x:c>
      <x:c r="J58" s="6" t="n">
        <x:v>270000</x:v>
      </x:c>
      <x:c r="K58" s="11" t="n">
        <x:v>9</x:v>
      </x:c>
      <x:c r="L58" s="11" t="n">
        <x:v>47</x:v>
      </x:c>
    </x:row>
    <x:row r="59" ht="25" customHeight="1">
      <x:c r="A59" s="15" t="str">
        <x:v>累計／場内最悪値</x:v>
      </x:c>
      <x:c r="B59" s="15"/>
      <x:c r="C59" s="16" t="n">
        <x:f>SUM(C6:C58)</x:f>
        <x:v>38344000</x:v>
      </x:c>
      <x:c r="D59" s="16" t="n">
        <x:f>SUM(D6:D58)</x:f>
        <x:v>50808000</x:v>
      </x:c>
      <x:c r="E59" s="16" t="n">
        <x:f>C59-D59</x:f>
        <x:v>-12464000</x:v>
      </x:c>
      <x:c r="F59" s="16" t="n">
        <x:f>F58</x:f>
        <x:v>-12464000</x:v>
      </x:c>
      <x:c r="G59" s="16" t="n">
        <x:f>SUM(G6:G58)</x:f>
        <x:v>-4932000</x:v>
      </x:c>
      <x:c r="H59" s="16" t="n">
        <x:f>SUM(H6:H58)</x:f>
        <x:v>-7532000</x:v>
      </x:c>
      <x:c r="I59" s="16" t="n">
        <x:f>MIN(I6:I58)</x:f>
        <x:v>-1185000</x:v>
      </x:c>
      <x:c r="J59" s="16" t="n">
        <x:f>MAX(J6:J58)</x:f>
        <x:v>1400000</x:v>
      </x:c>
      <x:c r="K59" s="17" t="n">
        <x:f>SUM(K6:K58)</x:f>
        <x:v>566</x:v>
      </x:c>
      <x:c r="L59" s="17" t="n">
        <x:f>SUM(L6:L58)</x:f>
        <x:v>4133</x:v>
      </x:c>
    </x:row>
  </x:sheetData>
  <x:conditionalFormatting sqref="E6:I58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5103655a0c42e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段60・利益20起動・追尾10・完済後新基準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202000</x:v>
      </x:c>
      <x:c r="D6" s="6" t="n">
        <x:v>0</x:v>
      </x:c>
      <x:c r="E6" s="6" t="n">
        <x:f>C6-D6</x:f>
        <x:v>202000</x:v>
      </x:c>
      <x:c r="F6" s="6" t="n">
        <x:f>E6</x:f>
        <x:v>202000</x:v>
      </x:c>
      <x:c r="G6" s="6" t="n">
        <x:v>200000</x:v>
      </x:c>
      <x:c r="H6" s="6" t="n">
        <x:v>2000</x:v>
      </x:c>
      <x:c r="I6" s="6" t="n">
        <x:v>-60000</x:v>
      </x:c>
      <x:c r="J6" s="6" t="n">
        <x:v>127000</x:v>
      </x:c>
      <x:c r="K6" s="11" t="n">
        <x:v>2</x:v>
      </x:c>
      <x:c r="L6" s="11" t="n">
        <x:v>1</x:v>
      </x:c>
    </x:row>
    <x:row r="7" ht="25" customHeight="1">
      <x:c r="A7" s="2" t="str">
        <x:v>2026-09-21_Night</x:v>
      </x:c>
      <x:c r="B7" s="2" t="str">
        <x:v>前30場</x:v>
      </x:c>
      <x:c r="C7" s="6" t="n">
        <x:v>576000</x:v>
      </x:c>
      <x:c r="D7" s="6" t="n">
        <x:v>880000</x:v>
      </x:c>
      <x:c r="E7" s="6" t="n">
        <x:f>C7-D7</x:f>
        <x:v>-304000</x:v>
      </x:c>
      <x:c r="F7" s="6" t="n">
        <x:f>F6+E7</x:f>
        <x:v>-102000</x:v>
      </x:c>
      <x:c r="G7" s="6" t="n">
        <x:v>-330000</x:v>
      </x:c>
      <x:c r="H7" s="6" t="n">
        <x:v>26000</x:v>
      </x:c>
      <x:c r="I7" s="6" t="n">
        <x:v>-374000</x:v>
      </x:c>
      <x:c r="J7" s="6" t="n">
        <x:v>516000</x:v>
      </x:c>
      <x:c r="K7" s="11" t="n">
        <x:v>7</x:v>
      </x:c>
      <x:c r="L7" s="11" t="n">
        <x:v>68</x:v>
      </x:c>
    </x:row>
    <x:row r="8" ht="25" customHeight="1">
      <x:c r="A8" s="2" t="str">
        <x:v>2026-09-22_Day</x:v>
      </x:c>
      <x:c r="B8" s="2" t="str">
        <x:v>前30場</x:v>
      </x:c>
      <x:c r="C8" s="6" t="n">
        <x:v>113000</x:v>
      </x:c>
      <x:c r="D8" s="6" t="n">
        <x:v>42000</x:v>
      </x:c>
      <x:c r="E8" s="6" t="n">
        <x:f>C8-D8</x:f>
        <x:v>71000</x:v>
      </x:c>
      <x:c r="F8" s="6" t="n">
        <x:f>F7+E8</x:f>
        <x:v>-31000</x:v>
      </x:c>
      <x:c r="G8" s="6" t="n">
        <x:v>100000</x:v>
      </x:c>
      <x:c r="H8" s="6" t="n">
        <x:v>-29000</x:v>
      </x:c>
      <x:c r="I8" s="6" t="n">
        <x:v>-308000</x:v>
      </x:c>
      <x:c r="J8" s="6" t="n">
        <x:v>388000</x:v>
      </x:c>
      <x:c r="K8" s="11" t="n">
        <x:v>1</x:v>
      </x:c>
      <x:c r="L8" s="11" t="n">
        <x:v>9</x:v>
      </x:c>
    </x:row>
    <x:row r="9" ht="25" customHeight="1">
      <x:c r="A9" s="2" t="str">
        <x:v>2026-09-22_Night</x:v>
      </x:c>
      <x:c r="B9" s="2" t="str">
        <x:v>前30場</x:v>
      </x:c>
      <x:c r="C9" s="6" t="n">
        <x:v>813000</x:v>
      </x:c>
      <x:c r="D9" s="6" t="n">
        <x:v>927000</x:v>
      </x:c>
      <x:c r="E9" s="6" t="n">
        <x:f>C9-D9</x:f>
        <x:v>-114000</x:v>
      </x:c>
      <x:c r="F9" s="6" t="n">
        <x:f>F8+E9</x:f>
        <x:v>-145000</x:v>
      </x:c>
      <x:c r="G9" s="6" t="n">
        <x:v>-203000</x:v>
      </x:c>
      <x:c r="H9" s="6" t="n">
        <x:v>89000</x:v>
      </x:c>
      <x:c r="I9" s="6" t="n">
        <x:v>-284000</x:v>
      </x:c>
      <x:c r="J9" s="6" t="n">
        <x:v>450000</x:v>
      </x:c>
      <x:c r="K9" s="11" t="n">
        <x:v>15</x:v>
      </x:c>
      <x:c r="L9" s="11" t="n">
        <x:v>74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-145000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588000</x:v>
      </x:c>
      <x:c r="D11" s="6" t="n">
        <x:v>1118000</x:v>
      </x:c>
      <x:c r="E11" s="6" t="n">
        <x:f>C11-D11</x:f>
        <x:v>-530000</x:v>
      </x:c>
      <x:c r="F11" s="6" t="n">
        <x:f>F10+E11</x:f>
        <x:v>-675000</x:v>
      </x:c>
      <x:c r="G11" s="6" t="n">
        <x:v>-447000</x:v>
      </x:c>
      <x:c r="H11" s="6" t="n">
        <x:v>-83000</x:v>
      </x:c>
      <x:c r="I11" s="6" t="n">
        <x:v>-530000</x:v>
      </x:c>
      <x:c r="J11" s="6" t="n">
        <x:v>590000</x:v>
      </x:c>
      <x:c r="K11" s="11" t="n">
        <x:v>8</x:v>
      </x:c>
      <x:c r="L11" s="11" t="n">
        <x:v>78</x:v>
      </x:c>
    </x:row>
    <x:row r="12" ht="25" customHeight="1">
      <x:c r="A12" s="2" t="str">
        <x:v>2026-09-24_Day</x:v>
      </x:c>
      <x:c r="B12" s="2" t="str">
        <x:v>前30場</x:v>
      </x:c>
      <x:c r="C12" s="6" t="n">
        <x:v>315000</x:v>
      </x:c>
      <x:c r="D12" s="6" t="n">
        <x:v>230000</x:v>
      </x:c>
      <x:c r="E12" s="6" t="n">
        <x:f>C12-D12</x:f>
        <x:v>85000</x:v>
      </x:c>
      <x:c r="F12" s="6" t="n">
        <x:f>F11+E12</x:f>
        <x:v>-590000</x:v>
      </x:c>
      <x:c r="G12" s="6" t="n">
        <x:v>278000</x:v>
      </x:c>
      <x:c r="H12" s="6" t="n">
        <x:v>-193000</x:v>
      </x:c>
      <x:c r="I12" s="6" t="n">
        <x:v>-369000</x:v>
      </x:c>
      <x:c r="J12" s="6" t="n">
        <x:v>369000</x:v>
      </x:c>
      <x:c r="K12" s="11" t="n">
        <x:v>4</x:v>
      </x:c>
      <x:c r="L12" s="11" t="n">
        <x:v>26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476000</x:v>
      </x:c>
      <x:c r="D13" s="6" t="n">
        <x:v>726000</x:v>
      </x:c>
      <x:c r="E13" s="6" t="n">
        <x:f>C13-D13</x:f>
        <x:v>-250000</x:v>
      </x:c>
      <x:c r="F13" s="6" t="n">
        <x:f>F12+E13</x:f>
        <x:v>-840000</x:v>
      </x:c>
      <x:c r="G13" s="6" t="n">
        <x:v>-236000</x:v>
      </x:c>
      <x:c r="H13" s="6" t="n">
        <x:v>-14000</x:v>
      </x:c>
      <x:c r="I13" s="6" t="n">
        <x:v>-270000</x:v>
      </x:c>
      <x:c r="J13" s="6" t="n">
        <x:v>350000</x:v>
      </x:c>
      <x:c r="K13" s="11" t="n">
        <x:v>9</x:v>
      </x:c>
      <x:c r="L13" s="11" t="n">
        <x:v>44</x:v>
      </x:c>
    </x:row>
    <x:row r="14" ht="25" customHeight="1">
      <x:c r="A14" s="2" t="str">
        <x:v>2026-09-25_Day</x:v>
      </x:c>
      <x:c r="B14" s="2" t="str">
        <x:v>前30場</x:v>
      </x:c>
      <x:c r="C14" s="6" t="n">
        <x:v>160000</x:v>
      </x:c>
      <x:c r="D14" s="6" t="n">
        <x:v>736000</x:v>
      </x:c>
      <x:c r="E14" s="6" t="n">
        <x:f>C14-D14</x:f>
        <x:v>-576000</x:v>
      </x:c>
      <x:c r="F14" s="6" t="n">
        <x:f>F13+E14</x:f>
        <x:v>-1416000</x:v>
      </x:c>
      <x:c r="G14" s="6" t="n">
        <x:v>-628000</x:v>
      </x:c>
      <x:c r="H14" s="6" t="n">
        <x:v>52000</x:v>
      </x:c>
      <x:c r="I14" s="6" t="n">
        <x:v>-663000</x:v>
      </x:c>
      <x:c r="J14" s="6" t="n">
        <x:v>733000</x:v>
      </x:c>
      <x:c r="K14" s="11" t="n">
        <x:v>2</x:v>
      </x:c>
      <x:c r="L14" s="11" t="n">
        <x:v>57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420000</x:v>
      </x:c>
      <x:c r="D15" s="6" t="n">
        <x:v>681000</x:v>
      </x:c>
      <x:c r="E15" s="6" t="n">
        <x:f>C15-D15</x:f>
        <x:v>-261000</x:v>
      </x:c>
      <x:c r="F15" s="6" t="n">
        <x:f>F14+E15</x:f>
        <x:v>-1677000</x:v>
      </x:c>
      <x:c r="G15" s="6" t="n">
        <x:v>-311000</x:v>
      </x:c>
      <x:c r="H15" s="6" t="n">
        <x:v>50000</x:v>
      </x:c>
      <x:c r="I15" s="6" t="n">
        <x:v>-281000</x:v>
      </x:c>
      <x:c r="J15" s="6" t="n">
        <x:v>281000</x:v>
      </x:c>
      <x:c r="K15" s="11" t="n">
        <x:v>7</x:v>
      </x:c>
      <x:c r="L15" s="11" t="n">
        <x:v>35</x:v>
      </x:c>
    </x:row>
    <x:row r="16" ht="25" customHeight="1">
      <x:c r="A16" s="2" t="str">
        <x:v>2026-09-28_Day</x:v>
      </x:c>
      <x:c r="B16" s="2" t="str">
        <x:v>前30場</x:v>
      </x:c>
      <x:c r="C16" s="6" t="n">
        <x:v>476000</x:v>
      </x:c>
      <x:c r="D16" s="6" t="n">
        <x:v>173000</x:v>
      </x:c>
      <x:c r="E16" s="6" t="n">
        <x:f>C16-D16</x:f>
        <x:v>303000</x:v>
      </x:c>
      <x:c r="F16" s="6" t="n">
        <x:f>F15+E16</x:f>
        <x:v>-1374000</x:v>
      </x:c>
      <x:c r="G16" s="6" t="n">
        <x:v>443000</x:v>
      </x:c>
      <x:c r="H16" s="6" t="n">
        <x:v>-140000</x:v>
      </x:c>
      <x:c r="I16" s="6" t="n">
        <x:v>-356000</x:v>
      </x:c>
      <x:c r="J16" s="6" t="n">
        <x:v>365000</x:v>
      </x:c>
      <x:c r="K16" s="11" t="n">
        <x:v>5</x:v>
      </x:c>
      <x:c r="L16" s="11" t="n">
        <x:v>23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856000</x:v>
      </x:c>
      <x:c r="D17" s="6" t="n">
        <x:v>1024000</x:v>
      </x:c>
      <x:c r="E17" s="6" t="n">
        <x:f>C17-D17</x:f>
        <x:v>-168000</x:v>
      </x:c>
      <x:c r="F17" s="6" t="n">
        <x:f>F16+E17</x:f>
        <x:v>-1542000</x:v>
      </x:c>
      <x:c r="G17" s="6" t="n">
        <x:v>397000</x:v>
      </x:c>
      <x:c r="H17" s="6" t="n">
        <x:v>-565000</x:v>
      </x:c>
      <x:c r="I17" s="6" t="n">
        <x:v>-217000</x:v>
      </x:c>
      <x:c r="J17" s="6" t="n">
        <x:v>247000</x:v>
      </x:c>
      <x:c r="K17" s="11" t="n">
        <x:v>15</x:v>
      </x:c>
      <x:c r="L17" s="11" t="n">
        <x:v>89</x:v>
      </x:c>
    </x:row>
    <x:row r="18" ht="25" customHeight="1">
      <x:c r="A18" s="2" t="str">
        <x:v>2026-09-29_Day</x:v>
      </x:c>
      <x:c r="B18" s="2" t="str">
        <x:v>前30場</x:v>
      </x:c>
      <x:c r="C18" s="6" t="n">
        <x:v>436000</x:v>
      </x:c>
      <x:c r="D18" s="6" t="n">
        <x:v>795000</x:v>
      </x:c>
      <x:c r="E18" s="6" t="n">
        <x:f>C18-D18</x:f>
        <x:v>-359000</x:v>
      </x:c>
      <x:c r="F18" s="6" t="n">
        <x:f>F17+E18</x:f>
        <x:v>-1901000</x:v>
      </x:c>
      <x:c r="G18" s="6" t="n">
        <x:v>76000</x:v>
      </x:c>
      <x:c r="H18" s="6" t="n">
        <x:v>-435000</x:v>
      </x:c>
      <x:c r="I18" s="6" t="n">
        <x:v>-651000</x:v>
      </x:c>
      <x:c r="J18" s="6" t="n">
        <x:v>673000</x:v>
      </x:c>
      <x:c r="K18" s="11" t="n">
        <x:v>8</x:v>
      </x:c>
      <x:c r="L18" s="11" t="n">
        <x:v>87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636000</x:v>
      </x:c>
      <x:c r="D19" s="6" t="n">
        <x:v>809000</x:v>
      </x:c>
      <x:c r="E19" s="6" t="n">
        <x:f>C19-D19</x:f>
        <x:v>-173000</x:v>
      </x:c>
      <x:c r="F19" s="6" t="n">
        <x:f>F18+E19</x:f>
        <x:v>-2074000</x:v>
      </x:c>
      <x:c r="G19" s="6" t="n">
        <x:v>-142000</x:v>
      </x:c>
      <x:c r="H19" s="6" t="n">
        <x:v>-31000</x:v>
      </x:c>
      <x:c r="I19" s="6" t="n">
        <x:v>-173000</x:v>
      </x:c>
      <x:c r="J19" s="6" t="n">
        <x:v>270000</x:v>
      </x:c>
      <x:c r="K19" s="11" t="n">
        <x:v>13</x:v>
      </x:c>
      <x:c r="L19" s="11" t="n">
        <x:v>58</x:v>
      </x:c>
    </x:row>
    <x:row r="20" ht="25" customHeight="1">
      <x:c r="A20" s="2" t="str">
        <x:v>2026-09-30_Day</x:v>
      </x:c>
      <x:c r="B20" s="2" t="str">
        <x:v>前30場</x:v>
      </x:c>
      <x:c r="C20" s="6" t="n">
        <x:v>238000</x:v>
      </x:c>
      <x:c r="D20" s="6" t="n">
        <x:v>639000</x:v>
      </x:c>
      <x:c r="E20" s="6" t="n">
        <x:f>C20-D20</x:f>
        <x:v>-401000</x:v>
      </x:c>
      <x:c r="F20" s="6" t="n">
        <x:f>F19+E20</x:f>
        <x:v>-2475000</x:v>
      </x:c>
      <x:c r="G20" s="6" t="n">
        <x:v>-420000</x:v>
      </x:c>
      <x:c r="H20" s="6" t="n">
        <x:v>19000</x:v>
      </x:c>
      <x:c r="I20" s="6" t="n">
        <x:v>-401000</x:v>
      </x:c>
      <x:c r="J20" s="6" t="n">
        <x:v>574000</x:v>
      </x:c>
      <x:c r="K20" s="11" t="n">
        <x:v>3</x:v>
      </x:c>
      <x:c r="L20" s="11" t="n">
        <x:v>37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571000</x:v>
      </x:c>
      <x:c r="D21" s="6" t="n">
        <x:v>1007000</x:v>
      </x:c>
      <x:c r="E21" s="6" t="n">
        <x:f>C21-D21</x:f>
        <x:v>-436000</x:v>
      </x:c>
      <x:c r="F21" s="6" t="n">
        <x:f>F20+E21</x:f>
        <x:v>-2911000</x:v>
      </x:c>
      <x:c r="G21" s="6" t="n">
        <x:v>-141000</x:v>
      </x:c>
      <x:c r="H21" s="6" t="n">
        <x:v>-295000</x:v>
      </x:c>
      <x:c r="I21" s="6" t="n">
        <x:v>-515000</x:v>
      </x:c>
      <x:c r="J21" s="6" t="n">
        <x:v>515000</x:v>
      </x:c>
      <x:c r="K21" s="11" t="n">
        <x:v>18</x:v>
      </x:c>
      <x:c r="L21" s="11" t="n">
        <x:v>97</x:v>
      </x:c>
    </x:row>
    <x:row r="22" ht="25" customHeight="1">
      <x:c r="A22" s="2" t="str">
        <x:v>2026-10-01_Day</x:v>
      </x:c>
      <x:c r="B22" s="2" t="str">
        <x:v>前30場</x:v>
      </x:c>
      <x:c r="C22" s="6" t="n">
        <x:v>460000</x:v>
      </x:c>
      <x:c r="D22" s="6" t="n">
        <x:v>1786000</x:v>
      </x:c>
      <x:c r="E22" s="6" t="n">
        <x:f>C22-D22</x:f>
        <x:v>-1326000</x:v>
      </x:c>
      <x:c r="F22" s="6" t="n">
        <x:f>F21+E22</x:f>
        <x:v>-4237000</x:v>
      </x:c>
      <x:c r="G22" s="6" t="n">
        <x:v>-1421000</x:v>
      </x:c>
      <x:c r="H22" s="6" t="n">
        <x:v>95000</x:v>
      </x:c>
      <x:c r="I22" s="6" t="n">
        <x:v>-1393000</x:v>
      </x:c>
      <x:c r="J22" s="6" t="n">
        <x:v>1560000</x:v>
      </x:c>
      <x:c r="K22" s="11" t="n">
        <x:v>3</x:v>
      </x:c>
      <x:c r="L22" s="11" t="n">
        <x:v>172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1283000</x:v>
      </x:c>
      <x:c r="D23" s="6" t="n">
        <x:v>1597000</x:v>
      </x:c>
      <x:c r="E23" s="6" t="n">
        <x:f>C23-D23</x:f>
        <x:v>-314000</x:v>
      </x:c>
      <x:c r="F23" s="6" t="n">
        <x:f>F22+E23</x:f>
        <x:v>-4551000</x:v>
      </x:c>
      <x:c r="G23" s="6" t="n">
        <x:v>597000</x:v>
      </x:c>
      <x:c r="H23" s="6" t="n">
        <x:v>-911000</x:v>
      </x:c>
      <x:c r="I23" s="6" t="n">
        <x:v>-418000</x:v>
      </x:c>
      <x:c r="J23" s="6" t="n">
        <x:v>528000</x:v>
      </x:c>
      <x:c r="K23" s="11" t="n">
        <x:v>24</x:v>
      </x:c>
      <x:c r="L23" s="11" t="n">
        <x:v>127</x:v>
      </x:c>
    </x:row>
    <x:row r="24" ht="25" customHeight="1">
      <x:c r="A24" s="2" t="str">
        <x:v>2026-10-02_Day</x:v>
      </x:c>
      <x:c r="B24" s="2" t="str">
        <x:v>前30場</x:v>
      </x:c>
      <x:c r="C24" s="6" t="n">
        <x:v>310000</x:v>
      </x:c>
      <x:c r="D24" s="6" t="n">
        <x:v>492000</x:v>
      </x:c>
      <x:c r="E24" s="6" t="n">
        <x:f>C24-D24</x:f>
        <x:v>-182000</x:v>
      </x:c>
      <x:c r="F24" s="6" t="n">
        <x:f>F23+E24</x:f>
        <x:v>-4733000</x:v>
      </x:c>
      <x:c r="G24" s="6" t="n">
        <x:v>115000</x:v>
      </x:c>
      <x:c r="H24" s="6" t="n">
        <x:v>-297000</x:v>
      </x:c>
      <x:c r="I24" s="6" t="n">
        <x:v>-322000</x:v>
      </x:c>
      <x:c r="J24" s="6" t="n">
        <x:v>428000</x:v>
      </x:c>
      <x:c r="K24" s="11" t="n">
        <x:v>5</x:v>
      </x:c>
      <x:c r="L24" s="11" t="n">
        <x:v>32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798000</x:v>
      </x:c>
      <x:c r="D25" s="6" t="n">
        <x:v>1196000</x:v>
      </x:c>
      <x:c r="E25" s="6" t="n">
        <x:f>C25-D25</x:f>
        <x:v>-398000</x:v>
      </x:c>
      <x:c r="F25" s="6" t="n">
        <x:f>F24+E25</x:f>
        <x:v>-5131000</x:v>
      </x:c>
      <x:c r="G25" s="6" t="n">
        <x:v>-425000</x:v>
      </x:c>
      <x:c r="H25" s="6" t="n">
        <x:v>27000</x:v>
      </x:c>
      <x:c r="I25" s="6" t="n">
        <x:v>-492000</x:v>
      </x:c>
      <x:c r="J25" s="6" t="n">
        <x:v>562000</x:v>
      </x:c>
      <x:c r="K25" s="11" t="n">
        <x:v>17</x:v>
      </x:c>
      <x:c r="L25" s="11" t="n">
        <x:v>58</x:v>
      </x:c>
    </x:row>
    <x:row r="26" ht="25" customHeight="1">
      <x:c r="A26" s="2" t="str">
        <x:v>2026-10-05_Day</x:v>
      </x:c>
      <x:c r="B26" s="2" t="str">
        <x:v>前30場</x:v>
      </x:c>
      <x:c r="C26" s="6" t="n">
        <x:v>231000</x:v>
      </x:c>
      <x:c r="D26" s="6" t="n">
        <x:v>546000</x:v>
      </x:c>
      <x:c r="E26" s="6" t="n">
        <x:f>C26-D26</x:f>
        <x:v>-315000</x:v>
      </x:c>
      <x:c r="F26" s="6" t="n">
        <x:f>F25+E26</x:f>
        <x:v>-5446000</x:v>
      </x:c>
      <x:c r="G26" s="6" t="n">
        <x:v>-226000</x:v>
      </x:c>
      <x:c r="H26" s="6" t="n">
        <x:v>-89000</x:v>
      </x:c>
      <x:c r="I26" s="6" t="n">
        <x:v>-348000</x:v>
      </x:c>
      <x:c r="J26" s="6" t="n">
        <x:v>398000</x:v>
      </x:c>
      <x:c r="K26" s="11" t="n">
        <x:v>3</x:v>
      </x:c>
      <x:c r="L26" s="11" t="n">
        <x:v>39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460000</x:v>
      </x:c>
      <x:c r="D27" s="6" t="n">
        <x:v>625000</x:v>
      </x:c>
      <x:c r="E27" s="6" t="n">
        <x:f>C27-D27</x:f>
        <x:v>-165000</x:v>
      </x:c>
      <x:c r="F27" s="6" t="n">
        <x:f>F26+E27</x:f>
        <x:v>-5611000</x:v>
      </x:c>
      <x:c r="G27" s="6" t="n">
        <x:v>187000</x:v>
      </x:c>
      <x:c r="H27" s="6" t="n">
        <x:v>-352000</x:v>
      </x:c>
      <x:c r="I27" s="6" t="n">
        <x:v>-200000</x:v>
      </x:c>
      <x:c r="J27" s="6" t="n">
        <x:v>220000</x:v>
      </x:c>
      <x:c r="K27" s="11" t="n">
        <x:v>8</x:v>
      </x:c>
      <x:c r="L27" s="11" t="n">
        <x:v>24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101000</x:v>
      </x:c>
      <x:c r="D28" s="6" t="n">
        <x:v>25000</x:v>
      </x:c>
      <x:c r="E28" s="6" t="n">
        <x:f>C28-D28</x:f>
        <x:v>76000</x:v>
      </x:c>
      <x:c r="F28" s="6" t="n">
        <x:f>F27+E28</x:f>
        <x:v>-5535000</x:v>
      </x:c>
      <x:c r="G28" s="6" t="n">
        <x:v>100000</x:v>
      </x:c>
      <x:c r="H28" s="6" t="n">
        <x:v>-24000</x:v>
      </x:c>
      <x:c r="I28" s="6" t="n">
        <x:v>-159000</x:v>
      </x:c>
      <x:c r="J28" s="6" t="n">
        <x:v>159000</x:v>
      </x:c>
      <x:c r="K28" s="11" t="n">
        <x:v>1</x:v>
      </x:c>
      <x:c r="L28" s="11" t="n">
        <x:v>2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545000</x:v>
      </x:c>
      <x:c r="D29" s="6" t="n">
        <x:v>668000</x:v>
      </x:c>
      <x:c r="E29" s="6" t="n">
        <x:f>C29-D29</x:f>
        <x:v>-123000</x:v>
      </x:c>
      <x:c r="F29" s="6" t="n">
        <x:f>F28+E29</x:f>
        <x:v>-5658000</x:v>
      </x:c>
      <x:c r="G29" s="6" t="n">
        <x:v>361000</x:v>
      </x:c>
      <x:c r="H29" s="6" t="n">
        <x:v>-484000</x:v>
      </x:c>
      <x:c r="I29" s="6" t="n">
        <x:v>-157000</x:v>
      </x:c>
      <x:c r="J29" s="6" t="n">
        <x:v>209000</x:v>
      </x:c>
      <x:c r="K29" s="11" t="n">
        <x:v>7</x:v>
      </x:c>
      <x:c r="L29" s="11" t="n">
        <x:v>26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201000</x:v>
      </x:c>
      <x:c r="D30" s="6" t="n">
        <x:v>21000</x:v>
      </x:c>
      <x:c r="E30" s="6" t="n">
        <x:f>C30-D30</x:f>
        <x:v>180000</x:v>
      </x:c>
      <x:c r="F30" s="6" t="n">
        <x:f>F29+E30</x:f>
        <x:v>-5478000</x:v>
      </x:c>
      <x:c r="G30" s="6" t="n">
        <x:v>200000</x:v>
      </x:c>
      <x:c r="H30" s="6" t="n">
        <x:v>-20000</x:v>
      </x:c>
      <x:c r="I30" s="6" t="n">
        <x:v>-99000</x:v>
      </x:c>
      <x:c r="J30" s="6" t="n">
        <x:v>179000</x:v>
      </x:c>
      <x:c r="K30" s="11" t="n">
        <x:v>2</x:v>
      </x:c>
      <x:c r="L30" s="11" t="n">
        <x:v>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766000</x:v>
      </x:c>
      <x:c r="D31" s="6" t="n">
        <x:v>946000</x:v>
      </x:c>
      <x:c r="E31" s="6" t="n">
        <x:f>C31-D31</x:f>
        <x:v>-180000</x:v>
      </x:c>
      <x:c r="F31" s="6" t="n">
        <x:f>F30+E31</x:f>
        <x:v>-5658000</x:v>
      </x:c>
      <x:c r="G31" s="6" t="n">
        <x:v>-139000</x:v>
      </x:c>
      <x:c r="H31" s="6" t="n">
        <x:v>-41000</x:v>
      </x:c>
      <x:c r="I31" s="6" t="n">
        <x:v>-190000</x:v>
      </x:c>
      <x:c r="J31" s="6" t="n">
        <x:v>210000</x:v>
      </x:c>
      <x:c r="K31" s="11" t="n">
        <x:v>16</x:v>
      </x:c>
      <x:c r="L31" s="11" t="n">
        <x:v>62</x:v>
      </x:c>
    </x:row>
    <x:row r="32" ht="25" customHeight="1">
      <x:c r="A32" s="2" t="str">
        <x:v>2026-10-08_Day</x:v>
      </x:c>
      <x:c r="B32" s="2" t="str">
        <x:v>前30場</x:v>
      </x:c>
      <x:c r="C32" s="6" t="n">
        <x:v>536000</x:v>
      </x:c>
      <x:c r="D32" s="6" t="n">
        <x:v>1128000</x:v>
      </x:c>
      <x:c r="E32" s="6" t="n">
        <x:f>C32-D32</x:f>
        <x:v>-592000</x:v>
      </x:c>
      <x:c r="F32" s="6" t="n">
        <x:f>F31+E32</x:f>
        <x:v>-6250000</x:v>
      </x:c>
      <x:c r="G32" s="6" t="n">
        <x:v>-820000</x:v>
      </x:c>
      <x:c r="H32" s="6" t="n">
        <x:v>228000</x:v>
      </x:c>
      <x:c r="I32" s="6" t="n">
        <x:v>-592000</x:v>
      </x:c>
      <x:c r="J32" s="6" t="n">
        <x:v>826000</x:v>
      </x:c>
      <x:c r="K32" s="11" t="n">
        <x:v>4</x:v>
      </x:c>
      <x:c r="L32" s="11" t="n">
        <x:v>51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1250000</x:v>
      </x:c>
      <x:c r="D33" s="6" t="n">
        <x:v>1618000</x:v>
      </x:c>
      <x:c r="E33" s="6" t="n">
        <x:f>C33-D33</x:f>
        <x:v>-368000</x:v>
      </x:c>
      <x:c r="F33" s="6" t="n">
        <x:f>F32+E33</x:f>
        <x:v>-6618000</x:v>
      </x:c>
      <x:c r="G33" s="6" t="n">
        <x:v>-151000</x:v>
      </x:c>
      <x:c r="H33" s="6" t="n">
        <x:v>-217000</x:v>
      </x:c>
      <x:c r="I33" s="6" t="n">
        <x:v>-368000</x:v>
      </x:c>
      <x:c r="J33" s="6" t="n">
        <x:v>578000</x:v>
      </x:c>
      <x:c r="K33" s="11" t="n">
        <x:v>30</x:v>
      </x:c>
      <x:c r="L33" s="11" t="n">
        <x:v>162</x:v>
      </x:c>
    </x:row>
    <x:row r="34" ht="25" customHeight="1">
      <x:c r="A34" s="2" t="str">
        <x:v>2026-10-09_Day</x:v>
      </x:c>
      <x:c r="B34" s="2" t="str">
        <x:v>前30場</x:v>
      </x:c>
      <x:c r="C34" s="6" t="n">
        <x:v>612000</x:v>
      </x:c>
      <x:c r="D34" s="6" t="n">
        <x:v>1158000</x:v>
      </x:c>
      <x:c r="E34" s="6" t="n">
        <x:f>C34-D34</x:f>
        <x:v>-546000</x:v>
      </x:c>
      <x:c r="F34" s="6" t="n">
        <x:f>F33+E34</x:f>
        <x:v>-7164000</x:v>
      </x:c>
      <x:c r="G34" s="6" t="n">
        <x:v>-470000</x:v>
      </x:c>
      <x:c r="H34" s="6" t="n">
        <x:v>-76000</x:v>
      </x:c>
      <x:c r="I34" s="6" t="n">
        <x:v>-554000</x:v>
      </x:c>
      <x:c r="J34" s="6" t="n">
        <x:v>916000</x:v>
      </x:c>
      <x:c r="K34" s="11" t="n">
        <x:v>7</x:v>
      </x:c>
      <x:c r="L34" s="11" t="n">
        <x:v>85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478000</x:v>
      </x:c>
      <x:c r="D35" s="6" t="n">
        <x:v>557000</x:v>
      </x:c>
      <x:c r="E35" s="6" t="n">
        <x:f>C35-D35</x:f>
        <x:v>-79000</x:v>
      </x:c>
      <x:c r="F35" s="6" t="n">
        <x:f>F34+E35</x:f>
        <x:v>-7243000</x:v>
      </x:c>
      <x:c r="G35" s="6" t="n">
        <x:v>-30000</x:v>
      </x:c>
      <x:c r="H35" s="6" t="n">
        <x:v>-49000</x:v>
      </x:c>
      <x:c r="I35" s="6" t="n">
        <x:v>-154000</x:v>
      </x:c>
      <x:c r="J35" s="6" t="n">
        <x:v>203000</x:v>
      </x:c>
      <x:c r="K35" s="11" t="n">
        <x:v>11</x:v>
      </x:c>
      <x:c r="L35" s="11" t="n">
        <x:v>33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-7243000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582000</x:v>
      </x:c>
      <x:c r="D37" s="6" t="n">
        <x:v>852000</x:v>
      </x:c>
      <x:c r="E37" s="6" t="n">
        <x:f>C37-D37</x:f>
        <x:v>-270000</x:v>
      </x:c>
      <x:c r="F37" s="6" t="n">
        <x:f>F36+E37</x:f>
        <x:v>-7513000</x:v>
      </x:c>
      <x:c r="G37" s="6" t="n">
        <x:v>-300000</x:v>
      </x:c>
      <x:c r="H37" s="6" t="n">
        <x:v>30000</x:v>
      </x:c>
      <x:c r="I37" s="6" t="n">
        <x:v>-270000</x:v>
      </x:c>
      <x:c r="J37" s="6" t="n">
        <x:v>280000</x:v>
      </x:c>
      <x:c r="K37" s="11" t="n">
        <x:v>10</x:v>
      </x:c>
      <x:c r="L37" s="11" t="n">
        <x:v>50</x:v>
      </x:c>
    </x:row>
    <x:row r="38" ht="25" customHeight="1">
      <x:c r="A38" s="2" t="str">
        <x:v>2026-10-13_Day</x:v>
      </x:c>
      <x:c r="B38" s="2" t="str">
        <x:v>次10場</x:v>
      </x:c>
      <x:c r="C38" s="6" t="n">
        <x:v>511000</x:v>
      </x:c>
      <x:c r="D38" s="6" t="n">
        <x:v>219000</x:v>
      </x:c>
      <x:c r="E38" s="6" t="n">
        <x:f>C38-D38</x:f>
        <x:v>292000</x:v>
      </x:c>
      <x:c r="F38" s="6" t="n">
        <x:f>F37+E38</x:f>
        <x:v>-7221000</x:v>
      </x:c>
      <x:c r="G38" s="6" t="n">
        <x:v>491000</x:v>
      </x:c>
      <x:c r="H38" s="6" t="n">
        <x:v>-199000</x:v>
      </x:c>
      <x:c r="I38" s="6" t="n">
        <x:v>-234000</x:v>
      </x:c>
      <x:c r="J38" s="6" t="n">
        <x:v>275000</x:v>
      </x:c>
      <x:c r="K38" s="11" t="n">
        <x:v>6</x:v>
      </x:c>
      <x:c r="L38" s="11" t="n">
        <x:v>20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364000</x:v>
      </x:c>
      <x:c r="D39" s="6" t="n">
        <x:v>532000</x:v>
      </x:c>
      <x:c r="E39" s="6" t="n">
        <x:f>C39-D39</x:f>
        <x:v>-168000</x:v>
      </x:c>
      <x:c r="F39" s="6" t="n">
        <x:f>F38+E39</x:f>
        <x:v>-7389000</x:v>
      </x:c>
      <x:c r="G39" s="6" t="n">
        <x:v>-43000</x:v>
      </x:c>
      <x:c r="H39" s="6" t="n">
        <x:v>-125000</x:v>
      </x:c>
      <x:c r="I39" s="6" t="n">
        <x:v>-168000</x:v>
      </x:c>
      <x:c r="J39" s="6" t="n">
        <x:v>168000</x:v>
      </x:c>
      <x:c r="K39" s="11" t="n">
        <x:v>11</x:v>
      </x:c>
      <x:c r="L39" s="11" t="n">
        <x:v>44</x:v>
      </x:c>
    </x:row>
    <x:row r="40" ht="25" customHeight="1">
      <x:c r="A40" s="2" t="str">
        <x:v>2026-10-14_Day</x:v>
      </x:c>
      <x:c r="B40" s="2" t="str">
        <x:v>次10場</x:v>
      </x:c>
      <x:c r="C40" s="6" t="n">
        <x:v>411000</x:v>
      </x:c>
      <x:c r="D40" s="6" t="n">
        <x:v>587000</x:v>
      </x:c>
      <x:c r="E40" s="6" t="n">
        <x:f>C40-D40</x:f>
        <x:v>-176000</x:v>
      </x:c>
      <x:c r="F40" s="6" t="n">
        <x:f>F39+E40</x:f>
        <x:v>-7565000</x:v>
      </x:c>
      <x:c r="G40" s="6" t="n">
        <x:v>46000</x:v>
      </x:c>
      <x:c r="H40" s="6" t="n">
        <x:v>-222000</x:v>
      </x:c>
      <x:c r="I40" s="6" t="n">
        <x:v>-339000</x:v>
      </x:c>
      <x:c r="J40" s="6" t="n">
        <x:v>512000</x:v>
      </x:c>
      <x:c r="K40" s="11" t="n">
        <x:v>5</x:v>
      </x:c>
      <x:c r="L40" s="11" t="n">
        <x:v>32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1147000</x:v>
      </x:c>
      <x:c r="D41" s="6" t="n">
        <x:v>2015000</x:v>
      </x:c>
      <x:c r="E41" s="6" t="n">
        <x:f>C41-D41</x:f>
        <x:v>-868000</x:v>
      </x:c>
      <x:c r="F41" s="6" t="n">
        <x:f>F40+E41</x:f>
        <x:v>-8433000</x:v>
      </x:c>
      <x:c r="G41" s="6" t="n">
        <x:v>-1025000</x:v>
      </x:c>
      <x:c r="H41" s="6" t="n">
        <x:v>157000</x:v>
      </x:c>
      <x:c r="I41" s="6" t="n">
        <x:v>-898000</x:v>
      </x:c>
      <x:c r="J41" s="6" t="n">
        <x:v>908000</x:v>
      </x:c>
      <x:c r="K41" s="11" t="n">
        <x:v>15</x:v>
      </x:c>
      <x:c r="L41" s="11" t="n">
        <x:v>162</x:v>
      </x:c>
    </x:row>
    <x:row r="42" ht="25" customHeight="1">
      <x:c r="A42" s="2" t="str">
        <x:v>2026-10-15_Day</x:v>
      </x:c>
      <x:c r="B42" s="2" t="str">
        <x:v>次10場</x:v>
      </x:c>
      <x:c r="C42" s="6" t="n">
        <x:v>1203000</x:v>
      </x:c>
      <x:c r="D42" s="6" t="n">
        <x:v>1260000</x:v>
      </x:c>
      <x:c r="E42" s="6" t="n">
        <x:f>C42-D42</x:f>
        <x:v>-57000</x:v>
      </x:c>
      <x:c r="F42" s="6" t="n">
        <x:f>F41+E42</x:f>
        <x:v>-8490000</x:v>
      </x:c>
      <x:c r="G42" s="6" t="n">
        <x:v>-304000</x:v>
      </x:c>
      <x:c r="H42" s="6" t="n">
        <x:v>247000</x:v>
      </x:c>
      <x:c r="I42" s="6" t="n">
        <x:v>-967000</x:v>
      </x:c>
      <x:c r="J42" s="6" t="n">
        <x:v>1217000</x:v>
      </x:c>
      <x:c r="K42" s="11" t="n">
        <x:v>12</x:v>
      </x:c>
      <x:c r="L42" s="11" t="n">
        <x:v>176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1237000</x:v>
      </x:c>
      <x:c r="D43" s="6" t="n">
        <x:v>1770000</x:v>
      </x:c>
      <x:c r="E43" s="6" t="n">
        <x:f>C43-D43</x:f>
        <x:v>-533000</x:v>
      </x:c>
      <x:c r="F43" s="6" t="n">
        <x:f>F42+E43</x:f>
        <x:v>-9023000</x:v>
      </x:c>
      <x:c r="G43" s="6" t="n">
        <x:v>-347000</x:v>
      </x:c>
      <x:c r="H43" s="6" t="n">
        <x:v>-186000</x:v>
      </x:c>
      <x:c r="I43" s="6" t="n">
        <x:v>-633000</x:v>
      </x:c>
      <x:c r="J43" s="6" t="n">
        <x:v>734000</x:v>
      </x:c>
      <x:c r="K43" s="11" t="n">
        <x:v>17</x:v>
      </x:c>
      <x:c r="L43" s="11" t="n">
        <x:v>122</x:v>
      </x:c>
    </x:row>
    <x:row r="44" ht="25" customHeight="1">
      <x:c r="A44" s="2" t="str">
        <x:v>2026-10-16_Day</x:v>
      </x:c>
      <x:c r="B44" s="2" t="str">
        <x:v>次10場</x:v>
      </x:c>
      <x:c r="C44" s="6" t="n">
        <x:v>921000</x:v>
      </x:c>
      <x:c r="D44" s="6" t="n">
        <x:v>325000</x:v>
      </x:c>
      <x:c r="E44" s="6" t="n">
        <x:f>C44-D44</x:f>
        <x:v>596000</x:v>
      </x:c>
      <x:c r="F44" s="6" t="n">
        <x:f>F43+E44</x:f>
        <x:v>-8427000</x:v>
      </x:c>
      <x:c r="G44" s="6" t="n">
        <x:v>744000</x:v>
      </x:c>
      <x:c r="H44" s="6" t="n">
        <x:v>-148000</x:v>
      </x:c>
      <x:c r="I44" s="6" t="n">
        <x:v>-60000</x:v>
      </x:c>
      <x:c r="J44" s="6" t="n">
        <x:v>381000</x:v>
      </x:c>
      <x:c r="K44" s="11" t="n">
        <x:v>14</x:v>
      </x:c>
      <x:c r="L44" s="11" t="n">
        <x:v>36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1463000</x:v>
      </x:c>
      <x:c r="D45" s="6" t="n">
        <x:v>2080000</x:v>
      </x:c>
      <x:c r="E45" s="6" t="n">
        <x:f>C45-D45</x:f>
        <x:v>-617000</x:v>
      </x:c>
      <x:c r="F45" s="6" t="n">
        <x:f>F44+E45</x:f>
        <x:v>-9044000</x:v>
      </x:c>
      <x:c r="G45" s="6" t="n">
        <x:v>-819000</x:v>
      </x:c>
      <x:c r="H45" s="6" t="n">
        <x:v>202000</x:v>
      </x:c>
      <x:c r="I45" s="6" t="n">
        <x:v>-637000</x:v>
      </x:c>
      <x:c r="J45" s="6" t="n">
        <x:v>799000</x:v>
      </x:c>
      <x:c r="K45" s="11" t="n">
        <x:v>20</x:v>
      </x:c>
      <x:c r="L45" s="11" t="n">
        <x:v>157</x:v>
      </x:c>
    </x:row>
    <x:row r="46" ht="25" customHeight="1">
      <x:c r="A46" s="2" t="str">
        <x:v>2026-10-19_Day</x:v>
      </x:c>
      <x:c r="B46" s="2" t="str">
        <x:v>後13場</x:v>
      </x:c>
      <x:c r="C46" s="6" t="n">
        <x:v>473000</x:v>
      </x:c>
      <x:c r="D46" s="6" t="n">
        <x:v>1207000</x:v>
      </x:c>
      <x:c r="E46" s="6" t="n">
        <x:f>C46-D46</x:f>
        <x:v>-734000</x:v>
      </x:c>
      <x:c r="F46" s="6" t="n">
        <x:f>F45+E46</x:f>
        <x:v>-9778000</x:v>
      </x:c>
      <x:c r="G46" s="6" t="n">
        <x:v>-268000</x:v>
      </x:c>
      <x:c r="H46" s="6" t="n">
        <x:v>-466000</x:v>
      </x:c>
      <x:c r="I46" s="6" t="n">
        <x:v>-912000</x:v>
      </x:c>
      <x:c r="J46" s="6" t="n">
        <x:v>1012000</x:v>
      </x:c>
      <x:c r="K46" s="11" t="n">
        <x:v>7</x:v>
      </x:c>
      <x:c r="L46" s="11" t="n">
        <x:v>95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663000</x:v>
      </x:c>
      <x:c r="D47" s="6" t="n">
        <x:v>728000</x:v>
      </x:c>
      <x:c r="E47" s="6" t="n">
        <x:f>C47-D47</x:f>
        <x:v>-65000</x:v>
      </x:c>
      <x:c r="F47" s="6" t="n">
        <x:f>F46+E47</x:f>
        <x:v>-9843000</x:v>
      </x:c>
      <x:c r="G47" s="6" t="n">
        <x:v>348000</x:v>
      </x:c>
      <x:c r="H47" s="6" t="n">
        <x:v>-413000</x:v>
      </x:c>
      <x:c r="I47" s="6" t="n">
        <x:v>-88000</x:v>
      </x:c>
      <x:c r="J47" s="6" t="n">
        <x:v>179000</x:v>
      </x:c>
      <x:c r="K47" s="11" t="n">
        <x:v>16</x:v>
      </x:c>
      <x:c r="L47" s="11" t="n">
        <x:v>65</x:v>
      </x:c>
    </x:row>
    <x:row r="48" ht="25" customHeight="1">
      <x:c r="A48" s="2" t="str">
        <x:v>2026-10-20_Day</x:v>
      </x:c>
      <x:c r="B48" s="2" t="str">
        <x:v>後13場</x:v>
      </x:c>
      <x:c r="C48" s="6" t="n">
        <x:v>464000</x:v>
      </x:c>
      <x:c r="D48" s="6" t="n">
        <x:v>460000</x:v>
      </x:c>
      <x:c r="E48" s="6" t="n">
        <x:f>C48-D48</x:f>
        <x:v>4000</x:v>
      </x:c>
      <x:c r="F48" s="6" t="n">
        <x:f>F47+E48</x:f>
        <x:v>-9839000</x:v>
      </x:c>
      <x:c r="G48" s="6" t="n">
        <x:v>-76000</x:v>
      </x:c>
      <x:c r="H48" s="6" t="n">
        <x:v>80000</x:v>
      </x:c>
      <x:c r="I48" s="6" t="n">
        <x:v>-418000</x:v>
      </x:c>
      <x:c r="J48" s="6" t="n">
        <x:v>578000</x:v>
      </x:c>
      <x:c r="K48" s="11" t="n">
        <x:v>6</x:v>
      </x:c>
      <x:c r="L48" s="11" t="n">
        <x:v>63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1148000</x:v>
      </x:c>
      <x:c r="D49" s="6" t="n">
        <x:v>1499000</x:v>
      </x:c>
      <x:c r="E49" s="6" t="n">
        <x:f>C49-D49</x:f>
        <x:v>-351000</x:v>
      </x:c>
      <x:c r="F49" s="6" t="n">
        <x:f>F48+E49</x:f>
        <x:v>-10190000</x:v>
      </x:c>
      <x:c r="G49" s="6" t="n">
        <x:v>-353000</x:v>
      </x:c>
      <x:c r="H49" s="6" t="n">
        <x:v>2000</x:v>
      </x:c>
      <x:c r="I49" s="6" t="n">
        <x:v>-353000</x:v>
      </x:c>
      <x:c r="J49" s="6" t="n">
        <x:v>453000</x:v>
      </x:c>
      <x:c r="K49" s="11" t="n">
        <x:v>22</x:v>
      </x:c>
      <x:c r="L49" s="11" t="n">
        <x:v>121</x:v>
      </x:c>
    </x:row>
    <x:row r="50" ht="25" customHeight="1">
      <x:c r="A50" s="2" t="str">
        <x:v>2026-10-21_Day</x:v>
      </x:c>
      <x:c r="B50" s="2" t="str">
        <x:v>後13場</x:v>
      </x:c>
      <x:c r="C50" s="6" t="n">
        <x:v>351000</x:v>
      </x:c>
      <x:c r="D50" s="6" t="n">
        <x:v>737000</x:v>
      </x:c>
      <x:c r="E50" s="6" t="n">
        <x:f>C50-D50</x:f>
        <x:v>-386000</x:v>
      </x:c>
      <x:c r="F50" s="6" t="n">
        <x:f>F49+E50</x:f>
        <x:v>-10576000</x:v>
      </x:c>
      <x:c r="G50" s="6" t="n">
        <x:v>-201000</x:v>
      </x:c>
      <x:c r="H50" s="6" t="n">
        <x:v>-185000</x:v>
      </x:c>
      <x:c r="I50" s="6" t="n">
        <x:v>-468000</x:v>
      </x:c>
      <x:c r="J50" s="6" t="n">
        <x:v>518000</x:v>
      </x:c>
      <x:c r="K50" s="11" t="n">
        <x:v>6</x:v>
      </x:c>
      <x:c r="L50" s="11" t="n">
        <x:v>67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616000</x:v>
      </x:c>
      <x:c r="D51" s="6" t="n">
        <x:v>806000</x:v>
      </x:c>
      <x:c r="E51" s="6" t="n">
        <x:f>C51-D51</x:f>
        <x:v>-190000</x:v>
      </x:c>
      <x:c r="F51" s="6" t="n">
        <x:f>F50+E51</x:f>
        <x:v>-10766000</x:v>
      </x:c>
      <x:c r="G51" s="6" t="n">
        <x:v>1000</x:v>
      </x:c>
      <x:c r="H51" s="6" t="n">
        <x:v>-191000</x:v>
      </x:c>
      <x:c r="I51" s="6" t="n">
        <x:v>-220000</x:v>
      </x:c>
      <x:c r="J51" s="6" t="n">
        <x:v>220000</x:v>
      </x:c>
      <x:c r="K51" s="11" t="n">
        <x:v>11</x:v>
      </x:c>
      <x:c r="L51" s="11" t="n">
        <x:v>51</x:v>
      </x:c>
    </x:row>
    <x:row r="52" ht="25" customHeight="1">
      <x:c r="A52" s="2" t="str">
        <x:v>2026-10-22_Day</x:v>
      </x:c>
      <x:c r="B52" s="2" t="str">
        <x:v>後13場</x:v>
      </x:c>
      <x:c r="C52" s="6" t="n">
        <x:v>868000</x:v>
      </x:c>
      <x:c r="D52" s="6" t="n">
        <x:v>1805000</x:v>
      </x:c>
      <x:c r="E52" s="6" t="n">
        <x:f>C52-D52</x:f>
        <x:v>-937000</x:v>
      </x:c>
      <x:c r="F52" s="6" t="n">
        <x:f>F51+E52</x:f>
        <x:v>-11703000</x:v>
      </x:c>
      <x:c r="G52" s="6" t="n">
        <x:v>-1063000</x:v>
      </x:c>
      <x:c r="H52" s="6" t="n">
        <x:v>126000</x:v>
      </x:c>
      <x:c r="I52" s="6" t="n">
        <x:v>-1177000</x:v>
      </x:c>
      <x:c r="J52" s="6" t="n">
        <x:v>1292000</x:v>
      </x:c>
      <x:c r="K52" s="11" t="n">
        <x:v>8</x:v>
      </x:c>
      <x:c r="L52" s="11" t="n">
        <x:v>176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971000</x:v>
      </x:c>
      <x:c r="D53" s="6" t="n">
        <x:v>1280000</x:v>
      </x:c>
      <x:c r="E53" s="6" t="n">
        <x:f>C53-D53</x:f>
        <x:v>-309000</x:v>
      </x:c>
      <x:c r="F53" s="6" t="n">
        <x:f>F52+E53</x:f>
        <x:v>-12012000</x:v>
      </x:c>
      <x:c r="G53" s="6" t="n">
        <x:v>-141000</x:v>
      </x:c>
      <x:c r="H53" s="6" t="n">
        <x:v>-168000</x:v>
      </x:c>
      <x:c r="I53" s="6" t="n">
        <x:v>-325000</x:v>
      </x:c>
      <x:c r="J53" s="6" t="n">
        <x:v>499000</x:v>
      </x:c>
      <x:c r="K53" s="11" t="n">
        <x:v>21</x:v>
      </x:c>
      <x:c r="L53" s="11" t="n">
        <x:v>82</x:v>
      </x:c>
    </x:row>
    <x:row r="54" ht="25" customHeight="1">
      <x:c r="A54" s="2" t="str">
        <x:v>2026-10-23_Day</x:v>
      </x:c>
      <x:c r="B54" s="2" t="str">
        <x:v>後13場</x:v>
      </x:c>
      <x:c r="C54" s="6" t="n">
        <x:v>1377000</x:v>
      </x:c>
      <x:c r="D54" s="6" t="n">
        <x:v>1722000</x:v>
      </x:c>
      <x:c r="E54" s="6" t="n">
        <x:f>C54-D54</x:f>
        <x:v>-345000</x:v>
      </x:c>
      <x:c r="F54" s="6" t="n">
        <x:f>F53+E54</x:f>
        <x:v>-12357000</x:v>
      </x:c>
      <x:c r="G54" s="6" t="n">
        <x:v>459000</x:v>
      </x:c>
      <x:c r="H54" s="6" t="n">
        <x:v>-804000</x:v>
      </x:c>
      <x:c r="I54" s="6" t="n">
        <x:v>-399000</x:v>
      </x:c>
      <x:c r="J54" s="6" t="n">
        <x:v>763000</x:v>
      </x:c>
      <x:c r="K54" s="11" t="n">
        <x:v>22</x:v>
      </x:c>
      <x:c r="L54" s="11" t="n">
        <x:v>126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498000</x:v>
      </x:c>
      <x:c r="D55" s="6" t="n">
        <x:v>731000</x:v>
      </x:c>
      <x:c r="E55" s="6" t="n">
        <x:f>C55-D55</x:f>
        <x:v>-233000</x:v>
      </x:c>
      <x:c r="F55" s="6" t="n">
        <x:f>F54+E55</x:f>
        <x:v>-12590000</x:v>
      </x:c>
      <x:c r="G55" s="6" t="n">
        <x:v>-73000</x:v>
      </x:c>
      <x:c r="H55" s="6" t="n">
        <x:v>-160000</x:v>
      </x:c>
      <x:c r="I55" s="6" t="n">
        <x:v>-253000</x:v>
      </x:c>
      <x:c r="J55" s="6" t="n">
        <x:v>280000</x:v>
      </x:c>
      <x:c r="K55" s="11" t="n">
        <x:v>12</x:v>
      </x:c>
      <x:c r="L55" s="11" t="n">
        <x:v>56</x:v>
      </x:c>
    </x:row>
    <x:row r="56" ht="25" customHeight="1">
      <x:c r="A56" s="2" t="str">
        <x:v>2026-10-26_Day</x:v>
      </x:c>
      <x:c r="B56" s="2" t="str">
        <x:v>後13場</x:v>
      </x:c>
      <x:c r="C56" s="6" t="n">
        <x:v>583000</x:v>
      </x:c>
      <x:c r="D56" s="6" t="n">
        <x:v>817000</x:v>
      </x:c>
      <x:c r="E56" s="6" t="n">
        <x:f>C56-D56</x:f>
        <x:v>-234000</x:v>
      </x:c>
      <x:c r="F56" s="6" t="n">
        <x:f>F55+E56</x:f>
        <x:v>-12824000</x:v>
      </x:c>
      <x:c r="G56" s="6" t="n">
        <x:v>2000</x:v>
      </x:c>
      <x:c r="H56" s="6" t="n">
        <x:v>-236000</x:v>
      </x:c>
      <x:c r="I56" s="6" t="n">
        <x:v>-379000</x:v>
      </x:c>
      <x:c r="J56" s="6" t="n">
        <x:v>379000</x:v>
      </x:c>
      <x:c r="K56" s="11" t="n">
        <x:v>14</x:v>
      </x:c>
      <x:c r="L56" s="11" t="n">
        <x:v>77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654000</x:v>
      </x:c>
      <x:c r="D57" s="6" t="n">
        <x:v>916000</x:v>
      </x:c>
      <x:c r="E57" s="6" t="n">
        <x:f>C57-D57</x:f>
        <x:v>-262000</x:v>
      </x:c>
      <x:c r="F57" s="6" t="n">
        <x:f>F56+E57</x:f>
        <x:v>-13086000</x:v>
      </x:c>
      <x:c r="G57" s="6" t="n">
        <x:v>-261000</x:v>
      </x:c>
      <x:c r="H57" s="6" t="n">
        <x:v>-1000</x:v>
      </x:c>
      <x:c r="I57" s="6" t="n">
        <x:v>-282000</x:v>
      </x:c>
      <x:c r="J57" s="6" t="n">
        <x:v>345000</x:v>
      </x:c>
      <x:c r="K57" s="11" t="n">
        <x:v>11</x:v>
      </x:c>
      <x:c r="L57" s="11" t="n">
        <x:v>62</x:v>
      </x:c>
    </x:row>
    <x:row r="58" ht="25" customHeight="1">
      <x:c r="A58" s="2" t="str">
        <x:v>2026-10-27_Day</x:v>
      </x:c>
      <x:c r="B58" s="2" t="str">
        <x:v>後13場</x:v>
      </x:c>
      <x:c r="C58" s="6" t="n">
        <x:v>922000</x:v>
      </x:c>
      <x:c r="D58" s="6" t="n">
        <x:v>173000</x:v>
      </x:c>
      <x:c r="E58" s="6" t="n">
        <x:f>C58-D58</x:f>
        <x:v>749000</x:v>
      </x:c>
      <x:c r="F58" s="6" t="n">
        <x:f>F57+E58</x:f>
        <x:v>-12337000</x:v>
      </x:c>
      <x:c r="G58" s="6" t="n">
        <x:v>890000</x:v>
      </x:c>
      <x:c r="H58" s="6" t="n">
        <x:v>-141000</x:v>
      </x:c>
      <x:c r="I58" s="6" t="n">
        <x:v>-99000</x:v>
      </x:c>
      <x:c r="J58" s="6" t="n">
        <x:v>320000</x:v>
      </x:c>
      <x:c r="K58" s="11" t="n">
        <x:v>9</x:v>
      </x:c>
      <x:c r="L58" s="11" t="n">
        <x:v>29</x:v>
      </x:c>
    </x:row>
    <x:row r="59" ht="25" customHeight="1">
      <x:c r="A59" s="15" t="str">
        <x:v>累計／場内最悪値</x:v>
      </x:c>
      <x:c r="B59" s="15"/>
      <x:c r="C59" s="16" t="n">
        <x:f>SUM(C6:C58)</x:f>
        <x:v>32334000</x:v>
      </x:c>
      <x:c r="D59" s="16" t="n">
        <x:f>SUM(D6:D58)</x:f>
        <x:v>44671000</x:v>
      </x:c>
      <x:c r="E59" s="16" t="n">
        <x:f>C59-D59</x:f>
        <x:v>-12337000</x:v>
      </x:c>
      <x:c r="F59" s="16" t="n">
        <x:f>F58</x:f>
        <x:v>-12337000</x:v>
      </x:c>
      <x:c r="G59" s="16" t="n">
        <x:f>SUM(G6:G58)</x:f>
        <x:v>-5779000</x:v>
      </x:c>
      <x:c r="H59" s="16" t="n">
        <x:f>SUM(H6:H58)</x:f>
        <x:v>-6558000</x:v>
      </x:c>
      <x:c r="I59" s="16" t="n">
        <x:f>MIN(I6:I58)</x:f>
        <x:v>-1393000</x:v>
      </x:c>
      <x:c r="J59" s="16" t="n">
        <x:f>MAX(J6:J58)</x:f>
        <x:v>1560000</x:v>
      </x:c>
      <x:c r="K59" s="17" t="n">
        <x:f>SUM(K6:K58)</x:f>
        <x:v>530</x:v>
      </x:c>
      <x:c r="L59" s="17" t="n">
        <x:f>SUM(L6:L58)</x:f>
        <x:v>3527</x:v>
      </x:c>
    </x:row>
  </x:sheetData>
  <x:conditionalFormatting sqref="E6:I58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de8f1c322a4d6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H11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段60・利益40起動・追尾20・固定段再交差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20000</x:v>
      </x:c>
      <x:c r="E6" s="6" t="n">
        <x:f>C6-D6</x:f>
        <x:v>180000</x:v>
      </x:c>
      <x:c r="F6" s="6" t="n">
        <x:f>E6</x:f>
        <x:v>180000</x:v>
      </x:c>
      <x:c r="G6" s="6" t="n">
        <x:v>200000</x:v>
      </x:c>
      <x:c r="H6" s="6" t="n">
        <x:v>-20000</x:v>
      </x:c>
      <x:c r="I6" s="6" t="n">
        <x:v>-60000</x:v>
      </x:c>
      <x:c r="J6" s="6" t="n">
        <x:v>127000</x:v>
      </x:c>
      <x:c r="K6" s="11" t="n">
        <x:v>2</x:v>
      </x:c>
      <x:c r="L6" s="11" t="n">
        <x:v>1</x:v>
      </x:c>
    </x:row>
    <x:row r="7" ht="25" customHeight="1">
      <x:c r="A7" s="2" t="str">
        <x:v>2026-09-21_Night</x:v>
      </x:c>
      <x:c r="B7" s="2" t="str">
        <x:v>前30場</x:v>
      </x:c>
      <x:c r="C7" s="6" t="n">
        <x:v>603000</x:v>
      </x:c>
      <x:c r="D7" s="6" t="n">
        <x:v>810000</x:v>
      </x:c>
      <x:c r="E7" s="6" t="n">
        <x:f>C7-D7</x:f>
        <x:v>-207000</x:v>
      </x:c>
      <x:c r="F7" s="6" t="n">
        <x:f>F6+E7</x:f>
        <x:v>-27000</x:v>
      </x:c>
      <x:c r="G7" s="6" t="n">
        <x:v>-288000</x:v>
      </x:c>
      <x:c r="H7" s="6" t="n">
        <x:v>81000</x:v>
      </x:c>
      <x:c r="I7" s="6" t="n">
        <x:v>-337000</x:v>
      </x:c>
      <x:c r="J7" s="6" t="n">
        <x:v>485000</x:v>
      </x:c>
      <x:c r="K7" s="11" t="n">
        <x:v>7</x:v>
      </x:c>
      <x:c r="L7" s="11" t="n">
        <x:v>21</x:v>
      </x:c>
    </x:row>
    <x:row r="8" ht="25" customHeight="1">
      <x:c r="A8" s="2" t="str">
        <x:v>2026-09-22_Day</x:v>
      </x:c>
      <x:c r="B8" s="2" t="str">
        <x:v>前30場</x:v>
      </x:c>
      <x:c r="C8" s="6" t="n">
        <x:v>142000</x:v>
      </x:c>
      <x:c r="D8" s="6" t="n">
        <x:v>150000</x:v>
      </x:c>
      <x:c r="E8" s="6" t="n">
        <x:f>C8-D8</x:f>
        <x:v>-8000</x:v>
      </x:c>
      <x:c r="F8" s="6" t="n">
        <x:f>F7+E8</x:f>
        <x:v>-35000</x:v>
      </x:c>
      <x:c r="G8" s="6" t="n">
        <x:v>100000</x:v>
      </x:c>
      <x:c r="H8" s="6" t="n">
        <x:v>-108000</x:v>
      </x:c>
      <x:c r="I8" s="6" t="n">
        <x:v>-286000</x:v>
      </x:c>
      <x:c r="J8" s="6" t="n">
        <x:v>366000</x:v>
      </x:c>
      <x:c r="K8" s="11" t="n">
        <x:v>1</x:v>
      </x:c>
      <x:c r="L8" s="11" t="n">
        <x:v>17</x:v>
      </x:c>
    </x:row>
    <x:row r="9" ht="25" customHeight="1">
      <x:c r="A9" s="2" t="str">
        <x:v>2026-09-22_Night</x:v>
      </x:c>
      <x:c r="B9" s="2" t="str">
        <x:v>前30場</x:v>
      </x:c>
      <x:c r="C9" s="6" t="n">
        <x:v>622000</x:v>
      </x:c>
      <x:c r="D9" s="6" t="n">
        <x:v>937000</x:v>
      </x:c>
      <x:c r="E9" s="6" t="n">
        <x:f>C9-D9</x:f>
        <x:v>-315000</x:v>
      </x:c>
      <x:c r="F9" s="6" t="n">
        <x:f>F8+E9</x:f>
        <x:v>-350000</x:v>
      </x:c>
      <x:c r="G9" s="6" t="n">
        <x:v>-362000</x:v>
      </x:c>
      <x:c r="H9" s="6" t="n">
        <x:v>47000</x:v>
      </x:c>
      <x:c r="I9" s="6" t="n">
        <x:v>-485000</x:v>
      </x:c>
      <x:c r="J9" s="6" t="n">
        <x:v>615000</x:v>
      </x:c>
      <x:c r="K9" s="11" t="n">
        <x:v>9</x:v>
      </x:c>
      <x:c r="L9" s="11" t="n">
        <x:v>31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-350000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605000</x:v>
      </x:c>
      <x:c r="D11" s="6" t="n">
        <x:v>1070000</x:v>
      </x:c>
      <x:c r="E11" s="6" t="n">
        <x:f>C11-D11</x:f>
        <x:v>-465000</x:v>
      </x:c>
      <x:c r="F11" s="6" t="n">
        <x:f>F10+E11</x:f>
        <x:v>-815000</x:v>
      </x:c>
      <x:c r="G11" s="6" t="n">
        <x:v>-529000</x:v>
      </x:c>
      <x:c r="H11" s="6" t="n">
        <x:v>64000</x:v>
      </x:c>
      <x:c r="I11" s="6" t="n">
        <x:v>-465000</x:v>
      </x:c>
      <x:c r="J11" s="6" t="n">
        <x:v>525000</x:v>
      </x:c>
      <x:c r="K11" s="11" t="n">
        <x:v>8</x:v>
      </x:c>
      <x:c r="L11" s="11" t="n">
        <x:v>16</x:v>
      </x:c>
    </x:row>
    <x:row r="12" ht="25" customHeight="1">
      <x:c r="A12" s="2" t="str">
        <x:v>2026-09-24_Day</x:v>
      </x:c>
      <x:c r="B12" s="2" t="str">
        <x:v>前30場</x:v>
      </x:c>
      <x:c r="C12" s="6" t="n">
        <x:v>379000</x:v>
      </x:c>
      <x:c r="D12" s="6" t="n">
        <x:v>411000</x:v>
      </x:c>
      <x:c r="E12" s="6" t="n">
        <x:f>C12-D12</x:f>
        <x:v>-32000</x:v>
      </x:c>
      <x:c r="F12" s="6" t="n">
        <x:f>F11+E12</x:f>
        <x:v>-847000</x:v>
      </x:c>
      <x:c r="G12" s="6" t="n">
        <x:v>268000</x:v>
      </x:c>
      <x:c r="H12" s="6" t="n">
        <x:v>-300000</x:v>
      </x:c>
      <x:c r="I12" s="6" t="n">
        <x:v>-344000</x:v>
      </x:c>
      <x:c r="J12" s="6" t="n">
        <x:v>344000</x:v>
      </x:c>
      <x:c r="K12" s="11" t="n">
        <x:v>4</x:v>
      </x:c>
      <x:c r="L12" s="11" t="n">
        <x:v>46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608000</x:v>
      </x:c>
      <x:c r="D13" s="6" t="n">
        <x:v>786000</x:v>
      </x:c>
      <x:c r="E13" s="6" t="n">
        <x:f>C13-D13</x:f>
        <x:v>-178000</x:v>
      </x:c>
      <x:c r="F13" s="6" t="n">
        <x:f>F12+E13</x:f>
        <x:v>-1025000</x:v>
      </x:c>
      <x:c r="G13" s="6" t="n">
        <x:v>-157000</x:v>
      </x:c>
      <x:c r="H13" s="6" t="n">
        <x:v>-21000</x:v>
      </x:c>
      <x:c r="I13" s="6" t="n">
        <x:v>-238000</x:v>
      </x:c>
      <x:c r="J13" s="6" t="n">
        <x:v>318000</x:v>
      </x:c>
      <x:c r="K13" s="11" t="n">
        <x:v>13</x:v>
      </x:c>
      <x:c r="L13" s="11" t="n">
        <x:v>34</x:v>
      </x:c>
    </x:row>
    <x:row r="14" ht="25" customHeight="1">
      <x:c r="A14" s="2" t="str">
        <x:v>2026-09-25_Day</x:v>
      </x:c>
      <x:c r="B14" s="2" t="str">
        <x:v>前30場</x:v>
      </x:c>
      <x:c r="C14" s="6" t="n">
        <x:v>187000</x:v>
      </x:c>
      <x:c r="D14" s="6" t="n">
        <x:v>700000</x:v>
      </x:c>
      <x:c r="E14" s="6" t="n">
        <x:f>C14-D14</x:f>
        <x:v>-513000</x:v>
      </x:c>
      <x:c r="F14" s="6" t="n">
        <x:f>F13+E14</x:f>
        <x:v>-1538000</x:v>
      </x:c>
      <x:c r="G14" s="6" t="n">
        <x:v>-637000</x:v>
      </x:c>
      <x:c r="H14" s="6" t="n">
        <x:v>124000</x:v>
      </x:c>
      <x:c r="I14" s="6" t="n">
        <x:v>-633000</x:v>
      </x:c>
      <x:c r="J14" s="6" t="n">
        <x:v>703000</x:v>
      </x:c>
      <x:c r="K14" s="11" t="n">
        <x:v>2</x:v>
      </x:c>
      <x:c r="L14" s="11" t="n">
        <x:v>32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473000</x:v>
      </x:c>
      <x:c r="D15" s="6" t="n">
        <x:v>736000</x:v>
      </x:c>
      <x:c r="E15" s="6" t="n">
        <x:f>C15-D15</x:f>
        <x:v>-263000</x:v>
      </x:c>
      <x:c r="F15" s="6" t="n">
        <x:f>F14+E15</x:f>
        <x:v>-1801000</x:v>
      </x:c>
      <x:c r="G15" s="6" t="n">
        <x:v>-251000</x:v>
      </x:c>
      <x:c r="H15" s="6" t="n">
        <x:v>-12000</x:v>
      </x:c>
      <x:c r="I15" s="6" t="n">
        <x:v>-283000</x:v>
      </x:c>
      <x:c r="J15" s="6" t="n">
        <x:v>283000</x:v>
      </x:c>
      <x:c r="K15" s="11" t="n">
        <x:v>12</x:v>
      </x:c>
      <x:c r="L15" s="11" t="n">
        <x:v>31</x:v>
      </x:c>
    </x:row>
    <x:row r="16" ht="25" customHeight="1">
      <x:c r="A16" s="2" t="str">
        <x:v>2026-09-28_Day</x:v>
      </x:c>
      <x:c r="B16" s="2" t="str">
        <x:v>前30場</x:v>
      </x:c>
      <x:c r="C16" s="6" t="n">
        <x:v>495000</x:v>
      </x:c>
      <x:c r="D16" s="6" t="n">
        <x:v>270000</x:v>
      </x:c>
      <x:c r="E16" s="6" t="n">
        <x:f>C16-D16</x:f>
        <x:v>225000</x:v>
      </x:c>
      <x:c r="F16" s="6" t="n">
        <x:f>F15+E16</x:f>
        <x:v>-1576000</x:v>
      </x:c>
      <x:c r="G16" s="6" t="n">
        <x:v>415000</x:v>
      </x:c>
      <x:c r="H16" s="6" t="n">
        <x:v>-190000</x:v>
      </x:c>
      <x:c r="I16" s="6" t="n">
        <x:v>-346000</x:v>
      </x:c>
      <x:c r="J16" s="6" t="n">
        <x:v>355000</x:v>
      </x:c>
      <x:c r="K16" s="11" t="n">
        <x:v>5</x:v>
      </x:c>
      <x:c r="L16" s="11" t="n">
        <x:v>27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882000</x:v>
      </x:c>
      <x:c r="D17" s="6" t="n">
        <x:v>777000</x:v>
      </x:c>
      <x:c r="E17" s="6" t="n">
        <x:f>C17-D17</x:f>
        <x:v>105000</x:v>
      </x:c>
      <x:c r="F17" s="6" t="n">
        <x:f>F16+E17</x:f>
        <x:v>-1471000</x:v>
      </x:c>
      <x:c r="G17" s="6" t="n">
        <x:v>480000</x:v>
      </x:c>
      <x:c r="H17" s="6" t="n">
        <x:v>-375000</x:v>
      </x:c>
      <x:c r="I17" s="6" t="n">
        <x:v>-133000</x:v>
      </x:c>
      <x:c r="J17" s="6" t="n">
        <x:v>165000</x:v>
      </x:c>
      <x:c r="K17" s="11" t="n">
        <x:v>14</x:v>
      </x:c>
      <x:c r="L17" s="11" t="n">
        <x:v>58</x:v>
      </x:c>
    </x:row>
    <x:row r="18" ht="25" customHeight="1">
      <x:c r="A18" s="2" t="str">
        <x:v>2026-09-29_Day</x:v>
      </x:c>
      <x:c r="B18" s="2" t="str">
        <x:v>前30場</x:v>
      </x:c>
      <x:c r="C18" s="6" t="n">
        <x:v>570000</x:v>
      </x:c>
      <x:c r="D18" s="6" t="n">
        <x:v>494000</x:v>
      </x:c>
      <x:c r="E18" s="6" t="n">
        <x:f>C18-D18</x:f>
        <x:v>76000</x:v>
      </x:c>
      <x:c r="F18" s="6" t="n">
        <x:f>F17+E18</x:f>
        <x:v>-1395000</x:v>
      </x:c>
      <x:c r="G18" s="6" t="n">
        <x:v>46000</x:v>
      </x:c>
      <x:c r="H18" s="6" t="n">
        <x:v>30000</x:v>
      </x:c>
      <x:c r="I18" s="6" t="n">
        <x:v>-537000</x:v>
      </x:c>
      <x:c r="J18" s="6" t="n">
        <x:v>627000</x:v>
      </x:c>
      <x:c r="K18" s="11" t="n">
        <x:v>7</x:v>
      </x:c>
      <x:c r="L18" s="11" t="n">
        <x:v>65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741000</x:v>
      </x:c>
      <x:c r="D19" s="6" t="n">
        <x:v>789000</x:v>
      </x:c>
      <x:c r="E19" s="6" t="n">
        <x:f>C19-D19</x:f>
        <x:v>-48000</x:v>
      </x:c>
      <x:c r="F19" s="6" t="n">
        <x:f>F18+E19</x:f>
        <x:v>-1443000</x:v>
      </x:c>
      <x:c r="G19" s="6" t="n">
        <x:v>66000</x:v>
      </x:c>
      <x:c r="H19" s="6" t="n">
        <x:v>-114000</x:v>
      </x:c>
      <x:c r="I19" s="6" t="n">
        <x:v>-82000</x:v>
      </x:c>
      <x:c r="J19" s="6" t="n">
        <x:v>181000</x:v>
      </x:c>
      <x:c r="K19" s="11" t="n">
        <x:v>14</x:v>
      </x:c>
      <x:c r="L19" s="11" t="n">
        <x:v>40</x:v>
      </x:c>
    </x:row>
    <x:row r="20" ht="25" customHeight="1">
      <x:c r="A20" s="2" t="str">
        <x:v>2026-09-30_Day</x:v>
      </x:c>
      <x:c r="B20" s="2" t="str">
        <x:v>前30場</x:v>
      </x:c>
      <x:c r="C20" s="6" t="n">
        <x:v>278000</x:v>
      </x:c>
      <x:c r="D20" s="6" t="n">
        <x:v>656000</x:v>
      </x:c>
      <x:c r="E20" s="6" t="n">
        <x:f>C20-D20</x:f>
        <x:v>-378000</x:v>
      </x:c>
      <x:c r="F20" s="6" t="n">
        <x:f>F19+E20</x:f>
        <x:v>-1821000</x:v>
      </x:c>
      <x:c r="G20" s="6" t="n">
        <x:v>-420000</x:v>
      </x:c>
      <x:c r="H20" s="6" t="n">
        <x:v>42000</x:v>
      </x:c>
      <x:c r="I20" s="6" t="n">
        <x:v>-378000</x:v>
      </x:c>
      <x:c r="J20" s="6" t="n">
        <x:v>539000</x:v>
      </x:c>
      <x:c r="K20" s="11" t="n">
        <x:v>3</x:v>
      </x:c>
      <x:c r="L20" s="11" t="n">
        <x:v>24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713000</x:v>
      </x:c>
      <x:c r="D21" s="6" t="n">
        <x:v>1023000</x:v>
      </x:c>
      <x:c r="E21" s="6" t="n">
        <x:f>C21-D21</x:f>
        <x:v>-310000</x:v>
      </x:c>
      <x:c r="F21" s="6" t="n">
        <x:f>F20+E21</x:f>
        <x:v>-2131000</x:v>
      </x:c>
      <x:c r="G21" s="6" t="n">
        <x:v>-128000</x:v>
      </x:c>
      <x:c r="H21" s="6" t="n">
        <x:v>-182000</x:v>
      </x:c>
      <x:c r="I21" s="6" t="n">
        <x:v>-471000</x:v>
      </x:c>
      <x:c r="J21" s="6" t="n">
        <x:v>471000</x:v>
      </x:c>
      <x:c r="K21" s="11" t="n">
        <x:v>21</x:v>
      </x:c>
      <x:c r="L21" s="11" t="n">
        <x:v>58</x:v>
      </x:c>
    </x:row>
    <x:row r="22" ht="25" customHeight="1">
      <x:c r="A22" s="2" t="str">
        <x:v>2026-10-01_Day</x:v>
      </x:c>
      <x:c r="B22" s="2" t="str">
        <x:v>前30場</x:v>
      </x:c>
      <x:c r="C22" s="6" t="n">
        <x:v>263000</x:v>
      </x:c>
      <x:c r="D22" s="6" t="n">
        <x:v>1666000</x:v>
      </x:c>
      <x:c r="E22" s="6" t="n">
        <x:f>C22-D22</x:f>
        <x:v>-1403000</x:v>
      </x:c>
      <x:c r="F22" s="6" t="n">
        <x:f>F21+E22</x:f>
        <x:v>-3534000</x:v>
      </x:c>
      <x:c r="G22" s="6" t="n">
        <x:v>-1443000</x:v>
      </x:c>
      <x:c r="H22" s="6" t="n">
        <x:v>40000</x:v>
      </x:c>
      <x:c r="I22" s="6" t="n">
        <x:v>-1603000</x:v>
      </x:c>
      <x:c r="J22" s="6" t="n">
        <x:v>1733000</x:v>
      </x:c>
      <x:c r="K22" s="11" t="n">
        <x:v>3</x:v>
      </x:c>
      <x:c r="L22" s="11" t="n">
        <x:v>27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988000</x:v>
      </x:c>
      <x:c r="D23" s="6" t="n">
        <x:v>1021000</x:v>
      </x:c>
      <x:c r="E23" s="6" t="n">
        <x:f>C23-D23</x:f>
        <x:v>-33000</x:v>
      </x:c>
      <x:c r="F23" s="6" t="n">
        <x:f>F22+E23</x:f>
        <x:v>-3567000</x:v>
      </x:c>
      <x:c r="G23" s="6" t="n">
        <x:v>26000</x:v>
      </x:c>
      <x:c r="H23" s="6" t="n">
        <x:v>-59000</x:v>
      </x:c>
      <x:c r="I23" s="6" t="n">
        <x:v>-203000</x:v>
      </x:c>
      <x:c r="J23" s="6" t="n">
        <x:v>313000</x:v>
      </x:c>
      <x:c r="K23" s="11" t="n">
        <x:v>20</x:v>
      </x:c>
      <x:c r="L23" s="11" t="n">
        <x:v>36</x:v>
      </x:c>
    </x:row>
    <x:row r="24" ht="25" customHeight="1">
      <x:c r="A24" s="2" t="str">
        <x:v>2026-10-02_Day</x:v>
      </x:c>
      <x:c r="B24" s="2" t="str">
        <x:v>前30場</x:v>
      </x:c>
      <x:c r="C24" s="6" t="n">
        <x:v>323000</x:v>
      </x:c>
      <x:c r="D24" s="6" t="n">
        <x:v>546000</x:v>
      </x:c>
      <x:c r="E24" s="6" t="n">
        <x:f>C24-D24</x:f>
        <x:v>-223000</x:v>
      </x:c>
      <x:c r="F24" s="6" t="n">
        <x:f>F23+E24</x:f>
        <x:v>-3790000</x:v>
      </x:c>
      <x:c r="G24" s="6" t="n">
        <x:v>110000</x:v>
      </x:c>
      <x:c r="H24" s="6" t="n">
        <x:v>-333000</x:v>
      </x:c>
      <x:c r="I24" s="6" t="n">
        <x:v>-350000</x:v>
      </x:c>
      <x:c r="J24" s="6" t="n">
        <x:v>446000</x:v>
      </x:c>
      <x:c r="K24" s="11" t="n">
        <x:v>5</x:v>
      </x:c>
      <x:c r="L24" s="11" t="n">
        <x:v>34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990000</x:v>
      </x:c>
      <x:c r="D25" s="6" t="n">
        <x:v>1170000</x:v>
      </x:c>
      <x:c r="E25" s="6" t="n">
        <x:f>C25-D25</x:f>
        <x:v>-180000</x:v>
      </x:c>
      <x:c r="F25" s="6" t="n">
        <x:f>F24+E25</x:f>
        <x:v>-3970000</x:v>
      </x:c>
      <x:c r="G25" s="6" t="n">
        <x:v>-253000</x:v>
      </x:c>
      <x:c r="H25" s="6" t="n">
        <x:v>73000</x:v>
      </x:c>
      <x:c r="I25" s="6" t="n">
        <x:v>-458000</x:v>
      </x:c>
      <x:c r="J25" s="6" t="n">
        <x:v>528000</x:v>
      </x:c>
      <x:c r="K25" s="11" t="n">
        <x:v>17</x:v>
      </x:c>
      <x:c r="L25" s="11" t="n">
        <x:v>20</x:v>
      </x:c>
    </x:row>
    <x:row r="26" ht="25" customHeight="1">
      <x:c r="A26" s="2" t="str">
        <x:v>2026-10-05_Day</x:v>
      </x:c>
      <x:c r="B26" s="2" t="str">
        <x:v>前30場</x:v>
      </x:c>
      <x:c r="C26" s="6" t="n">
        <x:v>338000</x:v>
      </x:c>
      <x:c r="D26" s="6" t="n">
        <x:v>535000</x:v>
      </x:c>
      <x:c r="E26" s="6" t="n">
        <x:f>C26-D26</x:f>
        <x:v>-197000</x:v>
      </x:c>
      <x:c r="F26" s="6" t="n">
        <x:f>F25+E26</x:f>
        <x:v>-4167000</x:v>
      </x:c>
      <x:c r="G26" s="6" t="n">
        <x:v>-256000</x:v>
      </x:c>
      <x:c r="H26" s="6" t="n">
        <x:v>59000</x:v>
      </x:c>
      <x:c r="I26" s="6" t="n">
        <x:v>-332000</x:v>
      </x:c>
      <x:c r="J26" s="6" t="n">
        <x:v>382000</x:v>
      </x:c>
      <x:c r="K26" s="11" t="n">
        <x:v>3</x:v>
      </x:c>
      <x:c r="L26" s="11" t="n">
        <x:v>59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476000</x:v>
      </x:c>
      <x:c r="D27" s="6" t="n">
        <x:v>552000</x:v>
      </x:c>
      <x:c r="E27" s="6" t="n">
        <x:f>C27-D27</x:f>
        <x:v>-76000</x:v>
      </x:c>
      <x:c r="F27" s="6" t="n">
        <x:f>F26+E27</x:f>
        <x:v>-4243000</x:v>
      </x:c>
      <x:c r="G27" s="6" t="n">
        <x:v>-42000</x:v>
      </x:c>
      <x:c r="H27" s="6" t="n">
        <x:v>-34000</x:v>
      </x:c>
      <x:c r="I27" s="6" t="n">
        <x:v>-220000</x:v>
      </x:c>
      <x:c r="J27" s="6" t="n">
        <x:v>240000</x:v>
      </x:c>
      <x:c r="K27" s="11" t="n">
        <x:v>10</x:v>
      </x:c>
      <x:c r="L27" s="11" t="n">
        <x:v>37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106000</x:v>
      </x:c>
      <x:c r="D28" s="6" t="n">
        <x:v>44000</x:v>
      </x:c>
      <x:c r="E28" s="6" t="n">
        <x:f>C28-D28</x:f>
        <x:v>62000</x:v>
      </x:c>
      <x:c r="F28" s="6" t="n">
        <x:f>F27+E28</x:f>
        <x:v>-4181000</x:v>
      </x:c>
      <x:c r="G28" s="6" t="n">
        <x:v>100000</x:v>
      </x:c>
      <x:c r="H28" s="6" t="n">
        <x:v>-38000</x:v>
      </x:c>
      <x:c r="I28" s="6" t="n">
        <x:v>-154000</x:v>
      </x:c>
      <x:c r="J28" s="6" t="n">
        <x:v>154000</x:v>
      </x:c>
      <x:c r="K28" s="11" t="n">
        <x:v>1</x:v>
      </x:c>
      <x:c r="L28" s="11" t="n">
        <x:v>4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558000</x:v>
      </x:c>
      <x:c r="D29" s="6" t="n">
        <x:v>588000</x:v>
      </x:c>
      <x:c r="E29" s="6" t="n">
        <x:f>C29-D29</x:f>
        <x:v>-30000</x:v>
      </x:c>
      <x:c r="F29" s="6" t="n">
        <x:f>F28+E29</x:f>
        <x:v>-4211000</x:v>
      </x:c>
      <x:c r="G29" s="6" t="n">
        <x:v>157000</x:v>
      </x:c>
      <x:c r="H29" s="6" t="n">
        <x:v>-187000</x:v>
      </x:c>
      <x:c r="I29" s="6" t="n">
        <x:v>-136000</x:v>
      </x:c>
      <x:c r="J29" s="6" t="n">
        <x:v>188000</x:v>
      </x:c>
      <x:c r="K29" s="11" t="n">
        <x:v>10</x:v>
      </x:c>
      <x:c r="L29" s="11" t="n">
        <x:v>24</x:v>
      </x:c>
    </x:row>
    <x:row r="30" ht="25" customHeight="1">
      <x:c r="A30" s="2" t="str">
        <x:v>2026-10-07_Day</x:v>
      </x:c>
      <x:c r="B30" s="2" t="str">
        <x:v>前30場</x:v>
      </x:c>
      <x:c r="C30" s="6" t="n">
        <x:v>190000</x:v>
      </x:c>
      <x:c r="D30" s="6" t="n">
        <x:v>39000</x:v>
      </x:c>
      <x:c r="E30" s="6" t="n">
        <x:f>C30-D30</x:f>
        <x:v>151000</x:v>
      </x:c>
      <x:c r="F30" s="6" t="n">
        <x:f>F29+E30</x:f>
        <x:v>-4060000</x:v>
      </x:c>
      <x:c r="G30" s="6" t="n">
        <x:v>190000</x:v>
      </x:c>
      <x:c r="H30" s="6" t="n">
        <x:v>-39000</x:v>
      </x:c>
      <x:c r="I30" s="6" t="n">
        <x:v>-99000</x:v>
      </x:c>
      <x:c r="J30" s="6" t="n">
        <x:v>179000</x:v>
      </x:c>
      <x:c r="K30" s="11" t="n">
        <x:v>2</x:v>
      </x:c>
      <x:c r="L30" s="11" t="n">
        <x:v>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773000</x:v>
      </x:c>
      <x:c r="D31" s="6" t="n">
        <x:v>936000</x:v>
      </x:c>
      <x:c r="E31" s="6" t="n">
        <x:f>C31-D31</x:f>
        <x:v>-163000</x:v>
      </x:c>
      <x:c r="F31" s="6" t="n">
        <x:f>F30+E31</x:f>
        <x:v>-4223000</x:v>
      </x:c>
      <x:c r="G31" s="6" t="n">
        <x:v>-225000</x:v>
      </x:c>
      <x:c r="H31" s="6" t="n">
        <x:v>62000</x:v>
      </x:c>
      <x:c r="I31" s="6" t="n">
        <x:v>-173000</x:v>
      </x:c>
      <x:c r="J31" s="6" t="n">
        <x:v>193000</x:v>
      </x:c>
      <x:c r="K31" s="11" t="n">
        <x:v>15</x:v>
      </x:c>
      <x:c r="L31" s="11" t="n">
        <x:v>18</x:v>
      </x:c>
    </x:row>
    <x:row r="32" ht="25" customHeight="1">
      <x:c r="A32" s="2" t="str">
        <x:v>2026-10-08_Day</x:v>
      </x:c>
      <x:c r="B32" s="2" t="str">
        <x:v>前30場</x:v>
      </x:c>
      <x:c r="C32" s="6" t="n">
        <x:v>480000</x:v>
      </x:c>
      <x:c r="D32" s="6" t="n">
        <x:v>1128000</x:v>
      </x:c>
      <x:c r="E32" s="6" t="n">
        <x:f>C32-D32</x:f>
        <x:v>-648000</x:v>
      </x:c>
      <x:c r="F32" s="6" t="n">
        <x:f>F31+E32</x:f>
        <x:v>-4871000</x:v>
      </x:c>
      <x:c r="G32" s="6" t="n">
        <x:v>-830000</x:v>
      </x:c>
      <x:c r="H32" s="6" t="n">
        <x:v>182000</x:v>
      </x:c>
      <x:c r="I32" s="6" t="n">
        <x:v>-648000</x:v>
      </x:c>
      <x:c r="J32" s="6" t="n">
        <x:v>873000</x:v>
      </x:c>
      <x:c r="K32" s="11" t="n">
        <x:v>4</x:v>
      </x:c>
      <x:c r="L32" s="11" t="n">
        <x:v>56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1400000</x:v>
      </x:c>
      <x:c r="D33" s="6" t="n">
        <x:v>1689000</x:v>
      </x:c>
      <x:c r="E33" s="6" t="n">
        <x:f>C33-D33</x:f>
        <x:v>-289000</x:v>
      </x:c>
      <x:c r="F33" s="6" t="n">
        <x:f>F32+E33</x:f>
        <x:v>-5160000</x:v>
      </x:c>
      <x:c r="G33" s="6" t="n">
        <x:v>-148000</x:v>
      </x:c>
      <x:c r="H33" s="6" t="n">
        <x:v>-141000</x:v>
      </x:c>
      <x:c r="I33" s="6" t="n">
        <x:v>-289000</x:v>
      </x:c>
      <x:c r="J33" s="6" t="n">
        <x:v>453000</x:v>
      </x:c>
      <x:c r="K33" s="11" t="n">
        <x:v>29</x:v>
      </x:c>
      <x:c r="L33" s="11" t="n">
        <x:v>63</x:v>
      </x:c>
    </x:row>
    <x:row r="34" ht="25" customHeight="1">
      <x:c r="A34" s="2" t="str">
        <x:v>2026-10-09_Day</x:v>
      </x:c>
      <x:c r="B34" s="2" t="str">
        <x:v>前30場</x:v>
      </x:c>
      <x:c r="C34" s="6" t="n">
        <x:v>592000</x:v>
      </x:c>
      <x:c r="D34" s="6" t="n">
        <x:v>1249000</x:v>
      </x:c>
      <x:c r="E34" s="6" t="n">
        <x:f>C34-D34</x:f>
        <x:v>-657000</x:v>
      </x:c>
      <x:c r="F34" s="6" t="n">
        <x:f>F33+E34</x:f>
        <x:v>-5817000</x:v>
      </x:c>
      <x:c r="G34" s="6" t="n">
        <x:v>-490000</x:v>
      </x:c>
      <x:c r="H34" s="6" t="n">
        <x:v>-167000</x:v>
      </x:c>
      <x:c r="I34" s="6" t="n">
        <x:v>-707000</x:v>
      </x:c>
      <x:c r="J34" s="6" t="n">
        <x:v>946000</x:v>
      </x:c>
      <x:c r="K34" s="11" t="n">
        <x:v>8</x:v>
      </x:c>
      <x:c r="L34" s="11" t="n">
        <x:v>54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543000</x:v>
      </x:c>
      <x:c r="D35" s="6" t="n">
        <x:v>503000</x:v>
      </x:c>
      <x:c r="E35" s="6" t="n">
        <x:f>C35-D35</x:f>
        <x:v>40000</x:v>
      </x:c>
      <x:c r="F35" s="6" t="n">
        <x:f>F34+E35</x:f>
        <x:v>-5777000</x:v>
      </x:c>
      <x:c r="G35" s="6" t="n">
        <x:v>-18000</x:v>
      </x:c>
      <x:c r="H35" s="6" t="n">
        <x:v>58000</x:v>
      </x:c>
      <x:c r="I35" s="6" t="n">
        <x:v>-104000</x:v>
      </x:c>
      <x:c r="J35" s="6" t="n">
        <x:v>120000</x:v>
      </x:c>
      <x:c r="K35" s="11" t="n">
        <x:v>13</x:v>
      </x:c>
      <x:c r="L35" s="11" t="n">
        <x:v>31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-5777000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679000</x:v>
      </x:c>
      <x:c r="D37" s="6" t="n">
        <x:v>820000</x:v>
      </x:c>
      <x:c r="E37" s="6" t="n">
        <x:f>C37-D37</x:f>
        <x:v>-141000</x:v>
      </x:c>
      <x:c r="F37" s="6" t="n">
        <x:f>F36+E37</x:f>
        <x:v>-5918000</x:v>
      </x:c>
      <x:c r="G37" s="6" t="n">
        <x:v>-195000</x:v>
      </x:c>
      <x:c r="H37" s="6" t="n">
        <x:v>54000</x:v>
      </x:c>
      <x:c r="I37" s="6" t="n">
        <x:v>-169000</x:v>
      </x:c>
      <x:c r="J37" s="6" t="n">
        <x:v>189000</x:v>
      </x:c>
      <x:c r="K37" s="11" t="n">
        <x:v>13</x:v>
      </x:c>
      <x:c r="L37" s="11" t="n">
        <x:v>18</x:v>
      </x:c>
    </x:row>
    <x:row r="38" ht="25" customHeight="1">
      <x:c r="A38" s="2" t="str">
        <x:v>2026-10-13_Day</x:v>
      </x:c>
      <x:c r="B38" s="2" t="str">
        <x:v>次10場</x:v>
      </x:c>
      <x:c r="C38" s="6" t="n">
        <x:v>510000</x:v>
      </x:c>
      <x:c r="D38" s="6" t="n">
        <x:v>294000</x:v>
      </x:c>
      <x:c r="E38" s="6" t="n">
        <x:f>C38-D38</x:f>
        <x:v>216000</x:v>
      </x:c>
      <x:c r="F38" s="6" t="n">
        <x:f>F37+E38</x:f>
        <x:v>-5702000</x:v>
      </x:c>
      <x:c r="G38" s="6" t="n">
        <x:v>482000</x:v>
      </x:c>
      <x:c r="H38" s="6" t="n">
        <x:v>-266000</x:v>
      </x:c>
      <x:c r="I38" s="6" t="n">
        <x:v>-242000</x:v>
      </x:c>
      <x:c r="J38" s="6" t="n">
        <x:v>272000</x:v>
      </x:c>
      <x:c r="K38" s="11" t="n">
        <x:v>6</x:v>
      </x:c>
      <x:c r="L38" s="11" t="n">
        <x:v>18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452000</x:v>
      </x:c>
      <x:c r="D39" s="6" t="n">
        <x:v>413000</x:v>
      </x:c>
      <x:c r="E39" s="6" t="n">
        <x:f>C39-D39</x:f>
        <x:v>39000</x:v>
      </x:c>
      <x:c r="F39" s="6" t="n">
        <x:f>F38+E39</x:f>
        <x:v>-5663000</x:v>
      </x:c>
      <x:c r="G39" s="6" t="n">
        <x:v>-12000</x:v>
      </x:c>
      <x:c r="H39" s="6" t="n">
        <x:v>51000</x:v>
      </x:c>
      <x:c r="I39" s="6" t="n">
        <x:v>-95000</x:v>
      </x:c>
      <x:c r="J39" s="6" t="n">
        <x:v>103000</x:v>
      </x:c>
      <x:c r="K39" s="11" t="n">
        <x:v>10</x:v>
      </x:c>
      <x:c r="L39" s="11" t="n">
        <x:v>53</x:v>
      </x:c>
    </x:row>
    <x:row r="40" ht="25" customHeight="1">
      <x:c r="A40" s="2" t="str">
        <x:v>2026-10-14_Day</x:v>
      </x:c>
      <x:c r="B40" s="2" t="str">
        <x:v>次10場</x:v>
      </x:c>
      <x:c r="C40" s="6" t="n">
        <x:v>501000</x:v>
      </x:c>
      <x:c r="D40" s="6" t="n">
        <x:v>583000</x:v>
      </x:c>
      <x:c r="E40" s="6" t="n">
        <x:f>C40-D40</x:f>
        <x:v>-82000</x:v>
      </x:c>
      <x:c r="F40" s="6" t="n">
        <x:f>F39+E40</x:f>
        <x:v>-5745000</x:v>
      </x:c>
      <x:c r="G40" s="6" t="n">
        <x:v>92000</x:v>
      </x:c>
      <x:c r="H40" s="6" t="n">
        <x:v>-174000</x:v>
      </x:c>
      <x:c r="I40" s="6" t="n">
        <x:v>-304000</x:v>
      </x:c>
      <x:c r="J40" s="6" t="n">
        <x:v>477000</x:v>
      </x:c>
      <x:c r="K40" s="11" t="n">
        <x:v>5</x:v>
      </x:c>
      <x:c r="L40" s="11" t="n">
        <x:v>46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1421000</x:v>
      </x:c>
      <x:c r="D41" s="6" t="n">
        <x:v>2055000</x:v>
      </x:c>
      <x:c r="E41" s="6" t="n">
        <x:f>C41-D41</x:f>
        <x:v>-634000</x:v>
      </x:c>
      <x:c r="F41" s="6" t="n">
        <x:f>F40+E41</x:f>
        <x:v>-6379000</x:v>
      </x:c>
      <x:c r="G41" s="6" t="n">
        <x:v>-469000</x:v>
      </x:c>
      <x:c r="H41" s="6" t="n">
        <x:v>-165000</x:v>
      </x:c>
      <x:c r="I41" s="6" t="n">
        <x:v>-664000</x:v>
      </x:c>
      <x:c r="J41" s="6" t="n">
        <x:v>674000</x:v>
      </x:c>
      <x:c r="K41" s="11" t="n">
        <x:v>23</x:v>
      </x:c>
      <x:c r="L41" s="11" t="n">
        <x:v>42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1185000</x:v>
      </x:c>
      <x:c r="D42" s="6" t="n">
        <x:v>1272000</x:v>
      </x:c>
      <x:c r="E42" s="6" t="n">
        <x:f>C42-D42</x:f>
        <x:v>-87000</x:v>
      </x:c>
      <x:c r="F42" s="6" t="n">
        <x:f>F41+E42</x:f>
        <x:v>-6466000</x:v>
      </x:c>
      <x:c r="G42" s="6" t="n">
        <x:v>-192000</x:v>
      </x:c>
      <x:c r="H42" s="6" t="n">
        <x:v>105000</x:v>
      </x:c>
      <x:c r="I42" s="6" t="n">
        <x:v>-997000</x:v>
      </x:c>
      <x:c r="J42" s="6" t="n">
        <x:v>1247000</x:v>
      </x:c>
      <x:c r="K42" s="11" t="n">
        <x:v>13</x:v>
      </x:c>
      <x:c r="L42" s="11" t="n">
        <x:v>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1339000</x:v>
      </x:c>
      <x:c r="D43" s="6" t="n">
        <x:v>1560000</x:v>
      </x:c>
      <x:c r="E43" s="6" t="n">
        <x:f>C43-D43</x:f>
        <x:v>-221000</x:v>
      </x:c>
      <x:c r="F43" s="6" t="n">
        <x:f>F42+E43</x:f>
        <x:v>-6687000</x:v>
      </x:c>
      <x:c r="G43" s="6" t="n">
        <x:v>-137000</x:v>
      </x:c>
      <x:c r="H43" s="6" t="n">
        <x:v>-84000</x:v>
      </x:c>
      <x:c r="I43" s="6" t="n">
        <x:v>-487000</x:v>
      </x:c>
      <x:c r="J43" s="6" t="n">
        <x:v>517000</x:v>
      </x:c>
      <x:c r="K43" s="11" t="n">
        <x:v>23</x:v>
      </x:c>
      <x:c r="L43" s="11" t="n">
        <x:v>48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1072000</x:v>
      </x:c>
      <x:c r="D44" s="6" t="n">
        <x:v>414000</x:v>
      </x:c>
      <x:c r="E44" s="6" t="n">
        <x:f>C44-D44</x:f>
        <x:v>658000</x:v>
      </x:c>
      <x:c r="F44" s="6" t="n">
        <x:f>F43+E44</x:f>
        <x:v>-6029000</x:v>
      </x:c>
      <x:c r="G44" s="6" t="n">
        <x:v>732000</x:v>
      </x:c>
      <x:c r="H44" s="6" t="n">
        <x:v>-74000</x:v>
      </x:c>
      <x:c r="I44" s="6" t="n">
        <x:v>-60000</x:v>
      </x:c>
      <x:c r="J44" s="6" t="n">
        <x:v>332000</x:v>
      </x:c>
      <x:c r="K44" s="11" t="n">
        <x:v>15</x:v>
      </x:c>
      <x:c r="L44" s="11" t="n">
        <x:v>75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1531000</x:v>
      </x:c>
      <x:c r="D45" s="6" t="n">
        <x:v>2112000</x:v>
      </x:c>
      <x:c r="E45" s="6" t="n">
        <x:f>C45-D45</x:f>
        <x:v>-581000</x:v>
      </x:c>
      <x:c r="F45" s="6" t="n">
        <x:f>F44+E45</x:f>
        <x:v>-6610000</x:v>
      </x:c>
      <x:c r="G45" s="6" t="n">
        <x:v>-572000</x:v>
      </x:c>
      <x:c r="H45" s="6" t="n">
        <x:v>-9000</x:v>
      </x:c>
      <x:c r="I45" s="6" t="n">
        <x:v>-621000</x:v>
      </x:c>
      <x:c r="J45" s="6" t="n">
        <x:v>741000</x:v>
      </x:c>
      <x:c r="K45" s="11" t="n">
        <x:v>24</x:v>
      </x:c>
      <x:c r="L45" s="11" t="n">
        <x:v>26</x:v>
      </x:c>
    </x:row>
    <x:row r="46" ht="25" customHeight="1">
      <x:c r="A46" s="2" t="str">
        <x:v>2026-10-19_Day</x:v>
      </x:c>
      <x:c r="B46" s="2" t="str">
        <x:v>後13場</x:v>
      </x:c>
      <x:c r="C46" s="6" t="n">
        <x:v>534000</x:v>
      </x:c>
      <x:c r="D46" s="6" t="n">
        <x:v>1141000</x:v>
      </x:c>
      <x:c r="E46" s="6" t="n">
        <x:f>C46-D46</x:f>
        <x:v>-607000</x:v>
      </x:c>
      <x:c r="F46" s="6" t="n">
        <x:f>F45+E46</x:f>
        <x:v>-7217000</x:v>
      </x:c>
      <x:c r="G46" s="6" t="n">
        <x:v>-238000</x:v>
      </x:c>
      <x:c r="H46" s="6" t="n">
        <x:v>-369000</x:v>
      </x:c>
      <x:c r="I46" s="6" t="n">
        <x:v>-822000</x:v>
      </x:c>
      <x:c r="J46" s="6" t="n">
        <x:v>876000</x:v>
      </x:c>
      <x:c r="K46" s="11" t="n">
        <x:v>8</x:v>
      </x:c>
      <x:c r="L46" s="11" t="n">
        <x:v>68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648000</x:v>
      </x:c>
      <x:c r="D47" s="6" t="n">
        <x:v>766000</x:v>
      </x:c>
      <x:c r="E47" s="6" t="n">
        <x:f>C47-D47</x:f>
        <x:v>-118000</x:v>
      </x:c>
      <x:c r="F47" s="6" t="n">
        <x:f>F46+E47</x:f>
        <x:v>-7335000</x:v>
      </x:c>
      <x:c r="G47" s="6" t="n">
        <x:v>218000</x:v>
      </x:c>
      <x:c r="H47" s="6" t="n">
        <x:v>-336000</x:v>
      </x:c>
      <x:c r="I47" s="6" t="n">
        <x:v>-131000</x:v>
      </x:c>
      <x:c r="J47" s="6" t="n">
        <x:v>184000</x:v>
      </x:c>
      <x:c r="K47" s="11" t="n">
        <x:v>15</x:v>
      </x:c>
      <x:c r="L47" s="11" t="n">
        <x:v>53</x:v>
      </x:c>
    </x:row>
    <x:row r="48" ht="25" customHeight="1">
      <x:c r="A48" s="2" t="str">
        <x:v>2026-10-20_Day</x:v>
      </x:c>
      <x:c r="B48" s="2" t="str">
        <x:v>後13場</x:v>
      </x:c>
      <x:c r="C48" s="6" t="n">
        <x:v>588000</x:v>
      </x:c>
      <x:c r="D48" s="6" t="n">
        <x:v>487000</x:v>
      </x:c>
      <x:c r="E48" s="6" t="n">
        <x:f>C48-D48</x:f>
        <x:v>101000</x:v>
      </x:c>
      <x:c r="F48" s="6" t="n">
        <x:f>F47+E48</x:f>
        <x:v>-7234000</x:v>
      </x:c>
      <x:c r="G48" s="6" t="n">
        <x:v>-37000</x:v>
      </x:c>
      <x:c r="H48" s="6" t="n">
        <x:v>138000</x:v>
      </x:c>
      <x:c r="I48" s="6" t="n">
        <x:v>-343000</x:v>
      </x:c>
      <x:c r="J48" s="6" t="n">
        <x:v>503000</x:v>
      </x:c>
      <x:c r="K48" s="11" t="n">
        <x:v>6</x:v>
      </x:c>
      <x:c r="L48" s="11" t="n">
        <x:v>39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1060000</x:v>
      </x:c>
      <x:c r="D49" s="6" t="n">
        <x:v>1331000</x:v>
      </x:c>
      <x:c r="E49" s="6" t="n">
        <x:f>C49-D49</x:f>
        <x:v>-271000</x:v>
      </x:c>
      <x:c r="F49" s="6" t="n">
        <x:f>F48+E49</x:f>
        <x:v>-7505000</x:v>
      </x:c>
      <x:c r="G49" s="6" t="n">
        <x:v>-291000</x:v>
      </x:c>
      <x:c r="H49" s="6" t="n">
        <x:v>20000</x:v>
      </x:c>
      <x:c r="I49" s="6" t="n">
        <x:v>-301000</x:v>
      </x:c>
      <x:c r="J49" s="6" t="n">
        <x:v>401000</x:v>
      </x:c>
      <x:c r="K49" s="11" t="n">
        <x:v>14</x:v>
      </x:c>
      <x:c r="L49" s="11" t="n">
        <x:v>27</x:v>
      </x:c>
    </x:row>
    <x:row r="50" ht="25" customHeight="1">
      <x:c r="A50" s="2" t="str">
        <x:v>2026-10-21_Day</x:v>
      </x:c>
      <x:c r="B50" s="2" t="str">
        <x:v>後13場</x:v>
      </x:c>
      <x:c r="C50" s="6" t="n">
        <x:v>491000</x:v>
      </x:c>
      <x:c r="D50" s="6" t="n">
        <x:v>709000</x:v>
      </x:c>
      <x:c r="E50" s="6" t="n">
        <x:f>C50-D50</x:f>
        <x:v>-218000</x:v>
      </x:c>
      <x:c r="F50" s="6" t="n">
        <x:f>F49+E50</x:f>
        <x:v>-7723000</x:v>
      </x:c>
      <x:c r="G50" s="6" t="n">
        <x:v>0</x:v>
      </x:c>
      <x:c r="H50" s="6" t="n">
        <x:v>-218000</x:v>
      </x:c>
      <x:c r="I50" s="6" t="n">
        <x:v>-460000</x:v>
      </x:c>
      <x:c r="J50" s="6" t="n">
        <x:v>510000</x:v>
      </x:c>
      <x:c r="K50" s="11" t="n">
        <x:v>8</x:v>
      </x:c>
      <x:c r="L50" s="11" t="n">
        <x:v>60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763000</x:v>
      </x:c>
      <x:c r="D51" s="6" t="n">
        <x:v>787000</x:v>
      </x:c>
      <x:c r="E51" s="6" t="n">
        <x:f>C51-D51</x:f>
        <x:v>-24000</x:v>
      </x:c>
      <x:c r="F51" s="6" t="n">
        <x:f>F50+E51</x:f>
        <x:v>-7747000</x:v>
      </x:c>
      <x:c r="G51" s="6" t="n">
        <x:v>54000</x:v>
      </x:c>
      <x:c r="H51" s="6" t="n">
        <x:v>-78000</x:v>
      </x:c>
      <x:c r="I51" s="6" t="n">
        <x:v>-126000</x:v>
      </x:c>
      <x:c r="J51" s="6" t="n">
        <x:v>126000</x:v>
      </x:c>
      <x:c r="K51" s="11" t="n">
        <x:v>13</x:v>
      </x:c>
      <x:c r="L51" s="11" t="n">
        <x:v>44</x:v>
      </x:c>
    </x:row>
    <x:row r="52" ht="25" customHeight="1">
      <x:c r="A52" s="2" t="str">
        <x:v>2026-10-22_Day</x:v>
      </x:c>
      <x:c r="B52" s="2" t="str">
        <x:v>後13場</x:v>
      </x:c>
      <x:c r="C52" s="6" t="n">
        <x:v>697000</x:v>
      </x:c>
      <x:c r="D52" s="6" t="n">
        <x:v>1795000</x:v>
      </x:c>
      <x:c r="E52" s="6" t="n">
        <x:f>C52-D52</x:f>
        <x:v>-1098000</x:v>
      </x:c>
      <x:c r="F52" s="6" t="n">
        <x:f>F51+E52</x:f>
        <x:v>-8845000</x:v>
      </x:c>
      <x:c r="G52" s="6" t="n">
        <x:v>-1083000</x:v>
      </x:c>
      <x:c r="H52" s="6" t="n">
        <x:v>-15000</x:v>
      </x:c>
      <x:c r="I52" s="6" t="n">
        <x:v>-1338000</x:v>
      </x:c>
      <x:c r="J52" s="6" t="n">
        <x:v>1439000</x:v>
      </x:c>
      <x:c r="K52" s="11" t="n">
        <x:v>8</x:v>
      </x:c>
      <x:c r="L52" s="11" t="n">
        <x:v>46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911000</x:v>
      </x:c>
      <x:c r="D53" s="6" t="n">
        <x:v>1232000</x:v>
      </x:c>
      <x:c r="E53" s="6" t="n">
        <x:f>C53-D53</x:f>
        <x:v>-321000</x:v>
      </x:c>
      <x:c r="F53" s="6" t="n">
        <x:f>F52+E53</x:f>
        <x:v>-9166000</x:v>
      </x:c>
      <x:c r="G53" s="6" t="n">
        <x:v>-343000</x:v>
      </x:c>
      <x:c r="H53" s="6" t="n">
        <x:v>22000</x:v>
      </x:c>
      <x:c r="I53" s="6" t="n">
        <x:v>-331000</x:v>
      </x:c>
      <x:c r="J53" s="6" t="n">
        <x:v>500000</x:v>
      </x:c>
      <x:c r="K53" s="11" t="n">
        <x:v>16</x:v>
      </x:c>
      <x:c r="L53" s="11" t="n">
        <x:v>29</x:v>
      </x:c>
    </x:row>
    <x:row r="54" ht="25" customHeight="1">
      <x:c r="A54" s="2" t="str">
        <x:v>2026-10-23_Day</x:v>
      </x:c>
      <x:c r="B54" s="2" t="str">
        <x:v>後13場</x:v>
      </x:c>
      <x:c r="C54" s="6" t="n">
        <x:v>1730000</x:v>
      </x:c>
      <x:c r="D54" s="6" t="n">
        <x:v>1612000</x:v>
      </x:c>
      <x:c r="E54" s="6" t="n">
        <x:f>C54-D54</x:f>
        <x:v>118000</x:v>
      </x:c>
      <x:c r="F54" s="6" t="n">
        <x:f>F53+E54</x:f>
        <x:v>-9048000</x:v>
      </x:c>
      <x:c r="G54" s="6" t="n">
        <x:v>346000</x:v>
      </x:c>
      <x:c r="H54" s="6" t="n">
        <x:v>-228000</x:v>
      </x:c>
      <x:c r="I54" s="6" t="n">
        <x:v>-382000</x:v>
      </x:c>
      <x:c r="J54" s="6" t="n">
        <x:v>887000</x:v>
      </x:c>
      <x:c r="K54" s="11" t="n">
        <x:v>24</x:v>
      </x:c>
      <x:c r="L54" s="11" t="n">
        <x:v>132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524000</x:v>
      </x:c>
      <x:c r="D55" s="6" t="n">
        <x:v>658000</x:v>
      </x:c>
      <x:c r="E55" s="6" t="n">
        <x:f>C55-D55</x:f>
        <x:v>-134000</x:v>
      </x:c>
      <x:c r="F55" s="6" t="n">
        <x:f>F54+E55</x:f>
        <x:v>-9182000</x:v>
      </x:c>
      <x:c r="G55" s="6" t="n">
        <x:v>-197000</x:v>
      </x:c>
      <x:c r="H55" s="6" t="n">
        <x:v>63000</x:v>
      </x:c>
      <x:c r="I55" s="6" t="n">
        <x:v>-154000</x:v>
      </x:c>
      <x:c r="J55" s="6" t="n">
        <x:v>181000</x:v>
      </x:c>
      <x:c r="K55" s="11" t="n">
        <x:v>13</x:v>
      </x:c>
      <x:c r="L55" s="11" t="n">
        <x:v>16</x:v>
      </x:c>
    </x:row>
    <x:row r="56" ht="25" customHeight="1">
      <x:c r="A56" s="2" t="str">
        <x:v>2026-10-26_Day</x:v>
      </x:c>
      <x:c r="B56" s="2" t="str">
        <x:v>後13場</x:v>
      </x:c>
      <x:c r="C56" s="6" t="n">
        <x:v>572000</x:v>
      </x:c>
      <x:c r="D56" s="6" t="n">
        <x:v>760000</x:v>
      </x:c>
      <x:c r="E56" s="6" t="n">
        <x:f>C56-D56</x:f>
        <x:v>-188000</x:v>
      </x:c>
      <x:c r="F56" s="6" t="n">
        <x:f>F55+E56</x:f>
        <x:v>-9370000</x:v>
      </x:c>
      <x:c r="G56" s="6" t="n">
        <x:v>-270000</x:v>
      </x:c>
      <x:c r="H56" s="6" t="n">
        <x:v>82000</x:v>
      </x:c>
      <x:c r="I56" s="6" t="n">
        <x:v>-315000</x:v>
      </x:c>
      <x:c r="J56" s="6" t="n">
        <x:v>315000</x:v>
      </x:c>
      <x:c r="K56" s="11" t="n">
        <x:v>7</x:v>
      </x:c>
      <x:c r="L56" s="11" t="n">
        <x:v>59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683000</x:v>
      </x:c>
      <x:c r="D57" s="6" t="n">
        <x:v>900000</x:v>
      </x:c>
      <x:c r="E57" s="6" t="n">
        <x:f>C57-D57</x:f>
        <x:v>-217000</x:v>
      </x:c>
      <x:c r="F57" s="6" t="n">
        <x:f>F56+E57</x:f>
        <x:v>-9587000</x:v>
      </x:c>
      <x:c r="G57" s="6" t="n">
        <x:v>-289000</x:v>
      </x:c>
      <x:c r="H57" s="6" t="n">
        <x:v>72000</x:v>
      </x:c>
      <x:c r="I57" s="6" t="n">
        <x:v>-237000</x:v>
      </x:c>
      <x:c r="J57" s="6" t="n">
        <x:v>303000</x:v>
      </x:c>
      <x:c r="K57" s="11" t="n">
        <x:v>13</x:v>
      </x:c>
      <x:c r="L57" s="11" t="n">
        <x:v>23</x:v>
      </x:c>
    </x:row>
    <x:row r="58" ht="25" customHeight="1">
      <x:c r="A58" s="2" t="str">
        <x:v>2026-10-27_Day</x:v>
      </x:c>
      <x:c r="B58" s="2" t="str">
        <x:v>後13場</x:v>
      </x:c>
      <x:c r="C58" s="6" t="n">
        <x:v>956000</x:v>
      </x:c>
      <x:c r="D58" s="6" t="n">
        <x:v>400000</x:v>
      </x:c>
      <x:c r="E58" s="6" t="n">
        <x:f>C58-D58</x:f>
        <x:v>556000</x:v>
      </x:c>
      <x:c r="F58" s="6" t="n">
        <x:f>F57+E58</x:f>
        <x:v>-9031000</x:v>
      </x:c>
      <x:c r="G58" s="6" t="n">
        <x:v>870000</x:v>
      </x:c>
      <x:c r="H58" s="6" t="n">
        <x:v>-314000</x:v>
      </x:c>
      <x:c r="I58" s="6" t="n">
        <x:v>-96000</x:v>
      </x:c>
      <x:c r="J58" s="6" t="n">
        <x:v>304000</x:v>
      </x:c>
      <x:c r="K58" s="11" t="n">
        <x:v>9</x:v>
      </x:c>
      <x:c r="L58" s="11" t="n">
        <x:v>39</x:v>
      </x:c>
    </x:row>
    <x:row r="59" ht="25" customHeight="1">
      <x:c r="A59" s="15" t="str">
        <x:v>累計／場内最悪値</x:v>
      </x:c>
      <x:c r="B59" s="15"/>
      <x:c r="C59" s="16" t="n">
        <x:f>SUM(C6:C58)</x:f>
        <x:v>34365000</x:v>
      </x:c>
      <x:c r="D59" s="16" t="n">
        <x:f>SUM(D6:D58)</x:f>
        <x:v>43396000</x:v>
      </x:c>
      <x:c r="E59" s="16" t="n">
        <x:f>C59-D59</x:f>
        <x:v>-9031000</x:v>
      </x:c>
      <x:c r="F59" s="16" t="n">
        <x:f>F58</x:f>
        <x:v>-9031000</x:v>
      </x:c>
      <x:c r="G59" s="16" t="n">
        <x:f>SUM(G6:G58)</x:f>
        <x:v>-5850000</x:v>
      </x:c>
      <x:c r="H59" s="16" t="n">
        <x:f>SUM(H6:H58)</x:f>
        <x:v>-3181000</x:v>
      </x:c>
      <x:c r="I59" s="16" t="n">
        <x:f>MIN(I6:I58)</x:f>
        <x:v>-1603000</x:v>
      </x:c>
      <x:c r="J59" s="16" t="n">
        <x:f>MAX(J6:J58)</x:f>
        <x:v>1733000</x:v>
      </x:c>
      <x:c r="K59" s="17" t="n">
        <x:f>SUM(K6:K58)</x:f>
        <x:v>548</x:v>
      </x:c>
      <x:c r="L59" s="17" t="n">
        <x:f>SUM(L6:L58)</x:f>
        <x:v>1967</x:v>
      </x:c>
    </x:row>
  </x:sheetData>
  <x:conditionalFormatting sqref="E6:I58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4811ea8cfe4da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H12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段60・利益40起動・追尾20・完済後新基準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20000</x:v>
      </x:c>
      <x:c r="E6" s="6" t="n">
        <x:f>C6-D6</x:f>
        <x:v>180000</x:v>
      </x:c>
      <x:c r="F6" s="6" t="n">
        <x:f>E6</x:f>
        <x:v>180000</x:v>
      </x:c>
      <x:c r="G6" s="6" t="n">
        <x:v>200000</x:v>
      </x:c>
      <x:c r="H6" s="6" t="n">
        <x:v>-20000</x:v>
      </x:c>
      <x:c r="I6" s="6" t="n">
        <x:v>-60000</x:v>
      </x:c>
      <x:c r="J6" s="6" t="n">
        <x:v>127000</x:v>
      </x:c>
      <x:c r="K6" s="11" t="n">
        <x:v>2</x:v>
      </x:c>
      <x:c r="L6" s="11" t="n">
        <x:v>1</x:v>
      </x:c>
    </x:row>
    <x:row r="7" ht="25" customHeight="1">
      <x:c r="A7" s="2" t="str">
        <x:v>2026-09-21_Night</x:v>
      </x:c>
      <x:c r="B7" s="2" t="str">
        <x:v>前30場</x:v>
      </x:c>
      <x:c r="C7" s="6" t="n">
        <x:v>647000</x:v>
      </x:c>
      <x:c r="D7" s="6" t="n">
        <x:v>912000</x:v>
      </x:c>
      <x:c r="E7" s="6" t="n">
        <x:f>C7-D7</x:f>
        <x:v>-265000</x:v>
      </x:c>
      <x:c r="F7" s="6" t="n">
        <x:f>F6+E7</x:f>
        <x:v>-85000</x:v>
      </x:c>
      <x:c r="G7" s="6" t="n">
        <x:v>-318000</x:v>
      </x:c>
      <x:c r="H7" s="6" t="n">
        <x:v>53000</x:v>
      </x:c>
      <x:c r="I7" s="6" t="n">
        <x:v>-299000</x:v>
      </x:c>
      <x:c r="J7" s="6" t="n">
        <x:v>437000</x:v>
      </x:c>
      <x:c r="K7" s="11" t="n">
        <x:v>7</x:v>
      </x:c>
      <x:c r="L7" s="11" t="n">
        <x:v>61</x:v>
      </x:c>
    </x:row>
    <x:row r="8" ht="25" customHeight="1">
      <x:c r="A8" s="2" t="str">
        <x:v>2026-09-22_Day</x:v>
      </x:c>
      <x:c r="B8" s="2" t="str">
        <x:v>前30場</x:v>
      </x:c>
      <x:c r="C8" s="6" t="n">
        <x:v>126000</x:v>
      </x:c>
      <x:c r="D8" s="6" t="n">
        <x:v>81000</x:v>
      </x:c>
      <x:c r="E8" s="6" t="n">
        <x:f>C8-D8</x:f>
        <x:v>45000</x:v>
      </x:c>
      <x:c r="F8" s="6" t="n">
        <x:f>F7+E8</x:f>
        <x:v>-40000</x:v>
      </x:c>
      <x:c r="G8" s="6" t="n">
        <x:v>100000</x:v>
      </x:c>
      <x:c r="H8" s="6" t="n">
        <x:v>-55000</x:v>
      </x:c>
      <x:c r="I8" s="6" t="n">
        <x:v>-293000</x:v>
      </x:c>
      <x:c r="J8" s="6" t="n">
        <x:v>373000</x:v>
      </x:c>
      <x:c r="K8" s="11" t="n">
        <x:v>1</x:v>
      </x:c>
      <x:c r="L8" s="11" t="n">
        <x:v>7</x:v>
      </x:c>
    </x:row>
    <x:row r="9" ht="25" customHeight="1">
      <x:c r="A9" s="2" t="str">
        <x:v>2026-09-22_Night</x:v>
      </x:c>
      <x:c r="B9" s="2" t="str">
        <x:v>前30場</x:v>
      </x:c>
      <x:c r="C9" s="6" t="n">
        <x:v>704000</x:v>
      </x:c>
      <x:c r="D9" s="6" t="n">
        <x:v>1038000</x:v>
      </x:c>
      <x:c r="E9" s="6" t="n">
        <x:f>C9-D9</x:f>
        <x:v>-334000</x:v>
      </x:c>
      <x:c r="F9" s="6" t="n">
        <x:f>F8+E9</x:f>
        <x:v>-374000</x:v>
      </x:c>
      <x:c r="G9" s="6" t="n">
        <x:v>-343000</x:v>
      </x:c>
      <x:c r="H9" s="6" t="n">
        <x:v>9000</x:v>
      </x:c>
      <x:c r="I9" s="6" t="n">
        <x:v>-399000</x:v>
      </x:c>
      <x:c r="J9" s="6" t="n">
        <x:v>529000</x:v>
      </x:c>
      <x:c r="K9" s="11" t="n">
        <x:v>12</x:v>
      </x:c>
      <x:c r="L9" s="11" t="n">
        <x:v>75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-374000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668000</x:v>
      </x:c>
      <x:c r="D11" s="6" t="n">
        <x:v>1073000</x:v>
      </x:c>
      <x:c r="E11" s="6" t="n">
        <x:f>C11-D11</x:f>
        <x:v>-405000</x:v>
      </x:c>
      <x:c r="F11" s="6" t="n">
        <x:f>F10+E11</x:f>
        <x:v>-779000</x:v>
      </x:c>
      <x:c r="G11" s="6" t="n">
        <x:v>-573000</x:v>
      </x:c>
      <x:c r="H11" s="6" t="n">
        <x:v>168000</x:v>
      </x:c>
      <x:c r="I11" s="6" t="n">
        <x:v>-405000</x:v>
      </x:c>
      <x:c r="J11" s="6" t="n">
        <x:v>465000</x:v>
      </x:c>
      <x:c r="K11" s="11" t="n">
        <x:v>8</x:v>
      </x:c>
      <x:c r="L11" s="11" t="n">
        <x:v>63</x:v>
      </x:c>
    </x:row>
    <x:row r="12" ht="25" customHeight="1">
      <x:c r="A12" s="2" t="str">
        <x:v>2026-09-24_Day</x:v>
      </x:c>
      <x:c r="B12" s="2" t="str">
        <x:v>前30場</x:v>
      </x:c>
      <x:c r="C12" s="6" t="n">
        <x:v>355000</x:v>
      </x:c>
      <x:c r="D12" s="6" t="n">
        <x:v>143000</x:v>
      </x:c>
      <x:c r="E12" s="6" t="n">
        <x:f>C12-D12</x:f>
        <x:v>212000</x:v>
      </x:c>
      <x:c r="F12" s="6" t="n">
        <x:f>F11+E12</x:f>
        <x:v>-567000</x:v>
      </x:c>
      <x:c r="G12" s="6" t="n">
        <x:v>297000</x:v>
      </x:c>
      <x:c r="H12" s="6" t="n">
        <x:v>-85000</x:v>
      </x:c>
      <x:c r="I12" s="6" t="n">
        <x:v>-331000</x:v>
      </x:c>
      <x:c r="J12" s="6" t="n">
        <x:v>331000</x:v>
      </x:c>
      <x:c r="K12" s="11" t="n">
        <x:v>4</x:v>
      </x:c>
      <x:c r="L12" s="11" t="n">
        <x:v>23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466000</x:v>
      </x:c>
      <x:c r="D13" s="6" t="n">
        <x:v>780000</x:v>
      </x:c>
      <x:c r="E13" s="6" t="n">
        <x:f>C13-D13</x:f>
        <x:v>-314000</x:v>
      </x:c>
      <x:c r="F13" s="6" t="n">
        <x:f>F12+E13</x:f>
        <x:v>-881000</x:v>
      </x:c>
      <x:c r="G13" s="6" t="n">
        <x:v>-255000</x:v>
      </x:c>
      <x:c r="H13" s="6" t="n">
        <x:v>-59000</x:v>
      </x:c>
      <x:c r="I13" s="6" t="n">
        <x:v>-334000</x:v>
      </x:c>
      <x:c r="J13" s="6" t="n">
        <x:v>414000</x:v>
      </x:c>
      <x:c r="K13" s="11" t="n">
        <x:v>10</x:v>
      </x:c>
      <x:c r="L13" s="11" t="n">
        <x:v>42</x:v>
      </x:c>
    </x:row>
    <x:row r="14" ht="25" customHeight="1">
      <x:c r="A14" s="2" t="str">
        <x:v>2026-09-25_Day</x:v>
      </x:c>
      <x:c r="B14" s="2" t="str">
        <x:v>前30場</x:v>
      </x:c>
      <x:c r="C14" s="6" t="n">
        <x:v>241000</x:v>
      </x:c>
      <x:c r="D14" s="6" t="n">
        <x:v>817000</x:v>
      </x:c>
      <x:c r="E14" s="6" t="n">
        <x:f>C14-D14</x:f>
        <x:v>-576000</x:v>
      </x:c>
      <x:c r="F14" s="6" t="n">
        <x:f>F13+E14</x:f>
        <x:v>-1457000</x:v>
      </x:c>
      <x:c r="G14" s="6" t="n">
        <x:v>-628000</x:v>
      </x:c>
      <x:c r="H14" s="6" t="n">
        <x:v>52000</x:v>
      </x:c>
      <x:c r="I14" s="6" t="n">
        <x:v>-597000</x:v>
      </x:c>
      <x:c r="J14" s="6" t="n">
        <x:v>667000</x:v>
      </x:c>
      <x:c r="K14" s="11" t="n">
        <x:v>2</x:v>
      </x:c>
      <x:c r="L14" s="11" t="n">
        <x:v>50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568000</x:v>
      </x:c>
      <x:c r="D15" s="6" t="n">
        <x:v>299000</x:v>
      </x:c>
      <x:c r="E15" s="6" t="n">
        <x:f>C15-D15</x:f>
        <x:v>269000</x:v>
      </x:c>
      <x:c r="F15" s="6" t="n">
        <x:f>F14+E15</x:f>
        <x:v>-1188000</x:v>
      </x:c>
      <x:c r="G15" s="6" t="n">
        <x:v>280000</x:v>
      </x:c>
      <x:c r="H15" s="6" t="n">
        <x:v>-11000</x:v>
      </x:c>
      <x:c r="I15" s="6" t="n">
        <x:v>-265000</x:v>
      </x:c>
      <x:c r="J15" s="6" t="n">
        <x:v>265000</x:v>
      </x:c>
      <x:c r="K15" s="11" t="n">
        <x:v>16</x:v>
      </x:c>
      <x:c r="L15" s="11" t="n">
        <x:v>41</x:v>
      </x:c>
    </x:row>
    <x:row r="16" ht="25" customHeight="1">
      <x:c r="A16" s="2" t="str">
        <x:v>2026-09-28_Day</x:v>
      </x:c>
      <x:c r="B16" s="2" t="str">
        <x:v>前30場</x:v>
      </x:c>
      <x:c r="C16" s="6" t="n">
        <x:v>453000</x:v>
      </x:c>
      <x:c r="D16" s="6" t="n">
        <x:v>238000</x:v>
      </x:c>
      <x:c r="E16" s="6" t="n">
        <x:f>C16-D16</x:f>
        <x:v>215000</x:v>
      </x:c>
      <x:c r="F16" s="6" t="n">
        <x:f>F15+E16</x:f>
        <x:v>-973000</x:v>
      </x:c>
      <x:c r="G16" s="6" t="n">
        <x:v>404000</x:v>
      </x:c>
      <x:c r="H16" s="6" t="n">
        <x:v>-189000</x:v>
      </x:c>
      <x:c r="I16" s="6" t="n">
        <x:v>-357000</x:v>
      </x:c>
      <x:c r="J16" s="6" t="n">
        <x:v>366000</x:v>
      </x:c>
      <x:c r="K16" s="11" t="n">
        <x:v>5</x:v>
      </x:c>
      <x:c r="L16" s="11" t="n">
        <x:v>18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851000</x:v>
      </x:c>
      <x:c r="D17" s="6" t="n">
        <x:v>884000</x:v>
      </x:c>
      <x:c r="E17" s="6" t="n">
        <x:f>C17-D17</x:f>
        <x:v>-33000</x:v>
      </x:c>
      <x:c r="F17" s="6" t="n">
        <x:f>F16+E17</x:f>
        <x:v>-1006000</x:v>
      </x:c>
      <x:c r="G17" s="6" t="n">
        <x:v>331000</x:v>
      </x:c>
      <x:c r="H17" s="6" t="n">
        <x:v>-364000</x:v>
      </x:c>
      <x:c r="I17" s="6" t="n">
        <x:v>-133000</x:v>
      </x:c>
      <x:c r="J17" s="6" t="n">
        <x:v>180000</x:v>
      </x:c>
      <x:c r="K17" s="11" t="n">
        <x:v>14</x:v>
      </x:c>
      <x:c r="L17" s="11" t="n">
        <x:v>75</x:v>
      </x:c>
    </x:row>
    <x:row r="18" ht="25" customHeight="1">
      <x:c r="A18" s="2" t="str">
        <x:v>2026-09-29_Day</x:v>
      </x:c>
      <x:c r="B18" s="2" t="str">
        <x:v>前30場</x:v>
      </x:c>
      <x:c r="C18" s="6" t="n">
        <x:v>559000</x:v>
      </x:c>
      <x:c r="D18" s="6" t="n">
        <x:v>1100000</x:v>
      </x:c>
      <x:c r="E18" s="6" t="n">
        <x:f>C18-D18</x:f>
        <x:v>-541000</x:v>
      </x:c>
      <x:c r="F18" s="6" t="n">
        <x:f>F17+E18</x:f>
        <x:v>-1547000</x:v>
      </x:c>
      <x:c r="G18" s="6" t="n">
        <x:v>316000</x:v>
      </x:c>
      <x:c r="H18" s="6" t="n">
        <x:v>-857000</x:v>
      </x:c>
      <x:c r="I18" s="6" t="n">
        <x:v>-562000</x:v>
      </x:c>
      <x:c r="J18" s="6" t="n">
        <x:v>586000</x:v>
      </x:c>
      <x:c r="K18" s="11" t="n">
        <x:v>7</x:v>
      </x:c>
      <x:c r="L18" s="11" t="n">
        <x:v>71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770000</x:v>
      </x:c>
      <x:c r="D19" s="6" t="n">
        <x:v>854000</x:v>
      </x:c>
      <x:c r="E19" s="6" t="n">
        <x:f>C19-D19</x:f>
        <x:v>-84000</x:v>
      </x:c>
      <x:c r="F19" s="6" t="n">
        <x:f>F18+E19</x:f>
        <x:v>-1631000</x:v>
      </x:c>
      <x:c r="G19" s="6" t="n">
        <x:v>7000</x:v>
      </x:c>
      <x:c r="H19" s="6" t="n">
        <x:v>-91000</x:v>
      </x:c>
      <x:c r="I19" s="6" t="n">
        <x:v>-88000</x:v>
      </x:c>
      <x:c r="J19" s="6" t="n">
        <x:v>187000</x:v>
      </x:c>
      <x:c r="K19" s="11" t="n">
        <x:v>19</x:v>
      </x:c>
      <x:c r="L19" s="11" t="n">
        <x:v>59</x:v>
      </x:c>
    </x:row>
    <x:row r="20" ht="25" customHeight="1">
      <x:c r="A20" s="2" t="str">
        <x:v>2026-09-30_Day</x:v>
      </x:c>
      <x:c r="B20" s="2" t="str">
        <x:v>前30場</x:v>
      </x:c>
      <x:c r="C20" s="6" t="n">
        <x:v>309000</x:v>
      </x:c>
      <x:c r="D20" s="6" t="n">
        <x:v>636000</x:v>
      </x:c>
      <x:c r="E20" s="6" t="n">
        <x:f>C20-D20</x:f>
        <x:v>-327000</x:v>
      </x:c>
      <x:c r="F20" s="6" t="n">
        <x:f>F19+E20</x:f>
        <x:v>-1958000</x:v>
      </x:c>
      <x:c r="G20" s="6" t="n">
        <x:v>-420000</x:v>
      </x:c>
      <x:c r="H20" s="6" t="n">
        <x:v>93000</x:v>
      </x:c>
      <x:c r="I20" s="6" t="n">
        <x:v>-327000</x:v>
      </x:c>
      <x:c r="J20" s="6" t="n">
        <x:v>505000</x:v>
      </x:c>
      <x:c r="K20" s="11" t="n">
        <x:v>3</x:v>
      </x:c>
      <x:c r="L20" s="11" t="n">
        <x:v>26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720000</x:v>
      </x:c>
      <x:c r="D21" s="6" t="n">
        <x:v>1208000</x:v>
      </x:c>
      <x:c r="E21" s="6" t="n">
        <x:f>C21-D21</x:f>
        <x:v>-488000</x:v>
      </x:c>
      <x:c r="F21" s="6" t="n">
        <x:f>F20+E21</x:f>
        <x:v>-2446000</x:v>
      </x:c>
      <x:c r="G21" s="6" t="n">
        <x:v>46000</x:v>
      </x:c>
      <x:c r="H21" s="6" t="n">
        <x:v>-534000</x:v>
      </x:c>
      <x:c r="I21" s="6" t="n">
        <x:v>-535000</x:v>
      </x:c>
      <x:c r="J21" s="6" t="n">
        <x:v>535000</x:v>
      </x:c>
      <x:c r="K21" s="11" t="n">
        <x:v>17</x:v>
      </x:c>
      <x:c r="L21" s="11" t="n">
        <x:v>82</x:v>
      </x:c>
    </x:row>
    <x:row r="22" ht="25" customHeight="1">
      <x:c r="A22" s="2" t="str">
        <x:v>2026-10-01_Day</x:v>
      </x:c>
      <x:c r="B22" s="2" t="str">
        <x:v>前30場</x:v>
      </x:c>
      <x:c r="C22" s="6" t="n">
        <x:v>710000</x:v>
      </x:c>
      <x:c r="D22" s="6" t="n">
        <x:v>1646000</x:v>
      </x:c>
      <x:c r="E22" s="6" t="n">
        <x:f>C22-D22</x:f>
        <x:v>-936000</x:v>
      </x:c>
      <x:c r="F22" s="6" t="n">
        <x:f>F21+E22</x:f>
        <x:v>-3382000</x:v>
      </x:c>
      <x:c r="G22" s="6" t="n">
        <x:v>-1421000</x:v>
      </x:c>
      <x:c r="H22" s="6" t="n">
        <x:v>485000</x:v>
      </x:c>
      <x:c r="I22" s="6" t="n">
        <x:v>-1126000</x:v>
      </x:c>
      <x:c r="J22" s="6" t="n">
        <x:v>1250000</x:v>
      </x:c>
      <x:c r="K22" s="11" t="n">
        <x:v>3</x:v>
      </x:c>
      <x:c r="L22" s="11" t="n">
        <x:v>138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991000</x:v>
      </x:c>
      <x:c r="D23" s="6" t="n">
        <x:v>1096000</x:v>
      </x:c>
      <x:c r="E23" s="6" t="n">
        <x:f>C23-D23</x:f>
        <x:v>-105000</x:v>
      </x:c>
      <x:c r="F23" s="6" t="n">
        <x:f>F22+E23</x:f>
        <x:v>-3487000</x:v>
      </x:c>
      <x:c r="G23" s="6" t="n">
        <x:v>85000</x:v>
      </x:c>
      <x:c r="H23" s="6" t="n">
        <x:v>-190000</x:v>
      </x:c>
      <x:c r="I23" s="6" t="n">
        <x:v>-233000</x:v>
      </x:c>
      <x:c r="J23" s="6" t="n">
        <x:v>343000</x:v>
      </x:c>
      <x:c r="K23" s="11" t="n">
        <x:v>14</x:v>
      </x:c>
      <x:c r="L23" s="11" t="n">
        <x:v>85</x:v>
      </x:c>
    </x:row>
    <x:row r="24" ht="25" customHeight="1">
      <x:c r="A24" s="2" t="str">
        <x:v>2026-10-02_Day</x:v>
      </x:c>
      <x:c r="B24" s="2" t="str">
        <x:v>前30場</x:v>
      </x:c>
      <x:c r="C24" s="6" t="n">
        <x:v>297000</x:v>
      </x:c>
      <x:c r="D24" s="6" t="n">
        <x:v>587000</x:v>
      </x:c>
      <x:c r="E24" s="6" t="n">
        <x:f>C24-D24</x:f>
        <x:v>-290000</x:v>
      </x:c>
      <x:c r="F24" s="6" t="n">
        <x:f>F23+E24</x:f>
        <x:v>-3777000</x:v>
      </x:c>
      <x:c r="G24" s="6" t="n">
        <x:v>90000</x:v>
      </x:c>
      <x:c r="H24" s="6" t="n">
        <x:v>-380000</x:v>
      </x:c>
      <x:c r="I24" s="6" t="n">
        <x:v>-409000</x:v>
      </x:c>
      <x:c r="J24" s="6" t="n">
        <x:v>429000</x:v>
      </x:c>
      <x:c r="K24" s="11" t="n">
        <x:v>5</x:v>
      </x:c>
      <x:c r="L24" s="11" t="n">
        <x:v>31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903000</x:v>
      </x:c>
      <x:c r="D25" s="6" t="n">
        <x:v>1176000</x:v>
      </x:c>
      <x:c r="E25" s="6" t="n">
        <x:f>C25-D25</x:f>
        <x:v>-273000</x:v>
      </x:c>
      <x:c r="F25" s="6" t="n">
        <x:f>F24+E25</x:f>
        <x:v>-4050000</x:v>
      </x:c>
      <x:c r="G25" s="6" t="n">
        <x:v>-436000</x:v>
      </x:c>
      <x:c r="H25" s="6" t="n">
        <x:v>163000</x:v>
      </x:c>
      <x:c r="I25" s="6" t="n">
        <x:v>-460000</x:v>
      </x:c>
      <x:c r="J25" s="6" t="n">
        <x:v>530000</x:v>
      </x:c>
      <x:c r="K25" s="11" t="n">
        <x:v>17</x:v>
      </x:c>
      <x:c r="L25" s="11" t="n">
        <x:v>54</x:v>
      </x:c>
    </x:row>
    <x:row r="26" ht="25" customHeight="1">
      <x:c r="A26" s="2" t="str">
        <x:v>2026-10-05_Day</x:v>
      </x:c>
      <x:c r="B26" s="2" t="str">
        <x:v>前30場</x:v>
      </x:c>
      <x:c r="C26" s="6" t="n">
        <x:v>256000</x:v>
      </x:c>
      <x:c r="D26" s="6" t="n">
        <x:v>555000</x:v>
      </x:c>
      <x:c r="E26" s="6" t="n">
        <x:f>C26-D26</x:f>
        <x:v>-299000</x:v>
      </x:c>
      <x:c r="F26" s="6" t="n">
        <x:f>F25+E26</x:f>
        <x:v>-4349000</x:v>
      </x:c>
      <x:c r="G26" s="6" t="n">
        <x:v>-226000</x:v>
      </x:c>
      <x:c r="H26" s="6" t="n">
        <x:v>-73000</x:v>
      </x:c>
      <x:c r="I26" s="6" t="n">
        <x:v>-342000</x:v>
      </x:c>
      <x:c r="J26" s="6" t="n">
        <x:v>392000</x:v>
      </x:c>
      <x:c r="K26" s="11" t="n">
        <x:v>3</x:v>
      </x:c>
      <x:c r="L26" s="11" t="n">
        <x:v>31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478000</x:v>
      </x:c>
      <x:c r="D27" s="6" t="n">
        <x:v>606000</x:v>
      </x:c>
      <x:c r="E27" s="6" t="n">
        <x:f>C27-D27</x:f>
        <x:v>-128000</x:v>
      </x:c>
      <x:c r="F27" s="6" t="n">
        <x:f>F26+E27</x:f>
        <x:v>-4477000</x:v>
      </x:c>
      <x:c r="G27" s="6" t="n">
        <x:v>22000</x:v>
      </x:c>
      <x:c r="H27" s="6" t="n">
        <x:v>-150000</x:v>
      </x:c>
      <x:c r="I27" s="6" t="n">
        <x:v>-192000</x:v>
      </x:c>
      <x:c r="J27" s="6" t="n">
        <x:v>212000</x:v>
      </x:c>
      <x:c r="K27" s="11" t="n">
        <x:v>13</x:v>
      </x:c>
      <x:c r="L27" s="11" t="n">
        <x:v>32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101000</x:v>
      </x:c>
      <x:c r="D28" s="6" t="n">
        <x:v>25000</x:v>
      </x:c>
      <x:c r="E28" s="6" t="n">
        <x:f>C28-D28</x:f>
        <x:v>76000</x:v>
      </x:c>
      <x:c r="F28" s="6" t="n">
        <x:f>F27+E28</x:f>
        <x:v>-4401000</x:v>
      </x:c>
      <x:c r="G28" s="6" t="n">
        <x:v>100000</x:v>
      </x:c>
      <x:c r="H28" s="6" t="n">
        <x:v>-24000</x:v>
      </x:c>
      <x:c r="I28" s="6" t="n">
        <x:v>-159000</x:v>
      </x:c>
      <x:c r="J28" s="6" t="n">
        <x:v>159000</x:v>
      </x:c>
      <x:c r="K28" s="11" t="n">
        <x:v>1</x:v>
      </x:c>
      <x:c r="L28" s="11" t="n">
        <x:v>2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574000</x:v>
      </x:c>
      <x:c r="D29" s="6" t="n">
        <x:v>602000</x:v>
      </x:c>
      <x:c r="E29" s="6" t="n">
        <x:f>C29-D29</x:f>
        <x:v>-28000</x:v>
      </x:c>
      <x:c r="F29" s="6" t="n">
        <x:f>F28+E29</x:f>
        <x:v>-4429000</x:v>
      </x:c>
      <x:c r="G29" s="6" t="n">
        <x:v>258000</x:v>
      </x:c>
      <x:c r="H29" s="6" t="n">
        <x:v>-286000</x:v>
      </x:c>
      <x:c r="I29" s="6" t="n">
        <x:v>-108000</x:v>
      </x:c>
      <x:c r="J29" s="6" t="n">
        <x:v>160000</x:v>
      </x:c>
      <x:c r="K29" s="11" t="n">
        <x:v>11</x:v>
      </x:c>
      <x:c r="L29" s="11" t="n">
        <x:v>32</x:v>
      </x:c>
    </x:row>
    <x:row r="30" ht="25" customHeight="1">
      <x:c r="A30" s="2" t="str">
        <x:v>2026-10-07_Day</x:v>
      </x:c>
      <x:c r="B30" s="2" t="str">
        <x:v>前30場</x:v>
      </x:c>
      <x:c r="C30" s="6" t="n">
        <x:v>190000</x:v>
      </x:c>
      <x:c r="D30" s="6" t="n">
        <x:v>39000</x:v>
      </x:c>
      <x:c r="E30" s="6" t="n">
        <x:f>C30-D30</x:f>
        <x:v>151000</x:v>
      </x:c>
      <x:c r="F30" s="6" t="n">
        <x:f>F29+E30</x:f>
        <x:v>-4278000</x:v>
      </x:c>
      <x:c r="G30" s="6" t="n">
        <x:v>190000</x:v>
      </x:c>
      <x:c r="H30" s="6" t="n">
        <x:v>-39000</x:v>
      </x:c>
      <x:c r="I30" s="6" t="n">
        <x:v>-99000</x:v>
      </x:c>
      <x:c r="J30" s="6" t="n">
        <x:v>179000</x:v>
      </x:c>
      <x:c r="K30" s="11" t="n">
        <x:v>2</x:v>
      </x:c>
      <x:c r="L30" s="11" t="n">
        <x:v>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729000</x:v>
      </x:c>
      <x:c r="D31" s="6" t="n">
        <x:v>950000</x:v>
      </x:c>
      <x:c r="E31" s="6" t="n">
        <x:f>C31-D31</x:f>
        <x:v>-221000</x:v>
      </x:c>
      <x:c r="F31" s="6" t="n">
        <x:f>F30+E31</x:f>
        <x:v>-4499000</x:v>
      </x:c>
      <x:c r="G31" s="6" t="n">
        <x:v>-173000</x:v>
      </x:c>
      <x:c r="H31" s="6" t="n">
        <x:v>-48000</x:v>
      </x:c>
      <x:c r="I31" s="6" t="n">
        <x:v>-231000</x:v>
      </x:c>
      <x:c r="J31" s="6" t="n">
        <x:v>251000</x:v>
      </x:c>
      <x:c r="K31" s="11" t="n">
        <x:v>11</x:v>
      </x:c>
      <x:c r="L31" s="11" t="n">
        <x:v>47</x:v>
      </x:c>
    </x:row>
    <x:row r="32" ht="25" customHeight="1">
      <x:c r="A32" s="2" t="str">
        <x:v>2026-10-08_Day</x:v>
      </x:c>
      <x:c r="B32" s="2" t="str">
        <x:v>前30場</x:v>
      </x:c>
      <x:c r="C32" s="6" t="n">
        <x:v>802000</x:v>
      </x:c>
      <x:c r="D32" s="6" t="n">
        <x:v>1128000</x:v>
      </x:c>
      <x:c r="E32" s="6" t="n">
        <x:f>C32-D32</x:f>
        <x:v>-326000</x:v>
      </x:c>
      <x:c r="F32" s="6" t="n">
        <x:f>F31+E32</x:f>
        <x:v>-4825000</x:v>
      </x:c>
      <x:c r="G32" s="6" t="n">
        <x:v>-830000</x:v>
      </x:c>
      <x:c r="H32" s="6" t="n">
        <x:v>504000</x:v>
      </x:c>
      <x:c r="I32" s="6" t="n">
        <x:v>-336000</x:v>
      </x:c>
      <x:c r="J32" s="6" t="n">
        <x:v>547000</x:v>
      </x:c>
      <x:c r="K32" s="11" t="n">
        <x:v>4</x:v>
      </x:c>
      <x:c r="L32" s="11" t="n">
        <x:v>41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1289000</x:v>
      </x:c>
      <x:c r="D33" s="6" t="n">
        <x:v>1509000</x:v>
      </x:c>
      <x:c r="E33" s="6" t="n">
        <x:f>C33-D33</x:f>
        <x:v>-220000</x:v>
      </x:c>
      <x:c r="F33" s="6" t="n">
        <x:f>F32+E33</x:f>
        <x:v>-5045000</x:v>
      </x:c>
      <x:c r="G33" s="6" t="n">
        <x:v>271000</x:v>
      </x:c>
      <x:c r="H33" s="6" t="n">
        <x:v>-491000</x:v>
      </x:c>
      <x:c r="I33" s="6" t="n">
        <x:v>-220000</x:v>
      </x:c>
      <x:c r="J33" s="6" t="n">
        <x:v>429000</x:v>
      </x:c>
      <x:c r="K33" s="11" t="n">
        <x:v>23</x:v>
      </x:c>
      <x:c r="L33" s="11" t="n">
        <x:v>103</x:v>
      </x:c>
    </x:row>
    <x:row r="34" ht="25" customHeight="1">
      <x:c r="A34" s="2" t="str">
        <x:v>2026-10-09_Day</x:v>
      </x:c>
      <x:c r="B34" s="2" t="str">
        <x:v>前30場</x:v>
      </x:c>
      <x:c r="C34" s="6" t="n">
        <x:v>722000</x:v>
      </x:c>
      <x:c r="D34" s="6" t="n">
        <x:v>1161000</x:v>
      </x:c>
      <x:c r="E34" s="6" t="n">
        <x:f>C34-D34</x:f>
        <x:v>-439000</x:v>
      </x:c>
      <x:c r="F34" s="6" t="n">
        <x:f>F33+E34</x:f>
        <x:v>-5484000</x:v>
      </x:c>
      <x:c r="G34" s="6" t="n">
        <x:v>-470000</x:v>
      </x:c>
      <x:c r="H34" s="6" t="n">
        <x:v>31000</x:v>
      </x:c>
      <x:c r="I34" s="6" t="n">
        <x:v>-448000</x:v>
      </x:c>
      <x:c r="J34" s="6" t="n">
        <x:v>824000</x:v>
      </x:c>
      <x:c r="K34" s="11" t="n">
        <x:v>7</x:v>
      </x:c>
      <x:c r="L34" s="11" t="n">
        <x:v>72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478000</x:v>
      </x:c>
      <x:c r="D35" s="6" t="n">
        <x:v>572000</x:v>
      </x:c>
      <x:c r="E35" s="6" t="n">
        <x:f>C35-D35</x:f>
        <x:v>-94000</x:v>
      </x:c>
      <x:c r="F35" s="6" t="n">
        <x:f>F34+E35</x:f>
        <x:v>-5578000</x:v>
      </x:c>
      <x:c r="G35" s="6" t="n">
        <x:v>-58000</x:v>
      </x:c>
      <x:c r="H35" s="6" t="n">
        <x:v>-36000</x:v>
      </x:c>
      <x:c r="I35" s="6" t="n">
        <x:v>-152000</x:v>
      </x:c>
      <x:c r="J35" s="6" t="n">
        <x:v>168000</x:v>
      </x:c>
      <x:c r="K35" s="11" t="n">
        <x:v>11</x:v>
      </x:c>
      <x:c r="L35" s="11" t="n">
        <x:v>30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-5578000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617000</x:v>
      </x:c>
      <x:c r="D37" s="6" t="n">
        <x:v>844000</x:v>
      </x:c>
      <x:c r="E37" s="6" t="n">
        <x:f>C37-D37</x:f>
        <x:v>-227000</x:v>
      </x:c>
      <x:c r="F37" s="6" t="n">
        <x:f>F36+E37</x:f>
        <x:v>-5805000</x:v>
      </x:c>
      <x:c r="G37" s="6" t="n">
        <x:v>-330000</x:v>
      </x:c>
      <x:c r="H37" s="6" t="n">
        <x:v>103000</x:v>
      </x:c>
      <x:c r="I37" s="6" t="n">
        <x:v>-227000</x:v>
      </x:c>
      <x:c r="J37" s="6" t="n">
        <x:v>237000</x:v>
      </x:c>
      <x:c r="K37" s="11" t="n">
        <x:v>11</x:v>
      </x:c>
      <x:c r="L37" s="11" t="n">
        <x:v>48</x:v>
      </x:c>
    </x:row>
    <x:row r="38" ht="25" customHeight="1">
      <x:c r="A38" s="2" t="str">
        <x:v>2026-10-13_Day</x:v>
      </x:c>
      <x:c r="B38" s="2" t="str">
        <x:v>次10場</x:v>
      </x:c>
      <x:c r="C38" s="6" t="n">
        <x:v>525000</x:v>
      </x:c>
      <x:c r="D38" s="6" t="n">
        <x:v>379000</x:v>
      </x:c>
      <x:c r="E38" s="6" t="n">
        <x:f>C38-D38</x:f>
        <x:v>146000</x:v>
      </x:c>
      <x:c r="F38" s="6" t="n">
        <x:f>F37+E38</x:f>
        <x:v>-5659000</x:v>
      </x:c>
      <x:c r="G38" s="6" t="n">
        <x:v>494000</x:v>
      </x:c>
      <x:c r="H38" s="6" t="n">
        <x:v>-348000</x:v>
      </x:c>
      <x:c r="I38" s="6" t="n">
        <x:v>-222000</x:v>
      </x:c>
      <x:c r="J38" s="6" t="n">
        <x:v>265000</x:v>
      </x:c>
      <x:c r="K38" s="11" t="n">
        <x:v>6</x:v>
      </x:c>
      <x:c r="L38" s="11" t="n">
        <x:v>18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430000</x:v>
      </x:c>
      <x:c r="D39" s="6" t="n">
        <x:v>491000</x:v>
      </x:c>
      <x:c r="E39" s="6" t="n">
        <x:f>C39-D39</x:f>
        <x:v>-61000</x:v>
      </x:c>
      <x:c r="F39" s="6" t="n">
        <x:f>F38+E39</x:f>
        <x:v>-5720000</x:v>
      </x:c>
      <x:c r="G39" s="6" t="n">
        <x:v>69000</x:v>
      </x:c>
      <x:c r="H39" s="6" t="n">
        <x:v>-130000</x:v>
      </x:c>
      <x:c r="I39" s="6" t="n">
        <x:v>-95000</x:v>
      </x:c>
      <x:c r="J39" s="6" t="n">
        <x:v>199000</x:v>
      </x:c>
      <x:c r="K39" s="11" t="n">
        <x:v>9</x:v>
      </x:c>
      <x:c r="L39" s="11" t="n">
        <x:v>32</x:v>
      </x:c>
    </x:row>
    <x:row r="40" ht="25" customHeight="1">
      <x:c r="A40" s="2" t="str">
        <x:v>2026-10-14_Day</x:v>
      </x:c>
      <x:c r="B40" s="2" t="str">
        <x:v>次10場</x:v>
      </x:c>
      <x:c r="C40" s="6" t="n">
        <x:v>469000</x:v>
      </x:c>
      <x:c r="D40" s="6" t="n">
        <x:v>693000</x:v>
      </x:c>
      <x:c r="E40" s="6" t="n">
        <x:f>C40-D40</x:f>
        <x:v>-224000</x:v>
      </x:c>
      <x:c r="F40" s="6" t="n">
        <x:f>F39+E40</x:f>
        <x:v>-5944000</x:v>
      </x:c>
      <x:c r="G40" s="6" t="n">
        <x:v>66000</x:v>
      </x:c>
      <x:c r="H40" s="6" t="n">
        <x:v>-290000</x:v>
      </x:c>
      <x:c r="I40" s="6" t="n">
        <x:v>-324000</x:v>
      </x:c>
      <x:c r="J40" s="6" t="n">
        <x:v>497000</x:v>
      </x:c>
      <x:c r="K40" s="11" t="n">
        <x:v>5</x:v>
      </x:c>
      <x:c r="L40" s="11" t="n">
        <x:v>29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1526000</x:v>
      </x:c>
      <x:c r="D41" s="6" t="n">
        <x:v>2148000</x:v>
      </x:c>
      <x:c r="E41" s="6" t="n">
        <x:f>C41-D41</x:f>
        <x:v>-622000</x:v>
      </x:c>
      <x:c r="F41" s="6" t="n">
        <x:f>F40+E41</x:f>
        <x:v>-6566000</x:v>
      </x:c>
      <x:c r="G41" s="6" t="n">
        <x:v>-776000</x:v>
      </x:c>
      <x:c r="H41" s="6" t="n">
        <x:v>154000</x:v>
      </x:c>
      <x:c r="I41" s="6" t="n">
        <x:v>-652000</x:v>
      </x:c>
      <x:c r="J41" s="6" t="n">
        <x:v>662000</x:v>
      </x:c>
      <x:c r="K41" s="11" t="n">
        <x:v>24</x:v>
      </x:c>
      <x:c r="L41" s="11" t="n">
        <x:v>157</x:v>
      </x:c>
    </x:row>
    <x:row r="42" ht="25" customHeight="1">
      <x:c r="A42" s="2" t="str">
        <x:v>2026-10-15_Day</x:v>
      </x:c>
      <x:c r="B42" s="2" t="str">
        <x:v>次10場</x:v>
      </x:c>
      <x:c r="C42" s="6" t="n">
        <x:v>1586000</x:v>
      </x:c>
      <x:c r="D42" s="6" t="n">
        <x:v>1272000</x:v>
      </x:c>
      <x:c r="E42" s="6" t="n">
        <x:f>C42-D42</x:f>
        <x:v>314000</x:v>
      </x:c>
      <x:c r="F42" s="6" t="n">
        <x:f>F41+E42</x:f>
        <x:v>-6252000</x:v>
      </x:c>
      <x:c r="G42" s="6" t="n">
        <x:v>-176000</x:v>
      </x:c>
      <x:c r="H42" s="6" t="n">
        <x:v>490000</x:v>
      </x:c>
      <x:c r="I42" s="6" t="n">
        <x:v>-596000</x:v>
      </x:c>
      <x:c r="J42" s="6" t="n">
        <x:v>870000</x:v>
      </x:c>
      <x:c r="K42" s="11" t="n">
        <x:v>13</x:v>
      </x:c>
      <x:c r="L42" s="11" t="n">
        <x:v>140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1409000</x:v>
      </x:c>
      <x:c r="D43" s="6" t="n">
        <x:v>1296000</x:v>
      </x:c>
      <x:c r="E43" s="6" t="n">
        <x:f>C43-D43</x:f>
        <x:v>113000</x:v>
      </x:c>
      <x:c r="F43" s="6" t="n">
        <x:f>F42+E43</x:f>
        <x:v>-6139000</x:v>
      </x:c>
      <x:c r="G43" s="6" t="n">
        <x:v>-59000</x:v>
      </x:c>
      <x:c r="H43" s="6" t="n">
        <x:v>172000</x:v>
      </x:c>
      <x:c r="I43" s="6" t="n">
        <x:v>-449000</x:v>
      </x:c>
      <x:c r="J43" s="6" t="n">
        <x:v>479000</x:v>
      </x:c>
      <x:c r="K43" s="11" t="n">
        <x:v>21</x:v>
      </x:c>
      <x:c r="L43" s="11" t="n">
        <x:v>88</x:v>
      </x:c>
    </x:row>
    <x:row r="44" ht="25" customHeight="1">
      <x:c r="A44" s="2" t="str">
        <x:v>2026-10-16_Day</x:v>
      </x:c>
      <x:c r="B44" s="2" t="str">
        <x:v>次10場</x:v>
      </x:c>
      <x:c r="C44" s="6" t="n">
        <x:v>926000</x:v>
      </x:c>
      <x:c r="D44" s="6" t="n">
        <x:v>285000</x:v>
      </x:c>
      <x:c r="E44" s="6" t="n">
        <x:f>C44-D44</x:f>
        <x:v>641000</x:v>
      </x:c>
      <x:c r="F44" s="6" t="n">
        <x:f>F43+E44</x:f>
        <x:v>-5498000</x:v>
      </x:c>
      <x:c r="G44" s="6" t="n">
        <x:v>688000</x:v>
      </x:c>
      <x:c r="H44" s="6" t="n">
        <x:v>-47000</x:v>
      </x:c>
      <x:c r="I44" s="6" t="n">
        <x:v>-60000</x:v>
      </x:c>
      <x:c r="J44" s="6" t="n">
        <x:v>373000</x:v>
      </x:c>
      <x:c r="K44" s="11" t="n">
        <x:v>15</x:v>
      </x:c>
      <x:c r="L44" s="11" t="n">
        <x:v>30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1613000</x:v>
      </x:c>
      <x:c r="D45" s="6" t="n">
        <x:v>2102000</x:v>
      </x:c>
      <x:c r="E45" s="6" t="n">
        <x:f>C45-D45</x:f>
        <x:v>-489000</x:v>
      </x:c>
      <x:c r="F45" s="6" t="n">
        <x:f>F44+E45</x:f>
        <x:v>-5987000</x:v>
      </x:c>
      <x:c r="G45" s="6" t="n">
        <x:v>-952000</x:v>
      </x:c>
      <x:c r="H45" s="6" t="n">
        <x:v>463000</x:v>
      </x:c>
      <x:c r="I45" s="6" t="n">
        <x:v>-509000</x:v>
      </x:c>
      <x:c r="J45" s="6" t="n">
        <x:v>629000</x:v>
      </x:c>
      <x:c r="K45" s="11" t="n">
        <x:v>18</x:v>
      </x:c>
      <x:c r="L45" s="11" t="n">
        <x:v>141</x:v>
      </x:c>
    </x:row>
    <x:row r="46" ht="25" customHeight="1">
      <x:c r="A46" s="2" t="str">
        <x:v>2026-10-19_Day</x:v>
      </x:c>
      <x:c r="B46" s="2" t="str">
        <x:v>後13場</x:v>
      </x:c>
      <x:c r="C46" s="6" t="n">
        <x:v>566000</x:v>
      </x:c>
      <x:c r="D46" s="6" t="n">
        <x:v>1157000</x:v>
      </x:c>
      <x:c r="E46" s="6" t="n">
        <x:f>C46-D46</x:f>
        <x:v>-591000</x:v>
      </x:c>
      <x:c r="F46" s="6" t="n">
        <x:f>F45+E46</x:f>
        <x:v>-6578000</x:v>
      </x:c>
      <x:c r="G46" s="6" t="n">
        <x:v>-278000</x:v>
      </x:c>
      <x:c r="H46" s="6" t="n">
        <x:v>-313000</x:v>
      </x:c>
      <x:c r="I46" s="6" t="n">
        <x:v>-801000</x:v>
      </x:c>
      <x:c r="J46" s="6" t="n">
        <x:v>872000</x:v>
      </x:c>
      <x:c r="K46" s="11" t="n">
        <x:v>8</x:v>
      </x:c>
      <x:c r="L46" s="11" t="n">
        <x:v>75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658000</x:v>
      </x:c>
      <x:c r="D47" s="6" t="n">
        <x:v>800000</x:v>
      </x:c>
      <x:c r="E47" s="6" t="n">
        <x:f>C47-D47</x:f>
        <x:v>-142000</x:v>
      </x:c>
      <x:c r="F47" s="6" t="n">
        <x:f>F46+E47</x:f>
        <x:v>-6720000</x:v>
      </x:c>
      <x:c r="G47" s="6" t="n">
        <x:v>63000</x:v>
      </x:c>
      <x:c r="H47" s="6" t="n">
        <x:v>-205000</x:v>
      </x:c>
      <x:c r="I47" s="6" t="n">
        <x:v>-152000</x:v>
      </x:c>
      <x:c r="J47" s="6" t="n">
        <x:v>204000</x:v>
      </x:c>
      <x:c r="K47" s="11" t="n">
        <x:v>16</x:v>
      </x:c>
      <x:c r="L47" s="11" t="n">
        <x:v>58</x:v>
      </x:c>
    </x:row>
    <x:row r="48" ht="25" customHeight="1">
      <x:c r="A48" s="2" t="str">
        <x:v>2026-10-20_Day</x:v>
      </x:c>
      <x:c r="B48" s="2" t="str">
        <x:v>後13場</x:v>
      </x:c>
      <x:c r="C48" s="6" t="n">
        <x:v>436000</x:v>
      </x:c>
      <x:c r="D48" s="6" t="n">
        <x:v>460000</x:v>
      </x:c>
      <x:c r="E48" s="6" t="n">
        <x:f>C48-D48</x:f>
        <x:v>-24000</x:v>
      </x:c>
      <x:c r="F48" s="6" t="n">
        <x:f>F47+E48</x:f>
        <x:v>-6744000</x:v>
      </x:c>
      <x:c r="G48" s="6" t="n">
        <x:v>-215000</x:v>
      </x:c>
      <x:c r="H48" s="6" t="n">
        <x:v>191000</x:v>
      </x:c>
      <x:c r="I48" s="6" t="n">
        <x:v>-444000</x:v>
      </x:c>
      <x:c r="J48" s="6" t="n">
        <x:v>604000</x:v>
      </x:c>
      <x:c r="K48" s="11" t="n">
        <x:v>5</x:v>
      </x:c>
      <x:c r="L48" s="11" t="n">
        <x:v>49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1224000</x:v>
      </x:c>
      <x:c r="D49" s="6" t="n">
        <x:v>1481000</x:v>
      </x:c>
      <x:c r="E49" s="6" t="n">
        <x:f>C49-D49</x:f>
        <x:v>-257000</x:v>
      </x:c>
      <x:c r="F49" s="6" t="n">
        <x:f>F48+E49</x:f>
        <x:v>-7001000</x:v>
      </x:c>
      <x:c r="G49" s="6" t="n">
        <x:v>130000</x:v>
      </x:c>
      <x:c r="H49" s="6" t="n">
        <x:v>-387000</x:v>
      </x:c>
      <x:c r="I49" s="6" t="n">
        <x:v>-287000</x:v>
      </x:c>
      <x:c r="J49" s="6" t="n">
        <x:v>387000</x:v>
      </x:c>
      <x:c r="K49" s="11" t="n">
        <x:v>23</x:v>
      </x:c>
      <x:c r="L49" s="11" t="n">
        <x:v>77</x:v>
      </x:c>
    </x:row>
    <x:row r="50" ht="25" customHeight="1">
      <x:c r="A50" s="2" t="str">
        <x:v>2026-10-21_Day</x:v>
      </x:c>
      <x:c r="B50" s="2" t="str">
        <x:v>後13場</x:v>
      </x:c>
      <x:c r="C50" s="6" t="n">
        <x:v>394000</x:v>
      </x:c>
      <x:c r="D50" s="6" t="n">
        <x:v>701000</x:v>
      </x:c>
      <x:c r="E50" s="6" t="n">
        <x:f>C50-D50</x:f>
        <x:v>-307000</x:v>
      </x:c>
      <x:c r="F50" s="6" t="n">
        <x:f>F49+E50</x:f>
        <x:v>-7308000</x:v>
      </x:c>
      <x:c r="G50" s="6" t="n">
        <x:v>-193000</x:v>
      </x:c>
      <x:c r="H50" s="6" t="n">
        <x:v>-114000</x:v>
      </x:c>
      <x:c r="I50" s="6" t="n">
        <x:v>-380000</x:v>
      </x:c>
      <x:c r="J50" s="6" t="n">
        <x:v>430000</x:v>
      </x:c>
      <x:c r="K50" s="11" t="n">
        <x:v>6</x:v>
      </x:c>
      <x:c r="L50" s="11" t="n">
        <x:v>53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706000</x:v>
      </x:c>
      <x:c r="D51" s="6" t="n">
        <x:v>748000</x:v>
      </x:c>
      <x:c r="E51" s="6" t="n">
        <x:f>C51-D51</x:f>
        <x:v>-42000</x:v>
      </x:c>
      <x:c r="F51" s="6" t="n">
        <x:f>F50+E51</x:f>
        <x:v>-7350000</x:v>
      </x:c>
      <x:c r="G51" s="6" t="n">
        <x:v>-36000</x:v>
      </x:c>
      <x:c r="H51" s="6" t="n">
        <x:v>-6000</x:v>
      </x:c>
      <x:c r="I51" s="6" t="n">
        <x:v>-146000</x:v>
      </x:c>
      <x:c r="J51" s="6" t="n">
        <x:v>146000</x:v>
      </x:c>
      <x:c r="K51" s="11" t="n">
        <x:v>13</x:v>
      </x:c>
      <x:c r="L51" s="11" t="n">
        <x:v>45</x:v>
      </x:c>
    </x:row>
    <x:row r="52" ht="25" customHeight="1">
      <x:c r="A52" s="2" t="str">
        <x:v>2026-10-22_Day</x:v>
      </x:c>
      <x:c r="B52" s="2" t="str">
        <x:v>後13場</x:v>
      </x:c>
      <x:c r="C52" s="6" t="n">
        <x:v>792000</x:v>
      </x:c>
      <x:c r="D52" s="6" t="n">
        <x:v>1789000</x:v>
      </x:c>
      <x:c r="E52" s="6" t="n">
        <x:f>C52-D52</x:f>
        <x:v>-997000</x:v>
      </x:c>
      <x:c r="F52" s="6" t="n">
        <x:f>F51+E52</x:f>
        <x:v>-8347000</x:v>
      </x:c>
      <x:c r="G52" s="6" t="n">
        <x:v>-1381000</x:v>
      </x:c>
      <x:c r="H52" s="6" t="n">
        <x:v>384000</x:v>
      </x:c>
      <x:c r="I52" s="6" t="n">
        <x:v>-1027000</x:v>
      </x:c>
      <x:c r="J52" s="6" t="n">
        <x:v>1146000</x:v>
      </x:c>
      <x:c r="K52" s="11" t="n">
        <x:v>6</x:v>
      </x:c>
      <x:c r="L52" s="11" t="n">
        <x:v>152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1114000</x:v>
      </x:c>
      <x:c r="D53" s="6" t="n">
        <x:v>1436000</x:v>
      </x:c>
      <x:c r="E53" s="6" t="n">
        <x:f>C53-D53</x:f>
        <x:v>-322000</x:v>
      </x:c>
      <x:c r="F53" s="6" t="n">
        <x:f>F52+E53</x:f>
        <x:v>-8669000</x:v>
      </x:c>
      <x:c r="G53" s="6" t="n">
        <x:v>329000</x:v>
      </x:c>
      <x:c r="H53" s="6" t="n">
        <x:v>-651000</x:v>
      </x:c>
      <x:c r="I53" s="6" t="n">
        <x:v>-338000</x:v>
      </x:c>
      <x:c r="J53" s="6" t="n">
        <x:v>408000</x:v>
      </x:c>
      <x:c r="K53" s="11" t="n">
        <x:v>19</x:v>
      </x:c>
      <x:c r="L53" s="11" t="n">
        <x:v>62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1598000</x:v>
      </x:c>
      <x:c r="D54" s="6" t="n">
        <x:v>1569000</x:v>
      </x:c>
      <x:c r="E54" s="6" t="n">
        <x:f>C54-D54</x:f>
        <x:v>29000</x:v>
      </x:c>
      <x:c r="F54" s="6" t="n">
        <x:f>F53+E54</x:f>
        <x:v>-8640000</x:v>
      </x:c>
      <x:c r="G54" s="6" t="n">
        <x:v>468000</x:v>
      </x:c>
      <x:c r="H54" s="6" t="n">
        <x:v>-439000</x:v>
      </x:c>
      <x:c r="I54" s="6" t="n">
        <x:v>-110000</x:v>
      </x:c>
      <x:c r="J54" s="6" t="n">
        <x:v>529000</x:v>
      </x:c>
      <x:c r="K54" s="11" t="n">
        <x:v>23</x:v>
      </x:c>
      <x:c r="L54" s="11" t="n">
        <x:v>116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498000</x:v>
      </x:c>
      <x:c r="D55" s="6" t="n">
        <x:v>678000</x:v>
      </x:c>
      <x:c r="E55" s="6" t="n">
        <x:f>C55-D55</x:f>
        <x:v>-180000</x:v>
      </x:c>
      <x:c r="F55" s="6" t="n">
        <x:f>F54+E55</x:f>
        <x:v>-8820000</x:v>
      </x:c>
      <x:c r="G55" s="6" t="n">
        <x:v>-195000</x:v>
      </x:c>
      <x:c r="H55" s="6" t="n">
        <x:v>15000</x:v>
      </x:c>
      <x:c r="I55" s="6" t="n">
        <x:v>-200000</x:v>
      </x:c>
      <x:c r="J55" s="6" t="n">
        <x:v>227000</x:v>
      </x:c>
      <x:c r="K55" s="11" t="n">
        <x:v>11</x:v>
      </x:c>
      <x:c r="L55" s="11" t="n">
        <x:v>34</x:v>
      </x:c>
    </x:row>
    <x:row r="56" ht="25" customHeight="1">
      <x:c r="A56" s="2" t="str">
        <x:v>2026-10-26_Day</x:v>
      </x:c>
      <x:c r="B56" s="2" t="str">
        <x:v>後13場</x:v>
      </x:c>
      <x:c r="C56" s="6" t="n">
        <x:v>528000</x:v>
      </x:c>
      <x:c r="D56" s="6" t="n">
        <x:v>751000</x:v>
      </x:c>
      <x:c r="E56" s="6" t="n">
        <x:f>C56-D56</x:f>
        <x:v>-223000</x:v>
      </x:c>
      <x:c r="F56" s="6" t="n">
        <x:f>F55+E56</x:f>
        <x:v>-9043000</x:v>
      </x:c>
      <x:c r="G56" s="6" t="n">
        <x:v>120000</x:v>
      </x:c>
      <x:c r="H56" s="6" t="n">
        <x:v>-343000</x:v>
      </x:c>
      <x:c r="I56" s="6" t="n">
        <x:v>-299000</x:v>
      </x:c>
      <x:c r="J56" s="6" t="n">
        <x:v>299000</x:v>
      </x:c>
      <x:c r="K56" s="11" t="n">
        <x:v>7</x:v>
      </x:c>
      <x:c r="L56" s="11" t="n">
        <x:v>48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663000</x:v>
      </x:c>
      <x:c r="D57" s="6" t="n">
        <x:v>935000</x:v>
      </x:c>
      <x:c r="E57" s="6" t="n">
        <x:f>C57-D57</x:f>
        <x:v>-272000</x:v>
      </x:c>
      <x:c r="F57" s="6" t="n">
        <x:f>F56+E57</x:f>
        <x:v>-9315000</x:v>
      </x:c>
      <x:c r="G57" s="6" t="n">
        <x:v>-241000</x:v>
      </x:c>
      <x:c r="H57" s="6" t="n">
        <x:v>-31000</x:v>
      </x:c>
      <x:c r="I57" s="6" t="n">
        <x:v>-292000</x:v>
      </x:c>
      <x:c r="J57" s="6" t="n">
        <x:v>350000</x:v>
      </x:c>
      <x:c r="K57" s="11" t="n">
        <x:v>11</x:v>
      </x:c>
      <x:c r="L57" s="11" t="n">
        <x:v>56</x:v>
      </x:c>
    </x:row>
    <x:row r="58" ht="25" customHeight="1">
      <x:c r="A58" s="2" t="str">
        <x:v>2026-10-27_Day</x:v>
      </x:c>
      <x:c r="B58" s="2" t="str">
        <x:v>後13場</x:v>
      </x:c>
      <x:c r="C58" s="6" t="n">
        <x:v>937000</x:v>
      </x:c>
      <x:c r="D58" s="6" t="n">
        <x:v>352000</x:v>
      </x:c>
      <x:c r="E58" s="6" t="n">
        <x:f>C58-D58</x:f>
        <x:v>585000</x:v>
      </x:c>
      <x:c r="F58" s="6" t="n">
        <x:f>F57+E58</x:f>
        <x:v>-8730000</x:v>
      </x:c>
      <x:c r="G58" s="6" t="n">
        <x:v>880000</x:v>
      </x:c>
      <x:c r="H58" s="6" t="n">
        <x:v>-295000</x:v>
      </x:c>
      <x:c r="I58" s="6" t="n">
        <x:v>-95000</x:v>
      </x:c>
      <x:c r="J58" s="6" t="n">
        <x:v>302000</x:v>
      </x:c>
      <x:c r="K58" s="11" t="n">
        <x:v>9</x:v>
      </x:c>
      <x:c r="L58" s="11" t="n">
        <x:v>26</x:v>
      </x:c>
    </x:row>
    <x:row r="59" ht="25" customHeight="1">
      <x:c r="A59" s="15" t="str">
        <x:v>累計／場内最悪値</x:v>
      </x:c>
      <x:c r="B59" s="15"/>
      <x:c r="C59" s="16" t="n">
        <x:f>SUM(C6:C58)</x:f>
        <x:v>35372000</x:v>
      </x:c>
      <x:c r="D59" s="16" t="n">
        <x:f>SUM(D6:D58)</x:f>
        <x:v>44102000</x:v>
      </x:c>
      <x:c r="E59" s="16" t="n">
        <x:f>C59-D59</x:f>
        <x:v>-8730000</x:v>
      </x:c>
      <x:c r="F59" s="16" t="n">
        <x:f>F58</x:f>
        <x:v>-8730000</x:v>
      </x:c>
      <x:c r="G59" s="16" t="n">
        <x:f>SUM(G6:G58)</x:f>
        <x:v>-4679000</x:v>
      </x:c>
      <x:c r="H59" s="16" t="n">
        <x:f>SUM(H6:H58)</x:f>
        <x:v>-4051000</x:v>
      </x:c>
      <x:c r="I59" s="16" t="n">
        <x:f>MIN(I6:I58)</x:f>
        <x:v>-1126000</x:v>
      </x:c>
      <x:c r="J59" s="16" t="n">
        <x:f>MAX(J6:J58)</x:f>
        <x:v>1250000</x:v>
      </x:c>
      <x:c r="K59" s="17" t="n">
        <x:f>SUM(K6:K58)</x:f>
        <x:v>531</x:v>
      </x:c>
      <x:c r="L59" s="17" t="n">
        <x:f>SUM(L6:L58)</x:f>
        <x:v>2928</x:v>
      </x:c>
    </x:row>
  </x:sheetData>
  <x:conditionalFormatting sqref="E6:I58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507b6d84ee42b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H13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段20・即追尾・追尾10・固定段再交差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201000</x:v>
      </x:c>
      <x:c r="D6" s="6" t="n">
        <x:v>50000</x:v>
      </x:c>
      <x:c r="E6" s="6" t="n">
        <x:f>C6-D6</x:f>
        <x:v>151000</x:v>
      </x:c>
      <x:c r="F6" s="6" t="n">
        <x:f>E6</x:f>
        <x:v>151000</x:v>
      </x:c>
      <x:c r="G6" s="6" t="n">
        <x:v>200000</x:v>
      </x:c>
      <x:c r="H6" s="6" t="n">
        <x:v>-49000</x:v>
      </x:c>
      <x:c r="I6" s="6" t="n">
        <x:v>-71000</x:v>
      </x:c>
      <x:c r="J6" s="6" t="n">
        <x:v>140000</x:v>
      </x:c>
      <x:c r="K6" s="11" t="n">
        <x:v>2</x:v>
      </x:c>
      <x:c r="L6" s="11" t="n">
        <x:v>27</x:v>
      </x:c>
    </x:row>
    <x:row r="7" ht="25" customHeight="1">
      <x:c r="A7" s="2" t="str">
        <x:v>2026-09-21_Night</x:v>
      </x:c>
      <x:c r="B7" s="2" t="str">
        <x:v>前30場</x:v>
      </x:c>
      <x:c r="C7" s="6" t="n">
        <x:v>579000</x:v>
      </x:c>
      <x:c r="D7" s="6" t="n">
        <x:v>923000</x:v>
      </x:c>
      <x:c r="E7" s="6" t="n">
        <x:f>C7-D7</x:f>
        <x:v>-344000</x:v>
      </x:c>
      <x:c r="F7" s="6" t="n">
        <x:f>F6+E7</x:f>
        <x:v>-193000</x:v>
      </x:c>
      <x:c r="G7" s="6" t="n">
        <x:v>-231000</x:v>
      </x:c>
      <x:c r="H7" s="6" t="n">
        <x:v>-113000</x:v>
      </x:c>
      <x:c r="I7" s="6" t="n">
        <x:v>-474000</x:v>
      </x:c>
      <x:c r="J7" s="6" t="n">
        <x:v>564000</x:v>
      </x:c>
      <x:c r="K7" s="11" t="n">
        <x:v>8</x:v>
      </x:c>
      <x:c r="L7" s="11" t="n">
        <x:v>78</x:v>
      </x:c>
    </x:row>
    <x:row r="8" ht="25" customHeight="1">
      <x:c r="A8" s="2" t="str">
        <x:v>2026-09-22_Day</x:v>
      </x:c>
      <x:c r="B8" s="2" t="str">
        <x:v>前30場</x:v>
      </x:c>
      <x:c r="C8" s="6" t="n">
        <x:v>124000</x:v>
      </x:c>
      <x:c r="D8" s="6" t="n">
        <x:v>696000</x:v>
      </x:c>
      <x:c r="E8" s="6" t="n">
        <x:f>C8-D8</x:f>
        <x:v>-572000</x:v>
      </x:c>
      <x:c r="F8" s="6" t="n">
        <x:f>F7+E8</x:f>
        <x:v>-765000</x:v>
      </x:c>
      <x:c r="G8" s="6" t="n">
        <x:v>100000</x:v>
      </x:c>
      <x:c r="H8" s="6" t="n">
        <x:v>-672000</x:v>
      </x:c>
      <x:c r="I8" s="6" t="n">
        <x:v>-746000</x:v>
      </x:c>
      <x:c r="J8" s="6" t="n">
        <x:v>818000</x:v>
      </x:c>
      <x:c r="K8" s="11" t="n">
        <x:v>1</x:v>
      </x:c>
      <x:c r="L8" s="11" t="n">
        <x:v>441</x:v>
      </x:c>
    </x:row>
    <x:row r="9" ht="25" customHeight="1">
      <x:c r="A9" s="2" t="str">
        <x:v>2026-09-22_Night</x:v>
      </x:c>
      <x:c r="B9" s="2" t="str">
        <x:v>前30場</x:v>
      </x:c>
      <x:c r="C9" s="6" t="n">
        <x:v>604000</x:v>
      </x:c>
      <x:c r="D9" s="6" t="n">
        <x:v>999000</x:v>
      </x:c>
      <x:c r="E9" s="6" t="n">
        <x:f>C9-D9</x:f>
        <x:v>-395000</x:v>
      </x:c>
      <x:c r="F9" s="6" t="n">
        <x:f>F8+E9</x:f>
        <x:v>-1160000</x:v>
      </x:c>
      <x:c r="G9" s="6" t="n">
        <x:v>-320000</x:v>
      </x:c>
      <x:c r="H9" s="6" t="n">
        <x:v>-75000</x:v>
      </x:c>
      <x:c r="I9" s="6" t="n">
        <x:v>-565000</x:v>
      </x:c>
      <x:c r="J9" s="6" t="n">
        <x:v>691000</x:v>
      </x:c>
      <x:c r="K9" s="11" t="n">
        <x:v>7</x:v>
      </x:c>
      <x:c r="L9" s="11" t="n">
        <x:v>59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-1160000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1146000</x:v>
      </x:c>
      <x:c r="E11" s="6" t="n">
        <x:f>C11-D11</x:f>
        <x:v>-566000</x:v>
      </x:c>
      <x:c r="F11" s="6" t="n">
        <x:f>F10+E11</x:f>
        <x:v>-1726000</x:v>
      </x:c>
      <x:c r="G11" s="6" t="n">
        <x:v>-490000</x:v>
      </x:c>
      <x:c r="H11" s="6" t="n">
        <x:v>-76000</x:v>
      </x:c>
      <x:c r="I11" s="6" t="n">
        <x:v>-566000</x:v>
      </x:c>
      <x:c r="J11" s="6" t="n">
        <x:v>626000</x:v>
      </x:c>
      <x:c r="K11" s="11" t="n">
        <x:v>9</x:v>
      </x:c>
      <x:c r="L11" s="11" t="n">
        <x:v>46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309000</x:v>
      </x:c>
      <x:c r="D12" s="6" t="n">
        <x:v>724000</x:v>
      </x:c>
      <x:c r="E12" s="6" t="n">
        <x:f>C12-D12</x:f>
        <x:v>-415000</x:v>
      </x:c>
      <x:c r="F12" s="6" t="n">
        <x:f>F11+E12</x:f>
        <x:v>-2141000</x:v>
      </x:c>
      <x:c r="G12" s="6" t="n">
        <x:v>300000</x:v>
      </x:c>
      <x:c r="H12" s="6" t="n">
        <x:v>-715000</x:v>
      </x:c>
      <x:c r="I12" s="6" t="n">
        <x:v>-638000</x:v>
      </x:c>
      <x:c r="J12" s="6" t="n">
        <x:v>638000</x:v>
      </x:c>
      <x:c r="K12" s="11" t="n">
        <x:v>3</x:v>
      </x:c>
      <x:c r="L12" s="11" t="n">
        <x:v>449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504000</x:v>
      </x:c>
      <x:c r="D13" s="6" t="n">
        <x:v>813000</x:v>
      </x:c>
      <x:c r="E13" s="6" t="n">
        <x:f>C13-D13</x:f>
        <x:v>-309000</x:v>
      </x:c>
      <x:c r="F13" s="6" t="n">
        <x:f>F12+E13</x:f>
        <x:v>-2450000</x:v>
      </x:c>
      <x:c r="G13" s="6" t="n">
        <x:v>-210000</x:v>
      </x:c>
      <x:c r="H13" s="6" t="n">
        <x:v>-99000</x:v>
      </x:c>
      <x:c r="I13" s="6" t="n">
        <x:v>-369000</x:v>
      </x:c>
      <x:c r="J13" s="6" t="n">
        <x:v>449000</x:v>
      </x:c>
      <x:c r="K13" s="11" t="n">
        <x:v>7</x:v>
      </x:c>
      <x:c r="L13" s="11" t="n">
        <x:v>59</x:v>
      </x:c>
    </x:row>
    <x:row r="14" ht="25" customHeight="1">
      <x:c r="A14" s="2" t="str">
        <x:v>2026-09-25_Day</x:v>
      </x:c>
      <x:c r="B14" s="2" t="str">
        <x:v>前30場</x:v>
      </x:c>
      <x:c r="C14" s="6" t="n">
        <x:v>110000</x:v>
      </x:c>
      <x:c r="D14" s="6" t="n">
        <x:v>1501000</x:v>
      </x:c>
      <x:c r="E14" s="6" t="n">
        <x:f>C14-D14</x:f>
        <x:v>-1391000</x:v>
      </x:c>
      <x:c r="F14" s="6" t="n">
        <x:f>F13+E14</x:f>
        <x:v>-3841000</x:v>
      </x:c>
      <x:c r="G14" s="6" t="n">
        <x:v>-610000</x:v>
      </x:c>
      <x:c r="H14" s="6" t="n">
        <x:v>-781000</x:v>
      </x:c>
      <x:c r="I14" s="6" t="n">
        <x:v>-1511000</x:v>
      </x:c>
      <x:c r="J14" s="6" t="n">
        <x:v>1576000</x:v>
      </x:c>
      <x:c r="K14" s="11" t="n">
        <x:v>3</x:v>
      </x:c>
      <x:c r="L14" s="11" t="n">
        <x:v>444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461000</x:v>
      </x:c>
      <x:c r="D15" s="6" t="n">
        <x:v>724000</x:v>
      </x:c>
      <x:c r="E15" s="6" t="n">
        <x:f>C15-D15</x:f>
        <x:v>-263000</x:v>
      </x:c>
      <x:c r="F15" s="6" t="n">
        <x:f>F14+E15</x:f>
        <x:v>-4104000</x:v>
      </x:c>
      <x:c r="G15" s="6" t="n">
        <x:v>-189000</x:v>
      </x:c>
      <x:c r="H15" s="6" t="n">
        <x:v>-74000</x:v>
      </x:c>
      <x:c r="I15" s="6" t="n">
        <x:v>-283000</x:v>
      </x:c>
      <x:c r="J15" s="6" t="n">
        <x:v>283000</x:v>
      </x:c>
      <x:c r="K15" s="11" t="n">
        <x:v>8</x:v>
      </x:c>
      <x:c r="L15" s="11" t="n">
        <x:v>43</x:v>
      </x:c>
    </x:row>
    <x:row r="16" ht="25" customHeight="1">
      <x:c r="A16" s="2" t="str">
        <x:v>2026-09-28_Day</x:v>
      </x:c>
      <x:c r="B16" s="2" t="str">
        <x:v>前30場</x:v>
      </x:c>
      <x:c r="C16" s="6" t="n">
        <x:v>458000</x:v>
      </x:c>
      <x:c r="D16" s="6" t="n">
        <x:v>373000</x:v>
      </x:c>
      <x:c r="E16" s="6" t="n">
        <x:f>C16-D16</x:f>
        <x:v>85000</x:v>
      </x:c>
      <x:c r="F16" s="6" t="n">
        <x:f>F15+E16</x:f>
        <x:v>-4019000</x:v>
      </x:c>
      <x:c r="G16" s="6" t="n">
        <x:v>443000</x:v>
      </x:c>
      <x:c r="H16" s="6" t="n">
        <x:v>-358000</x:v>
      </x:c>
      <x:c r="I16" s="6" t="n">
        <x:v>-510000</x:v>
      </x:c>
      <x:c r="J16" s="6" t="n">
        <x:v>510000</x:v>
      </x:c>
      <x:c r="K16" s="11" t="n">
        <x:v>5</x:v>
      </x:c>
      <x:c r="L16" s="11" t="n">
        <x:v>228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690000</x:v>
      </x:c>
      <x:c r="D17" s="6" t="n">
        <x:v>596000</x:v>
      </x:c>
      <x:c r="E17" s="6" t="n">
        <x:f>C17-D17</x:f>
        <x:v>94000</x:v>
      </x:c>
      <x:c r="F17" s="6" t="n">
        <x:f>F16+E17</x:f>
        <x:v>-3925000</x:v>
      </x:c>
      <x:c r="G17" s="6" t="n">
        <x:v>230000</x:v>
      </x:c>
      <x:c r="H17" s="6" t="n">
        <x:v>-136000</x:v>
      </x:c>
      <x:c r="I17" s="6" t="n">
        <x:v>-236000</x:v>
      </x:c>
      <x:c r="J17" s="6" t="n">
        <x:v>236000</x:v>
      </x:c>
      <x:c r="K17" s="11" t="n">
        <x:v>10</x:v>
      </x:c>
      <x:c r="L17" s="11" t="n">
        <x:v>83</x:v>
      </x:c>
    </x:row>
    <x:row r="18" ht="25" customHeight="1">
      <x:c r="A18" s="2" t="str">
        <x:v>2026-09-29_Day</x:v>
      </x:c>
      <x:c r="B18" s="2" t="str">
        <x:v>前30場</x:v>
      </x:c>
      <x:c r="C18" s="6" t="n">
        <x:v>378000</x:v>
      </x:c>
      <x:c r="D18" s="6" t="n">
        <x:v>662000</x:v>
      </x:c>
      <x:c r="E18" s="6" t="n">
        <x:f>C18-D18</x:f>
        <x:v>-284000</x:v>
      </x:c>
      <x:c r="F18" s="6" t="n">
        <x:f>F17+E18</x:f>
        <x:v>-4209000</x:v>
      </x:c>
      <x:c r="G18" s="6" t="n">
        <x:v>-70000</x:v>
      </x:c>
      <x:c r="H18" s="6" t="n">
        <x:v>-214000</x:v>
      </x:c>
      <x:c r="I18" s="6" t="n">
        <x:v>-894000</x:v>
      </x:c>
      <x:c r="J18" s="6" t="n">
        <x:v>894000</x:v>
      </x:c>
      <x:c r="K18" s="11" t="n">
        <x:v>5</x:v>
      </x:c>
      <x:c r="L18" s="11" t="n">
        <x:v>136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712000</x:v>
      </x:c>
      <x:c r="D19" s="6" t="n">
        <x:v>959000</x:v>
      </x:c>
      <x:c r="E19" s="6" t="n">
        <x:f>C19-D19</x:f>
        <x:v>-247000</x:v>
      </x:c>
      <x:c r="F19" s="6" t="n">
        <x:f>F18+E19</x:f>
        <x:v>-4456000</x:v>
      </x:c>
      <x:c r="G19" s="6" t="n">
        <x:v>15000</x:v>
      </x:c>
      <x:c r="H19" s="6" t="n">
        <x:v>-262000</x:v>
      </x:c>
      <x:c r="I19" s="6" t="n">
        <x:v>-307000</x:v>
      </x:c>
      <x:c r="J19" s="6" t="n">
        <x:v>325000</x:v>
      </x:c>
      <x:c r="K19" s="11" t="n">
        <x:v>12</x:v>
      </x:c>
      <x:c r="L19" s="11" t="n">
        <x:v>178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195000</x:v>
      </x:c>
      <x:c r="D20" s="6" t="n">
        <x:v>1169000</x:v>
      </x:c>
      <x:c r="E20" s="6" t="n">
        <x:f>C20-D20</x:f>
        <x:v>-974000</x:v>
      </x:c>
      <x:c r="F20" s="6" t="n">
        <x:f>F19+E20</x:f>
        <x:v>-5430000</x:v>
      </x:c>
      <x:c r="G20" s="6" t="n">
        <x:v>-420000</x:v>
      </x:c>
      <x:c r="H20" s="6" t="n">
        <x:v>-554000</x:v>
      </x:c>
      <x:c r="I20" s="6" t="n">
        <x:v>-974000</x:v>
      </x:c>
      <x:c r="J20" s="6" t="n">
        <x:v>1112000</x:v>
      </x:c>
      <x:c r="K20" s="11" t="n">
        <x:v>3</x:v>
      </x:c>
      <x:c r="L20" s="11" t="n">
        <x:v>320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601000</x:v>
      </x:c>
      <x:c r="D21" s="6" t="n">
        <x:v>880000</x:v>
      </x:c>
      <x:c r="E21" s="6" t="n">
        <x:f>C21-D21</x:f>
        <x:v>-279000</x:v>
      </x:c>
      <x:c r="F21" s="6" t="n">
        <x:f>F20+E21</x:f>
        <x:v>-5709000</x:v>
      </x:c>
      <x:c r="G21" s="6" t="n">
        <x:v>-120000</x:v>
      </x:c>
      <x:c r="H21" s="6" t="n">
        <x:v>-159000</x:v>
      </x:c>
      <x:c r="I21" s="6" t="n">
        <x:v>-409000</x:v>
      </x:c>
      <x:c r="J21" s="6" t="n">
        <x:v>409000</x:v>
      </x:c>
      <x:c r="K21" s="11" t="n">
        <x:v>8</x:v>
      </x:c>
      <x:c r="L21" s="11" t="n">
        <x:v>88</x:v>
      </x:c>
    </x:row>
    <x:row r="22" ht="25" customHeight="1">
      <x:c r="A22" s="2" t="str">
        <x:v>2026-10-01_Day</x:v>
      </x:c>
      <x:c r="B22" s="2" t="str">
        <x:v>前30場</x:v>
      </x:c>
      <x:c r="C22" s="6" t="n">
        <x:v>226000</x:v>
      </x:c>
      <x:c r="D22" s="6" t="n">
        <x:v>2533000</x:v>
      </x:c>
      <x:c r="E22" s="6" t="n">
        <x:f>C22-D22</x:f>
        <x:v>-2307000</x:v>
      </x:c>
      <x:c r="F22" s="6" t="n">
        <x:f>F21+E22</x:f>
        <x:v>-8016000</x:v>
      </x:c>
      <x:c r="G22" s="6" t="n">
        <x:v>-1421000</x:v>
      </x:c>
      <x:c r="H22" s="6" t="n">
        <x:v>-886000</x:v>
      </x:c>
      <x:c r="I22" s="6" t="n">
        <x:v>-2507000</x:v>
      </x:c>
      <x:c r="J22" s="6" t="n">
        <x:v>2507000</x:v>
      </x:c>
      <x:c r="K22" s="11" t="n">
        <x:v>3</x:v>
      </x:c>
      <x:c r="L22" s="11" t="n">
        <x:v>498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862000</x:v>
      </x:c>
      <x:c r="D23" s="6" t="n">
        <x:v>950000</x:v>
      </x:c>
      <x:c r="E23" s="6" t="n">
        <x:f>C23-D23</x:f>
        <x:v>-88000</x:v>
      </x:c>
      <x:c r="F23" s="6" t="n">
        <x:f>F22+E23</x:f>
        <x:v>-8104000</x:v>
      </x:c>
      <x:c r="G23" s="6" t="n">
        <x:v>0</x:v>
      </x:c>
      <x:c r="H23" s="6" t="n">
        <x:v>-88000</x:v>
      </x:c>
      <x:c r="I23" s="6" t="n">
        <x:v>-258000</x:v>
      </x:c>
      <x:c r="J23" s="6" t="n">
        <x:v>366000</x:v>
      </x:c>
      <x:c r="K23" s="11" t="n">
        <x:v>11</x:v>
      </x:c>
      <x:c r="L23" s="11" t="n">
        <x:v>50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325000</x:v>
      </x:c>
      <x:c r="D24" s="6" t="n">
        <x:v>853000</x:v>
      </x:c>
      <x:c r="E24" s="6" t="n">
        <x:f>C24-D24</x:f>
        <x:v>-528000</x:v>
      </x:c>
      <x:c r="F24" s="6" t="n">
        <x:f>F23+E24</x:f>
        <x:v>-8632000</x:v>
      </x:c>
      <x:c r="G24" s="6" t="n">
        <x:v>0</x:v>
      </x:c>
      <x:c r="H24" s="6" t="n">
        <x:v>-528000</x:v>
      </x:c>
      <x:c r="I24" s="6" t="n">
        <x:v>-721000</x:v>
      </x:c>
      <x:c r="J24" s="6" t="n">
        <x:v>741000</x:v>
      </x:c>
      <x:c r="K24" s="11" t="n">
        <x:v>5</x:v>
      </x:c>
      <x:c r="L24" s="11" t="n">
        <x:v>303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1033000</x:v>
      </x:c>
      <x:c r="D25" s="6" t="n">
        <x:v>1239000</x:v>
      </x:c>
      <x:c r="E25" s="6" t="n">
        <x:f>C25-D25</x:f>
        <x:v>-206000</x:v>
      </x:c>
      <x:c r="F25" s="6" t="n">
        <x:f>F24+E25</x:f>
        <x:v>-8838000</x:v>
      </x:c>
      <x:c r="G25" s="6" t="n">
        <x:v>-140000</x:v>
      </x:c>
      <x:c r="H25" s="6" t="n">
        <x:v>-66000</x:v>
      </x:c>
      <x:c r="I25" s="6" t="n">
        <x:v>-496000</x:v>
      </x:c>
      <x:c r="J25" s="6" t="n">
        <x:v>552000</x:v>
      </x:c>
      <x:c r="K25" s="11" t="n">
        <x:v>13</x:v>
      </x:c>
      <x:c r="L25" s="11" t="n">
        <x:v>41</x:v>
      </x:c>
    </x:row>
    <x:row r="26" ht="25" customHeight="1">
      <x:c r="A26" s="2" t="str">
        <x:v>2026-10-05_Day</x:v>
      </x:c>
      <x:c r="B26" s="2" t="str">
        <x:v>前30場</x:v>
      </x:c>
      <x:c r="C26" s="6" t="n">
        <x:v>230000</x:v>
      </x:c>
      <x:c r="D26" s="6" t="n">
        <x:v>1060000</x:v>
      </x:c>
      <x:c r="E26" s="6" t="n">
        <x:f>C26-D26</x:f>
        <x:v>-830000</x:v>
      </x:c>
      <x:c r="F26" s="6" t="n">
        <x:f>F25+E26</x:f>
        <x:v>-9668000</x:v>
      </x:c>
      <x:c r="G26" s="6" t="n">
        <x:v>-268000</x:v>
      </x:c>
      <x:c r="H26" s="6" t="n">
        <x:v>-562000</x:v>
      </x:c>
      <x:c r="I26" s="6" t="n">
        <x:v>-830000</x:v>
      </x:c>
      <x:c r="J26" s="6" t="n">
        <x:v>880000</x:v>
      </x:c>
      <x:c r="K26" s="11" t="n">
        <x:v>3</x:v>
      </x:c>
      <x:c r="L26" s="11" t="n">
        <x:v>329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400000</x:v>
      </x:c>
      <x:c r="D27" s="6" t="n">
        <x:v>522000</x:v>
      </x:c>
      <x:c r="E27" s="6" t="n">
        <x:f>C27-D27</x:f>
        <x:v>-122000</x:v>
      </x:c>
      <x:c r="F27" s="6" t="n">
        <x:f>F26+E27</x:f>
        <x:v>-9790000</x:v>
      </x:c>
      <x:c r="G27" s="6" t="n">
        <x:v>-50000</x:v>
      </x:c>
      <x:c r="H27" s="6" t="n">
        <x:v>-72000</x:v>
      </x:c>
      <x:c r="I27" s="6" t="n">
        <x:v>-257000</x:v>
      </x:c>
      <x:c r="J27" s="6" t="n">
        <x:v>299000</x:v>
      </x:c>
      <x:c r="K27" s="11" t="n">
        <x:v>5</x:v>
      </x:c>
      <x:c r="L27" s="11" t="n">
        <x:v>50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102000</x:v>
      </x:c>
      <x:c r="D28" s="6" t="n">
        <x:v>153000</x:v>
      </x:c>
      <x:c r="E28" s="6" t="n">
        <x:f>C28-D28</x:f>
        <x:v>-51000</x:v>
      </x:c>
      <x:c r="F28" s="6" t="n">
        <x:f>F27+E28</x:f>
        <x:v>-9841000</x:v>
      </x:c>
      <x:c r="G28" s="6" t="n">
        <x:v>100000</x:v>
      </x:c>
      <x:c r="H28" s="6" t="n">
        <x:v>-151000</x:v>
      </x:c>
      <x:c r="I28" s="6" t="n">
        <x:v>-244000</x:v>
      </x:c>
      <x:c r="J28" s="6" t="n">
        <x:v>244000</x:v>
      </x:c>
      <x:c r="K28" s="11" t="n">
        <x:v>1</x:v>
      </x:c>
      <x:c r="L28" s="11" t="n">
        <x:v>85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580000</x:v>
      </x:c>
      <x:c r="D29" s="6" t="n">
        <x:v>593000</x:v>
      </x:c>
      <x:c r="E29" s="6" t="n">
        <x:f>C29-D29</x:f>
        <x:v>-13000</x:v>
      </x:c>
      <x:c r="F29" s="6" t="n">
        <x:f>F28+E29</x:f>
        <x:v>-9854000</x:v>
      </x:c>
      <x:c r="G29" s="6" t="n">
        <x:v>50000</x:v>
      </x:c>
      <x:c r="H29" s="6" t="n">
        <x:v>-63000</x:v>
      </x:c>
      <x:c r="I29" s="6" t="n">
        <x:v>-173000</x:v>
      </x:c>
      <x:c r="J29" s="6" t="n">
        <x:v>229000</x:v>
      </x:c>
      <x:c r="K29" s="11" t="n">
        <x:v>7</x:v>
      </x:c>
      <x:c r="L29" s="11" t="n">
        <x:v>48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309000</x:v>
      </x:c>
      <x:c r="E30" s="6" t="n">
        <x:f>C30-D30</x:f>
        <x:v>-109000</x:v>
      </x:c>
      <x:c r="F30" s="6" t="n">
        <x:f>F29+E30</x:f>
        <x:v>-9963000</x:v>
      </x:c>
      <x:c r="G30" s="6" t="n">
        <x:v>200000</x:v>
      </x:c>
      <x:c r="H30" s="6" t="n">
        <x:v>-309000</x:v>
      </x:c>
      <x:c r="I30" s="6" t="n">
        <x:v>-257000</x:v>
      </x:c>
      <x:c r="J30" s="6" t="n">
        <x:v>327000</x:v>
      </x:c>
      <x:c r="K30" s="11" t="n">
        <x:v>2</x:v>
      </x:c>
      <x:c r="L30" s="11" t="n">
        <x:v>187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792000</x:v>
      </x:c>
      <x:c r="D31" s="6" t="n">
        <x:v>1095000</x:v>
      </x:c>
      <x:c r="E31" s="6" t="n">
        <x:f>C31-D31</x:f>
        <x:v>-303000</x:v>
      </x:c>
      <x:c r="F31" s="6" t="n">
        <x:f>F30+E31</x:f>
        <x:v>-10266000</x:v>
      </x:c>
      <x:c r="G31" s="6" t="n">
        <x:v>-139000</x:v>
      </x:c>
      <x:c r="H31" s="6" t="n">
        <x:v>-164000</x:v>
      </x:c>
      <x:c r="I31" s="6" t="n">
        <x:v>-313000</x:v>
      </x:c>
      <x:c r="J31" s="6" t="n">
        <x:v>332000</x:v>
      </x:c>
      <x:c r="K31" s="11" t="n">
        <x:v>12</x:v>
      </x:c>
      <x:c r="L31" s="11" t="n">
        <x:v>113</x:v>
      </x:c>
    </x:row>
    <x:row r="32" ht="25" customHeight="1">
      <x:c r="A32" s="2" t="str">
        <x:v>2026-10-08_Day</x:v>
      </x:c>
      <x:c r="B32" s="2" t="str">
        <x:v>前30場</x:v>
      </x:c>
      <x:c r="C32" s="6" t="n">
        <x:v>290000</x:v>
      </x:c>
      <x:c r="D32" s="6" t="n">
        <x:v>1851000</x:v>
      </x:c>
      <x:c r="E32" s="6" t="n">
        <x:f>C32-D32</x:f>
        <x:v>-1561000</x:v>
      </x:c>
      <x:c r="F32" s="6" t="n">
        <x:f>F31+E32</x:f>
        <x:v>-11827000</x:v>
      </x:c>
      <x:c r="G32" s="6" t="n">
        <x:v>-830000</x:v>
      </x:c>
      <x:c r="H32" s="6" t="n">
        <x:v>-731000</x:v>
      </x:c>
      <x:c r="I32" s="6" t="n">
        <x:v>-1561000</x:v>
      </x:c>
      <x:c r="J32" s="6" t="n">
        <x:v>1744000</x:v>
      </x:c>
      <x:c r="K32" s="11" t="n">
        <x:v>4</x:v>
      </x:c>
      <x:c r="L32" s="11" t="n">
        <x:v>456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1225000</x:v>
      </x:c>
      <x:c r="D33" s="6" t="n">
        <x:v>1721000</x:v>
      </x:c>
      <x:c r="E33" s="6" t="n">
        <x:f>C33-D33</x:f>
        <x:v>-496000</x:v>
      </x:c>
      <x:c r="F33" s="6" t="n">
        <x:f>F32+E33</x:f>
        <x:v>-12323000</x:v>
      </x:c>
      <x:c r="G33" s="6" t="n">
        <x:v>-171000</x:v>
      </x:c>
      <x:c r="H33" s="6" t="n">
        <x:v>-325000</x:v>
      </x:c>
      <x:c r="I33" s="6" t="n">
        <x:v>-496000</x:v>
      </x:c>
      <x:c r="J33" s="6" t="n">
        <x:v>604000</x:v>
      </x:c>
      <x:c r="K33" s="11" t="n">
        <x:v>17</x:v>
      </x:c>
      <x:c r="L33" s="11" t="n">
        <x:v>228</x:v>
      </x:c>
    </x:row>
    <x:row r="34" ht="25" customHeight="1">
      <x:c r="A34" s="2" t="str">
        <x:v>2026-10-09_Day</x:v>
      </x:c>
      <x:c r="B34" s="2" t="str">
        <x:v>前30場</x:v>
      </x:c>
      <x:c r="C34" s="6" t="n">
        <x:v>535000</x:v>
      </x:c>
      <x:c r="D34" s="6" t="n">
        <x:v>2258000</x:v>
      </x:c>
      <x:c r="E34" s="6" t="n">
        <x:f>C34-D34</x:f>
        <x:v>-1723000</x:v>
      </x:c>
      <x:c r="F34" s="6" t="n">
        <x:f>F33+E34</x:f>
        <x:v>-14046000</x:v>
      </x:c>
      <x:c r="G34" s="6" t="n">
        <x:v>-450000</x:v>
      </x:c>
      <x:c r="H34" s="6" t="n">
        <x:v>-1273000</x:v>
      </x:c>
      <x:c r="I34" s="6" t="n">
        <x:v>-1773000</x:v>
      </x:c>
      <x:c r="J34" s="6" t="n">
        <x:v>1859000</x:v>
      </x:c>
      <x:c r="K34" s="11" t="n">
        <x:v>7</x:v>
      </x:c>
      <x:c r="L34" s="11" t="n">
        <x:v>810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519000</x:v>
      </x:c>
      <x:c r="E35" s="6" t="n">
        <x:f>C35-D35</x:f>
        <x:v>-29000</x:v>
      </x:c>
      <x:c r="F35" s="6" t="n">
        <x:f>F34+E35</x:f>
        <x:v>-14075000</x:v>
      </x:c>
      <x:c r="G35" s="6" t="n">
        <x:v>20000</x:v>
      </x:c>
      <x:c r="H35" s="6" t="n">
        <x:v>-49000</x:v>
      </x:c>
      <x:c r="I35" s="6" t="n">
        <x:v>-189000</x:v>
      </x:c>
      <x:c r="J35" s="6" t="n">
        <x:v>220000</x:v>
      </x:c>
      <x:c r="K35" s="11" t="n">
        <x:v>6</x:v>
      </x:c>
      <x:c r="L35" s="11" t="n">
        <x:v>37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-14075000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682000</x:v>
      </x:c>
      <x:c r="D37" s="6" t="n">
        <x:v>873000</x:v>
      </x:c>
      <x:c r="E37" s="6" t="n">
        <x:f>C37-D37</x:f>
        <x:v>-191000</x:v>
      </x:c>
      <x:c r="F37" s="6" t="n">
        <x:f>F36+E37</x:f>
        <x:v>-14266000</x:v>
      </x:c>
      <x:c r="G37" s="6" t="n">
        <x:v>-140000</x:v>
      </x:c>
      <x:c r="H37" s="6" t="n">
        <x:v>-51000</x:v>
      </x:c>
      <x:c r="I37" s="6" t="n">
        <x:v>-221000</x:v>
      </x:c>
      <x:c r="J37" s="6" t="n">
        <x:v>231000</x:v>
      </x:c>
      <x:c r="K37" s="11" t="n">
        <x:v>9</x:v>
      </x:c>
      <x:c r="L37" s="11" t="n">
        <x:v>37</x:v>
      </x:c>
    </x:row>
    <x:row r="38" ht="25" customHeight="1">
      <x:c r="A38" s="2" t="str">
        <x:v>2026-10-13_Day</x:v>
      </x:c>
      <x:c r="B38" s="2" t="str">
        <x:v>次10場</x:v>
      </x:c>
      <x:c r="C38" s="6" t="n">
        <x:v>514000</x:v>
      </x:c>
      <x:c r="D38" s="6" t="n">
        <x:v>992000</x:v>
      </x:c>
      <x:c r="E38" s="6" t="n">
        <x:f>C38-D38</x:f>
        <x:v>-478000</x:v>
      </x:c>
      <x:c r="F38" s="6" t="n">
        <x:f>F37+E38</x:f>
        <x:v>-14744000</x:v>
      </x:c>
      <x:c r="G38" s="6" t="n">
        <x:v>490000</x:v>
      </x:c>
      <x:c r="H38" s="6" t="n">
        <x:v>-968000</x:v>
      </x:c>
      <x:c r="I38" s="6" t="n">
        <x:v>-653000</x:v>
      </x:c>
      <x:c r="J38" s="6" t="n">
        <x:v>653000</x:v>
      </x:c>
      <x:c r="K38" s="11" t="n">
        <x:v>5</x:v>
      </x:c>
      <x:c r="L38" s="11" t="n">
        <x:v>620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482000</x:v>
      </x:c>
      <x:c r="E39" s="6" t="n">
        <x:f>C39-D39</x:f>
        <x:v>-182000</x:v>
      </x:c>
      <x:c r="F39" s="6" t="n">
        <x:f>F38+E39</x:f>
        <x:v>-14926000</x:v>
      </x:c>
      <x:c r="G39" s="6" t="n">
        <x:v>-120000</x:v>
      </x:c>
      <x:c r="H39" s="6" t="n">
        <x:v>-62000</x:v>
      </x:c>
      <x:c r="I39" s="6" t="n">
        <x:v>-192000</x:v>
      </x:c>
      <x:c r="J39" s="6" t="n">
        <x:v>192000</x:v>
      </x:c>
      <x:c r="K39" s="11" t="n">
        <x:v>5</x:v>
      </x:c>
      <x:c r="L39" s="11" t="n">
        <x:v>42</x:v>
      </x:c>
    </x:row>
    <x:row r="40" ht="25" customHeight="1">
      <x:c r="A40" s="2" t="str">
        <x:v>2026-10-14_Day</x:v>
      </x:c>
      <x:c r="B40" s="2" t="str">
        <x:v>次10場</x:v>
      </x:c>
      <x:c r="C40" s="6" t="n">
        <x:v>416000</x:v>
      </x:c>
      <x:c r="D40" s="6" t="n">
        <x:v>1745000</x:v>
      </x:c>
      <x:c r="E40" s="6" t="n">
        <x:f>C40-D40</x:f>
        <x:v>-1329000</x:v>
      </x:c>
      <x:c r="F40" s="6" t="n">
        <x:f>F39+E40</x:f>
        <x:v>-16255000</x:v>
      </x:c>
      <x:c r="G40" s="6" t="n">
        <x:v>30000</x:v>
      </x:c>
      <x:c r="H40" s="6" t="n">
        <x:v>-1359000</x:v>
      </x:c>
      <x:c r="I40" s="6" t="n">
        <x:v>-1329000</x:v>
      </x:c>
      <x:c r="J40" s="6" t="n">
        <x:v>1476000</x:v>
      </x:c>
      <x:c r="K40" s="11" t="n">
        <x:v>5</x:v>
      </x:c>
      <x:c r="L40" s="11" t="n">
        <x:v>838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1451000</x:v>
      </x:c>
      <x:c r="D41" s="6" t="n">
        <x:v>2157000</x:v>
      </x:c>
      <x:c r="E41" s="6" t="n">
        <x:f>C41-D41</x:f>
        <x:v>-706000</x:v>
      </x:c>
      <x:c r="F41" s="6" t="n">
        <x:f>F40+E41</x:f>
        <x:v>-16961000</x:v>
      </x:c>
      <x:c r="G41" s="6" t="n">
        <x:v>-490000</x:v>
      </x:c>
      <x:c r="H41" s="6" t="n">
        <x:v>-216000</x:v>
      </x:c>
      <x:c r="I41" s="6" t="n">
        <x:v>-736000</x:v>
      </x:c>
      <x:c r="J41" s="6" t="n">
        <x:v>746000</x:v>
      </x:c>
      <x:c r="K41" s="11" t="n">
        <x:v>15</x:v>
      </x:c>
      <x:c r="L41" s="11" t="n">
        <x:v>45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1155000</x:v>
      </x:c>
      <x:c r="D42" s="6" t="n">
        <x:v>1666000</x:v>
      </x:c>
      <x:c r="E42" s="6" t="n">
        <x:f>C42-D42</x:f>
        <x:v>-511000</x:v>
      </x:c>
      <x:c r="F42" s="6" t="n">
        <x:f>F41+E42</x:f>
        <x:v>-17472000</x:v>
      </x:c>
      <x:c r="G42" s="6" t="n">
        <x:v>-120000</x:v>
      </x:c>
      <x:c r="H42" s="6" t="n">
        <x:v>-391000</x:v>
      </x:c>
      <x:c r="I42" s="6" t="n">
        <x:v>-1421000</x:v>
      </x:c>
      <x:c r="J42" s="6" t="n">
        <x:v>1626000</x:v>
      </x:c>
      <x:c r="K42" s="11" t="n">
        <x:v>12</x:v>
      </x:c>
      <x:c r="L42" s="11" t="n">
        <x:v>243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1559000</x:v>
      </x:c>
      <x:c r="D43" s="6" t="n">
        <x:v>2228000</x:v>
      </x:c>
      <x:c r="E43" s="6" t="n">
        <x:f>C43-D43</x:f>
        <x:v>-669000</x:v>
      </x:c>
      <x:c r="F43" s="6" t="n">
        <x:f>F42+E43</x:f>
        <x:v>-18141000</x:v>
      </x:c>
      <x:c r="G43" s="6" t="n">
        <x:v>159000</x:v>
      </x:c>
      <x:c r="H43" s="6" t="n">
        <x:v>-828000</x:v>
      </x:c>
      <x:c r="I43" s="6" t="n">
        <x:v>-929000</x:v>
      </x:c>
      <x:c r="J43" s="6" t="n">
        <x:v>959000</x:v>
      </x:c>
      <x:c r="K43" s="11" t="n">
        <x:v>18</x:v>
      </x:c>
      <x:c r="L43" s="11" t="n">
        <x:v>335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1018000</x:v>
      </x:c>
      <x:c r="D44" s="6" t="n">
        <x:v>1403000</x:v>
      </x:c>
      <x:c r="E44" s="6" t="n">
        <x:f>C44-D44</x:f>
        <x:v>-385000</x:v>
      </x:c>
      <x:c r="F44" s="6" t="n">
        <x:f>F43+E44</x:f>
        <x:v>-18526000</x:v>
      </x:c>
      <x:c r="G44" s="6" t="n">
        <x:v>810000</x:v>
      </x:c>
      <x:c r="H44" s="6" t="n">
        <x:v>-1195000</x:v>
      </x:c>
      <x:c r="I44" s="6" t="n">
        <x:v>-615000</x:v>
      </x:c>
      <x:c r="J44" s="6" t="n">
        <x:v>801000</x:v>
      </x:c>
      <x:c r="K44" s="11" t="n">
        <x:v>11</x:v>
      </x:c>
      <x:c r="L44" s="11" t="n">
        <x:v>712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1581000</x:v>
      </x:c>
      <x:c r="D45" s="6" t="n">
        <x:v>2427000</x:v>
      </x:c>
      <x:c r="E45" s="6" t="n">
        <x:f>C45-D45</x:f>
        <x:v>-846000</x:v>
      </x:c>
      <x:c r="F45" s="6" t="n">
        <x:f>F44+E45</x:f>
        <x:v>-19372000</x:v>
      </x:c>
      <x:c r="G45" s="6" t="n">
        <x:v>-482000</x:v>
      </x:c>
      <x:c r="H45" s="6" t="n">
        <x:v>-364000</x:v>
      </x:c>
      <x:c r="I45" s="6" t="n">
        <x:v>-886000</x:v>
      </x:c>
      <x:c r="J45" s="6" t="n">
        <x:v>886000</x:v>
      </x:c>
      <x:c r="K45" s="11" t="n">
        <x:v>21</x:v>
      </x:c>
      <x:c r="L45" s="11" t="n">
        <x:v>235</x:v>
      </x:c>
    </x:row>
    <x:row r="46" ht="25" customHeight="1">
      <x:c r="A46" s="2" t="str">
        <x:v>2026-10-19_Day</x:v>
      </x:c>
      <x:c r="B46" s="2" t="str">
        <x:v>後13場</x:v>
      </x:c>
      <x:c r="C46" s="6" t="n">
        <x:v>408000</x:v>
      </x:c>
      <x:c r="D46" s="6" t="n">
        <x:v>1370000</x:v>
      </x:c>
      <x:c r="E46" s="6" t="n">
        <x:f>C46-D46</x:f>
        <x:v>-962000</x:v>
      </x:c>
      <x:c r="F46" s="6" t="n">
        <x:f>F45+E46</x:f>
        <x:v>-20334000</x:v>
      </x:c>
      <x:c r="G46" s="6" t="n">
        <x:v>-520000</x:v>
      </x:c>
      <x:c r="H46" s="6" t="n">
        <x:v>-442000</x:v>
      </x:c>
      <x:c r="I46" s="6" t="n">
        <x:v>-1182000</x:v>
      </x:c>
      <x:c r="J46" s="6" t="n">
        <x:v>1199000</x:v>
      </x:c>
      <x:c r="K46" s="11" t="n">
        <x:v>5</x:v>
      </x:c>
      <x:c r="L46" s="11" t="n">
        <x:v>240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797000</x:v>
      </x:c>
      <x:c r="E47" s="6" t="n">
        <x:f>C47-D47</x:f>
        <x:v>-217000</x:v>
      </x:c>
      <x:c r="F47" s="6" t="n">
        <x:f>F46+E47</x:f>
        <x:v>-20551000</x:v>
      </x:c>
      <x:c r="G47" s="6" t="n">
        <x:v>80000</x:v>
      </x:c>
      <x:c r="H47" s="6" t="n">
        <x:v>-297000</x:v>
      </x:c>
      <x:c r="I47" s="6" t="n">
        <x:v>-350000</x:v>
      </x:c>
      <x:c r="J47" s="6" t="n">
        <x:v>350000</x:v>
      </x:c>
      <x:c r="K47" s="11" t="n">
        <x:v>8</x:v>
      </x:c>
      <x:c r="L47" s="11" t="n">
        <x:v>184</x:v>
      </x:c>
    </x:row>
    <x:row r="48" ht="25" customHeight="1">
      <x:c r="A48" s="2" t="str">
        <x:v>2026-10-20_Day</x:v>
      </x:c>
      <x:c r="B48" s="2" t="str">
        <x:v>後13場</x:v>
      </x:c>
      <x:c r="C48" s="6" t="n">
        <x:v>475000</x:v>
      </x:c>
      <x:c r="D48" s="6" t="n">
        <x:v>568000</x:v>
      </x:c>
      <x:c r="E48" s="6" t="n">
        <x:f>C48-D48</x:f>
        <x:v>-93000</x:v>
      </x:c>
      <x:c r="F48" s="6" t="n">
        <x:f>F47+E48</x:f>
        <x:v>-20644000</x:v>
      </x:c>
      <x:c r="G48" s="6" t="n">
        <x:v>10000</x:v>
      </x:c>
      <x:c r="H48" s="6" t="n">
        <x:v>-103000</x:v>
      </x:c>
      <x:c r="I48" s="6" t="n">
        <x:v>-514000</x:v>
      </x:c>
      <x:c r="J48" s="6" t="n">
        <x:v>661000</x:v>
      </x:c>
      <x:c r="K48" s="11" t="n">
        <x:v>6</x:v>
      </x:c>
      <x:c r="L48" s="11" t="n">
        <x:v>76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1040000</x:v>
      </x:c>
      <x:c r="D49" s="6" t="n">
        <x:v>1503000</x:v>
      </x:c>
      <x:c r="E49" s="6" t="n">
        <x:f>C49-D49</x:f>
        <x:v>-463000</x:v>
      </x:c>
      <x:c r="F49" s="6" t="n">
        <x:f>F48+E49</x:f>
        <x:v>-21107000</x:v>
      </x:c>
      <x:c r="G49" s="6" t="n">
        <x:v>-290000</x:v>
      </x:c>
      <x:c r="H49" s="6" t="n">
        <x:v>-173000</x:v>
      </x:c>
      <x:c r="I49" s="6" t="n">
        <x:v>-493000</x:v>
      </x:c>
      <x:c r="J49" s="6" t="n">
        <x:v>593000</x:v>
      </x:c>
      <x:c r="K49" s="11" t="n">
        <x:v>12</x:v>
      </x:c>
      <x:c r="L49" s="11" t="n">
        <x:v>108</x:v>
      </x:c>
    </x:row>
    <x:row r="50" ht="25" customHeight="1">
      <x:c r="A50" s="2" t="str">
        <x:v>2026-10-21_Day</x:v>
      </x:c>
      <x:c r="B50" s="2" t="str">
        <x:v>後13場</x:v>
      </x:c>
      <x:c r="C50" s="6" t="n">
        <x:v>391000</x:v>
      </x:c>
      <x:c r="D50" s="6" t="n">
        <x:v>628000</x:v>
      </x:c>
      <x:c r="E50" s="6" t="n">
        <x:f>C50-D50</x:f>
        <x:v>-237000</x:v>
      </x:c>
      <x:c r="F50" s="6" t="n">
        <x:f>F49+E50</x:f>
        <x:v>-21344000</x:v>
      </x:c>
      <x:c r="G50" s="6" t="n">
        <x:v>-170000</x:v>
      </x:c>
      <x:c r="H50" s="6" t="n">
        <x:v>-67000</x:v>
      </x:c>
      <x:c r="I50" s="6" t="n">
        <x:v>-566000</x:v>
      </x:c>
      <x:c r="J50" s="6" t="n">
        <x:v>616000</x:v>
      </x:c>
      <x:c r="K50" s="11" t="n">
        <x:v>4</x:v>
      </x:c>
      <x:c r="L50" s="11" t="n">
        <x:v>95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600000</x:v>
      </x:c>
      <x:c r="D51" s="6" t="n">
        <x:v>680000</x:v>
      </x:c>
      <x:c r="E51" s="6" t="n">
        <x:f>C51-D51</x:f>
        <x:v>-80000</x:v>
      </x:c>
      <x:c r="F51" s="6" t="n">
        <x:f>F50+E51</x:f>
        <x:v>-21424000</x:v>
      </x:c>
      <x:c r="G51" s="6" t="n">
        <x:v>-50000</x:v>
      </x:c>
      <x:c r="H51" s="6" t="n">
        <x:v>-30000</x:v>
      </x:c>
      <x:c r="I51" s="6" t="n">
        <x:v>-220000</x:v>
      </x:c>
      <x:c r="J51" s="6" t="n">
        <x:v>220000</x:v>
      </x:c>
      <x:c r="K51" s="11" t="n">
        <x:v>8</x:v>
      </x:c>
      <x:c r="L51" s="11" t="n">
        <x:v>29</x:v>
      </x:c>
    </x:row>
    <x:row r="52" ht="25" customHeight="1">
      <x:c r="A52" s="2" t="str">
        <x:v>2026-10-22_Day</x:v>
      </x:c>
      <x:c r="B52" s="2" t="str">
        <x:v>後13場</x:v>
      </x:c>
      <x:c r="C52" s="6" t="n">
        <x:v>615000</x:v>
      </x:c>
      <x:c r="D52" s="6" t="n">
        <x:v>2195000</x:v>
      </x:c>
      <x:c r="E52" s="6" t="n">
        <x:f>C52-D52</x:f>
        <x:v>-1580000</x:v>
      </x:c>
      <x:c r="F52" s="6" t="n">
        <x:f>F51+E52</x:f>
        <x:v>-23004000</x:v>
      </x:c>
      <x:c r="G52" s="6" t="n">
        <x:v>-1121000</x:v>
      </x:c>
      <x:c r="H52" s="6" t="n">
        <x:v>-459000</x:v>
      </x:c>
      <x:c r="I52" s="6" t="n">
        <x:v>-1820000</x:v>
      </x:c>
      <x:c r="J52" s="6" t="n">
        <x:v>1875000</x:v>
      </x:c>
      <x:c r="K52" s="11" t="n">
        <x:v>9</x:v>
      </x:c>
      <x:c r="L52" s="11" t="n">
        <x:v>300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892000</x:v>
      </x:c>
      <x:c r="D53" s="6" t="n">
        <x:v>1539000</x:v>
      </x:c>
      <x:c r="E53" s="6" t="n">
        <x:f>C53-D53</x:f>
        <x:v>-647000</x:v>
      </x:c>
      <x:c r="F53" s="6" t="n">
        <x:f>F52+E53</x:f>
        <x:v>-23651000</x:v>
      </x:c>
      <x:c r="G53" s="6" t="n">
        <x:v>-310000</x:v>
      </x:c>
      <x:c r="H53" s="6" t="n">
        <x:v>-337000</x:v>
      </x:c>
      <x:c r="I53" s="6" t="n">
        <x:v>-657000</x:v>
      </x:c>
      <x:c r="J53" s="6" t="n">
        <x:v>727000</x:v>
      </x:c>
      <x:c r="K53" s="11" t="n">
        <x:v>15</x:v>
      </x:c>
      <x:c r="L53" s="11" t="n">
        <x:v>208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1516000</x:v>
      </x:c>
      <x:c r="D54" s="6" t="n">
        <x:v>2298000</x:v>
      </x:c>
      <x:c r="E54" s="6" t="n">
        <x:f>C54-D54</x:f>
        <x:v>-782000</x:v>
      </x:c>
      <x:c r="F54" s="6" t="n">
        <x:f>F53+E54</x:f>
        <x:v>-24433000</x:v>
      </x:c>
      <x:c r="G54" s="6" t="n">
        <x:v>331000</x:v>
      </x:c>
      <x:c r="H54" s="6" t="n">
        <x:v>-1113000</x:v>
      </x:c>
      <x:c r="I54" s="6" t="n">
        <x:v>-1282000</x:v>
      </x:c>
      <x:c r="J54" s="6" t="n">
        <x:v>1402000</x:v>
      </x:c>
      <x:c r="K54" s="11" t="n">
        <x:v>17</x:v>
      </x:c>
      <x:c r="L54" s="11" t="n">
        <x:v>660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502000</x:v>
      </x:c>
      <x:c r="D55" s="6" t="n">
        <x:v>770000</x:v>
      </x:c>
      <x:c r="E55" s="6" t="n">
        <x:f>C55-D55</x:f>
        <x:v>-268000</x:v>
      </x:c>
      <x:c r="F55" s="6" t="n">
        <x:f>F54+E55</x:f>
        <x:v>-24701000</x:v>
      </x:c>
      <x:c r="G55" s="6" t="n">
        <x:v>-150000</x:v>
      </x:c>
      <x:c r="H55" s="6" t="n">
        <x:v>-118000</x:v>
      </x:c>
      <x:c r="I55" s="6" t="n">
        <x:v>-288000</x:v>
      </x:c>
      <x:c r="J55" s="6" t="n">
        <x:v>308000</x:v>
      </x:c>
      <x:c r="K55" s="11" t="n">
        <x:v>8</x:v>
      </x:c>
      <x:c r="L55" s="11" t="n">
        <x:v>68</x:v>
      </x:c>
    </x:row>
    <x:row r="56" ht="25" customHeight="1">
      <x:c r="A56" s="2" t="str">
        <x:v>2026-10-26_Day</x:v>
      </x:c>
      <x:c r="B56" s="2" t="str">
        <x:v>後13場</x:v>
      </x:c>
      <x:c r="C56" s="6" t="n">
        <x:v>444000</x:v>
      </x:c>
      <x:c r="D56" s="6" t="n">
        <x:v>1220000</x:v>
      </x:c>
      <x:c r="E56" s="6" t="n">
        <x:f>C56-D56</x:f>
        <x:v>-776000</x:v>
      </x:c>
      <x:c r="F56" s="6" t="n">
        <x:f>F55+E56</x:f>
        <x:v>-25477000</x:v>
      </x:c>
      <x:c r="G56" s="6" t="n">
        <x:v>-230000</x:v>
      </x:c>
      <x:c r="H56" s="6" t="n">
        <x:v>-546000</x:v>
      </x:c>
      <x:c r="I56" s="6" t="n">
        <x:v>-836000</x:v>
      </x:c>
      <x:c r="J56" s="6" t="n">
        <x:v>836000</x:v>
      </x:c>
      <x:c r="K56" s="11" t="n">
        <x:v>8</x:v>
      </x:c>
      <x:c r="L56" s="11" t="n">
        <x:v>295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681000</x:v>
      </x:c>
      <x:c r="D57" s="6" t="n">
        <x:v>1059000</x:v>
      </x:c>
      <x:c r="E57" s="6" t="n">
        <x:f>C57-D57</x:f>
        <x:v>-378000</x:v>
      </x:c>
      <x:c r="F57" s="6" t="n">
        <x:f>F56+E57</x:f>
        <x:v>-25855000</x:v>
      </x:c>
      <x:c r="G57" s="6" t="n">
        <x:v>-220000</x:v>
      </x:c>
      <x:c r="H57" s="6" t="n">
        <x:v>-158000</x:v>
      </x:c>
      <x:c r="I57" s="6" t="n">
        <x:v>-398000</x:v>
      </x:c>
      <x:c r="J57" s="6" t="n">
        <x:v>426000</x:v>
      </x:c>
      <x:c r="K57" s="11" t="n">
        <x:v>9</x:v>
      </x:c>
      <x:c r="L57" s="11" t="n">
        <x:v>94</x:v>
      </x:c>
    </x:row>
    <x:row r="58" ht="25" customHeight="1">
      <x:c r="A58" s="2" t="str">
        <x:v>2026-10-27_Day</x:v>
      </x:c>
      <x:c r="B58" s="2" t="str">
        <x:v>後13場</x:v>
      </x:c>
      <x:c r="C58" s="6" t="n">
        <x:v>926000</x:v>
      </x:c>
      <x:c r="D58" s="6" t="n">
        <x:v>1862000</x:v>
      </x:c>
      <x:c r="E58" s="6" t="n">
        <x:f>C58-D58</x:f>
        <x:v>-936000</x:v>
      </x:c>
      <x:c r="F58" s="6" t="n">
        <x:f>F57+E58</x:f>
        <x:v>-26791000</x:v>
      </x:c>
      <x:c r="G58" s="6" t="n">
        <x:v>900000</x:v>
      </x:c>
      <x:c r="H58" s="6" t="n">
        <x:v>-1836000</x:v>
      </x:c>
      <x:c r="I58" s="6" t="n">
        <x:v>-1110000</x:v>
      </x:c>
      <x:c r="J58" s="6" t="n">
        <x:v>1412000</x:v>
      </x:c>
      <x:c r="K58" s="11" t="n">
        <x:v>9</x:v>
      </x:c>
      <x:c r="L58" s="11" t="n">
        <x:v>1160</x:v>
      </x:c>
    </x:row>
    <x:row r="59" ht="25" customHeight="1">
      <x:c r="A59" s="15" t="str">
        <x:v>累計／場内最悪値</x:v>
      </x:c>
      <x:c r="B59" s="15"/>
      <x:c r="C59" s="16" t="n">
        <x:f>SUM(C6:C58)</x:f>
        <x:v>31542000</x:v>
      </x:c>
      <x:c r="D59" s="16" t="n">
        <x:f>SUM(D6:D58)</x:f>
        <x:v>58333000</x:v>
      </x:c>
      <x:c r="E59" s="16" t="n">
        <x:f>C59-D59</x:f>
        <x:v>-26791000</x:v>
      </x:c>
      <x:c r="F59" s="16" t="n">
        <x:f>F58</x:f>
        <x:v>-26791000</x:v>
      </x:c>
      <x:c r="G59" s="16" t="n">
        <x:f>SUM(G6:G58)</x:f>
        <x:v>-6074000</x:v>
      </x:c>
      <x:c r="H59" s="16" t="n">
        <x:f>SUM(H6:H58)</x:f>
        <x:v>-20717000</x:v>
      </x:c>
      <x:c r="I59" s="16" t="n">
        <x:f>MIN(I6:I58)</x:f>
        <x:v>-2507000</x:v>
      </x:c>
      <x:c r="J59" s="16" t="n">
        <x:f>MAX(J6:J58)</x:f>
        <x:v>2507000</x:v>
      </x:c>
      <x:c r="K59" s="17" t="n">
        <x:f>SUM(K6:K58)</x:f>
        <x:v>406</x:v>
      </x:c>
      <x:c r="L59" s="17" t="n">
        <x:f>SUM(L6:L58)</x:f>
        <x:v>12538</x:v>
      </x:c>
    </x:row>
  </x:sheetData>
  <x:conditionalFormatting sqref="E6:I58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3b6ad41a064186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H14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段20・即追尾・追尾10・完済後新基準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17000</x:v>
      </x:c>
      <x:c r="E6" s="6" t="n">
        <x:f>C6-D6</x:f>
        <x:v>183000</x:v>
      </x:c>
      <x:c r="F6" s="6" t="n">
        <x:f>E6</x:f>
        <x:v>183000</x:v>
      </x:c>
      <x:c r="G6" s="6" t="n">
        <x:v>200000</x:v>
      </x:c>
      <x:c r="H6" s="6" t="n">
        <x:v>-17000</x:v>
      </x:c>
      <x:c r="I6" s="6" t="n">
        <x:v>-66000</x:v>
      </x:c>
      <x:c r="J6" s="6" t="n">
        <x:v>136000</x:v>
      </x:c>
      <x:c r="K6" s="11" t="n">
        <x:v>2</x:v>
      </x:c>
      <x:c r="L6" s="11" t="n">
        <x:v>13</x:v>
      </x:c>
    </x:row>
    <x:row r="7" ht="25" customHeight="1">
      <x:c r="A7" s="2" t="str">
        <x:v>2026-09-21_Night</x:v>
      </x:c>
      <x:c r="B7" s="2" t="str">
        <x:v>前30場</x:v>
      </x:c>
      <x:c r="C7" s="6" t="n">
        <x:v>610000</x:v>
      </x:c>
      <x:c r="D7" s="6" t="n">
        <x:v>1361000</x:v>
      </x:c>
      <x:c r="E7" s="6" t="n">
        <x:f>C7-D7</x:f>
        <x:v>-751000</x:v>
      </x:c>
      <x:c r="F7" s="6" t="n">
        <x:f>F6+E7</x:f>
        <x:v>-568000</x:v>
      </x:c>
      <x:c r="G7" s="6" t="n">
        <x:v>-220000</x:v>
      </x:c>
      <x:c r="H7" s="6" t="n">
        <x:v>-531000</x:v>
      </x:c>
      <x:c r="I7" s="6" t="n">
        <x:v>-881000</x:v>
      </x:c>
      <x:c r="J7" s="6" t="n">
        <x:v>1028000</x:v>
      </x:c>
      <x:c r="K7" s="11" t="n">
        <x:v>7</x:v>
      </x:c>
      <x:c r="L7" s="11" t="n">
        <x:v>297</x:v>
      </x:c>
    </x:row>
    <x:row r="8" ht="25" customHeight="1">
      <x:c r="A8" s="2" t="str">
        <x:v>2026-09-22_Day</x:v>
      </x:c>
      <x:c r="B8" s="2" t="str">
        <x:v>前30場</x:v>
      </x:c>
      <x:c r="C8" s="6" t="n">
        <x:v>100000</x:v>
      </x:c>
      <x:c r="D8" s="6" t="n">
        <x:v>114000</x:v>
      </x:c>
      <x:c r="E8" s="6" t="n">
        <x:f>C8-D8</x:f>
        <x:v>-14000</x:v>
      </x:c>
      <x:c r="F8" s="6" t="n">
        <x:f>F7+E8</x:f>
        <x:v>-582000</x:v>
      </x:c>
      <x:c r="G8" s="6" t="n">
        <x:v>100000</x:v>
      </x:c>
      <x:c r="H8" s="6" t="n">
        <x:v>-114000</x:v>
      </x:c>
      <x:c r="I8" s="6" t="n">
        <x:v>-434000</x:v>
      </x:c>
      <x:c r="J8" s="6" t="n">
        <x:v>511000</x:v>
      </x:c>
      <x:c r="K8" s="11" t="n">
        <x:v>1</x:v>
      </x:c>
      <x:c r="L8" s="11" t="n">
        <x:v>77</x:v>
      </x:c>
    </x:row>
    <x:row r="9" ht="25" customHeight="1">
      <x:c r="A9" s="2" t="str">
        <x:v>2026-09-22_Night</x:v>
      </x:c>
      <x:c r="B9" s="2" t="str">
        <x:v>前30場</x:v>
      </x:c>
      <x:c r="C9" s="6" t="n">
        <x:v>610000</x:v>
      </x:c>
      <x:c r="D9" s="6" t="n">
        <x:v>1408000</x:v>
      </x:c>
      <x:c r="E9" s="6" t="n">
        <x:f>C9-D9</x:f>
        <x:v>-798000</x:v>
      </x:c>
      <x:c r="F9" s="6" t="n">
        <x:f>F8+E9</x:f>
        <x:v>-1380000</x:v>
      </x:c>
      <x:c r="G9" s="6" t="n">
        <x:v>-320000</x:v>
      </x:c>
      <x:c r="H9" s="6" t="n">
        <x:v>-478000</x:v>
      </x:c>
      <x:c r="I9" s="6" t="n">
        <x:v>-968000</x:v>
      </x:c>
      <x:c r="J9" s="6" t="n">
        <x:v>1096000</x:v>
      </x:c>
      <x:c r="K9" s="11" t="n">
        <x:v>7</x:v>
      </x:c>
      <x:c r="L9" s="11" t="n">
        <x:v>292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-1380000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1560000</x:v>
      </x:c>
      <x:c r="E11" s="6" t="n">
        <x:f>C11-D11</x:f>
        <x:v>-980000</x:v>
      </x:c>
      <x:c r="F11" s="6" t="n">
        <x:f>F10+E11</x:f>
        <x:v>-2360000</x:v>
      </x:c>
      <x:c r="G11" s="6" t="n">
        <x:v>-490000</x:v>
      </x:c>
      <x:c r="H11" s="6" t="n">
        <x:v>-490000</x:v>
      </x:c>
      <x:c r="I11" s="6" t="n">
        <x:v>-980000</x:v>
      </x:c>
      <x:c r="J11" s="6" t="n">
        <x:v>1040000</x:v>
      </x:c>
      <x:c r="K11" s="11" t="n">
        <x:v>8</x:v>
      </x:c>
      <x:c r="L11" s="11" t="n">
        <x:v>322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302000</x:v>
      </x:c>
      <x:c r="D12" s="6" t="n">
        <x:v>301000</x:v>
      </x:c>
      <x:c r="E12" s="6" t="n">
        <x:f>C12-D12</x:f>
        <x:v>1000</x:v>
      </x:c>
      <x:c r="F12" s="6" t="n">
        <x:f>F11+E12</x:f>
        <x:v>-2359000</x:v>
      </x:c>
      <x:c r="G12" s="6" t="n">
        <x:v>300000</x:v>
      </x:c>
      <x:c r="H12" s="6" t="n">
        <x:v>-299000</x:v>
      </x:c>
      <x:c r="I12" s="6" t="n">
        <x:v>-719000</x:v>
      </x:c>
      <x:c r="J12" s="6" t="n">
        <x:v>719000</x:v>
      </x:c>
      <x:c r="K12" s="11" t="n">
        <x:v>3</x:v>
      </x:c>
      <x:c r="L12" s="11" t="n">
        <x:v>183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520000</x:v>
      </x:c>
      <x:c r="D13" s="6" t="n">
        <x:v>1005000</x:v>
      </x:c>
      <x:c r="E13" s="6" t="n">
        <x:f>C13-D13</x:f>
        <x:v>-485000</x:v>
      </x:c>
      <x:c r="F13" s="6" t="n">
        <x:f>F12+E13</x:f>
        <x:v>-2844000</x:v>
      </x:c>
      <x:c r="G13" s="6" t="n">
        <x:v>-250000</x:v>
      </x:c>
      <x:c r="H13" s="6" t="n">
        <x:v>-235000</x:v>
      </x:c>
      <x:c r="I13" s="6" t="n">
        <x:v>-545000</x:v>
      </x:c>
      <x:c r="J13" s="6" t="n">
        <x:v>625000</x:v>
      </x:c>
      <x:c r="K13" s="11" t="n">
        <x:v>7</x:v>
      </x:c>
      <x:c r="L13" s="11" t="n">
        <x:v>169</x:v>
      </x:c>
    </x:row>
    <x:row r="14" ht="25" customHeight="1">
      <x:c r="A14" s="2" t="str">
        <x:v>2026-09-25_Day</x:v>
      </x:c>
      <x:c r="B14" s="2" t="str">
        <x:v>前30場</x:v>
      </x:c>
      <x:c r="C14" s="6" t="n">
        <x:v>103000</x:v>
      </x:c>
      <x:c r="D14" s="6" t="n">
        <x:v>1188000</x:v>
      </x:c>
      <x:c r="E14" s="6" t="n">
        <x:f>C14-D14</x:f>
        <x:v>-1085000</x:v>
      </x:c>
      <x:c r="F14" s="6" t="n">
        <x:f>F13+E14</x:f>
        <x:v>-3929000</x:v>
      </x:c>
      <x:c r="G14" s="6" t="n">
        <x:v>-610000</x:v>
      </x:c>
      <x:c r="H14" s="6" t="n">
        <x:v>-475000</x:v>
      </x:c>
      <x:c r="I14" s="6" t="n">
        <x:v>-1205000</x:v>
      </x:c>
      <x:c r="J14" s="6" t="n">
        <x:v>1272000</x:v>
      </x:c>
      <x:c r="K14" s="11" t="n">
        <x:v>2</x:v>
      </x:c>
      <x:c r="L14" s="11" t="n">
        <x:v>345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460000</x:v>
      </x:c>
      <x:c r="D15" s="6" t="n">
        <x:v>813000</x:v>
      </x:c>
      <x:c r="E15" s="6" t="n">
        <x:f>C15-D15</x:f>
        <x:v>-353000</x:v>
      </x:c>
      <x:c r="F15" s="6" t="n">
        <x:f>F14+E15</x:f>
        <x:v>-4282000</x:v>
      </x:c>
      <x:c r="G15" s="6" t="n">
        <x:v>-190000</x:v>
      </x:c>
      <x:c r="H15" s="6" t="n">
        <x:v>-163000</x:v>
      </x:c>
      <x:c r="I15" s="6" t="n">
        <x:v>-373000</x:v>
      </x:c>
      <x:c r="J15" s="6" t="n">
        <x:v>373000</x:v>
      </x:c>
      <x:c r="K15" s="11" t="n">
        <x:v>7</x:v>
      </x:c>
      <x:c r="L15" s="11" t="n">
        <x:v>100</x:v>
      </x:c>
    </x:row>
    <x:row r="16" ht="25" customHeight="1">
      <x:c r="A16" s="2" t="str">
        <x:v>2026-09-28_Day</x:v>
      </x:c>
      <x:c r="B16" s="2" t="str">
        <x:v>前30場</x:v>
      </x:c>
      <x:c r="C16" s="6" t="n">
        <x:v>483000</x:v>
      </x:c>
      <x:c r="D16" s="6" t="n">
        <x:v>254000</x:v>
      </x:c>
      <x:c r="E16" s="6" t="n">
        <x:f>C16-D16</x:f>
        <x:v>229000</x:v>
      </x:c>
      <x:c r="F16" s="6" t="n">
        <x:f>F15+E16</x:f>
        <x:v>-4053000</x:v>
      </x:c>
      <x:c r="G16" s="6" t="n">
        <x:v>480000</x:v>
      </x:c>
      <x:c r="H16" s="6" t="n">
        <x:v>-251000</x:v>
      </x:c>
      <x:c r="I16" s="6" t="n">
        <x:v>-611000</x:v>
      </x:c>
      <x:c r="J16" s="6" t="n">
        <x:v>615000</x:v>
      </x:c>
      <x:c r="K16" s="11" t="n">
        <x:v>5</x:v>
      </x:c>
      <x:c r="L16" s="11" t="n">
        <x:v>169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690000</x:v>
      </x:c>
      <x:c r="D17" s="6" t="n">
        <x:v>679000</x:v>
      </x:c>
      <x:c r="E17" s="6" t="n">
        <x:f>C17-D17</x:f>
        <x:v>11000</x:v>
      </x:c>
      <x:c r="F17" s="6" t="n">
        <x:f>F16+E17</x:f>
        <x:v>-4042000</x:v>
      </x:c>
      <x:c r="G17" s="6" t="n">
        <x:v>230000</x:v>
      </x:c>
      <x:c r="H17" s="6" t="n">
        <x:v>-219000</x:v>
      </x:c>
      <x:c r="I17" s="6" t="n">
        <x:v>-319000</x:v>
      </x:c>
      <x:c r="J17" s="6" t="n">
        <x:v>350000</x:v>
      </x:c>
      <x:c r="K17" s="11" t="n">
        <x:v>9</x:v>
      </x:c>
      <x:c r="L17" s="11" t="n">
        <x:v>141</x:v>
      </x:c>
    </x:row>
    <x:row r="18" ht="25" customHeight="1">
      <x:c r="A18" s="2" t="str">
        <x:v>2026-09-29_Day</x:v>
      </x:c>
      <x:c r="B18" s="2" t="str">
        <x:v>前30場</x:v>
      </x:c>
      <x:c r="C18" s="6" t="n">
        <x:v>372000</x:v>
      </x:c>
      <x:c r="D18" s="6" t="n">
        <x:v>1117000</x:v>
      </x:c>
      <x:c r="E18" s="6" t="n">
        <x:f>C18-D18</x:f>
        <x:v>-745000</x:v>
      </x:c>
      <x:c r="F18" s="6" t="n">
        <x:f>F17+E18</x:f>
        <x:v>-4787000</x:v>
      </x:c>
      <x:c r="G18" s="6" t="n">
        <x:v>-70000</x:v>
      </x:c>
      <x:c r="H18" s="6" t="n">
        <x:v>-675000</x:v>
      </x:c>
      <x:c r="I18" s="6" t="n">
        <x:v>-1355000</x:v>
      </x:c>
      <x:c r="J18" s="6" t="n">
        <x:v>1373000</x:v>
      </x:c>
      <x:c r="K18" s="11" t="n">
        <x:v>5</x:v>
      </x:c>
      <x:c r="L18" s="11" t="n">
        <x:v>421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708000</x:v>
      </x:c>
      <x:c r="D19" s="6" t="n">
        <x:v>873000</x:v>
      </x:c>
      <x:c r="E19" s="6" t="n">
        <x:f>C19-D19</x:f>
        <x:v>-165000</x:v>
      </x:c>
      <x:c r="F19" s="6" t="n">
        <x:f>F18+E19</x:f>
        <x:v>-4952000</x:v>
      </x:c>
      <x:c r="G19" s="6" t="n">
        <x:v>0</x:v>
      </x:c>
      <x:c r="H19" s="6" t="n">
        <x:v>-165000</x:v>
      </x:c>
      <x:c r="I19" s="6" t="n">
        <x:v>-215000</x:v>
      </x:c>
      <x:c r="J19" s="6" t="n">
        <x:v>356000</x:v>
      </x:c>
      <x:c r="K19" s="11" t="n">
        <x:v>9</x:v>
      </x:c>
      <x:c r="L19" s="11" t="n">
        <x:v>123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190000</x:v>
      </x:c>
      <x:c r="D20" s="6" t="n">
        <x:v>1154000</x:v>
      </x:c>
      <x:c r="E20" s="6" t="n">
        <x:f>C20-D20</x:f>
        <x:v>-964000</x:v>
      </x:c>
      <x:c r="F20" s="6" t="n">
        <x:f>F19+E20</x:f>
        <x:v>-5916000</x:v>
      </x:c>
      <x:c r="G20" s="6" t="n">
        <x:v>-420000</x:v>
      </x:c>
      <x:c r="H20" s="6" t="n">
        <x:v>-544000</x:v>
      </x:c>
      <x:c r="I20" s="6" t="n">
        <x:v>-964000</x:v>
      </x:c>
      <x:c r="J20" s="6" t="n">
        <x:v>1102000</x:v>
      </x:c>
      <x:c r="K20" s="11" t="n">
        <x:v>3</x:v>
      </x:c>
      <x:c r="L20" s="11" t="n">
        <x:v>294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1016000</x:v>
      </x:c>
      <x:c r="E21" s="6" t="n">
        <x:f>C21-D21</x:f>
        <x:v>-416000</x:v>
      </x:c>
      <x:c r="F21" s="6" t="n">
        <x:f>F20+E21</x:f>
        <x:v>-6332000</x:v>
      </x:c>
      <x:c r="G21" s="6" t="n">
        <x:v>-100000</x:v>
      </x:c>
      <x:c r="H21" s="6" t="n">
        <x:v>-316000</x:v>
      </x:c>
      <x:c r="I21" s="6" t="n">
        <x:v>-466000</x:v>
      </x:c>
      <x:c r="J21" s="6" t="n">
        <x:v>466000</x:v>
      </x:c>
      <x:c r="K21" s="11" t="n">
        <x:v>8</x:v>
      </x:c>
      <x:c r="L21" s="11" t="n">
        <x:v>159</x:v>
      </x:c>
    </x:row>
    <x:row r="22" ht="25" customHeight="1">
      <x:c r="A22" s="2" t="str">
        <x:v>2026-10-01_Day</x:v>
      </x:c>
      <x:c r="B22" s="2" t="str">
        <x:v>前30場</x:v>
      </x:c>
      <x:c r="C22" s="6" t="n">
        <x:v>250000</x:v>
      </x:c>
      <x:c r="D22" s="6" t="n">
        <x:v>2952000</x:v>
      </x:c>
      <x:c r="E22" s="6" t="n">
        <x:f>C22-D22</x:f>
        <x:v>-2702000</x:v>
      </x:c>
      <x:c r="F22" s="6" t="n">
        <x:f>F21+E22</x:f>
        <x:v>-9034000</x:v>
      </x:c>
      <x:c r="G22" s="6" t="n">
        <x:v>-1410000</x:v>
      </x:c>
      <x:c r="H22" s="6" t="n">
        <x:v>-1292000</x:v>
      </x:c>
      <x:c r="I22" s="6" t="n">
        <x:v>-2902000</x:v>
      </x:c>
      <x:c r="J22" s="6" t="n">
        <x:v>2958000</x:v>
      </x:c>
      <x:c r="K22" s="11" t="n">
        <x:v>3</x:v>
      </x:c>
      <x:c r="L22" s="11" t="n">
        <x:v>840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876000</x:v>
      </x:c>
      <x:c r="D23" s="6" t="n">
        <x:v>1194000</x:v>
      </x:c>
      <x:c r="E23" s="6" t="n">
        <x:f>C23-D23</x:f>
        <x:v>-318000</x:v>
      </x:c>
      <x:c r="F23" s="6" t="n">
        <x:f>F22+E23</x:f>
        <x:v>-9352000</x:v>
      </x:c>
      <x:c r="G23" s="6" t="n">
        <x:v>0</x:v>
      </x:c>
      <x:c r="H23" s="6" t="n">
        <x:v>-318000</x:v>
      </x:c>
      <x:c r="I23" s="6" t="n">
        <x:v>-478000</x:v>
      </x:c>
      <x:c r="J23" s="6" t="n">
        <x:v>586000</x:v>
      </x:c>
      <x:c r="K23" s="11" t="n">
        <x:v>11</x:v>
      </x:c>
      <x:c r="L23" s="11" t="n">
        <x:v>230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300000</x:v>
      </x:c>
      <x:c r="D24" s="6" t="n">
        <x:v>681000</x:v>
      </x:c>
      <x:c r="E24" s="6" t="n">
        <x:f>C24-D24</x:f>
        <x:v>-381000</x:v>
      </x:c>
      <x:c r="F24" s="6" t="n">
        <x:f>F23+E24</x:f>
        <x:v>-9733000</x:v>
      </x:c>
      <x:c r="G24" s="6" t="n">
        <x:v>0</x:v>
      </x:c>
      <x:c r="H24" s="6" t="n">
        <x:v>-381000</x:v>
      </x:c>
      <x:c r="I24" s="6" t="n">
        <x:v>-651000</x:v>
      </x:c>
      <x:c r="J24" s="6" t="n">
        <x:v>671000</x:v>
      </x:c>
      <x:c r="K24" s="11" t="n">
        <x:v>5</x:v>
      </x:c>
      <x:c r="L24" s="11" t="n">
        <x:v>207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1040000</x:v>
      </x:c>
      <x:c r="D25" s="6" t="n">
        <x:v>1569000</x:v>
      </x:c>
      <x:c r="E25" s="6" t="n">
        <x:f>C25-D25</x:f>
        <x:v>-529000</x:v>
      </x:c>
      <x:c r="F25" s="6" t="n">
        <x:f>F24+E25</x:f>
        <x:v>-10262000</x:v>
      </x:c>
      <x:c r="G25" s="6" t="n">
        <x:v>-130000</x:v>
      </x:c>
      <x:c r="H25" s="6" t="n">
        <x:v>-399000</x:v>
      </x:c>
      <x:c r="I25" s="6" t="n">
        <x:v>-599000</x:v>
      </x:c>
      <x:c r="J25" s="6" t="n">
        <x:v>665000</x:v>
      </x:c>
      <x:c r="K25" s="11" t="n">
        <x:v>13</x:v>
      </x:c>
      <x:c r="L25" s="11" t="n">
        <x:v>161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204000</x:v>
      </x:c>
      <x:c r="D26" s="6" t="n">
        <x:v>933000</x:v>
      </x:c>
      <x:c r="E26" s="6" t="n">
        <x:f>C26-D26</x:f>
        <x:v>-729000</x:v>
      </x:c>
      <x:c r="F26" s="6" t="n">
        <x:f>F25+E26</x:f>
        <x:v>-10991000</x:v>
      </x:c>
      <x:c r="G26" s="6" t="n">
        <x:v>-320000</x:v>
      </x:c>
      <x:c r="H26" s="6" t="n">
        <x:v>-409000</x:v>
      </x:c>
      <x:c r="I26" s="6" t="n">
        <x:v>-789000</x:v>
      </x:c>
      <x:c r="J26" s="6" t="n">
        <x:v>839000</x:v>
      </x:c>
      <x:c r="K26" s="11" t="n">
        <x:v>3</x:v>
      </x:c>
      <x:c r="L26" s="11" t="n">
        <x:v>235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400000</x:v>
      </x:c>
      <x:c r="D27" s="6" t="n">
        <x:v>640000</x:v>
      </x:c>
      <x:c r="E27" s="6" t="n">
        <x:f>C27-D27</x:f>
        <x:v>-240000</x:v>
      </x:c>
      <x:c r="F27" s="6" t="n">
        <x:f>F26+E27</x:f>
        <x:v>-11231000</x:v>
      </x:c>
      <x:c r="G27" s="6" t="n">
        <x:v>-40000</x:v>
      </x:c>
      <x:c r="H27" s="6" t="n">
        <x:v>-200000</x:v>
      </x:c>
      <x:c r="I27" s="6" t="n">
        <x:v>-390000</x:v>
      </x:c>
      <x:c r="J27" s="6" t="n">
        <x:v>410000</x:v>
      </x:c>
      <x:c r="K27" s="11" t="n">
        <x:v>5</x:v>
      </x:c>
      <x:c r="L27" s="11" t="n">
        <x:v>119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100000</x:v>
      </x:c>
      <x:c r="D28" s="6" t="n">
        <x:v>43000</x:v>
      </x:c>
      <x:c r="E28" s="6" t="n">
        <x:f>C28-D28</x:f>
        <x:v>57000</x:v>
      </x:c>
      <x:c r="F28" s="6" t="n">
        <x:f>F27+E28</x:f>
        <x:v>-11174000</x:v>
      </x:c>
      <x:c r="G28" s="6" t="n">
        <x:v>100000</x:v>
      </x:c>
      <x:c r="H28" s="6" t="n">
        <x:v>-43000</x:v>
      </x:c>
      <x:c r="I28" s="6" t="n">
        <x:v>-201000</x:v>
      </x:c>
      <x:c r="J28" s="6" t="n">
        <x:v>201000</x:v>
      </x:c>
      <x:c r="K28" s="11" t="n">
        <x:v>1</x:v>
      </x:c>
      <x:c r="L28" s="11" t="n">
        <x:v>23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580000</x:v>
      </x:c>
      <x:c r="D29" s="6" t="n">
        <x:v>641000</x:v>
      </x:c>
      <x:c r="E29" s="6" t="n">
        <x:f>C29-D29</x:f>
        <x:v>-61000</x:v>
      </x:c>
      <x:c r="F29" s="6" t="n">
        <x:f>F28+E29</x:f>
        <x:v>-11235000</x:v>
      </x:c>
      <x:c r="G29" s="6" t="n">
        <x:v>50000</x:v>
      </x:c>
      <x:c r="H29" s="6" t="n">
        <x:v>-111000</x:v>
      </x:c>
      <x:c r="I29" s="6" t="n">
        <x:v>-221000</x:v>
      </x:c>
      <x:c r="J29" s="6" t="n">
        <x:v>288000</x:v>
      </x:c>
      <x:c r="K29" s="11" t="n">
        <x:v>7</x:v>
      </x:c>
      <x:c r="L29" s="11" t="n">
        <x:v>85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48000</x:v>
      </x:c>
      <x:c r="E30" s="6" t="n">
        <x:f>C30-D30</x:f>
        <x:v>152000</x:v>
      </x:c>
      <x:c r="F30" s="6" t="n">
        <x:f>F29+E30</x:f>
        <x:v>-11083000</x:v>
      </x:c>
      <x:c r="G30" s="6" t="n">
        <x:v>200000</x:v>
      </x:c>
      <x:c r="H30" s="6" t="n">
        <x:v>-48000</x:v>
      </x:c>
      <x:c r="I30" s="6" t="n">
        <x:v>-125000</x:v>
      </x:c>
      <x:c r="J30" s="6" t="n">
        <x:v>196000</x:v>
      </x:c>
      <x:c r="K30" s="11" t="n">
        <x:v>2</x:v>
      </x:c>
      <x:c r="L30" s="11" t="n">
        <x:v>24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790000</x:v>
      </x:c>
      <x:c r="D31" s="6" t="n">
        <x:v>1178000</x:v>
      </x:c>
      <x:c r="E31" s="6" t="n">
        <x:f>C31-D31</x:f>
        <x:v>-388000</x:v>
      </x:c>
      <x:c r="F31" s="6" t="n">
        <x:f>F30+E31</x:f>
        <x:v>-11471000</x:v>
      </x:c>
      <x:c r="G31" s="6" t="n">
        <x:v>-140000</x:v>
      </x:c>
      <x:c r="H31" s="6" t="n">
        <x:v>-248000</x:v>
      </x:c>
      <x:c r="I31" s="6" t="n">
        <x:v>-398000</x:v>
      </x:c>
      <x:c r="J31" s="6" t="n">
        <x:v>417000</x:v>
      </x:c>
      <x:c r="K31" s="11" t="n">
        <x:v>10</x:v>
      </x:c>
      <x:c r="L31" s="11" t="n">
        <x:v>157</x:v>
      </x:c>
    </x:row>
    <x:row r="32" ht="25" customHeight="1">
      <x:c r="A32" s="2" t="str">
        <x:v>2026-10-08_Day</x:v>
      </x:c>
      <x:c r="B32" s="2" t="str">
        <x:v>前30場</x:v>
      </x:c>
      <x:c r="C32" s="6" t="n">
        <x:v>301000</x:v>
      </x:c>
      <x:c r="D32" s="6" t="n">
        <x:v>1656000</x:v>
      </x:c>
      <x:c r="E32" s="6" t="n">
        <x:f>C32-D32</x:f>
        <x:v>-1355000</x:v>
      </x:c>
      <x:c r="F32" s="6" t="n">
        <x:f>F31+E32</x:f>
        <x:v>-12826000</x:v>
      </x:c>
      <x:c r="G32" s="6" t="n">
        <x:v>-810000</x:v>
      </x:c>
      <x:c r="H32" s="6" t="n">
        <x:v>-545000</x:v>
      </x:c>
      <x:c r="I32" s="6" t="n">
        <x:v>-1355000</x:v>
      </x:c>
      <x:c r="J32" s="6" t="n">
        <x:v>1565000</x:v>
      </x:c>
      <x:c r="K32" s="11" t="n">
        <x:v>4</x:v>
      </x:c>
      <x:c r="L32" s="11" t="n">
        <x:v>331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1200000</x:v>
      </x:c>
      <x:c r="D33" s="6" t="n">
        <x:v>1826000</x:v>
      </x:c>
      <x:c r="E33" s="6" t="n">
        <x:f>C33-D33</x:f>
        <x:v>-626000</x:v>
      </x:c>
      <x:c r="F33" s="6" t="n">
        <x:f>F32+E33</x:f>
        <x:v>-13452000</x:v>
      </x:c>
      <x:c r="G33" s="6" t="n">
        <x:v>-190000</x:v>
      </x:c>
      <x:c r="H33" s="6" t="n">
        <x:v>-436000</x:v>
      </x:c>
      <x:c r="I33" s="6" t="n">
        <x:v>-626000</x:v>
      </x:c>
      <x:c r="J33" s="6" t="n">
        <x:v>780000</x:v>
      </x:c>
      <x:c r="K33" s="11" t="n">
        <x:v>14</x:v>
      </x:c>
      <x:c r="L33" s="11" t="n">
        <x:v>268</x:v>
      </x:c>
    </x:row>
    <x:row r="34" ht="25" customHeight="1">
      <x:c r="A34" s="2" t="str">
        <x:v>2026-10-09_Day</x:v>
      </x:c>
      <x:c r="B34" s="2" t="str">
        <x:v>前30場</x:v>
      </x:c>
      <x:c r="C34" s="6" t="n">
        <x:v>527000</x:v>
      </x:c>
      <x:c r="D34" s="6" t="n">
        <x:v>1904000</x:v>
      </x:c>
      <x:c r="E34" s="6" t="n">
        <x:f>C34-D34</x:f>
        <x:v>-1377000</x:v>
      </x:c>
      <x:c r="F34" s="6" t="n">
        <x:f>F33+E34</x:f>
        <x:v>-14829000</x:v>
      </x:c>
      <x:c r="G34" s="6" t="n">
        <x:v>-450000</x:v>
      </x:c>
      <x:c r="H34" s="6" t="n">
        <x:v>-927000</x:v>
      </x:c>
      <x:c r="I34" s="6" t="n">
        <x:v>-1387000</x:v>
      </x:c>
      <x:c r="J34" s="6" t="n">
        <x:v>1551000</x:v>
      </x:c>
      <x:c r="K34" s="11" t="n">
        <x:v>6</x:v>
      </x:c>
      <x:c r="L34" s="11" t="n">
        <x:v>571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600000</x:v>
      </x:c>
      <x:c r="E35" s="6" t="n">
        <x:f>C35-D35</x:f>
        <x:v>-110000</x:v>
      </x:c>
      <x:c r="F35" s="6" t="n">
        <x:f>F34+E35</x:f>
        <x:v>-14939000</x:v>
      </x:c>
      <x:c r="G35" s="6" t="n">
        <x:v>20000</x:v>
      </x:c>
      <x:c r="H35" s="6" t="n">
        <x:v>-130000</x:v>
      </x:c>
      <x:c r="I35" s="6" t="n">
        <x:v>-270000</x:v>
      </x:c>
      <x:c r="J35" s="6" t="n">
        <x:v>290000</x:v>
      </x:c>
      <x:c r="K35" s="11" t="n">
        <x:v>6</x:v>
      </x:c>
      <x:c r="L35" s="11" t="n">
        <x:v>77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-14939000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700000</x:v>
      </x:c>
      <x:c r="D37" s="6" t="n">
        <x:v>1180000</x:v>
      </x:c>
      <x:c r="E37" s="6" t="n">
        <x:f>C37-D37</x:f>
        <x:v>-480000</x:v>
      </x:c>
      <x:c r="F37" s="6" t="n">
        <x:f>F36+E37</x:f>
        <x:v>-15419000</x:v>
      </x:c>
      <x:c r="G37" s="6" t="n">
        <x:v>-120000</x:v>
      </x:c>
      <x:c r="H37" s="6" t="n">
        <x:v>-360000</x:v>
      </x:c>
      <x:c r="I37" s="6" t="n">
        <x:v>-500000</x:v>
      </x:c>
      <x:c r="J37" s="6" t="n">
        <x:v>510000</x:v>
      </x:c>
      <x:c r="K37" s="11" t="n">
        <x:v>8</x:v>
      </x:c>
      <x:c r="L37" s="11" t="n">
        <x:v>201</x:v>
      </x:c>
    </x:row>
    <x:row r="38" ht="25" customHeight="1">
      <x:c r="A38" s="2" t="str">
        <x:v>2026-10-13_Day</x:v>
      </x:c>
      <x:c r="B38" s="2" t="str">
        <x:v>次10場</x:v>
      </x:c>
      <x:c r="C38" s="6" t="n">
        <x:v>498000</x:v>
      </x:c>
      <x:c r="D38" s="6" t="n">
        <x:v>336000</x:v>
      </x:c>
      <x:c r="E38" s="6" t="n">
        <x:f>C38-D38</x:f>
        <x:v>162000</x:v>
      </x:c>
      <x:c r="F38" s="6" t="n">
        <x:f>F37+E38</x:f>
        <x:v>-15257000</x:v>
      </x:c>
      <x:c r="G38" s="6" t="n">
        <x:v>490000</x:v>
      </x:c>
      <x:c r="H38" s="6" t="n">
        <x:v>-328000</x:v>
      </x:c>
      <x:c r="I38" s="6" t="n">
        <x:v>-527000</x:v>
      </x:c>
      <x:c r="J38" s="6" t="n">
        <x:v>548000</x:v>
      </x:c>
      <x:c r="K38" s="11" t="n">
        <x:v>5</x:v>
      </x:c>
      <x:c r="L38" s="11" t="n">
        <x:v>201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468000</x:v>
      </x:c>
      <x:c r="E39" s="6" t="n">
        <x:f>C39-D39</x:f>
        <x:v>-168000</x:v>
      </x:c>
      <x:c r="F39" s="6" t="n">
        <x:f>F38+E39</x:f>
        <x:v>-15425000</x:v>
      </x:c>
      <x:c r="G39" s="6" t="n">
        <x:v>-120000</x:v>
      </x:c>
      <x:c r="H39" s="6" t="n">
        <x:v>-48000</x:v>
      </x:c>
      <x:c r="I39" s="6" t="n">
        <x:v>-178000</x:v>
      </x:c>
      <x:c r="J39" s="6" t="n">
        <x:v>178000</x:v>
      </x:c>
      <x:c r="K39" s="11" t="n">
        <x:v>5</x:v>
      </x:c>
      <x:c r="L39" s="11" t="n">
        <x:v>33</x:v>
      </x:c>
    </x:row>
    <x:row r="40" ht="25" customHeight="1">
      <x:c r="A40" s="2" t="str">
        <x:v>2026-10-14_Day</x:v>
      </x:c>
      <x:c r="B40" s="2" t="str">
        <x:v>次10場</x:v>
      </x:c>
      <x:c r="C40" s="6" t="n">
        <x:v>420000</x:v>
      </x:c>
      <x:c r="D40" s="6" t="n">
        <x:v>867000</x:v>
      </x:c>
      <x:c r="E40" s="6" t="n">
        <x:f>C40-D40</x:f>
        <x:v>-447000</x:v>
      </x:c>
      <x:c r="F40" s="6" t="n">
        <x:f>F39+E40</x:f>
        <x:v>-15872000</x:v>
      </x:c>
      <x:c r="G40" s="6" t="n">
        <x:v>40000</x:v>
      </x:c>
      <x:c r="H40" s="6" t="n">
        <x:v>-487000</x:v>
      </x:c>
      <x:c r="I40" s="6" t="n">
        <x:v>-697000</x:v>
      </x:c>
      <x:c r="J40" s="6" t="n">
        <x:v>869000</x:v>
      </x:c>
      <x:c r="K40" s="11" t="n">
        <x:v>5</x:v>
      </x:c>
      <x:c r="L40" s="11" t="n">
        <x:v>293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1450000</x:v>
      </x:c>
      <x:c r="D41" s="6" t="n">
        <x:v>3204000</x:v>
      </x:c>
      <x:c r="E41" s="6" t="n">
        <x:f>C41-D41</x:f>
        <x:v>-1754000</x:v>
      </x:c>
      <x:c r="F41" s="6" t="n">
        <x:f>F40+E41</x:f>
        <x:v>-17626000</x:v>
      </x:c>
      <x:c r="G41" s="6" t="n">
        <x:v>-490000</x:v>
      </x:c>
      <x:c r="H41" s="6" t="n">
        <x:v>-1264000</x:v>
      </x:c>
      <x:c r="I41" s="6" t="n">
        <x:v>-1784000</x:v>
      </x:c>
      <x:c r="J41" s="6" t="n">
        <x:v>1794000</x:v>
      </x:c>
      <x:c r="K41" s="11" t="n">
        <x:v>14</x:v>
      </x:c>
      <x:c r="L41" s="11" t="n">
        <x:v>639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1191000</x:v>
      </x:c>
      <x:c r="D42" s="6" t="n">
        <x:v>2807000</x:v>
      </x:c>
      <x:c r="E42" s="6" t="n">
        <x:f>C42-D42</x:f>
        <x:v>-1616000</x:v>
      </x:c>
      <x:c r="F42" s="6" t="n">
        <x:f>F41+E42</x:f>
        <x:v>-19242000</x:v>
      </x:c>
      <x:c r="G42" s="6" t="n">
        <x:v>-120000</x:v>
      </x:c>
      <x:c r="H42" s="6" t="n">
        <x:v>-1496000</x:v>
      </x:c>
      <x:c r="I42" s="6" t="n">
        <x:v>-2526000</x:v>
      </x:c>
      <x:c r="J42" s="6" t="n">
        <x:v>2766000</x:v>
      </x:c>
      <x:c r="K42" s="11" t="n">
        <x:v>12</x:v>
      </x:c>
      <x:c r="L42" s="11" t="n">
        <x:v>949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1590000</x:v>
      </x:c>
      <x:c r="D43" s="6" t="n">
        <x:v>2225000</x:v>
      </x:c>
      <x:c r="E43" s="6" t="n">
        <x:f>C43-D43</x:f>
        <x:v>-635000</x:v>
      </x:c>
      <x:c r="F43" s="6" t="n">
        <x:f>F42+E43</x:f>
        <x:v>-19877000</x:v>
      </x:c>
      <x:c r="G43" s="6" t="n">
        <x:v>160000</x:v>
      </x:c>
      <x:c r="H43" s="6" t="n">
        <x:v>-795000</x:v>
      </x:c>
      <x:c r="I43" s="6" t="n">
        <x:v>-895000</x:v>
      </x:c>
      <x:c r="J43" s="6" t="n">
        <x:v>950000</x:v>
      </x:c>
      <x:c r="K43" s="11" t="n">
        <x:v>16</x:v>
      </x:c>
      <x:c r="L43" s="11" t="n">
        <x:v>403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1005000</x:v>
      </x:c>
      <x:c r="D44" s="6" t="n">
        <x:v>582000</x:v>
      </x:c>
      <x:c r="E44" s="6" t="n">
        <x:f>C44-D44</x:f>
        <x:v>423000</x:v>
      </x:c>
      <x:c r="F44" s="6" t="n">
        <x:f>F43+E44</x:f>
        <x:v>-19454000</x:v>
      </x:c>
      <x:c r="G44" s="6" t="n">
        <x:v>820000</x:v>
      </x:c>
      <x:c r="H44" s="6" t="n">
        <x:v>-397000</x:v>
      </x:c>
      <x:c r="I44" s="6" t="n">
        <x:v>-67000</x:v>
      </x:c>
      <x:c r="J44" s="6" t="n">
        <x:v>705000</x:v>
      </x:c>
      <x:c r="K44" s="11" t="n">
        <x:v>11</x:v>
      </x:c>
      <x:c r="L44" s="11" t="n">
        <x:v>247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1740000</x:v>
      </x:c>
      <x:c r="D45" s="6" t="n">
        <x:v>2960000</x:v>
      </x:c>
      <x:c r="E45" s="6" t="n">
        <x:f>C45-D45</x:f>
        <x:v>-1220000</x:v>
      </x:c>
      <x:c r="F45" s="6" t="n">
        <x:f>F44+E45</x:f>
        <x:v>-20674000</x:v>
      </x:c>
      <x:c r="G45" s="6" t="n">
        <x:v>-320000</x:v>
      </x:c>
      <x:c r="H45" s="6" t="n">
        <x:v>-900000</x:v>
      </x:c>
      <x:c r="I45" s="6" t="n">
        <x:v>-1250000</x:v>
      </x:c>
      <x:c r="J45" s="6" t="n">
        <x:v>1436000</x:v>
      </x:c>
      <x:c r="K45" s="11" t="n">
        <x:v>20</x:v>
      </x:c>
      <x:c r="L45" s="11" t="n">
        <x:v>570</x:v>
      </x:c>
    </x:row>
    <x:row r="46" ht="25" customHeight="1">
      <x:c r="A46" s="2" t="str">
        <x:v>2026-10-19_Day</x:v>
      </x:c>
      <x:c r="B46" s="2" t="str">
        <x:v>後13場</x:v>
      </x:c>
      <x:c r="C46" s="6" t="n">
        <x:v>400000</x:v>
      </x:c>
      <x:c r="D46" s="6" t="n">
        <x:v>1603000</x:v>
      </x:c>
      <x:c r="E46" s="6" t="n">
        <x:f>C46-D46</x:f>
        <x:v>-1203000</x:v>
      </x:c>
      <x:c r="F46" s="6" t="n">
        <x:f>F45+E46</x:f>
        <x:v>-21877000</x:v>
      </x:c>
      <x:c r="G46" s="6" t="n">
        <x:v>-520000</x:v>
      </x:c>
      <x:c r="H46" s="6" t="n">
        <x:v>-683000</x:v>
      </x:c>
      <x:c r="I46" s="6" t="n">
        <x:v>-1423000</x:v>
      </x:c>
      <x:c r="J46" s="6" t="n">
        <x:v>1470000</x:v>
      </x:c>
      <x:c r="K46" s="11" t="n">
        <x:v>5</x:v>
      </x:c>
      <x:c r="L46" s="11" t="n">
        <x:v>447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760000</x:v>
      </x:c>
      <x:c r="E47" s="6" t="n">
        <x:f>C47-D47</x:f>
        <x:v>-180000</x:v>
      </x:c>
      <x:c r="F47" s="6" t="n">
        <x:f>F46+E47</x:f>
        <x:v>-22057000</x:v>
      </x:c>
      <x:c r="G47" s="6" t="n">
        <x:v>80000</x:v>
      </x:c>
      <x:c r="H47" s="6" t="n">
        <x:v>-260000</x:v>
      </x:c>
      <x:c r="I47" s="6" t="n">
        <x:v>-250000</x:v>
      </x:c>
      <x:c r="J47" s="6" t="n">
        <x:v>341000</x:v>
      </x:c>
      <x:c r="K47" s="11" t="n">
        <x:v>8</x:v>
      </x:c>
      <x:c r="L47" s="11" t="n">
        <x:v>162</x:v>
      </x:c>
    </x:row>
    <x:row r="48" ht="25" customHeight="1">
      <x:c r="A48" s="2" t="str">
        <x:v>2026-10-20_Day</x:v>
      </x:c>
      <x:c r="B48" s="2" t="str">
        <x:v>後13場</x:v>
      </x:c>
      <x:c r="C48" s="6" t="n">
        <x:v>470000</x:v>
      </x:c>
      <x:c r="D48" s="6" t="n">
        <x:v>1196000</x:v>
      </x:c>
      <x:c r="E48" s="6" t="n">
        <x:f>C48-D48</x:f>
        <x:v>-726000</x:v>
      </x:c>
      <x:c r="F48" s="6" t="n">
        <x:f>F47+E48</x:f>
        <x:v>-22783000</x:v>
      </x:c>
      <x:c r="G48" s="6" t="n">
        <x:v>10000</x:v>
      </x:c>
      <x:c r="H48" s="6" t="n">
        <x:v>-736000</x:v>
      </x:c>
      <x:c r="I48" s="6" t="n">
        <x:v>-1146000</x:v>
      </x:c>
      <x:c r="J48" s="6" t="n">
        <x:v>1302000</x:v>
      </x:c>
      <x:c r="K48" s="11" t="n">
        <x:v>6</x:v>
      </x:c>
      <x:c r="L48" s="11" t="n">
        <x:v>415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1050000</x:v>
      </x:c>
      <x:c r="D49" s="6" t="n">
        <x:v>1735000</x:v>
      </x:c>
      <x:c r="E49" s="6" t="n">
        <x:f>C49-D49</x:f>
        <x:v>-685000</x:v>
      </x:c>
      <x:c r="F49" s="6" t="n">
        <x:f>F48+E49</x:f>
        <x:v>-23468000</x:v>
      </x:c>
      <x:c r="G49" s="6" t="n">
        <x:v>-290000</x:v>
      </x:c>
      <x:c r="H49" s="6" t="n">
        <x:v>-395000</x:v>
      </x:c>
      <x:c r="I49" s="6" t="n">
        <x:v>-715000</x:v>
      </x:c>
      <x:c r="J49" s="6" t="n">
        <x:v>815000</x:v>
      </x:c>
      <x:c r="K49" s="11" t="n">
        <x:v>12</x:v>
      </x:c>
      <x:c r="L49" s="11" t="n">
        <x:v>259</x:v>
      </x:c>
    </x:row>
    <x:row r="50" ht="25" customHeight="1">
      <x:c r="A50" s="2" t="str">
        <x:v>2026-10-21_Day</x:v>
      </x:c>
      <x:c r="B50" s="2" t="str">
        <x:v>後13場</x:v>
      </x:c>
      <x:c r="C50" s="6" t="n">
        <x:v>300000</x:v>
      </x:c>
      <x:c r="D50" s="6" t="n">
        <x:v>1019000</x:v>
      </x:c>
      <x:c r="E50" s="6" t="n">
        <x:f>C50-D50</x:f>
        <x:v>-719000</x:v>
      </x:c>
      <x:c r="F50" s="6" t="n">
        <x:f>F49+E50</x:f>
        <x:v>-24187000</x:v>
      </x:c>
      <x:c r="G50" s="6" t="n">
        <x:v>-170000</x:v>
      </x:c>
      <x:c r="H50" s="6" t="n">
        <x:v>-549000</x:v>
      </x:c>
      <x:c r="I50" s="6" t="n">
        <x:v>-969000</x:v>
      </x:c>
      <x:c r="J50" s="6" t="n">
        <x:v>1019000</x:v>
      </x:c>
      <x:c r="K50" s="11" t="n">
        <x:v>4</x:v>
      </x:c>
      <x:c r="L50" s="11" t="n">
        <x:v>346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680000</x:v>
      </x:c>
      <x:c r="D51" s="6" t="n">
        <x:v>727000</x:v>
      </x:c>
      <x:c r="E51" s="6" t="n">
        <x:f>C51-D51</x:f>
        <x:v>-47000</x:v>
      </x:c>
      <x:c r="F51" s="6" t="n">
        <x:f>F50+E51</x:f>
        <x:v>-24234000</x:v>
      </x:c>
      <x:c r="G51" s="6" t="n">
        <x:v>30000</x:v>
      </x:c>
      <x:c r="H51" s="6" t="n">
        <x:v>-77000</x:v>
      </x:c>
      <x:c r="I51" s="6" t="n">
        <x:v>-197000</x:v>
      </x:c>
      <x:c r="J51" s="6" t="n">
        <x:v>197000</x:v>
      </x:c>
      <x:c r="K51" s="11" t="n">
        <x:v>9</x:v>
      </x:c>
      <x:c r="L51" s="11" t="n">
        <x:v>86</x:v>
      </x:c>
    </x:row>
    <x:row r="52" ht="25" customHeight="1">
      <x:c r="A52" s="2" t="str">
        <x:v>2026-10-22_Day</x:v>
      </x:c>
      <x:c r="B52" s="2" t="str">
        <x:v>後13場</x:v>
      </x:c>
      <x:c r="C52" s="6" t="n">
        <x:v>653000</x:v>
      </x:c>
      <x:c r="D52" s="6" t="n">
        <x:v>3091000</x:v>
      </x:c>
      <x:c r="E52" s="6" t="n">
        <x:f>C52-D52</x:f>
        <x:v>-2438000</x:v>
      </x:c>
      <x:c r="F52" s="6" t="n">
        <x:f>F51+E52</x:f>
        <x:v>-26672000</x:v>
      </x:c>
      <x:c r="G52" s="6" t="n">
        <x:v>-1170000</x:v>
      </x:c>
      <x:c r="H52" s="6" t="n">
        <x:v>-1268000</x:v>
      </x:c>
      <x:c r="I52" s="6" t="n">
        <x:v>-2678000</x:v>
      </x:c>
      <x:c r="J52" s="6" t="n">
        <x:v>2753000</x:v>
      </x:c>
      <x:c r="K52" s="11" t="n">
        <x:v>7</x:v>
      </x:c>
      <x:c r="L52" s="11" t="n">
        <x:v>871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920000</x:v>
      </x:c>
      <x:c r="D53" s="6" t="n">
        <x:v>1662000</x:v>
      </x:c>
      <x:c r="E53" s="6" t="n">
        <x:f>C53-D53</x:f>
        <x:v>-742000</x:v>
      </x:c>
      <x:c r="F53" s="6" t="n">
        <x:f>F52+E53</x:f>
        <x:v>-27414000</x:v>
      </x:c>
      <x:c r="G53" s="6" t="n">
        <x:v>-310000</x:v>
      </x:c>
      <x:c r="H53" s="6" t="n">
        <x:v>-432000</x:v>
      </x:c>
      <x:c r="I53" s="6" t="n">
        <x:v>-752000</x:v>
      </x:c>
      <x:c r="J53" s="6" t="n">
        <x:v>822000</x:v>
      </x:c>
      <x:c r="K53" s="11" t="n">
        <x:v>11</x:v>
      </x:c>
      <x:c r="L53" s="11" t="n">
        <x:v>291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1538000</x:v>
      </x:c>
      <x:c r="D54" s="6" t="n">
        <x:v>2458000</x:v>
      </x:c>
      <x:c r="E54" s="6" t="n">
        <x:f>C54-D54</x:f>
        <x:v>-920000</x:v>
      </x:c>
      <x:c r="F54" s="6" t="n">
        <x:f>F53+E54</x:f>
        <x:v>-28334000</x:v>
      </x:c>
      <x:c r="G54" s="6" t="n">
        <x:v>350000</x:v>
      </x:c>
      <x:c r="H54" s="6" t="n">
        <x:v>-1270000</x:v>
      </x:c>
      <x:c r="I54" s="6" t="n">
        <x:v>-1070000</x:v>
      </x:c>
      <x:c r="J54" s="6" t="n">
        <x:v>1320000</x:v>
      </x:c>
      <x:c r="K54" s="11" t="n">
        <x:v>16</x:v>
      </x:c>
      <x:c r="L54" s="11" t="n">
        <x:v>606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791000</x:v>
      </x:c>
      <x:c r="E55" s="6" t="n">
        <x:f>C55-D55</x:f>
        <x:v>-291000</x:v>
      </x:c>
      <x:c r="F55" s="6" t="n">
        <x:f>F54+E55</x:f>
        <x:v>-28625000</x:v>
      </x:c>
      <x:c r="G55" s="6" t="n">
        <x:v>-150000</x:v>
      </x:c>
      <x:c r="H55" s="6" t="n">
        <x:v>-141000</x:v>
      </x:c>
      <x:c r="I55" s="6" t="n">
        <x:v>-311000</x:v>
      </x:c>
      <x:c r="J55" s="6" t="n">
        <x:v>343000</x:v>
      </x:c>
      <x:c r="K55" s="11" t="n">
        <x:v>7</x:v>
      </x:c>
      <x:c r="L55" s="11" t="n">
        <x:v>91</x:v>
      </x:c>
    </x:row>
    <x:row r="56" ht="25" customHeight="1">
      <x:c r="A56" s="2" t="str">
        <x:v>2026-10-26_Day</x:v>
      </x:c>
      <x:c r="B56" s="2" t="str">
        <x:v>後13場</x:v>
      </x:c>
      <x:c r="C56" s="6" t="n">
        <x:v>440000</x:v>
      </x:c>
      <x:c r="D56" s="6" t="n">
        <x:v>1159000</x:v>
      </x:c>
      <x:c r="E56" s="6" t="n">
        <x:f>C56-D56</x:f>
        <x:v>-719000</x:v>
      </x:c>
      <x:c r="F56" s="6" t="n">
        <x:f>F55+E56</x:f>
        <x:v>-29344000</x:v>
      </x:c>
      <x:c r="G56" s="6" t="n">
        <x:v>-250000</x:v>
      </x:c>
      <x:c r="H56" s="6" t="n">
        <x:v>-469000</x:v>
      </x:c>
      <x:c r="I56" s="6" t="n">
        <x:v>-779000</x:v>
      </x:c>
      <x:c r="J56" s="6" t="n">
        <x:v>779000</x:v>
      </x:c>
      <x:c r="K56" s="11" t="n">
        <x:v>5</x:v>
      </x:c>
      <x:c r="L56" s="11" t="n">
        <x:v>315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680000</x:v>
      </x:c>
      <x:c r="D57" s="6" t="n">
        <x:v>1187000</x:v>
      </x:c>
      <x:c r="E57" s="6" t="n">
        <x:f>C57-D57</x:f>
        <x:v>-507000</x:v>
      </x:c>
      <x:c r="F57" s="6" t="n">
        <x:f>F56+E57</x:f>
        <x:v>-29851000</x:v>
      </x:c>
      <x:c r="G57" s="6" t="n">
        <x:v>-220000</x:v>
      </x:c>
      <x:c r="H57" s="6" t="n">
        <x:v>-287000</x:v>
      </x:c>
      <x:c r="I57" s="6" t="n">
        <x:v>-527000</x:v>
      </x:c>
      <x:c r="J57" s="6" t="n">
        <x:v>570000</x:v>
      </x:c>
      <x:c r="K57" s="11" t="n">
        <x:v>9</x:v>
      </x:c>
      <x:c r="L57" s="11" t="n">
        <x:v>154</x:v>
      </x:c>
    </x:row>
    <x:row r="58" ht="25" customHeight="1">
      <x:c r="A58" s="2" t="str">
        <x:v>2026-10-27_Day</x:v>
      </x:c>
      <x:c r="B58" s="2" t="str">
        <x:v>後13場</x:v>
      </x:c>
      <x:c r="C58" s="6" t="n">
        <x:v>903000</x:v>
      </x:c>
      <x:c r="D58" s="6" t="n">
        <x:v>510000</x:v>
      </x:c>
      <x:c r="E58" s="6" t="n">
        <x:f>C58-D58</x:f>
        <x:v>393000</x:v>
      </x:c>
      <x:c r="F58" s="6" t="n">
        <x:f>F57+E58</x:f>
        <x:v>-29458000</x:v>
      </x:c>
      <x:c r="G58" s="6" t="n">
        <x:v>900000</x:v>
      </x:c>
      <x:c r="H58" s="6" t="n">
        <x:v>-507000</x:v>
      </x:c>
      <x:c r="I58" s="6" t="n">
        <x:v>-222000</x:v>
      </x:c>
      <x:c r="J58" s="6" t="n">
        <x:v>573000</x:v>
      </x:c>
      <x:c r="K58" s="11" t="n">
        <x:v>9</x:v>
      </x:c>
      <x:c r="L58" s="11" t="n">
        <x:v>316</x:v>
      </x:c>
    </x:row>
    <x:row r="59" ht="25" customHeight="1">
      <x:c r="A59" s="15" t="str">
        <x:v>累計／場内最悪値</x:v>
      </x:c>
      <x:c r="B59" s="15"/>
      <x:c r="C59" s="16" t="n">
        <x:f>SUM(C6:C58)</x:f>
        <x:v>31794000</x:v>
      </x:c>
      <x:c r="D59" s="16" t="n">
        <x:f>SUM(D6:D58)</x:f>
        <x:v>61252000</x:v>
      </x:c>
      <x:c r="E59" s="16" t="n">
        <x:f>C59-D59</x:f>
        <x:v>-29458000</x:v>
      </x:c>
      <x:c r="F59" s="16" t="n">
        <x:f>F58</x:f>
        <x:v>-29458000</x:v>
      </x:c>
      <x:c r="G59" s="16" t="n">
        <x:f>SUM(G6:G58)</x:f>
        <x:v>-5850000</x:v>
      </x:c>
      <x:c r="H59" s="16" t="n">
        <x:f>SUM(H6:H58)</x:f>
        <x:v>-23608000</x:v>
      </x:c>
      <x:c r="I59" s="16" t="n">
        <x:f>MIN(I6:I58)</x:f>
        <x:v>-2902000</x:v>
      </x:c>
      <x:c r="J59" s="16" t="n">
        <x:f>MAX(J6:J58)</x:f>
        <x:v>2958000</x:v>
      </x:c>
      <x:c r="K59" s="17" t="n">
        <x:f>SUM(K6:K58)</x:f>
        <x:v>377</x:v>
      </x:c>
      <x:c r="L59" s="17" t="n">
        <x:f>SUM(L6:L58)</x:f>
        <x:v>14328</x:v>
      </x:c>
    </x:row>
  </x:sheetData>
  <x:conditionalFormatting sqref="E6:I58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e3e6e6beb74d98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H15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段20・即追尾・追尾20・固定段再交差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204000</x:v>
      </x:c>
      <x:c r="D6" s="6" t="n">
        <x:v>48000</x:v>
      </x:c>
      <x:c r="E6" s="6" t="n">
        <x:f>C6-D6</x:f>
        <x:v>156000</x:v>
      </x:c>
      <x:c r="F6" s="6" t="n">
        <x:f>E6</x:f>
        <x:v>156000</x:v>
      </x:c>
      <x:c r="G6" s="6" t="n">
        <x:v>200000</x:v>
      </x:c>
      <x:c r="H6" s="6" t="n">
        <x:v>-44000</x:v>
      </x:c>
      <x:c r="I6" s="6" t="n">
        <x:v>-70000</x:v>
      </x:c>
      <x:c r="J6" s="6" t="n">
        <x:v>127000</x:v>
      </x:c>
      <x:c r="K6" s="11" t="n">
        <x:v>2</x:v>
      </x:c>
      <x:c r="L6" s="11" t="n">
        <x:v>20</x:v>
      </x:c>
    </x:row>
    <x:row r="7" ht="25" customHeight="1">
      <x:c r="A7" s="2" t="str">
        <x:v>2026-09-21_Night</x:v>
      </x:c>
      <x:c r="B7" s="2" t="str">
        <x:v>前30場</x:v>
      </x:c>
      <x:c r="C7" s="6" t="n">
        <x:v>587000</x:v>
      </x:c>
      <x:c r="D7" s="6" t="n">
        <x:v>977000</x:v>
      </x:c>
      <x:c r="E7" s="6" t="n">
        <x:f>C7-D7</x:f>
        <x:v>-390000</x:v>
      </x:c>
      <x:c r="F7" s="6" t="n">
        <x:f>F6+E7</x:f>
        <x:v>-234000</x:v>
      </x:c>
      <x:c r="G7" s="6" t="n">
        <x:v>-239000</x:v>
      </x:c>
      <x:c r="H7" s="6" t="n">
        <x:v>-151000</x:v>
      </x:c>
      <x:c r="I7" s="6" t="n">
        <x:v>-520000</x:v>
      </x:c>
      <x:c r="J7" s="6" t="n">
        <x:v>610000</x:v>
      </x:c>
      <x:c r="K7" s="11" t="n">
        <x:v>7</x:v>
      </x:c>
      <x:c r="L7" s="11" t="n">
        <x:v>92</x:v>
      </x:c>
    </x:row>
    <x:row r="8" ht="25" customHeight="1">
      <x:c r="A8" s="2" t="str">
        <x:v>2026-09-22_Day</x:v>
      </x:c>
      <x:c r="B8" s="2" t="str">
        <x:v>前30場</x:v>
      </x:c>
      <x:c r="C8" s="6" t="n">
        <x:v>152000</x:v>
      </x:c>
      <x:c r="D8" s="6" t="n">
        <x:v>419000</x:v>
      </x:c>
      <x:c r="E8" s="6" t="n">
        <x:f>C8-D8</x:f>
        <x:v>-267000</x:v>
      </x:c>
      <x:c r="F8" s="6" t="n">
        <x:f>F7+E8</x:f>
        <x:v>-501000</x:v>
      </x:c>
      <x:c r="G8" s="6" t="n">
        <x:v>100000</x:v>
      </x:c>
      <x:c r="H8" s="6" t="n">
        <x:v>-367000</x:v>
      </x:c>
      <x:c r="I8" s="6" t="n">
        <x:v>-468000</x:v>
      </x:c>
      <x:c r="J8" s="6" t="n">
        <x:v>542000</x:v>
      </x:c>
      <x:c r="K8" s="11" t="n">
        <x:v>1</x:v>
      </x:c>
      <x:c r="L8" s="11" t="n">
        <x:v>220</x:v>
      </x:c>
    </x:row>
    <x:row r="9" ht="25" customHeight="1">
      <x:c r="A9" s="2" t="str">
        <x:v>2026-09-22_Night</x:v>
      </x:c>
      <x:c r="B9" s="2" t="str">
        <x:v>前30場</x:v>
      </x:c>
      <x:c r="C9" s="6" t="n">
        <x:v>607000</x:v>
      </x:c>
      <x:c r="D9" s="6" t="n">
        <x:v>976000</x:v>
      </x:c>
      <x:c r="E9" s="6" t="n">
        <x:f>C9-D9</x:f>
        <x:v>-369000</x:v>
      </x:c>
      <x:c r="F9" s="6" t="n">
        <x:f>F8+E9</x:f>
        <x:v>-870000</x:v>
      </x:c>
      <x:c r="G9" s="6" t="n">
        <x:v>-330000</x:v>
      </x:c>
      <x:c r="H9" s="6" t="n">
        <x:v>-39000</x:v>
      </x:c>
      <x:c r="I9" s="6" t="n">
        <x:v>-539000</x:v>
      </x:c>
      <x:c r="J9" s="6" t="n">
        <x:v>666000</x:v>
      </x:c>
      <x:c r="K9" s="11" t="n">
        <x:v>7</x:v>
      </x:c>
      <x:c r="L9" s="11" t="n">
        <x:v>42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-870000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576000</x:v>
      </x:c>
      <x:c r="D11" s="6" t="n">
        <x:v>1143000</x:v>
      </x:c>
      <x:c r="E11" s="6" t="n">
        <x:f>C11-D11</x:f>
        <x:v>-567000</x:v>
      </x:c>
      <x:c r="F11" s="6" t="n">
        <x:f>F10+E11</x:f>
        <x:v>-1437000</x:v>
      </x:c>
      <x:c r="G11" s="6" t="n">
        <x:v>-530000</x:v>
      </x:c>
      <x:c r="H11" s="6" t="n">
        <x:v>-37000</x:v>
      </x:c>
      <x:c r="I11" s="6" t="n">
        <x:v>-567000</x:v>
      </x:c>
      <x:c r="J11" s="6" t="n">
        <x:v>627000</x:v>
      </x:c>
      <x:c r="K11" s="11" t="n">
        <x:v>8</x:v>
      </x:c>
      <x:c r="L11" s="11" t="n">
        <x:v>44</x:v>
      </x:c>
    </x:row>
    <x:row r="12" ht="25" customHeight="1">
      <x:c r="A12" s="2" t="str">
        <x:v>2026-09-24_Day</x:v>
      </x:c>
      <x:c r="B12" s="2" t="str">
        <x:v>前30場</x:v>
      </x:c>
      <x:c r="C12" s="6" t="n">
        <x:v>361000</x:v>
      </x:c>
      <x:c r="D12" s="6" t="n">
        <x:v>474000</x:v>
      </x:c>
      <x:c r="E12" s="6" t="n">
        <x:f>C12-D12</x:f>
        <x:v>-113000</x:v>
      </x:c>
      <x:c r="F12" s="6" t="n">
        <x:f>F11+E12</x:f>
        <x:v>-1550000</x:v>
      </x:c>
      <x:c r="G12" s="6" t="n">
        <x:v>300000</x:v>
      </x:c>
      <x:c r="H12" s="6" t="n">
        <x:v>-413000</x:v>
      </x:c>
      <x:c r="I12" s="6" t="n">
        <x:v>-555000</x:v>
      </x:c>
      <x:c r="J12" s="6" t="n">
        <x:v>555000</x:v>
      </x:c>
      <x:c r="K12" s="11" t="n">
        <x:v>3</x:v>
      </x:c>
      <x:c r="L12" s="11" t="n">
        <x:v>254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521000</x:v>
      </x:c>
      <x:c r="D13" s="6" t="n">
        <x:v>781000</x:v>
      </x:c>
      <x:c r="E13" s="6" t="n">
        <x:f>C13-D13</x:f>
        <x:v>-260000</x:v>
      </x:c>
      <x:c r="F13" s="6" t="n">
        <x:f>F12+E13</x:f>
        <x:v>-1810000</x:v>
      </x:c>
      <x:c r="G13" s="6" t="n">
        <x:v>-216000</x:v>
      </x:c>
      <x:c r="H13" s="6" t="n">
        <x:v>-44000</x:v>
      </x:c>
      <x:c r="I13" s="6" t="n">
        <x:v>-320000</x:v>
      </x:c>
      <x:c r="J13" s="6" t="n">
        <x:v>400000</x:v>
      </x:c>
      <x:c r="K13" s="11" t="n">
        <x:v>9</x:v>
      </x:c>
      <x:c r="L13" s="11" t="n">
        <x:v>45</x:v>
      </x:c>
    </x:row>
    <x:row r="14" ht="25" customHeight="1">
      <x:c r="A14" s="2" t="str">
        <x:v>2026-09-25_Day</x:v>
      </x:c>
      <x:c r="B14" s="2" t="str">
        <x:v>前30場</x:v>
      </x:c>
      <x:c r="C14" s="6" t="n">
        <x:v>166000</x:v>
      </x:c>
      <x:c r="D14" s="6" t="n">
        <x:v>1272000</x:v>
      </x:c>
      <x:c r="E14" s="6" t="n">
        <x:f>C14-D14</x:f>
        <x:v>-1106000</x:v>
      </x:c>
      <x:c r="F14" s="6" t="n">
        <x:f>F13+E14</x:f>
        <x:v>-2916000</x:v>
      </x:c>
      <x:c r="G14" s="6" t="n">
        <x:v>-619000</x:v>
      </x:c>
      <x:c r="H14" s="6" t="n">
        <x:v>-487000</x:v>
      </x:c>
      <x:c r="I14" s="6" t="n">
        <x:v>-1226000</x:v>
      </x:c>
      <x:c r="J14" s="6" t="n">
        <x:v>1292000</x:v>
      </x:c>
      <x:c r="K14" s="11" t="n">
        <x:v>3</x:v>
      </x:c>
      <x:c r="L14" s="11" t="n">
        <x:v>291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471000</x:v>
      </x:c>
      <x:c r="D15" s="6" t="n">
        <x:v>692000</x:v>
      </x:c>
      <x:c r="E15" s="6" t="n">
        <x:f>C15-D15</x:f>
        <x:v>-221000</x:v>
      </x:c>
      <x:c r="F15" s="6" t="n">
        <x:f>F14+E15</x:f>
        <x:v>-3137000</x:v>
      </x:c>
      <x:c r="G15" s="6" t="n">
        <x:v>-188000</x:v>
      </x:c>
      <x:c r="H15" s="6" t="n">
        <x:v>-33000</x:v>
      </x:c>
      <x:c r="I15" s="6" t="n">
        <x:v>-241000</x:v>
      </x:c>
      <x:c r="J15" s="6" t="n">
        <x:v>241000</x:v>
      </x:c>
      <x:c r="K15" s="11" t="n">
        <x:v>8</x:v>
      </x:c>
      <x:c r="L15" s="11" t="n">
        <x:v>28</x:v>
      </x:c>
    </x:row>
    <x:row r="16" ht="25" customHeight="1">
      <x:c r="A16" s="2" t="str">
        <x:v>2026-09-28_Day</x:v>
      </x:c>
      <x:c r="B16" s="2" t="str">
        <x:v>前30場</x:v>
      </x:c>
      <x:c r="C16" s="6" t="n">
        <x:v>475000</x:v>
      </x:c>
      <x:c r="D16" s="6" t="n">
        <x:v>237000</x:v>
      </x:c>
      <x:c r="E16" s="6" t="n">
        <x:f>C16-D16</x:f>
        <x:v>238000</x:v>
      </x:c>
      <x:c r="F16" s="6" t="n">
        <x:f>F15+E16</x:f>
        <x:v>-2899000</x:v>
      </x:c>
      <x:c r="G16" s="6" t="n">
        <x:v>433000</x:v>
      </x:c>
      <x:c r="H16" s="6" t="n">
        <x:v>-195000</x:v>
      </x:c>
      <x:c r="I16" s="6" t="n">
        <x:v>-448000</x:v>
      </x:c>
      <x:c r="J16" s="6" t="n">
        <x:v>448000</x:v>
      </x:c>
      <x:c r="K16" s="11" t="n">
        <x:v>5</x:v>
      </x:c>
      <x:c r="L16" s="11" t="n">
        <x:v>130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699000</x:v>
      </x:c>
      <x:c r="D17" s="6" t="n">
        <x:v>593000</x:v>
      </x:c>
      <x:c r="E17" s="6" t="n">
        <x:f>C17-D17</x:f>
        <x:v>106000</x:v>
      </x:c>
      <x:c r="F17" s="6" t="n">
        <x:f>F16+E17</x:f>
        <x:v>-2793000</x:v>
      </x:c>
      <x:c r="G17" s="6" t="n">
        <x:v>231000</x:v>
      </x:c>
      <x:c r="H17" s="6" t="n">
        <x:v>-125000</x:v>
      </x:c>
      <x:c r="I17" s="6" t="n">
        <x:v>-214000</x:v>
      </x:c>
      <x:c r="J17" s="6" t="n">
        <x:v>220000</x:v>
      </x:c>
      <x:c r="K17" s="11" t="n">
        <x:v>10</x:v>
      </x:c>
      <x:c r="L17" s="11" t="n">
        <x:v>71</x:v>
      </x:c>
    </x:row>
    <x:row r="18" ht="25" customHeight="1">
      <x:c r="A18" s="2" t="str">
        <x:v>2026-09-29_Day</x:v>
      </x:c>
      <x:c r="B18" s="2" t="str">
        <x:v>前30場</x:v>
      </x:c>
      <x:c r="C18" s="6" t="n">
        <x:v>409000</x:v>
      </x:c>
      <x:c r="D18" s="6" t="n">
        <x:v>678000</x:v>
      </x:c>
      <x:c r="E18" s="6" t="n">
        <x:f>C18-D18</x:f>
        <x:v>-269000</x:v>
      </x:c>
      <x:c r="F18" s="6" t="n">
        <x:f>F17+E18</x:f>
        <x:v>-3062000</x:v>
      </x:c>
      <x:c r="G18" s="6" t="n">
        <x:v>-80000</x:v>
      </x:c>
      <x:c r="H18" s="6" t="n">
        <x:v>-189000</x:v>
      </x:c>
      <x:c r="I18" s="6" t="n">
        <x:v>-879000</x:v>
      </x:c>
      <x:c r="J18" s="6" t="n">
        <x:v>879000</x:v>
      </x:c>
      <x:c r="K18" s="11" t="n">
        <x:v>5</x:v>
      </x:c>
      <x:c r="L18" s="11" t="n">
        <x:v>126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704000</x:v>
      </x:c>
      <x:c r="D19" s="6" t="n">
        <x:v>862000</x:v>
      </x:c>
      <x:c r="E19" s="6" t="n">
        <x:f>C19-D19</x:f>
        <x:v>-158000</x:v>
      </x:c>
      <x:c r="F19" s="6" t="n">
        <x:f>F18+E19</x:f>
        <x:v>-3220000</x:v>
      </x:c>
      <x:c r="G19" s="6" t="n">
        <x:v>30000</x:v>
      </x:c>
      <x:c r="H19" s="6" t="n">
        <x:v>-188000</x:v>
      </x:c>
      <x:c r="I19" s="6" t="n">
        <x:v>-218000</x:v>
      </x:c>
      <x:c r="J19" s="6" t="n">
        <x:v>274000</x:v>
      </x:c>
      <x:c r="K19" s="11" t="n">
        <x:v>12</x:v>
      </x:c>
      <x:c r="L19" s="11" t="n">
        <x:v>96</x:v>
      </x:c>
    </x:row>
    <x:row r="20" ht="25" customHeight="1">
      <x:c r="A20" s="2" t="str">
        <x:v>2026-09-30_Day</x:v>
      </x:c>
      <x:c r="B20" s="2" t="str">
        <x:v>前30場</x:v>
      </x:c>
      <x:c r="C20" s="6" t="n">
        <x:v>229000</x:v>
      </x:c>
      <x:c r="D20" s="6" t="n">
        <x:v>997000</x:v>
      </x:c>
      <x:c r="E20" s="6" t="n">
        <x:f>C20-D20</x:f>
        <x:v>-768000</x:v>
      </x:c>
      <x:c r="F20" s="6" t="n">
        <x:f>F19+E20</x:f>
        <x:v>-3988000</x:v>
      </x:c>
      <x:c r="G20" s="6" t="n">
        <x:v>-420000</x:v>
      </x:c>
      <x:c r="H20" s="6" t="n">
        <x:v>-348000</x:v>
      </x:c>
      <x:c r="I20" s="6" t="n">
        <x:v>-768000</x:v>
      </x:c>
      <x:c r="J20" s="6" t="n">
        <x:v>905000</x:v>
      </x:c>
      <x:c r="K20" s="11" t="n">
        <x:v>3</x:v>
      </x:c>
      <x:c r="L20" s="11" t="n">
        <x:v>194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824000</x:v>
      </x:c>
      <x:c r="E21" s="6" t="n">
        <x:f>C21-D21</x:f>
        <x:v>-224000</x:v>
      </x:c>
      <x:c r="F21" s="6" t="n">
        <x:f>F20+E21</x:f>
        <x:v>-4212000</x:v>
      </x:c>
      <x:c r="G21" s="6" t="n">
        <x:v>-140000</x:v>
      </x:c>
      <x:c r="H21" s="6" t="n">
        <x:v>-84000</x:v>
      </x:c>
      <x:c r="I21" s="6" t="n">
        <x:v>-384000</x:v>
      </x:c>
      <x:c r="J21" s="6" t="n">
        <x:v>384000</x:v>
      </x:c>
      <x:c r="K21" s="11" t="n">
        <x:v>10</x:v>
      </x:c>
      <x:c r="L21" s="11" t="n">
        <x:v>65</x:v>
      </x:c>
    </x:row>
    <x:row r="22" ht="25" customHeight="1">
      <x:c r="A22" s="2" t="str">
        <x:v>2026-10-01_Day</x:v>
      </x:c>
      <x:c r="B22" s="2" t="str">
        <x:v>前30場</x:v>
      </x:c>
      <x:c r="C22" s="6" t="n">
        <x:v>276000</x:v>
      </x:c>
      <x:c r="D22" s="6" t="n">
        <x:v>2211000</x:v>
      </x:c>
      <x:c r="E22" s="6" t="n">
        <x:f>C22-D22</x:f>
        <x:v>-1935000</x:v>
      </x:c>
      <x:c r="F22" s="6" t="n">
        <x:f>F21+E22</x:f>
        <x:v>-6147000</x:v>
      </x:c>
      <x:c r="G22" s="6" t="n">
        <x:v>-1421000</x:v>
      </x:c>
      <x:c r="H22" s="6" t="n">
        <x:v>-514000</x:v>
      </x:c>
      <x:c r="I22" s="6" t="n">
        <x:v>-2135000</x:v>
      </x:c>
      <x:c r="J22" s="6" t="n">
        <x:v>2135000</x:v>
      </x:c>
      <x:c r="K22" s="11" t="n">
        <x:v>3</x:v>
      </x:c>
      <x:c r="L22" s="11" t="n">
        <x:v>289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890000</x:v>
      </x:c>
      <x:c r="D23" s="6" t="n">
        <x:v>916000</x:v>
      </x:c>
      <x:c r="E23" s="6" t="n">
        <x:f>C23-D23</x:f>
        <x:v>-26000</x:v>
      </x:c>
      <x:c r="F23" s="6" t="n">
        <x:f>F22+E23</x:f>
        <x:v>-6173000</x:v>
      </x:c>
      <x:c r="G23" s="6" t="n">
        <x:v>0</x:v>
      </x:c>
      <x:c r="H23" s="6" t="n">
        <x:v>-26000</x:v>
      </x:c>
      <x:c r="I23" s="6" t="n">
        <x:v>-196000</x:v>
      </x:c>
      <x:c r="J23" s="6" t="n">
        <x:v>303000</x:v>
      </x:c>
      <x:c r="K23" s="11" t="n">
        <x:v>11</x:v>
      </x:c>
      <x:c r="L23" s="11" t="n">
        <x:v>37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360000</x:v>
      </x:c>
      <x:c r="D24" s="6" t="n">
        <x:v>731000</x:v>
      </x:c>
      <x:c r="E24" s="6" t="n">
        <x:f>C24-D24</x:f>
        <x:v>-371000</x:v>
      </x:c>
      <x:c r="F24" s="6" t="n">
        <x:f>F23+E24</x:f>
        <x:v>-6544000</x:v>
      </x:c>
      <x:c r="G24" s="6" t="n">
        <x:v>-10000</x:v>
      </x:c>
      <x:c r="H24" s="6" t="n">
        <x:v>-361000</x:v>
      </x:c>
      <x:c r="I24" s="6" t="n">
        <x:v>-617000</x:v>
      </x:c>
      <x:c r="J24" s="6" t="n">
        <x:v>637000</x:v>
      </x:c>
      <x:c r="K24" s="11" t="n">
        <x:v>5</x:v>
      </x:c>
      <x:c r="L24" s="11" t="n">
        <x:v>208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1073000</x:v>
      </x:c>
      <x:c r="D25" s="6" t="n">
        <x:v>1200000</x:v>
      </x:c>
      <x:c r="E25" s="6" t="n">
        <x:f>C25-D25</x:f>
        <x:v>-127000</x:v>
      </x:c>
      <x:c r="F25" s="6" t="n">
        <x:f>F24+E25</x:f>
        <x:v>-6671000</x:v>
      </x:c>
      <x:c r="G25" s="6" t="n">
        <x:v>-129000</x:v>
      </x:c>
      <x:c r="H25" s="6" t="n">
        <x:v>2000</x:v>
      </x:c>
      <x:c r="I25" s="6" t="n">
        <x:v>-467000</x:v>
      </x:c>
      <x:c r="J25" s="6" t="n">
        <x:v>530000</x:v>
      </x:c>
      <x:c r="K25" s="11" t="n">
        <x:v>16</x:v>
      </x:c>
      <x:c r="L25" s="11" t="n">
        <x:v>28</x:v>
      </x:c>
    </x:row>
    <x:row r="26" ht="25" customHeight="1">
      <x:c r="A26" s="2" t="str">
        <x:v>2026-10-05_Day</x:v>
      </x:c>
      <x:c r="B26" s="2" t="str">
        <x:v>前30場</x:v>
      </x:c>
      <x:c r="C26" s="6" t="n">
        <x:v>288000</x:v>
      </x:c>
      <x:c r="D26" s="6" t="n">
        <x:v>878000</x:v>
      </x:c>
      <x:c r="E26" s="6" t="n">
        <x:f>C26-D26</x:f>
        <x:v>-590000</x:v>
      </x:c>
      <x:c r="F26" s="6" t="n">
        <x:f>F25+E26</x:f>
        <x:v>-7261000</x:v>
      </x:c>
      <x:c r="G26" s="6" t="n">
        <x:v>-216000</x:v>
      </x:c>
      <x:c r="H26" s="6" t="n">
        <x:v>-374000</x:v>
      </x:c>
      <x:c r="I26" s="6" t="n">
        <x:v>-638000</x:v>
      </x:c>
      <x:c r="J26" s="6" t="n">
        <x:v>688000</x:v>
      </x:c>
      <x:c r="K26" s="11" t="n">
        <x:v>3</x:v>
      </x:c>
      <x:c r="L26" s="11" t="n">
        <x:v>215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410000</x:v>
      </x:c>
      <x:c r="D27" s="6" t="n">
        <x:v>558000</x:v>
      </x:c>
      <x:c r="E27" s="6" t="n">
        <x:f>C27-D27</x:f>
        <x:v>-148000</x:v>
      </x:c>
      <x:c r="F27" s="6" t="n">
        <x:f>F26+E27</x:f>
        <x:v>-7409000</x:v>
      </x:c>
      <x:c r="G27" s="6" t="n">
        <x:v>-50000</x:v>
      </x:c>
      <x:c r="H27" s="6" t="n">
        <x:v>-98000</x:v>
      </x:c>
      <x:c r="I27" s="6" t="n">
        <x:v>-289000</x:v>
      </x:c>
      <x:c r="J27" s="6" t="n">
        <x:v>309000</x:v>
      </x:c>
      <x:c r="K27" s="11" t="n">
        <x:v>6</x:v>
      </x:c>
      <x:c r="L27" s="11" t="n">
        <x:v>46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108000</x:v>
      </x:c>
      <x:c r="D28" s="6" t="n">
        <x:v>117000</x:v>
      </x:c>
      <x:c r="E28" s="6" t="n">
        <x:f>C28-D28</x:f>
        <x:v>-9000</x:v>
      </x:c>
      <x:c r="F28" s="6" t="n">
        <x:f>F27+E28</x:f>
        <x:v>-7418000</x:v>
      </x:c>
      <x:c r="G28" s="6" t="n">
        <x:v>100000</x:v>
      </x:c>
      <x:c r="H28" s="6" t="n">
        <x:v>-109000</x:v>
      </x:c>
      <x:c r="I28" s="6" t="n">
        <x:v>-218000</x:v>
      </x:c>
      <x:c r="J28" s="6" t="n">
        <x:v>218000</x:v>
      </x:c>
      <x:c r="K28" s="11" t="n">
        <x:v>1</x:v>
      </x:c>
      <x:c r="L28" s="11" t="n">
        <x:v>56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564000</x:v>
      </x:c>
      <x:c r="D29" s="6" t="n">
        <x:v>633000</x:v>
      </x:c>
      <x:c r="E29" s="6" t="n">
        <x:f>C29-D29</x:f>
        <x:v>-69000</x:v>
      </x:c>
      <x:c r="F29" s="6" t="n">
        <x:f>F28+E29</x:f>
        <x:v>-7487000</x:v>
      </x:c>
      <x:c r="G29" s="6" t="n">
        <x:v>31000</x:v>
      </x:c>
      <x:c r="H29" s="6" t="n">
        <x:v>-100000</x:v>
      </x:c>
      <x:c r="I29" s="6" t="n">
        <x:v>-210000</x:v>
      </x:c>
      <x:c r="J29" s="6" t="n">
        <x:v>260000</x:v>
      </x:c>
      <x:c r="K29" s="11" t="n">
        <x:v>9</x:v>
      </x:c>
      <x:c r="L29" s="11" t="n">
        <x:v>52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207000</x:v>
      </x:c>
      <x:c r="D30" s="6" t="n">
        <x:v>197000</x:v>
      </x:c>
      <x:c r="E30" s="6" t="n">
        <x:f>C30-D30</x:f>
        <x:v>10000</x:v>
      </x:c>
      <x:c r="F30" s="6" t="n">
        <x:f>F29+E30</x:f>
        <x:v>-7477000</x:v>
      </x:c>
      <x:c r="G30" s="6" t="n">
        <x:v>200000</x:v>
      </x:c>
      <x:c r="H30" s="6" t="n">
        <x:v>-190000</x:v>
      </x:c>
      <x:c r="I30" s="6" t="n">
        <x:v>-159000</x:v>
      </x:c>
      <x:c r="J30" s="6" t="n">
        <x:v>229000</x:v>
      </x:c>
      <x:c r="K30" s="11" t="n">
        <x:v>2</x:v>
      </x:c>
      <x:c r="L30" s="11" t="n">
        <x:v>98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803000</x:v>
      </x:c>
      <x:c r="D31" s="6" t="n">
        <x:v>1018000</x:v>
      </x:c>
      <x:c r="E31" s="6" t="n">
        <x:f>C31-D31</x:f>
        <x:v>-215000</x:v>
      </x:c>
      <x:c r="F31" s="6" t="n">
        <x:f>F30+E31</x:f>
        <x:v>-7692000</x:v>
      </x:c>
      <x:c r="G31" s="6" t="n">
        <x:v>-139000</x:v>
      </x:c>
      <x:c r="H31" s="6" t="n">
        <x:v>-76000</x:v>
      </x:c>
      <x:c r="I31" s="6" t="n">
        <x:v>-225000</x:v>
      </x:c>
      <x:c r="J31" s="6" t="n">
        <x:v>243000</x:v>
      </x:c>
      <x:c r="K31" s="11" t="n">
        <x:v>12</x:v>
      </x:c>
      <x:c r="L31" s="11" t="n">
        <x:v>43</x:v>
      </x:c>
    </x:row>
    <x:row r="32" ht="25" customHeight="1">
      <x:c r="A32" s="2" t="str">
        <x:v>2026-10-08_Day</x:v>
      </x:c>
      <x:c r="B32" s="2" t="str">
        <x:v>前30場</x:v>
      </x:c>
      <x:c r="C32" s="6" t="n">
        <x:v>391000</x:v>
      </x:c>
      <x:c r="D32" s="6" t="n">
        <x:v>1628000</x:v>
      </x:c>
      <x:c r="E32" s="6" t="n">
        <x:f>C32-D32</x:f>
        <x:v>-1237000</x:v>
      </x:c>
      <x:c r="F32" s="6" t="n">
        <x:f>F31+E32</x:f>
        <x:v>-8929000</x:v>
      </x:c>
      <x:c r="G32" s="6" t="n">
        <x:v>-830000</x:v>
      </x:c>
      <x:c r="H32" s="6" t="n">
        <x:v>-407000</x:v>
      </x:c>
      <x:c r="I32" s="6" t="n">
        <x:v>-1237000</x:v>
      </x:c>
      <x:c r="J32" s="6" t="n">
        <x:v>1428000</x:v>
      </x:c>
      <x:c r="K32" s="11" t="n">
        <x:v>4</x:v>
      </x:c>
      <x:c r="L32" s="11" t="n">
        <x:v>281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1149000</x:v>
      </x:c>
      <x:c r="D33" s="6" t="n">
        <x:v>1703000</x:v>
      </x:c>
      <x:c r="E33" s="6" t="n">
        <x:f>C33-D33</x:f>
        <x:v>-554000</x:v>
      </x:c>
      <x:c r="F33" s="6" t="n">
        <x:f>F32+E33</x:f>
        <x:v>-9483000</x:v>
      </x:c>
      <x:c r="G33" s="6" t="n">
        <x:v>-251000</x:v>
      </x:c>
      <x:c r="H33" s="6" t="n">
        <x:v>-303000</x:v>
      </x:c>
      <x:c r="I33" s="6" t="n">
        <x:v>-554000</x:v>
      </x:c>
      <x:c r="J33" s="6" t="n">
        <x:v>654000</x:v>
      </x:c>
      <x:c r="K33" s="11" t="n">
        <x:v>21</x:v>
      </x:c>
      <x:c r="L33" s="11" t="n">
        <x:v>168</x:v>
      </x:c>
    </x:row>
    <x:row r="34" ht="25" customHeight="1">
      <x:c r="A34" s="2" t="str">
        <x:v>2026-10-09_Day</x:v>
      </x:c>
      <x:c r="B34" s="2" t="str">
        <x:v>前30場</x:v>
      </x:c>
      <x:c r="C34" s="6" t="n">
        <x:v>687000</x:v>
      </x:c>
      <x:c r="D34" s="6" t="n">
        <x:v>1777000</x:v>
      </x:c>
      <x:c r="E34" s="6" t="n">
        <x:f>C34-D34</x:f>
        <x:v>-1090000</x:v>
      </x:c>
      <x:c r="F34" s="6" t="n">
        <x:f>F33+E34</x:f>
        <x:v>-10573000</x:v>
      </x:c>
      <x:c r="G34" s="6" t="n">
        <x:v>-450000</x:v>
      </x:c>
      <x:c r="H34" s="6" t="n">
        <x:v>-640000</x:v>
      </x:c>
      <x:c r="I34" s="6" t="n">
        <x:v>-1140000</x:v>
      </x:c>
      <x:c r="J34" s="6" t="n">
        <x:v>1246000</x:v>
      </x:c>
      <x:c r="K34" s="11" t="n">
        <x:v>7</x:v>
      </x:c>
      <x:c r="L34" s="11" t="n">
        <x:v>441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491000</x:v>
      </x:c>
      <x:c r="D35" s="6" t="n">
        <x:v>501000</x:v>
      </x:c>
      <x:c r="E35" s="6" t="n">
        <x:f>C35-D35</x:f>
        <x:v>-10000</x:v>
      </x:c>
      <x:c r="F35" s="6" t="n">
        <x:f>F34+E35</x:f>
        <x:v>-10583000</x:v>
      </x:c>
      <x:c r="G35" s="6" t="n">
        <x:v>20000</x:v>
      </x:c>
      <x:c r="H35" s="6" t="n">
        <x:v>-30000</x:v>
      </x:c>
      <x:c r="I35" s="6" t="n">
        <x:v>-170000</x:v>
      </x:c>
      <x:c r="J35" s="6" t="n">
        <x:v>220000</x:v>
      </x:c>
      <x:c r="K35" s="11" t="n">
        <x:v>8</x:v>
      </x:c>
      <x:c r="L35" s="11" t="n">
        <x:v>25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-10583000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711000</x:v>
      </x:c>
      <x:c r="D37" s="6" t="n">
        <x:v>862000</x:v>
      </x:c>
      <x:c r="E37" s="6" t="n">
        <x:f>C37-D37</x:f>
        <x:v>-151000</x:v>
      </x:c>
      <x:c r="F37" s="6" t="n">
        <x:f>F36+E37</x:f>
        <x:v>-10734000</x:v>
      </x:c>
      <x:c r="G37" s="6" t="n">
        <x:v>-120000</x:v>
      </x:c>
      <x:c r="H37" s="6" t="n">
        <x:v>-31000</x:v>
      </x:c>
      <x:c r="I37" s="6" t="n">
        <x:v>-181000</x:v>
      </x:c>
      <x:c r="J37" s="6" t="n">
        <x:v>210000</x:v>
      </x:c>
      <x:c r="K37" s="11" t="n">
        <x:v>11</x:v>
      </x:c>
      <x:c r="L37" s="11" t="n">
        <x:v>30</x:v>
      </x:c>
    </x:row>
    <x:row r="38" ht="25" customHeight="1">
      <x:c r="A38" s="2" t="str">
        <x:v>2026-10-13_Day</x:v>
      </x:c>
      <x:c r="B38" s="2" t="str">
        <x:v>次10場</x:v>
      </x:c>
      <x:c r="C38" s="6" t="n">
        <x:v>579000</x:v>
      </x:c>
      <x:c r="D38" s="6" t="n">
        <x:v>829000</x:v>
      </x:c>
      <x:c r="E38" s="6" t="n">
        <x:f>C38-D38</x:f>
        <x:v>-250000</x:v>
      </x:c>
      <x:c r="F38" s="6" t="n">
        <x:f>F37+E38</x:f>
        <x:v>-10984000</x:v>
      </x:c>
      <x:c r="G38" s="6" t="n">
        <x:v>502000</x:v>
      </x:c>
      <x:c r="H38" s="6" t="n">
        <x:v>-752000</x:v>
      </x:c>
      <x:c r="I38" s="6" t="n">
        <x:v>-430000</x:v>
      </x:c>
      <x:c r="J38" s="6" t="n">
        <x:v>469000</x:v>
      </x:c>
      <x:c r="K38" s="11" t="n">
        <x:v>7</x:v>
      </x:c>
      <x:c r="L38" s="11" t="n">
        <x:v>426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449000</x:v>
      </x:c>
      <x:c r="D39" s="6" t="n">
        <x:v>444000</x:v>
      </x:c>
      <x:c r="E39" s="6" t="n">
        <x:f>C39-D39</x:f>
        <x:v>5000</x:v>
      </x:c>
      <x:c r="F39" s="6" t="n">
        <x:f>F38+E39</x:f>
        <x:v>-10979000</x:v>
      </x:c>
      <x:c r="G39" s="6" t="n">
        <x:v>129000</x:v>
      </x:c>
      <x:c r="H39" s="6" t="n">
        <x:v>-124000</x:v>
      </x:c>
      <x:c r="I39" s="6" t="n">
        <x:v>-167000</x:v>
      </x:c>
      <x:c r="J39" s="6" t="n">
        <x:v>167000</x:v>
      </x:c>
      <x:c r="K39" s="11" t="n">
        <x:v>8</x:v>
      </x:c>
      <x:c r="L39" s="11" t="n">
        <x:v>117</x:v>
      </x:c>
    </x:row>
    <x:row r="40" ht="25" customHeight="1">
      <x:c r="A40" s="2" t="str">
        <x:v>2026-10-14_Day</x:v>
      </x:c>
      <x:c r="B40" s="2" t="str">
        <x:v>次10場</x:v>
      </x:c>
      <x:c r="C40" s="6" t="n">
        <x:v>509000</x:v>
      </x:c>
      <x:c r="D40" s="6" t="n">
        <x:v>1299000</x:v>
      </x:c>
      <x:c r="E40" s="6" t="n">
        <x:f>C40-D40</x:f>
        <x:v>-790000</x:v>
      </x:c>
      <x:c r="F40" s="6" t="n">
        <x:f>F39+E40</x:f>
        <x:v>-11769000</x:v>
      </x:c>
      <x:c r="G40" s="6" t="n">
        <x:v>30000</x:v>
      </x:c>
      <x:c r="H40" s="6" t="n">
        <x:v>-820000</x:v>
      </x:c>
      <x:c r="I40" s="6" t="n">
        <x:v>-878000</x:v>
      </x:c>
      <x:c r="J40" s="6" t="n">
        <x:v>1029000</x:v>
      </x:c>
      <x:c r="K40" s="11" t="n">
        <x:v>6</x:v>
      </x:c>
      <x:c r="L40" s="11" t="n">
        <x:v>483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1463000</x:v>
      </x:c>
      <x:c r="D41" s="6" t="n">
        <x:v>2165000</x:v>
      </x:c>
      <x:c r="E41" s="6" t="n">
        <x:f>C41-D41</x:f>
        <x:v>-702000</x:v>
      </x:c>
      <x:c r="F41" s="6" t="n">
        <x:f>F40+E41</x:f>
        <x:v>-12471000</x:v>
      </x:c>
      <x:c r="G41" s="6" t="n">
        <x:v>-486000</x:v>
      </x:c>
      <x:c r="H41" s="6" t="n">
        <x:v>-216000</x:v>
      </x:c>
      <x:c r="I41" s="6" t="n">
        <x:v>-732000</x:v>
      </x:c>
      <x:c r="J41" s="6" t="n">
        <x:v>742000</x:v>
      </x:c>
      <x:c r="K41" s="11" t="n">
        <x:v>15</x:v>
      </x:c>
      <x:c r="L41" s="11" t="n">
        <x:v>47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1170000</x:v>
      </x:c>
      <x:c r="D42" s="6" t="n">
        <x:v>1542000</x:v>
      </x:c>
      <x:c r="E42" s="6" t="n">
        <x:f>C42-D42</x:f>
        <x:v>-372000</x:v>
      </x:c>
      <x:c r="F42" s="6" t="n">
        <x:f>F41+E42</x:f>
        <x:v>-12843000</x:v>
      </x:c>
      <x:c r="G42" s="6" t="n">
        <x:v>-92000</x:v>
      </x:c>
      <x:c r="H42" s="6" t="n">
        <x:v>-280000</x:v>
      </x:c>
      <x:c r="I42" s="6" t="n">
        <x:v>-1282000</x:v>
      </x:c>
      <x:c r="J42" s="6" t="n">
        <x:v>1497000</x:v>
      </x:c>
      <x:c r="K42" s="11" t="n">
        <x:v>13</x:v>
      </x:c>
      <x:c r="L42" s="11" t="n">
        <x:v>178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1630000</x:v>
      </x:c>
      <x:c r="D43" s="6" t="n">
        <x:v>2255000</x:v>
      </x:c>
      <x:c r="E43" s="6" t="n">
        <x:f>C43-D43</x:f>
        <x:v>-625000</x:v>
      </x:c>
      <x:c r="F43" s="6" t="n">
        <x:f>F42+E43</x:f>
        <x:v>-13468000</x:v>
      </x:c>
      <x:c r="G43" s="6" t="n">
        <x:v>198000</x:v>
      </x:c>
      <x:c r="H43" s="6" t="n">
        <x:v>-823000</x:v>
      </x:c>
      <x:c r="I43" s="6" t="n">
        <x:v>-885000</x:v>
      </x:c>
      <x:c r="J43" s="6" t="n">
        <x:v>915000</x:v>
      </x:c>
      <x:c r="K43" s="11" t="n">
        <x:v>22</x:v>
      </x:c>
      <x:c r="L43" s="11" t="n">
        <x:v>373</x:v>
      </x:c>
    </x:row>
    <x:row r="44" ht="25" customHeight="1">
      <x:c r="A44" s="2" t="str">
        <x:v>2026-10-16_Day</x:v>
      </x:c>
      <x:c r="B44" s="2" t="str">
        <x:v>次10場</x:v>
      </x:c>
      <x:c r="C44" s="6" t="n">
        <x:v>1109000</x:v>
      </x:c>
      <x:c r="D44" s="6" t="n">
        <x:v>1097000</x:v>
      </x:c>
      <x:c r="E44" s="6" t="n">
        <x:f>C44-D44</x:f>
        <x:v>12000</x:v>
      </x:c>
      <x:c r="F44" s="6" t="n">
        <x:f>F43+E44</x:f>
        <x:v>-13456000</x:v>
      </x:c>
      <x:c r="G44" s="6" t="n">
        <x:v>810000</x:v>
      </x:c>
      <x:c r="H44" s="6" t="n">
        <x:v>-798000</x:v>
      </x:c>
      <x:c r="I44" s="6" t="n">
        <x:v>-311000</x:v>
      </x:c>
      <x:c r="J44" s="6" t="n">
        <x:v>519000</x:v>
      </x:c>
      <x:c r="K44" s="11" t="n">
        <x:v>11</x:v>
      </x:c>
      <x:c r="L44" s="11" t="n">
        <x:v>444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1735000</x:v>
      </x:c>
      <x:c r="D45" s="6" t="n">
        <x:v>2259000</x:v>
      </x:c>
      <x:c r="E45" s="6" t="n">
        <x:f>C45-D45</x:f>
        <x:v>-524000</x:v>
      </x:c>
      <x:c r="F45" s="6" t="n">
        <x:f>F44+E45</x:f>
        <x:v>-13980000</x:v>
      </x:c>
      <x:c r="G45" s="6" t="n">
        <x:v>-342000</x:v>
      </x:c>
      <x:c r="H45" s="6" t="n">
        <x:v>-182000</x:v>
      </x:c>
      <x:c r="I45" s="6" t="n">
        <x:v>-564000</x:v>
      </x:c>
      <x:c r="J45" s="6" t="n">
        <x:v>710000</x:v>
      </x:c>
      <x:c r="K45" s="11" t="n">
        <x:v>23</x:v>
      </x:c>
      <x:c r="L45" s="11" t="n">
        <x:v>115</x:v>
      </x:c>
    </x:row>
    <x:row r="46" ht="25" customHeight="1">
      <x:c r="A46" s="2" t="str">
        <x:v>2026-10-19_Day</x:v>
      </x:c>
      <x:c r="B46" s="2" t="str">
        <x:v>後13場</x:v>
      </x:c>
      <x:c r="C46" s="6" t="n">
        <x:v>444000</x:v>
      </x:c>
      <x:c r="D46" s="6" t="n">
        <x:v>1315000</x:v>
      </x:c>
      <x:c r="E46" s="6" t="n">
        <x:f>C46-D46</x:f>
        <x:v>-871000</x:v>
      </x:c>
      <x:c r="F46" s="6" t="n">
        <x:f>F45+E46</x:f>
        <x:v>-14851000</x:v>
      </x:c>
      <x:c r="G46" s="6" t="n">
        <x:v>-520000</x:v>
      </x:c>
      <x:c r="H46" s="6" t="n">
        <x:v>-351000</x:v>
      </x:c>
      <x:c r="I46" s="6" t="n">
        <x:v>-1091000</x:v>
      </x:c>
      <x:c r="J46" s="6" t="n">
        <x:v>1107000</x:v>
      </x:c>
      <x:c r="K46" s="11" t="n">
        <x:v>5</x:v>
      </x:c>
      <x:c r="L46" s="11" t="n">
        <x:v>182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586000</x:v>
      </x:c>
      <x:c r="D47" s="6" t="n">
        <x:v>741000</x:v>
      </x:c>
      <x:c r="E47" s="6" t="n">
        <x:f>C47-D47</x:f>
        <x:v>-155000</x:v>
      </x:c>
      <x:c r="F47" s="6" t="n">
        <x:f>F46+E47</x:f>
        <x:v>-15006000</x:v>
      </x:c>
      <x:c r="G47" s="6" t="n">
        <x:v>80000</x:v>
      </x:c>
      <x:c r="H47" s="6" t="n">
        <x:v>-235000</x:v>
      </x:c>
      <x:c r="I47" s="6" t="n">
        <x:v>-260000</x:v>
      </x:c>
      <x:c r="J47" s="6" t="n">
        <x:v>260000</x:v>
      </x:c>
      <x:c r="K47" s="11" t="n">
        <x:v>9</x:v>
      </x:c>
      <x:c r="L47" s="11" t="n">
        <x:v>117</x:v>
      </x:c>
    </x:row>
    <x:row r="48" ht="25" customHeight="1">
      <x:c r="A48" s="2" t="str">
        <x:v>2026-10-20_Day</x:v>
      </x:c>
      <x:c r="B48" s="2" t="str">
        <x:v>後13場</x:v>
      </x:c>
      <x:c r="C48" s="6" t="n">
        <x:v>517000</x:v>
      </x:c>
      <x:c r="D48" s="6" t="n">
        <x:v>525000</x:v>
      </x:c>
      <x:c r="E48" s="6" t="n">
        <x:f>C48-D48</x:f>
        <x:v>-8000</x:v>
      </x:c>
      <x:c r="F48" s="6" t="n">
        <x:f>F47+E48</x:f>
        <x:v>-15014000</x:v>
      </x:c>
      <x:c r="G48" s="6" t="n">
        <x:v>10000</x:v>
      </x:c>
      <x:c r="H48" s="6" t="n">
        <x:v>-18000</x:v>
      </x:c>
      <x:c r="I48" s="6" t="n">
        <x:v>-438000</x:v>
      </x:c>
      <x:c r="J48" s="6" t="n">
        <x:v>592000</x:v>
      </x:c>
      <x:c r="K48" s="11" t="n">
        <x:v>6</x:v>
      </x:c>
      <x:c r="L48" s="11" t="n">
        <x:v>53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1040000</x:v>
      </x:c>
      <x:c r="D49" s="6" t="n">
        <x:v>1410000</x:v>
      </x:c>
      <x:c r="E49" s="6" t="n">
        <x:f>C49-D49</x:f>
        <x:v>-370000</x:v>
      </x:c>
      <x:c r="F49" s="6" t="n">
        <x:f>F48+E49</x:f>
        <x:v>-15384000</x:v>
      </x:c>
      <x:c r="G49" s="6" t="n">
        <x:v>-353000</x:v>
      </x:c>
      <x:c r="H49" s="6" t="n">
        <x:v>-17000</x:v>
      </x:c>
      <x:c r="I49" s="6" t="n">
        <x:v>-400000</x:v>
      </x:c>
      <x:c r="J49" s="6" t="n">
        <x:v>500000</x:v>
      </x:c>
      <x:c r="K49" s="11" t="n">
        <x:v>13</x:v>
      </x:c>
      <x:c r="L49" s="11" t="n">
        <x:v>62</x:v>
      </x:c>
    </x:row>
    <x:row r="50" ht="25" customHeight="1">
      <x:c r="A50" s="2" t="str">
        <x:v>2026-10-21_Day</x:v>
      </x:c>
      <x:c r="B50" s="2" t="str">
        <x:v>後13場</x:v>
      </x:c>
      <x:c r="C50" s="6" t="n">
        <x:v>449000</x:v>
      </x:c>
      <x:c r="D50" s="6" t="n">
        <x:v>916000</x:v>
      </x:c>
      <x:c r="E50" s="6" t="n">
        <x:f>C50-D50</x:f>
        <x:v>-467000</x:v>
      </x:c>
      <x:c r="F50" s="6" t="n">
        <x:f>F49+E50</x:f>
        <x:v>-15851000</x:v>
      </x:c>
      <x:c r="G50" s="6" t="n">
        <x:v>-181000</x:v>
      </x:c>
      <x:c r="H50" s="6" t="n">
        <x:v>-286000</x:v>
      </x:c>
      <x:c r="I50" s="6" t="n">
        <x:v>-796000</x:v>
      </x:c>
      <x:c r="J50" s="6" t="n">
        <x:v>846000</x:v>
      </x:c>
      <x:c r="K50" s="11" t="n">
        <x:v>5</x:v>
      </x:c>
      <x:c r="L50" s="11" t="n">
        <x:v>245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705000</x:v>
      </x:c>
      <x:c r="D51" s="6" t="n">
        <x:v>690000</x:v>
      </x:c>
      <x:c r="E51" s="6" t="n">
        <x:f>C51-D51</x:f>
        <x:v>15000</x:v>
      </x:c>
      <x:c r="F51" s="6" t="n">
        <x:f>F50+E51</x:f>
        <x:v>-15836000</x:v>
      </x:c>
      <x:c r="G51" s="6" t="n">
        <x:v>30000</x:v>
      </x:c>
      <x:c r="H51" s="6" t="n">
        <x:v>-15000</x:v>
      </x:c>
      <x:c r="I51" s="6" t="n">
        <x:v>-143000</x:v>
      </x:c>
      <x:c r="J51" s="6" t="n">
        <x:v>143000</x:v>
      </x:c>
      <x:c r="K51" s="11" t="n">
        <x:v>11</x:v>
      </x:c>
      <x:c r="L51" s="11" t="n">
        <x:v>33</x:v>
      </x:c>
    </x:row>
    <x:row r="52" ht="25" customHeight="1">
      <x:c r="A52" s="2" t="str">
        <x:v>2026-10-22_Day</x:v>
      </x:c>
      <x:c r="B52" s="2" t="str">
        <x:v>後13場</x:v>
      </x:c>
      <x:c r="C52" s="6" t="n">
        <x:v>641000</x:v>
      </x:c>
      <x:c r="D52" s="6" t="n">
        <x:v>2055000</x:v>
      </x:c>
      <x:c r="E52" s="6" t="n">
        <x:f>C52-D52</x:f>
        <x:v>-1414000</x:v>
      </x:c>
      <x:c r="F52" s="6" t="n">
        <x:f>F51+E52</x:f>
        <x:v>-17250000</x:v>
      </x:c>
      <x:c r="G52" s="6" t="n">
        <x:v>-1121000</x:v>
      </x:c>
      <x:c r="H52" s="6" t="n">
        <x:v>-293000</x:v>
      </x:c>
      <x:c r="I52" s="6" t="n">
        <x:v>-1654000</x:v>
      </x:c>
      <x:c r="J52" s="6" t="n">
        <x:v>1729000</x:v>
      </x:c>
      <x:c r="K52" s="11" t="n">
        <x:v>9</x:v>
      </x:c>
      <x:c r="L52" s="11" t="n">
        <x:v>176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916000</x:v>
      </x:c>
      <x:c r="D53" s="6" t="n">
        <x:v>1479000</x:v>
      </x:c>
      <x:c r="E53" s="6" t="n">
        <x:f>C53-D53</x:f>
        <x:v>-563000</x:v>
      </x:c>
      <x:c r="F53" s="6" t="n">
        <x:f>F52+E53</x:f>
        <x:v>-17813000</x:v>
      </x:c>
      <x:c r="G53" s="6" t="n">
        <x:v>-300000</x:v>
      </x:c>
      <x:c r="H53" s="6" t="n">
        <x:v>-263000</x:v>
      </x:c>
      <x:c r="I53" s="6" t="n">
        <x:v>-573000</x:v>
      </x:c>
      <x:c r="J53" s="6" t="n">
        <x:v>643000</x:v>
      </x:c>
      <x:c r="K53" s="11" t="n">
        <x:v>12</x:v>
      </x:c>
      <x:c r="L53" s="11" t="n">
        <x:v>146</x:v>
      </x:c>
    </x:row>
    <x:row r="54" ht="25" customHeight="1">
      <x:c r="A54" s="2" t="str">
        <x:v>2026-10-23_Day</x:v>
      </x:c>
      <x:c r="B54" s="2" t="str">
        <x:v>後13場</x:v>
      </x:c>
      <x:c r="C54" s="6" t="n">
        <x:v>1646000</x:v>
      </x:c>
      <x:c r="D54" s="6" t="n">
        <x:v>2534000</x:v>
      </x:c>
      <x:c r="E54" s="6" t="n">
        <x:f>C54-D54</x:f>
        <x:v>-888000</x:v>
      </x:c>
      <x:c r="F54" s="6" t="n">
        <x:f>F53+E54</x:f>
        <x:v>-18701000</x:v>
      </x:c>
      <x:c r="G54" s="6" t="n">
        <x:v>310000</x:v>
      </x:c>
      <x:c r="H54" s="6" t="n">
        <x:v>-1198000</x:v>
      </x:c>
      <x:c r="I54" s="6" t="n">
        <x:v>-1388000</x:v>
      </x:c>
      <x:c r="J54" s="6" t="n">
        <x:v>1497000</x:v>
      </x:c>
      <x:c r="K54" s="11" t="n">
        <x:v>21</x:v>
      </x:c>
      <x:c r="L54" s="11" t="n">
        <x:v>654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711000</x:v>
      </x:c>
      <x:c r="E55" s="6" t="n">
        <x:f>C55-D55</x:f>
        <x:v>-211000</x:v>
      </x:c>
      <x:c r="F55" s="6" t="n">
        <x:f>F54+E55</x:f>
        <x:v>-18912000</x:v>
      </x:c>
      <x:c r="G55" s="6" t="n">
        <x:v>-159000</x:v>
      </x:c>
      <x:c r="H55" s="6" t="n">
        <x:v>-52000</x:v>
      </x:c>
      <x:c r="I55" s="6" t="n">
        <x:v>-231000</x:v>
      </x:c>
      <x:c r="J55" s="6" t="n">
        <x:v>252000</x:v>
      </x:c>
      <x:c r="K55" s="11" t="n">
        <x:v>9</x:v>
      </x:c>
      <x:c r="L55" s="11" t="n">
        <x:v>44</x:v>
      </x:c>
    </x:row>
    <x:row r="56" ht="25" customHeight="1">
      <x:c r="A56" s="2" t="str">
        <x:v>2026-10-26_Day</x:v>
      </x:c>
      <x:c r="B56" s="2" t="str">
        <x:v>後13場</x:v>
      </x:c>
      <x:c r="C56" s="6" t="n">
        <x:v>492000</x:v>
      </x:c>
      <x:c r="D56" s="6" t="n">
        <x:v>1056000</x:v>
      </x:c>
      <x:c r="E56" s="6" t="n">
        <x:f>C56-D56</x:f>
        <x:v>-564000</x:v>
      </x:c>
      <x:c r="F56" s="6" t="n">
        <x:f>F55+E56</x:f>
        <x:v>-19476000</x:v>
      </x:c>
      <x:c r="G56" s="6" t="n">
        <x:v>-230000</x:v>
      </x:c>
      <x:c r="H56" s="6" t="n">
        <x:v>-334000</x:v>
      </x:c>
      <x:c r="I56" s="6" t="n">
        <x:v>-642000</x:v>
      </x:c>
      <x:c r="J56" s="6" t="n">
        <x:v>642000</x:v>
      </x:c>
      <x:c r="K56" s="11" t="n">
        <x:v>8</x:v>
      </x:c>
      <x:c r="L56" s="11" t="n">
        <x:v>180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687000</x:v>
      </x:c>
      <x:c r="D57" s="6" t="n">
        <x:v>1013000</x:v>
      </x:c>
      <x:c r="E57" s="6" t="n">
        <x:f>C57-D57</x:f>
        <x:v>-326000</x:v>
      </x:c>
      <x:c r="F57" s="6" t="n">
        <x:f>F56+E57</x:f>
        <x:v>-19802000</x:v>
      </x:c>
      <x:c r="G57" s="6" t="n">
        <x:v>-231000</x:v>
      </x:c>
      <x:c r="H57" s="6" t="n">
        <x:v>-95000</x:v>
      </x:c>
      <x:c r="I57" s="6" t="n">
        <x:v>-346000</x:v>
      </x:c>
      <x:c r="J57" s="6" t="n">
        <x:v>380000</x:v>
      </x:c>
      <x:c r="K57" s="11" t="n">
        <x:v>10</x:v>
      </x:c>
      <x:c r="L57" s="11" t="n">
        <x:v>61</x:v>
      </x:c>
    </x:row>
    <x:row r="58" ht="25" customHeight="1">
      <x:c r="A58" s="2" t="str">
        <x:v>2026-10-27_Day</x:v>
      </x:c>
      <x:c r="B58" s="2" t="str">
        <x:v>後13場</x:v>
      </x:c>
      <x:c r="C58" s="6" t="n">
        <x:v>1027000</x:v>
      </x:c>
      <x:c r="D58" s="6" t="n">
        <x:v>1126000</x:v>
      </x:c>
      <x:c r="E58" s="6" t="n">
        <x:f>C58-D58</x:f>
        <x:v>-99000</x:v>
      </x:c>
      <x:c r="F58" s="6" t="n">
        <x:f>F57+E58</x:f>
        <x:v>-19901000</x:v>
      </x:c>
      <x:c r="G58" s="6" t="n">
        <x:v>900000</x:v>
      </x:c>
      <x:c r="H58" s="6" t="n">
        <x:v>-999000</x:v>
      </x:c>
      <x:c r="I58" s="6" t="n">
        <x:v>-358000</x:v>
      </x:c>
      <x:c r="J58" s="6" t="n">
        <x:v>723000</x:v>
      </x:c>
      <x:c r="K58" s="11" t="n">
        <x:v>9</x:v>
      </x:c>
      <x:c r="L58" s="11" t="n">
        <x:v>599</x:v>
      </x:c>
    </x:row>
    <x:row r="59" ht="25" customHeight="1">
      <x:c r="A59" s="15" t="str">
        <x:v>累計／場内最悪値</x:v>
      </x:c>
      <x:c r="B59" s="15"/>
      <x:c r="C59" s="16" t="n">
        <x:f>SUM(C6:C58)</x:f>
        <x:v>33463000</x:v>
      </x:c>
      <x:c r="D59" s="16" t="n">
        <x:f>SUM(D6:D58)</x:f>
        <x:v>53364000</x:v>
      </x:c>
      <x:c r="E59" s="16" t="n">
        <x:f>C59-D59</x:f>
        <x:v>-19901000</x:v>
      </x:c>
      <x:c r="F59" s="16" t="n">
        <x:f>F58</x:f>
        <x:v>-19901000</x:v>
      </x:c>
      <x:c r="G59" s="16" t="n">
        <x:f>SUM(G6:G58)</x:f>
        <x:v>-5749000</x:v>
      </x:c>
      <x:c r="H59" s="16" t="n">
        <x:f>SUM(H6:H58)</x:f>
        <x:v>-14152000</x:v>
      </x:c>
      <x:c r="I59" s="16" t="n">
        <x:f>MIN(I6:I58)</x:f>
        <x:v>-2135000</x:v>
      </x:c>
      <x:c r="J59" s="16" t="n">
        <x:f>MAX(J6:J58)</x:f>
        <x:v>2135000</x:v>
      </x:c>
      <x:c r="K59" s="17" t="n">
        <x:f>SUM(K6:K58)</x:f>
        <x:v>444</x:v>
      </x:c>
      <x:c r="L59" s="17" t="n">
        <x:f>SUM(L6:L58)</x:f>
        <x:v>8470</x:v>
      </x:c>
    </x:row>
  </x:sheetData>
  <x:conditionalFormatting sqref="E6:I58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07007347524fc6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H16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段20・即追尾・追尾20・完済後新基準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207000</x:v>
      </x:c>
      <x:c r="D6" s="6" t="n">
        <x:v>32000</x:v>
      </x:c>
      <x:c r="E6" s="6" t="n">
        <x:f>C6-D6</x:f>
        <x:v>175000</x:v>
      </x:c>
      <x:c r="F6" s="6" t="n">
        <x:f>E6</x:f>
        <x:v>175000</x:v>
      </x:c>
      <x:c r="G6" s="6" t="n">
        <x:v>200000</x:v>
      </x:c>
      <x:c r="H6" s="6" t="n">
        <x:v>-25000</x:v>
      </x:c>
      <x:c r="I6" s="6" t="n">
        <x:v>-69000</x:v>
      </x:c>
      <x:c r="J6" s="6" t="n">
        <x:v>122000</x:v>
      </x:c>
      <x:c r="K6" s="11" t="n">
        <x:v>2</x:v>
      </x:c>
      <x:c r="L6" s="11" t="n">
        <x:v>13</x:v>
      </x:c>
    </x:row>
    <x:row r="7" ht="25" customHeight="1">
      <x:c r="A7" s="2" t="str">
        <x:v>2026-09-21_Night</x:v>
      </x:c>
      <x:c r="B7" s="2" t="str">
        <x:v>前30場</x:v>
      </x:c>
      <x:c r="C7" s="6" t="n">
        <x:v>630000</x:v>
      </x:c>
      <x:c r="D7" s="6" t="n">
        <x:v>1417000</x:v>
      </x:c>
      <x:c r="E7" s="6" t="n">
        <x:f>C7-D7</x:f>
        <x:v>-787000</x:v>
      </x:c>
      <x:c r="F7" s="6" t="n">
        <x:f>F6+E7</x:f>
        <x:v>-612000</x:v>
      </x:c>
      <x:c r="G7" s="6" t="n">
        <x:v>-220000</x:v>
      </x:c>
      <x:c r="H7" s="6" t="n">
        <x:v>-567000</x:v>
      </x:c>
      <x:c r="I7" s="6" t="n">
        <x:v>-917000</x:v>
      </x:c>
      <x:c r="J7" s="6" t="n">
        <x:v>1056000</x:v>
      </x:c>
      <x:c r="K7" s="11" t="n">
        <x:v>7</x:v>
      </x:c>
      <x:c r="L7" s="11" t="n">
        <x:v>287</x:v>
      </x:c>
    </x:row>
    <x:row r="8" ht="25" customHeight="1">
      <x:c r="A8" s="2" t="str">
        <x:v>2026-09-22_Day</x:v>
      </x:c>
      <x:c r="B8" s="2" t="str">
        <x:v>前30場</x:v>
      </x:c>
      <x:c r="C8" s="6" t="n">
        <x:v>143000</x:v>
      </x:c>
      <x:c r="D8" s="6" t="n">
        <x:v>200000</x:v>
      </x:c>
      <x:c r="E8" s="6" t="n">
        <x:f>C8-D8</x:f>
        <x:v>-57000</x:v>
      </x:c>
      <x:c r="F8" s="6" t="n">
        <x:f>F7+E8</x:f>
        <x:v>-669000</x:v>
      </x:c>
      <x:c r="G8" s="6" t="n">
        <x:v>100000</x:v>
      </x:c>
      <x:c r="H8" s="6" t="n">
        <x:v>-157000</x:v>
      </x:c>
      <x:c r="I8" s="6" t="n">
        <x:v>-477000</x:v>
      </x:c>
      <x:c r="J8" s="6" t="n">
        <x:v>551000</x:v>
      </x:c>
      <x:c r="K8" s="11" t="n">
        <x:v>1</x:v>
      </x:c>
      <x:c r="L8" s="11" t="n">
        <x:v>102</x:v>
      </x:c>
    </x:row>
    <x:row r="9" ht="25" customHeight="1">
      <x:c r="A9" s="2" t="str">
        <x:v>2026-09-22_Night</x:v>
      </x:c>
      <x:c r="B9" s="2" t="str">
        <x:v>前30場</x:v>
      </x:c>
      <x:c r="C9" s="6" t="n">
        <x:v>755000</x:v>
      </x:c>
      <x:c r="D9" s="6" t="n">
        <x:v>1574000</x:v>
      </x:c>
      <x:c r="E9" s="6" t="n">
        <x:f>C9-D9</x:f>
        <x:v>-819000</x:v>
      </x:c>
      <x:c r="F9" s="6" t="n">
        <x:f>F8+E9</x:f>
        <x:v>-1488000</x:v>
      </x:c>
      <x:c r="G9" s="6" t="n">
        <x:v>-120000</x:v>
      </x:c>
      <x:c r="H9" s="6" t="n">
        <x:v>-699000</x:v>
      </x:c>
      <x:c r="I9" s="6" t="n">
        <x:v>-989000</x:v>
      </x:c>
      <x:c r="J9" s="6" t="n">
        <x:v>1116000</x:v>
      </x:c>
      <x:c r="K9" s="11" t="n">
        <x:v>8</x:v>
      </x:c>
      <x:c r="L9" s="11" t="n">
        <x:v>372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-1488000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631000</x:v>
      </x:c>
      <x:c r="D11" s="6" t="n">
        <x:v>1490000</x:v>
      </x:c>
      <x:c r="E11" s="6" t="n">
        <x:f>C11-D11</x:f>
        <x:v>-859000</x:v>
      </x:c>
      <x:c r="F11" s="6" t="n">
        <x:f>F10+E11</x:f>
        <x:v>-2347000</x:v>
      </x:c>
      <x:c r="G11" s="6" t="n">
        <x:v>-580000</x:v>
      </x:c>
      <x:c r="H11" s="6" t="n">
        <x:v>-279000</x:v>
      </x:c>
      <x:c r="I11" s="6" t="n">
        <x:v>-859000</x:v>
      </x:c>
      <x:c r="J11" s="6" t="n">
        <x:v>919000</x:v>
      </x:c>
      <x:c r="K11" s="11" t="n">
        <x:v>8</x:v>
      </x:c>
      <x:c r="L11" s="11" t="n">
        <x:v>263</x:v>
      </x:c>
    </x:row>
    <x:row r="12" ht="25" customHeight="1">
      <x:c r="A12" s="2" t="str">
        <x:v>2026-09-24_Day</x:v>
      </x:c>
      <x:c r="B12" s="2" t="str">
        <x:v>前30場</x:v>
      </x:c>
      <x:c r="C12" s="6" t="n">
        <x:v>312000</x:v>
      </x:c>
      <x:c r="D12" s="6" t="n">
        <x:v>368000</x:v>
      </x:c>
      <x:c r="E12" s="6" t="n">
        <x:f>C12-D12</x:f>
        <x:v>-56000</x:v>
      </x:c>
      <x:c r="F12" s="6" t="n">
        <x:f>F11+E12</x:f>
        <x:v>-2403000</x:v>
      </x:c>
      <x:c r="G12" s="6" t="n">
        <x:v>300000</x:v>
      </x:c>
      <x:c r="H12" s="6" t="n">
        <x:v>-356000</x:v>
      </x:c>
      <x:c r="I12" s="6" t="n">
        <x:v>-776000</x:v>
      </x:c>
      <x:c r="J12" s="6" t="n">
        <x:v>776000</x:v>
      </x:c>
      <x:c r="K12" s="11" t="n">
        <x:v>3</x:v>
      </x:c>
      <x:c r="L12" s="11" t="n">
        <x:v>201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570000</x:v>
      </x:c>
      <x:c r="D13" s="6" t="n">
        <x:v>942000</x:v>
      </x:c>
      <x:c r="E13" s="6" t="n">
        <x:f>C13-D13</x:f>
        <x:v>-372000</x:v>
      </x:c>
      <x:c r="F13" s="6" t="n">
        <x:f>F12+E13</x:f>
        <x:v>-2775000</x:v>
      </x:c>
      <x:c r="G13" s="6" t="n">
        <x:v>-210000</x:v>
      </x:c>
      <x:c r="H13" s="6" t="n">
        <x:v>-162000</x:v>
      </x:c>
      <x:c r="I13" s="6" t="n">
        <x:v>-422000</x:v>
      </x:c>
      <x:c r="J13" s="6" t="n">
        <x:v>502000</x:v>
      </x:c>
      <x:c r="K13" s="11" t="n">
        <x:v>7</x:v>
      </x:c>
      <x:c r="L13" s="11" t="n">
        <x:v>127</x:v>
      </x:c>
    </x:row>
    <x:row r="14" ht="25" customHeight="1">
      <x:c r="A14" s="2" t="str">
        <x:v>2026-09-25_Day</x:v>
      </x:c>
      <x:c r="B14" s="2" t="str">
        <x:v>前30場</x:v>
      </x:c>
      <x:c r="C14" s="6" t="n">
        <x:v>250000</x:v>
      </x:c>
      <x:c r="D14" s="6" t="n">
        <x:v>1289000</x:v>
      </x:c>
      <x:c r="E14" s="6" t="n">
        <x:f>C14-D14</x:f>
        <x:v>-1039000</x:v>
      </x:c>
      <x:c r="F14" s="6" t="n">
        <x:f>F13+E14</x:f>
        <x:v>-3814000</x:v>
      </x:c>
      <x:c r="G14" s="6" t="n">
        <x:v>-610000</x:v>
      </x:c>
      <x:c r="H14" s="6" t="n">
        <x:v>-429000</x:v>
      </x:c>
      <x:c r="I14" s="6" t="n">
        <x:v>-1159000</x:v>
      </x:c>
      <x:c r="J14" s="6" t="n">
        <x:v>1225000</x:v>
      </x:c>
      <x:c r="K14" s="11" t="n">
        <x:v>2</x:v>
      </x:c>
      <x:c r="L14" s="11" t="n">
        <x:v>334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493000</x:v>
      </x:c>
      <x:c r="D15" s="6" t="n">
        <x:v>896000</x:v>
      </x:c>
      <x:c r="E15" s="6" t="n">
        <x:f>C15-D15</x:f>
        <x:v>-403000</x:v>
      </x:c>
      <x:c r="F15" s="6" t="n">
        <x:f>F14+E15</x:f>
        <x:v>-4217000</x:v>
      </x:c>
      <x:c r="G15" s="6" t="n">
        <x:v>-208000</x:v>
      </x:c>
      <x:c r="H15" s="6" t="n">
        <x:v>-195000</x:v>
      </x:c>
      <x:c r="I15" s="6" t="n">
        <x:v>-423000</x:v>
      </x:c>
      <x:c r="J15" s="6" t="n">
        <x:v>423000</x:v>
      </x:c>
      <x:c r="K15" s="11" t="n">
        <x:v>8</x:v>
      </x:c>
      <x:c r="L15" s="11" t="n">
        <x:v>134</x:v>
      </x:c>
    </x:row>
    <x:row r="16" ht="25" customHeight="1">
      <x:c r="A16" s="2" t="str">
        <x:v>2026-09-28_Day</x:v>
      </x:c>
      <x:c r="B16" s="2" t="str">
        <x:v>前30場</x:v>
      </x:c>
      <x:c r="C16" s="6" t="n">
        <x:v>546000</x:v>
      </x:c>
      <x:c r="D16" s="6" t="n">
        <x:v>254000</x:v>
      </x:c>
      <x:c r="E16" s="6" t="n">
        <x:f>C16-D16</x:f>
        <x:v>292000</x:v>
      </x:c>
      <x:c r="F16" s="6" t="n">
        <x:f>F15+E16</x:f>
        <x:v>-3925000</x:v>
      </x:c>
      <x:c r="G16" s="6" t="n">
        <x:v>480000</x:v>
      </x:c>
      <x:c r="H16" s="6" t="n">
        <x:v>-188000</x:v>
      </x:c>
      <x:c r="I16" s="6" t="n">
        <x:v>-536000</x:v>
      </x:c>
      <x:c r="J16" s="6" t="n">
        <x:v>544000</x:v>
      </x:c>
      <x:c r="K16" s="11" t="n">
        <x:v>5</x:v>
      </x:c>
      <x:c r="L16" s="11" t="n">
        <x:v>151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700000</x:v>
      </x:c>
      <x:c r="D17" s="6" t="n">
        <x:v>713000</x:v>
      </x:c>
      <x:c r="E17" s="6" t="n">
        <x:f>C17-D17</x:f>
        <x:v>-13000</x:v>
      </x:c>
      <x:c r="F17" s="6" t="n">
        <x:f>F16+E17</x:f>
        <x:v>-3938000</x:v>
      </x:c>
      <x:c r="G17" s="6" t="n">
        <x:v>230000</x:v>
      </x:c>
      <x:c r="H17" s="6" t="n">
        <x:v>-243000</x:v>
      </x:c>
      <x:c r="I17" s="6" t="n">
        <x:v>-333000</x:v>
      </x:c>
      <x:c r="J17" s="6" t="n">
        <x:v>370000</x:v>
      </x:c>
      <x:c r="K17" s="11" t="n">
        <x:v>9</x:v>
      </x:c>
      <x:c r="L17" s="11" t="n">
        <x:v>138</x:v>
      </x:c>
    </x:row>
    <x:row r="18" ht="25" customHeight="1">
      <x:c r="A18" s="2" t="str">
        <x:v>2026-09-29_Day</x:v>
      </x:c>
      <x:c r="B18" s="2" t="str">
        <x:v>前30場</x:v>
      </x:c>
      <x:c r="C18" s="6" t="n">
        <x:v>483000</x:v>
      </x:c>
      <x:c r="D18" s="6" t="n">
        <x:v>1675000</x:v>
      </x:c>
      <x:c r="E18" s="6" t="n">
        <x:f>C18-D18</x:f>
        <x:v>-1192000</x:v>
      </x:c>
      <x:c r="F18" s="6" t="n">
        <x:f>F17+E18</x:f>
        <x:v>-5130000</x:v>
      </x:c>
      <x:c r="G18" s="6" t="n">
        <x:v>-70000</x:v>
      </x:c>
      <x:c r="H18" s="6" t="n">
        <x:v>-1122000</x:v>
      </x:c>
      <x:c r="I18" s="6" t="n">
        <x:v>-1802000</x:v>
      </x:c>
      <x:c r="J18" s="6" t="n">
        <x:v>1830000</x:v>
      </x:c>
      <x:c r="K18" s="11" t="n">
        <x:v>5</x:v>
      </x:c>
      <x:c r="L18" s="11" t="n">
        <x:v>563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681000</x:v>
      </x:c>
      <x:c r="D19" s="6" t="n">
        <x:v>1099000</x:v>
      </x:c>
      <x:c r="E19" s="6" t="n">
        <x:f>C19-D19</x:f>
        <x:v>-418000</x:v>
      </x:c>
      <x:c r="F19" s="6" t="n">
        <x:f>F18+E19</x:f>
        <x:v>-5548000</x:v>
      </x:c>
      <x:c r="G19" s="6" t="n">
        <x:v>-10000</x:v>
      </x:c>
      <x:c r="H19" s="6" t="n">
        <x:v>-408000</x:v>
      </x:c>
      <x:c r="I19" s="6" t="n">
        <x:v>-448000</x:v>
      </x:c>
      <x:c r="J19" s="6" t="n">
        <x:v>596000</x:v>
      </x:c>
      <x:c r="K19" s="11" t="n">
        <x:v>9</x:v>
      </x:c>
      <x:c r="L19" s="11" t="n">
        <x:v>209</x:v>
      </x:c>
    </x:row>
    <x:row r="20" ht="25" customHeight="1">
      <x:c r="A20" s="2" t="str">
        <x:v>2026-09-30_Day</x:v>
      </x:c>
      <x:c r="B20" s="2" t="str">
        <x:v>前30場</x:v>
      </x:c>
      <x:c r="C20" s="6" t="n">
        <x:v>367000</x:v>
      </x:c>
      <x:c r="D20" s="6" t="n">
        <x:v>1080000</x:v>
      </x:c>
      <x:c r="E20" s="6" t="n">
        <x:f>C20-D20</x:f>
        <x:v>-713000</x:v>
      </x:c>
      <x:c r="F20" s="6" t="n">
        <x:f>F19+E20</x:f>
        <x:v>-6261000</x:v>
      </x:c>
      <x:c r="G20" s="6" t="n">
        <x:v>-420000</x:v>
      </x:c>
      <x:c r="H20" s="6" t="n">
        <x:v>-293000</x:v>
      </x:c>
      <x:c r="I20" s="6" t="n">
        <x:v>-713000</x:v>
      </x:c>
      <x:c r="J20" s="6" t="n">
        <x:v>850000</x:v>
      </x:c>
      <x:c r="K20" s="11" t="n">
        <x:v>3</x:v>
      </x:c>
      <x:c r="L20" s="11" t="n">
        <x:v>233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613000</x:v>
      </x:c>
      <x:c r="D21" s="6" t="n">
        <x:v>903000</x:v>
      </x:c>
      <x:c r="E21" s="6" t="n">
        <x:f>C21-D21</x:f>
        <x:v>-290000</x:v>
      </x:c>
      <x:c r="F21" s="6" t="n">
        <x:f>F20+E21</x:f>
        <x:v>-6551000</x:v>
      </x:c>
      <x:c r="G21" s="6" t="n">
        <x:v>-100000</x:v>
      </x:c>
      <x:c r="H21" s="6" t="n">
        <x:v>-190000</x:v>
      </x:c>
      <x:c r="I21" s="6" t="n">
        <x:v>-430000</x:v>
      </x:c>
      <x:c r="J21" s="6" t="n">
        <x:v>430000</x:v>
      </x:c>
      <x:c r="K21" s="11" t="n">
        <x:v>8</x:v>
      </x:c>
      <x:c r="L21" s="11" t="n">
        <x:v>117</x:v>
      </x:c>
    </x:row>
    <x:row r="22" ht="25" customHeight="1">
      <x:c r="A22" s="2" t="str">
        <x:v>2026-10-01_Day</x:v>
      </x:c>
      <x:c r="B22" s="2" t="str">
        <x:v>前30場</x:v>
      </x:c>
      <x:c r="C22" s="6" t="n">
        <x:v>542000</x:v>
      </x:c>
      <x:c r="D22" s="6" t="n">
        <x:v>2904000</x:v>
      </x:c>
      <x:c r="E22" s="6" t="n">
        <x:f>C22-D22</x:f>
        <x:v>-2362000</x:v>
      </x:c>
      <x:c r="F22" s="6" t="n">
        <x:f>F21+E22</x:f>
        <x:v>-8913000</x:v>
      </x:c>
      <x:c r="G22" s="6" t="n">
        <x:v>-1410000</x:v>
      </x:c>
      <x:c r="H22" s="6" t="n">
        <x:v>-952000</x:v>
      </x:c>
      <x:c r="I22" s="6" t="n">
        <x:v>-2542000</x:v>
      </x:c>
      <x:c r="J22" s="6" t="n">
        <x:v>2587000</x:v>
      </x:c>
      <x:c r="K22" s="11" t="n">
        <x:v>3</x:v>
      </x:c>
      <x:c r="L22" s="11" t="n">
        <x:v>771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930000</x:v>
      </x:c>
      <x:c r="D23" s="6" t="n">
        <x:v>1165000</x:v>
      </x:c>
      <x:c r="E23" s="6" t="n">
        <x:f>C23-D23</x:f>
        <x:v>-235000</x:v>
      </x:c>
      <x:c r="F23" s="6" t="n">
        <x:f>F22+E23</x:f>
        <x:v>-9148000</x:v>
      </x:c>
      <x:c r="G23" s="6" t="n">
        <x:v>0</x:v>
      </x:c>
      <x:c r="H23" s="6" t="n">
        <x:v>-235000</x:v>
      </x:c>
      <x:c r="I23" s="6" t="n">
        <x:v>-395000</x:v>
      </x:c>
      <x:c r="J23" s="6" t="n">
        <x:v>502000</x:v>
      </x:c>
      <x:c r="K23" s="11" t="n">
        <x:v>11</x:v>
      </x:c>
      <x:c r="L23" s="11" t="n">
        <x:v>199</x:v>
      </x:c>
    </x:row>
    <x:row r="24" ht="25" customHeight="1">
      <x:c r="A24" s="2" t="str">
        <x:v>2026-10-02_Day</x:v>
      </x:c>
      <x:c r="B24" s="2" t="str">
        <x:v>前30場</x:v>
      </x:c>
      <x:c r="C24" s="6" t="n">
        <x:v>355000</x:v>
      </x:c>
      <x:c r="D24" s="6" t="n">
        <x:v>720000</x:v>
      </x:c>
      <x:c r="E24" s="6" t="n">
        <x:f>C24-D24</x:f>
        <x:v>-365000</x:v>
      </x:c>
      <x:c r="F24" s="6" t="n">
        <x:f>F23+E24</x:f>
        <x:v>-9513000</x:v>
      </x:c>
      <x:c r="G24" s="6" t="n">
        <x:v>0</x:v>
      </x:c>
      <x:c r="H24" s="6" t="n">
        <x:v>-365000</x:v>
      </x:c>
      <x:c r="I24" s="6" t="n">
        <x:v>-625000</x:v>
      </x:c>
      <x:c r="J24" s="6" t="n">
        <x:v>700000</x:v>
      </x:c>
      <x:c r="K24" s="11" t="n">
        <x:v>5</x:v>
      </x:c>
      <x:c r="L24" s="11" t="n">
        <x:v>203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1089000</x:v>
      </x:c>
      <x:c r="D25" s="6" t="n">
        <x:v>1514000</x:v>
      </x:c>
      <x:c r="E25" s="6" t="n">
        <x:f>C25-D25</x:f>
        <x:v>-425000</x:v>
      </x:c>
      <x:c r="F25" s="6" t="n">
        <x:f>F24+E25</x:f>
        <x:v>-9938000</x:v>
      </x:c>
      <x:c r="G25" s="6" t="n">
        <x:v>-119000</x:v>
      </x:c>
      <x:c r="H25" s="6" t="n">
        <x:v>-306000</x:v>
      </x:c>
      <x:c r="I25" s="6" t="n">
        <x:v>-515000</x:v>
      </x:c>
      <x:c r="J25" s="6" t="n">
        <x:v>579000</x:v>
      </x:c>
      <x:c r="K25" s="11" t="n">
        <x:v>14</x:v>
      </x:c>
      <x:c r="L25" s="11" t="n">
        <x:v>157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202000</x:v>
      </x:c>
      <x:c r="D26" s="6" t="n">
        <x:v>1097000</x:v>
      </x:c>
      <x:c r="E26" s="6" t="n">
        <x:f>C26-D26</x:f>
        <x:v>-895000</x:v>
      </x:c>
      <x:c r="F26" s="6" t="n">
        <x:f>F25+E26</x:f>
        <x:v>-10833000</x:v>
      </x:c>
      <x:c r="G26" s="6" t="n">
        <x:v>-320000</x:v>
      </x:c>
      <x:c r="H26" s="6" t="n">
        <x:v>-575000</x:v>
      </x:c>
      <x:c r="I26" s="6" t="n">
        <x:v>-955000</x:v>
      </x:c>
      <x:c r="J26" s="6" t="n">
        <x:v>1005000</x:v>
      </x:c>
      <x:c r="K26" s="11" t="n">
        <x:v>3</x:v>
      </x:c>
      <x:c r="L26" s="11" t="n">
        <x:v>275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410000</x:v>
      </x:c>
      <x:c r="D27" s="6" t="n">
        <x:v>590000</x:v>
      </x:c>
      <x:c r="E27" s="6" t="n">
        <x:f>C27-D27</x:f>
        <x:v>-180000</x:v>
      </x:c>
      <x:c r="F27" s="6" t="n">
        <x:f>F26+E27</x:f>
        <x:v>-11013000</x:v>
      </x:c>
      <x:c r="G27" s="6" t="n">
        <x:v>-40000</x:v>
      </x:c>
      <x:c r="H27" s="6" t="n">
        <x:v>-140000</x:v>
      </x:c>
      <x:c r="I27" s="6" t="n">
        <x:v>-320000</x:v>
      </x:c>
      <x:c r="J27" s="6" t="n">
        <x:v>340000</x:v>
      </x:c>
      <x:c r="K27" s="11" t="n">
        <x:v>5</x:v>
      </x:c>
      <x:c r="L27" s="11" t="n">
        <x:v>89</x:v>
      </x:c>
    </x:row>
    <x:row r="28" ht="25" customHeight="1">
      <x:c r="A28" s="2" t="str">
        <x:v>2026-10-06_Day</x:v>
      </x:c>
      <x:c r="B28" s="2" t="str">
        <x:v>前30場</x:v>
      </x:c>
      <x:c r="C28" s="6" t="n">
        <x:v>113000</x:v>
      </x:c>
      <x:c r="D28" s="6" t="n">
        <x:v>87000</x:v>
      </x:c>
      <x:c r="E28" s="6" t="n">
        <x:f>C28-D28</x:f>
        <x:v>26000</x:v>
      </x:c>
      <x:c r="F28" s="6" t="n">
        <x:f>F27+E28</x:f>
        <x:v>-10987000</x:v>
      </x:c>
      <x:c r="G28" s="6" t="n">
        <x:v>100000</x:v>
      </x:c>
      <x:c r="H28" s="6" t="n">
        <x:v>-74000</x:v>
      </x:c>
      <x:c r="I28" s="6" t="n">
        <x:v>-232000</x:v>
      </x:c>
      <x:c r="J28" s="6" t="n">
        <x:v>232000</x:v>
      </x:c>
      <x:c r="K28" s="11" t="n">
        <x:v>1</x:v>
      </x:c>
      <x:c r="L28" s="11" t="n">
        <x:v>34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494000</x:v>
      </x:c>
      <x:c r="D29" s="6" t="n">
        <x:v>557000</x:v>
      </x:c>
      <x:c r="E29" s="6" t="n">
        <x:f>C29-D29</x:f>
        <x:v>-63000</x:v>
      </x:c>
      <x:c r="F29" s="6" t="n">
        <x:f>F28+E29</x:f>
        <x:v>-11050000</x:v>
      </x:c>
      <x:c r="G29" s="6" t="n">
        <x:v>32000</x:v>
      </x:c>
      <x:c r="H29" s="6" t="n">
        <x:v>-95000</x:v>
      </x:c>
      <x:c r="I29" s="6" t="n">
        <x:v>-203000</x:v>
      </x:c>
      <x:c r="J29" s="6" t="n">
        <x:v>246000</x:v>
      </x:c>
      <x:c r="K29" s="11" t="n">
        <x:v>8</x:v>
      </x:c>
      <x:c r="L29" s="11" t="n">
        <x:v>68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99000</x:v>
      </x:c>
      <x:c r="E30" s="6" t="n">
        <x:f>C30-D30</x:f>
        <x:v>101000</x:v>
      </x:c>
      <x:c r="F30" s="6" t="n">
        <x:f>F29+E30</x:f>
        <x:v>-10949000</x:v>
      </x:c>
      <x:c r="G30" s="6" t="n">
        <x:v>200000</x:v>
      </x:c>
      <x:c r="H30" s="6" t="n">
        <x:v>-99000</x:v>
      </x:c>
      <x:c r="I30" s="6" t="n">
        <x:v>-143000</x:v>
      </x:c>
      <x:c r="J30" s="6" t="n">
        <x:v>213000</x:v>
      </x:c>
      <x:c r="K30" s="11" t="n">
        <x:v>2</x:v>
      </x:c>
      <x:c r="L30" s="11" t="n">
        <x:v>38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810000</x:v>
      </x:c>
      <x:c r="D31" s="6" t="n">
        <x:v>1185000</x:v>
      </x:c>
      <x:c r="E31" s="6" t="n">
        <x:f>C31-D31</x:f>
        <x:v>-375000</x:v>
      </x:c>
      <x:c r="F31" s="6" t="n">
        <x:f>F30+E31</x:f>
        <x:v>-11324000</x:v>
      </x:c>
      <x:c r="G31" s="6" t="n">
        <x:v>-150000</x:v>
      </x:c>
      <x:c r="H31" s="6" t="n">
        <x:v>-225000</x:v>
      </x:c>
      <x:c r="I31" s="6" t="n">
        <x:v>-385000</x:v>
      </x:c>
      <x:c r="J31" s="6" t="n">
        <x:v>403000</x:v>
      </x:c>
      <x:c r="K31" s="11" t="n">
        <x:v>10</x:v>
      </x:c>
      <x:c r="L31" s="11" t="n">
        <x:v>137</x:v>
      </x:c>
    </x:row>
    <x:row r="32" ht="25" customHeight="1">
      <x:c r="A32" s="2" t="str">
        <x:v>2026-10-08_Day</x:v>
      </x:c>
      <x:c r="B32" s="2" t="str">
        <x:v>前30場</x:v>
      </x:c>
      <x:c r="C32" s="6" t="n">
        <x:v>751000</x:v>
      </x:c>
      <x:c r="D32" s="6" t="n">
        <x:v>1819000</x:v>
      </x:c>
      <x:c r="E32" s="6" t="n">
        <x:f>C32-D32</x:f>
        <x:v>-1068000</x:v>
      </x:c>
      <x:c r="F32" s="6" t="n">
        <x:f>F31+E32</x:f>
        <x:v>-12392000</x:v>
      </x:c>
      <x:c r="G32" s="6" t="n">
        <x:v>-810000</x:v>
      </x:c>
      <x:c r="H32" s="6" t="n">
        <x:v>-258000</x:v>
      </x:c>
      <x:c r="I32" s="6" t="n">
        <x:v>-1078000</x:v>
      </x:c>
      <x:c r="J32" s="6" t="n">
        <x:v>1279000</x:v>
      </x:c>
      <x:c r="K32" s="11" t="n">
        <x:v>4</x:v>
      </x:c>
      <x:c r="L32" s="11" t="n">
        <x:v>343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1256000</x:v>
      </x:c>
      <x:c r="D33" s="6" t="n">
        <x:v>1610000</x:v>
      </x:c>
      <x:c r="E33" s="6" t="n">
        <x:f>C33-D33</x:f>
        <x:v>-354000</x:v>
      </x:c>
      <x:c r="F33" s="6" t="n">
        <x:f>F32+E33</x:f>
        <x:v>-12746000</x:v>
      </x:c>
      <x:c r="G33" s="6" t="n">
        <x:v>120000</x:v>
      </x:c>
      <x:c r="H33" s="6" t="n">
        <x:v>-474000</x:v>
      </x:c>
      <x:c r="I33" s="6" t="n">
        <x:v>-354000</x:v>
      </x:c>
      <x:c r="J33" s="6" t="n">
        <x:v>770000</x:v>
      </x:c>
      <x:c r="K33" s="11" t="n">
        <x:v>17</x:v>
      </x:c>
      <x:c r="L33" s="11" t="n">
        <x:v>291</x:v>
      </x:c>
    </x:row>
    <x:row r="34" ht="25" customHeight="1">
      <x:c r="A34" s="2" t="str">
        <x:v>2026-10-09_Day</x:v>
      </x:c>
      <x:c r="B34" s="2" t="str">
        <x:v>前30場</x:v>
      </x:c>
      <x:c r="C34" s="6" t="n">
        <x:v>647000</x:v>
      </x:c>
      <x:c r="D34" s="6" t="n">
        <x:v>2389000</x:v>
      </x:c>
      <x:c r="E34" s="6" t="n">
        <x:f>C34-D34</x:f>
        <x:v>-1742000</x:v>
      </x:c>
      <x:c r="F34" s="6" t="n">
        <x:f>F33+E34</x:f>
        <x:v>-14488000</x:v>
      </x:c>
      <x:c r="G34" s="6" t="n">
        <x:v>-450000</x:v>
      </x:c>
      <x:c r="H34" s="6" t="n">
        <x:v>-1292000</x:v>
      </x:c>
      <x:c r="I34" s="6" t="n">
        <x:v>-1752000</x:v>
      </x:c>
      <x:c r="J34" s="6" t="n">
        <x:v>1856000</x:v>
      </x:c>
      <x:c r="K34" s="11" t="n">
        <x:v>6</x:v>
      </x:c>
      <x:c r="L34" s="11" t="n">
        <x:v>659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686000</x:v>
      </x:c>
      <x:c r="E35" s="6" t="n">
        <x:f>C35-D35</x:f>
        <x:v>-196000</x:v>
      </x:c>
      <x:c r="F35" s="6" t="n">
        <x:f>F34+E35</x:f>
        <x:v>-14684000</x:v>
      </x:c>
      <x:c r="G35" s="6" t="n">
        <x:v>20000</x:v>
      </x:c>
      <x:c r="H35" s="6" t="n">
        <x:v>-216000</x:v>
      </x:c>
      <x:c r="I35" s="6" t="n">
        <x:v>-356000</x:v>
      </x:c>
      <x:c r="J35" s="6" t="n">
        <x:v>370000</x:v>
      </x:c>
      <x:c r="K35" s="11" t="n">
        <x:v>6</x:v>
      </x:c>
      <x:c r="L35" s="11" t="n">
        <x:v>117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-14684000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714000</x:v>
      </x:c>
      <x:c r="D37" s="6" t="n">
        <x:v>1266000</x:v>
      </x:c>
      <x:c r="E37" s="6" t="n">
        <x:f>C37-D37</x:f>
        <x:v>-552000</x:v>
      </x:c>
      <x:c r="F37" s="6" t="n">
        <x:f>F36+E37</x:f>
        <x:v>-15236000</x:v>
      </x:c>
      <x:c r="G37" s="6" t="n">
        <x:v>-120000</x:v>
      </x:c>
      <x:c r="H37" s="6" t="n">
        <x:v>-432000</x:v>
      </x:c>
      <x:c r="I37" s="6" t="n">
        <x:v>-572000</x:v>
      </x:c>
      <x:c r="J37" s="6" t="n">
        <x:v>582000</x:v>
      </x:c>
      <x:c r="K37" s="11" t="n">
        <x:v>8</x:v>
      </x:c>
      <x:c r="L37" s="11" t="n">
        <x:v>214</x:v>
      </x:c>
    </x:row>
    <x:row r="38" ht="25" customHeight="1">
      <x:c r="A38" s="2" t="str">
        <x:v>2026-10-13_Day</x:v>
      </x:c>
      <x:c r="B38" s="2" t="str">
        <x:v>次10場</x:v>
      </x:c>
      <x:c r="C38" s="6" t="n">
        <x:v>538000</x:v>
      </x:c>
      <x:c r="D38" s="6" t="n">
        <x:v>229000</x:v>
      </x:c>
      <x:c r="E38" s="6" t="n">
        <x:f>C38-D38</x:f>
        <x:v>309000</x:v>
      </x:c>
      <x:c r="F38" s="6" t="n">
        <x:f>F37+E38</x:f>
        <x:v>-14927000</x:v>
      </x:c>
      <x:c r="G38" s="6" t="n">
        <x:v>490000</x:v>
      </x:c>
      <x:c r="H38" s="6" t="n">
        <x:v>-181000</x:v>
      </x:c>
      <x:c r="I38" s="6" t="n">
        <x:v>-348000</x:v>
      </x:c>
      <x:c r="J38" s="6" t="n">
        <x:v>388000</x:v>
      </x:c>
      <x:c r="K38" s="11" t="n">
        <x:v>5</x:v>
      </x:c>
      <x:c r="L38" s="11" t="n">
        <x:v>149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420000</x:v>
      </x:c>
      <x:c r="D39" s="6" t="n">
        <x:v>386000</x:v>
      </x:c>
      <x:c r="E39" s="6" t="n">
        <x:f>C39-D39</x:f>
        <x:v>34000</x:v>
      </x:c>
      <x:c r="F39" s="6" t="n">
        <x:f>F38+E39</x:f>
        <x:v>-14893000</x:v>
      </x:c>
      <x:c r="G39" s="6" t="n">
        <x:v>120000</x:v>
      </x:c>
      <x:c r="H39" s="6" t="n">
        <x:v>-86000</x:v>
      </x:c>
      <x:c r="I39" s="6" t="n">
        <x:v>-116000</x:v>
      </x:c>
      <x:c r="J39" s="6" t="n">
        <x:v>170000</x:v>
      </x:c>
      <x:c r="K39" s="11" t="n">
        <x:v>5</x:v>
      </x:c>
      <x:c r="L39" s="11" t="n">
        <x:v>54</x:v>
      </x:c>
    </x:row>
    <x:row r="40" ht="25" customHeight="1">
      <x:c r="A40" s="2" t="str">
        <x:v>2026-10-14_Day</x:v>
      </x:c>
      <x:c r="B40" s="2" t="str">
        <x:v>次10場</x:v>
      </x:c>
      <x:c r="C40" s="6" t="n">
        <x:v>519000</x:v>
      </x:c>
      <x:c r="D40" s="6" t="n">
        <x:v>813000</x:v>
      </x:c>
      <x:c r="E40" s="6" t="n">
        <x:f>C40-D40</x:f>
        <x:v>-294000</x:v>
      </x:c>
      <x:c r="F40" s="6" t="n">
        <x:f>F39+E40</x:f>
        <x:v>-15187000</x:v>
      </x:c>
      <x:c r="G40" s="6" t="n">
        <x:v>40000</x:v>
      </x:c>
      <x:c r="H40" s="6" t="n">
        <x:v>-334000</x:v>
      </x:c>
      <x:c r="I40" s="6" t="n">
        <x:v>-606000</x:v>
      </x:c>
      <x:c r="J40" s="6" t="n">
        <x:v>776000</x:v>
      </x:c>
      <x:c r="K40" s="11" t="n">
        <x:v>5</x:v>
      </x:c>
      <x:c r="L40" s="11" t="n">
        <x:v>255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1581000</x:v>
      </x:c>
      <x:c r="D41" s="6" t="n">
        <x:v>3265000</x:v>
      </x:c>
      <x:c r="E41" s="6" t="n">
        <x:f>C41-D41</x:f>
        <x:v>-1684000</x:v>
      </x:c>
      <x:c r="F41" s="6" t="n">
        <x:f>F40+E41</x:f>
        <x:v>-16871000</x:v>
      </x:c>
      <x:c r="G41" s="6" t="n">
        <x:v>-490000</x:v>
      </x:c>
      <x:c r="H41" s="6" t="n">
        <x:v>-1194000</x:v>
      </x:c>
      <x:c r="I41" s="6" t="n">
        <x:v>-1714000</x:v>
      </x:c>
      <x:c r="J41" s="6" t="n">
        <x:v>1724000</x:v>
      </x:c>
      <x:c r="K41" s="11" t="n">
        <x:v>14</x:v>
      </x:c>
      <x:c r="L41" s="11" t="n">
        <x:v>607</x:v>
      </x:c>
    </x:row>
    <x:row r="42" ht="25" customHeight="1">
      <x:c r="A42" s="2" t="str">
        <x:v>2026-10-15_Day</x:v>
      </x:c>
      <x:c r="B42" s="2" t="str">
        <x:v>次10場</x:v>
      </x:c>
      <x:c r="C42" s="6" t="n">
        <x:v>1463000</x:v>
      </x:c>
      <x:c r="D42" s="6" t="n">
        <x:v>3058000</x:v>
      </x:c>
      <x:c r="E42" s="6" t="n">
        <x:f>C42-D42</x:f>
        <x:v>-1595000</x:v>
      </x:c>
      <x:c r="F42" s="6" t="n">
        <x:f>F41+E42</x:f>
        <x:v>-18466000</x:v>
      </x:c>
      <x:c r="G42" s="6" t="n">
        <x:v>-120000</x:v>
      </x:c>
      <x:c r="H42" s="6" t="n">
        <x:v>-1475000</x:v>
      </x:c>
      <x:c r="I42" s="6" t="n">
        <x:v>-2505000</x:v>
      </x:c>
      <x:c r="J42" s="6" t="n">
        <x:v>2740000</x:v>
      </x:c>
      <x:c r="K42" s="11" t="n">
        <x:v>12</x:v>
      </x:c>
      <x:c r="L42" s="11" t="n">
        <x:v>926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1654000</x:v>
      </x:c>
      <x:c r="D43" s="6" t="n">
        <x:v>2128000</x:v>
      </x:c>
      <x:c r="E43" s="6" t="n">
        <x:f>C43-D43</x:f>
        <x:v>-474000</x:v>
      </x:c>
      <x:c r="F43" s="6" t="n">
        <x:f>F42+E43</x:f>
        <x:v>-18940000</x:v>
      </x:c>
      <x:c r="G43" s="6" t="n">
        <x:v>110000</x:v>
      </x:c>
      <x:c r="H43" s="6" t="n">
        <x:v>-584000</x:v>
      </x:c>
      <x:c r="I43" s="6" t="n">
        <x:v>-734000</x:v>
      </x:c>
      <x:c r="J43" s="6" t="n">
        <x:v>900000</x:v>
      </x:c>
      <x:c r="K43" s="11" t="n">
        <x:v>15</x:v>
      </x:c>
      <x:c r="L43" s="11" t="n">
        <x:v>353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1030000</x:v>
      </x:c>
      <x:c r="D44" s="6" t="n">
        <x:v>782000</x:v>
      </x:c>
      <x:c r="E44" s="6" t="n">
        <x:f>C44-D44</x:f>
        <x:v>248000</x:v>
      </x:c>
      <x:c r="F44" s="6" t="n">
        <x:f>F43+E44</x:f>
        <x:v>-18692000</x:v>
      </x:c>
      <x:c r="G44" s="6" t="n">
        <x:v>820000</x:v>
      </x:c>
      <x:c r="H44" s="6" t="n">
        <x:v>-572000</x:v>
      </x:c>
      <x:c r="I44" s="6" t="n">
        <x:v>-202000</x:v>
      </x:c>
      <x:c r="J44" s="6" t="n">
        <x:v>830000</x:v>
      </x:c>
      <x:c r="K44" s="11" t="n">
        <x:v>11</x:v>
      </x:c>
      <x:c r="L44" s="11" t="n">
        <x:v>290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2077000</x:v>
      </x:c>
      <x:c r="D45" s="6" t="n">
        <x:v>2621000</x:v>
      </x:c>
      <x:c r="E45" s="6" t="n">
        <x:f>C45-D45</x:f>
        <x:v>-544000</x:v>
      </x:c>
      <x:c r="F45" s="6" t="n">
        <x:f>F44+E45</x:f>
        <x:v>-19236000</x:v>
      </x:c>
      <x:c r="G45" s="6" t="n">
        <x:v>-230000</x:v>
      </x:c>
      <x:c r="H45" s="6" t="n">
        <x:v>-314000</x:v>
      </x:c>
      <x:c r="I45" s="6" t="n">
        <x:v>-574000</x:v>
      </x:c>
      <x:c r="J45" s="6" t="n">
        <x:v>786000</x:v>
      </x:c>
      <x:c r="K45" s="11" t="n">
        <x:v>21</x:v>
      </x:c>
      <x:c r="L45" s="11" t="n">
        <x:v>399</x:v>
      </x:c>
    </x:row>
    <x:row r="46" ht="25" customHeight="1">
      <x:c r="A46" s="2" t="str">
        <x:v>2026-10-19_Day</x:v>
      </x:c>
      <x:c r="B46" s="2" t="str">
        <x:v>後13場</x:v>
      </x:c>
      <x:c r="C46" s="6" t="n">
        <x:v>533000</x:v>
      </x:c>
      <x:c r="D46" s="6" t="n">
        <x:v>1796000</x:v>
      </x:c>
      <x:c r="E46" s="6" t="n">
        <x:f>C46-D46</x:f>
        <x:v>-1263000</x:v>
      </x:c>
      <x:c r="F46" s="6" t="n">
        <x:f>F45+E46</x:f>
        <x:v>-20499000</x:v>
      </x:c>
      <x:c r="G46" s="6" t="n">
        <x:v>-520000</x:v>
      </x:c>
      <x:c r="H46" s="6" t="n">
        <x:v>-743000</x:v>
      </x:c>
      <x:c r="I46" s="6" t="n">
        <x:v>-1473000</x:v>
      </x:c>
      <x:c r="J46" s="6" t="n">
        <x:v>1580000</x:v>
      </x:c>
      <x:c r="K46" s="11" t="n">
        <x:v>5</x:v>
      </x:c>
      <x:c r="L46" s="11" t="n">
        <x:v>484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754000</x:v>
      </x:c>
      <x:c r="E47" s="6" t="n">
        <x:f>C47-D47</x:f>
        <x:v>-174000</x:v>
      </x:c>
      <x:c r="F47" s="6" t="n">
        <x:f>F46+E47</x:f>
        <x:v>-20673000</x:v>
      </x:c>
      <x:c r="G47" s="6" t="n">
        <x:v>80000</x:v>
      </x:c>
      <x:c r="H47" s="6" t="n">
        <x:v>-254000</x:v>
      </x:c>
      <x:c r="I47" s="6" t="n">
        <x:v>-244000</x:v>
      </x:c>
      <x:c r="J47" s="6" t="n">
        <x:v>342000</x:v>
      </x:c>
      <x:c r="K47" s="11" t="n">
        <x:v>8</x:v>
      </x:c>
      <x:c r="L47" s="11" t="n">
        <x:v>145</x:v>
      </x:c>
    </x:row>
    <x:row r="48" ht="25" customHeight="1">
      <x:c r="A48" s="2" t="str">
        <x:v>2026-10-20_Day</x:v>
      </x:c>
      <x:c r="B48" s="2" t="str">
        <x:v>後13場</x:v>
      </x:c>
      <x:c r="C48" s="6" t="n">
        <x:v>684000</x:v>
      </x:c>
      <x:c r="D48" s="6" t="n">
        <x:v>933000</x:v>
      </x:c>
      <x:c r="E48" s="6" t="n">
        <x:f>C48-D48</x:f>
        <x:v>-249000</x:v>
      </x:c>
      <x:c r="F48" s="6" t="n">
        <x:f>F47+E48</x:f>
        <x:v>-20922000</x:v>
      </x:c>
      <x:c r="G48" s="6" t="n">
        <x:v>10000</x:v>
      </x:c>
      <x:c r="H48" s="6" t="n">
        <x:v>-259000</x:v>
      </x:c>
      <x:c r="I48" s="6" t="n">
        <x:v>-659000</x:v>
      </x:c>
      <x:c r="J48" s="6" t="n">
        <x:v>813000</x:v>
      </x:c>
      <x:c r="K48" s="11" t="n">
        <x:v>6</x:v>
      </x:c>
      <x:c r="L48" s="11" t="n">
        <x:v>294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1039000</x:v>
      </x:c>
      <x:c r="D49" s="6" t="n">
        <x:v>1777000</x:v>
      </x:c>
      <x:c r="E49" s="6" t="n">
        <x:f>C49-D49</x:f>
        <x:v>-738000</x:v>
      </x:c>
      <x:c r="F49" s="6" t="n">
        <x:f>F48+E49</x:f>
        <x:v>-21660000</x:v>
      </x:c>
      <x:c r="G49" s="6" t="n">
        <x:v>-390000</x:v>
      </x:c>
      <x:c r="H49" s="6" t="n">
        <x:v>-348000</x:v>
      </x:c>
      <x:c r="I49" s="6" t="n">
        <x:v>-768000</x:v>
      </x:c>
      <x:c r="J49" s="6" t="n">
        <x:v>868000</x:v>
      </x:c>
      <x:c r="K49" s="11" t="n">
        <x:v>11</x:v>
      </x:c>
      <x:c r="L49" s="11" t="n">
        <x:v>280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455000</x:v>
      </x:c>
      <x:c r="D50" s="6" t="n">
        <x:v>1113000</x:v>
      </x:c>
      <x:c r="E50" s="6" t="n">
        <x:f>C50-D50</x:f>
        <x:v>-658000</x:v>
      </x:c>
      <x:c r="F50" s="6" t="n">
        <x:f>F49+E50</x:f>
        <x:v>-22318000</x:v>
      </x:c>
      <x:c r="G50" s="6" t="n">
        <x:v>-170000</x:v>
      </x:c>
      <x:c r="H50" s="6" t="n">
        <x:v>-488000</x:v>
      </x:c>
      <x:c r="I50" s="6" t="n">
        <x:v>-898000</x:v>
      </x:c>
      <x:c r="J50" s="6" t="n">
        <x:v>948000</x:v>
      </x:c>
      <x:c r="K50" s="11" t="n">
        <x:v>4</x:v>
      </x:c>
      <x:c r="L50" s="11" t="n">
        <x:v>335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725000</x:v>
      </x:c>
      <x:c r="D51" s="6" t="n">
        <x:v>782000</x:v>
      </x:c>
      <x:c r="E51" s="6" t="n">
        <x:f>C51-D51</x:f>
        <x:v>-57000</x:v>
      </x:c>
      <x:c r="F51" s="6" t="n">
        <x:f>F50+E51</x:f>
        <x:v>-22375000</x:v>
      </x:c>
      <x:c r="G51" s="6" t="n">
        <x:v>30000</x:v>
      </x:c>
      <x:c r="H51" s="6" t="n">
        <x:v>-87000</x:v>
      </x:c>
      <x:c r="I51" s="6" t="n">
        <x:v>-177000</x:v>
      </x:c>
      <x:c r="J51" s="6" t="n">
        <x:v>177000</x:v>
      </x:c>
      <x:c r="K51" s="11" t="n">
        <x:v>10</x:v>
      </x:c>
      <x:c r="L51" s="11" t="n">
        <x:v>74</x:v>
      </x:c>
    </x:row>
    <x:row r="52" ht="25" customHeight="1">
      <x:c r="A52" s="2" t="str">
        <x:v>2026-10-22_Day</x:v>
      </x:c>
      <x:c r="B52" s="2" t="str">
        <x:v>後13場</x:v>
      </x:c>
      <x:c r="C52" s="6" t="n">
        <x:v>890000</x:v>
      </x:c>
      <x:c r="D52" s="6" t="n">
        <x:v>3918000</x:v>
      </x:c>
      <x:c r="E52" s="6" t="n">
        <x:f>C52-D52</x:f>
        <x:v>-3028000</x:v>
      </x:c>
      <x:c r="F52" s="6" t="n">
        <x:f>F51+E52</x:f>
        <x:v>-25403000</x:v>
      </x:c>
      <x:c r="G52" s="6" t="n">
        <x:v>-1170000</x:v>
      </x:c>
      <x:c r="H52" s="6" t="n">
        <x:v>-1858000</x:v>
      </x:c>
      <x:c r="I52" s="6" t="n">
        <x:v>-3258000</x:v>
      </x:c>
      <x:c r="J52" s="6" t="n">
        <x:v>3365000</x:v>
      </x:c>
      <x:c r="K52" s="11" t="n">
        <x:v>7</x:v>
      </x:c>
      <x:c r="L52" s="11" t="n">
        <x:v>1076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1031000</x:v>
      </x:c>
      <x:c r="D53" s="6" t="n">
        <x:v>1698000</x:v>
      </x:c>
      <x:c r="E53" s="6" t="n">
        <x:f>C53-D53</x:f>
        <x:v>-667000</x:v>
      </x:c>
      <x:c r="F53" s="6" t="n">
        <x:f>F52+E53</x:f>
        <x:v>-26070000</x:v>
      </x:c>
      <x:c r="G53" s="6" t="n">
        <x:v>-290000</x:v>
      </x:c>
      <x:c r="H53" s="6" t="n">
        <x:v>-377000</x:v>
      </x:c>
      <x:c r="I53" s="6" t="n">
        <x:v>-677000</x:v>
      </x:c>
      <x:c r="J53" s="6" t="n">
        <x:v>747000</x:v>
      </x:c>
      <x:c r="K53" s="11" t="n">
        <x:v>14</x:v>
      </x:c>
      <x:c r="L53" s="11" t="n">
        <x:v>296</x:v>
      </x:c>
    </x:row>
    <x:row r="54" ht="25" customHeight="1">
      <x:c r="A54" s="2" t="str">
        <x:v>2026-10-23_Day</x:v>
      </x:c>
      <x:c r="B54" s="2" t="str">
        <x:v>後13場</x:v>
      </x:c>
      <x:c r="C54" s="6" t="n">
        <x:v>1713000</x:v>
      </x:c>
      <x:c r="D54" s="6" t="n">
        <x:v>2907000</x:v>
      </x:c>
      <x:c r="E54" s="6" t="n">
        <x:f>C54-D54</x:f>
        <x:v>-1194000</x:v>
      </x:c>
      <x:c r="F54" s="6" t="n">
        <x:f>F53+E54</x:f>
        <x:v>-27264000</x:v>
      </x:c>
      <x:c r="G54" s="6" t="n">
        <x:v>350000</x:v>
      </x:c>
      <x:c r="H54" s="6" t="n">
        <x:v>-1544000</x:v>
      </x:c>
      <x:c r="I54" s="6" t="n">
        <x:v>-1344000</x:v>
      </x:c>
      <x:c r="J54" s="6" t="n">
        <x:v>1533000</x:v>
      </x:c>
      <x:c r="K54" s="11" t="n">
        <x:v>16</x:v>
      </x:c>
      <x:c r="L54" s="11" t="n">
        <x:v>723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480000</x:v>
      </x:c>
      <x:c r="D55" s="6" t="n">
        <x:v>850000</x:v>
      </x:c>
      <x:c r="E55" s="6" t="n">
        <x:f>C55-D55</x:f>
        <x:v>-370000</x:v>
      </x:c>
      <x:c r="F55" s="6" t="n">
        <x:f>F54+E55</x:f>
        <x:v>-27634000</x:v>
      </x:c>
      <x:c r="G55" s="6" t="n">
        <x:v>-170000</x:v>
      </x:c>
      <x:c r="H55" s="6" t="n">
        <x:v>-200000</x:v>
      </x:c>
      <x:c r="I55" s="6" t="n">
        <x:v>-390000</x:v>
      </x:c>
      <x:c r="J55" s="6" t="n">
        <x:v>413000</x:v>
      </x:c>
      <x:c r="K55" s="11" t="n">
        <x:v>7</x:v>
      </x:c>
      <x:c r="L55" s="11" t="n">
        <x:v>95</x:v>
      </x:c>
    </x:row>
    <x:row r="56" ht="25" customHeight="1">
      <x:c r="A56" s="2" t="str">
        <x:v>2026-10-26_Day</x:v>
      </x:c>
      <x:c r="B56" s="2" t="str">
        <x:v>後13場</x:v>
      </x:c>
      <x:c r="C56" s="6" t="n">
        <x:v>578000</x:v>
      </x:c>
      <x:c r="D56" s="6" t="n">
        <x:v>1154000</x:v>
      </x:c>
      <x:c r="E56" s="6" t="n">
        <x:f>C56-D56</x:f>
        <x:v>-576000</x:v>
      </x:c>
      <x:c r="F56" s="6" t="n">
        <x:f>F55+E56</x:f>
        <x:v>-28210000</x:v>
      </x:c>
      <x:c r="G56" s="6" t="n">
        <x:v>-250000</x:v>
      </x:c>
      <x:c r="H56" s="6" t="n">
        <x:v>-326000</x:v>
      </x:c>
      <x:c r="I56" s="6" t="n">
        <x:v>-656000</x:v>
      </x:c>
      <x:c r="J56" s="6" t="n">
        <x:v>656000</x:v>
      </x:c>
      <x:c r="K56" s="11" t="n">
        <x:v>5</x:v>
      </x:c>
      <x:c r="L56" s="11" t="n">
        <x:v>293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648000</x:v>
      </x:c>
      <x:c r="D57" s="6" t="n">
        <x:v>1188000</x:v>
      </x:c>
      <x:c r="E57" s="6" t="n">
        <x:f>C57-D57</x:f>
        <x:v>-540000</x:v>
      </x:c>
      <x:c r="F57" s="6" t="n">
        <x:f>F56+E57</x:f>
        <x:v>-28750000</x:v>
      </x:c>
      <x:c r="G57" s="6" t="n">
        <x:v>-290000</x:v>
      </x:c>
      <x:c r="H57" s="6" t="n">
        <x:v>-250000</x:v>
      </x:c>
      <x:c r="I57" s="6" t="n">
        <x:v>-560000</x:v>
      </x:c>
      <x:c r="J57" s="6" t="n">
        <x:v>630000</x:v>
      </x:c>
      <x:c r="K57" s="11" t="n">
        <x:v>8</x:v>
      </x:c>
      <x:c r="L57" s="11" t="n">
        <x:v>185</x:v>
      </x:c>
    </x:row>
    <x:row r="58" ht="25" customHeight="1">
      <x:c r="A58" s="2" t="str">
        <x:v>2026-10-27_Day</x:v>
      </x:c>
      <x:c r="B58" s="2" t="str">
        <x:v>後13場</x:v>
      </x:c>
      <x:c r="C58" s="6" t="n">
        <x:v>967000</x:v>
      </x:c>
      <x:c r="D58" s="6" t="n">
        <x:v>624000</x:v>
      </x:c>
      <x:c r="E58" s="6" t="n">
        <x:f>C58-D58</x:f>
        <x:v>343000</x:v>
      </x:c>
      <x:c r="F58" s="6" t="n">
        <x:f>F57+E58</x:f>
        <x:v>-28407000</x:v>
      </x:c>
      <x:c r="G58" s="6" t="n">
        <x:v>900000</x:v>
      </x:c>
      <x:c r="H58" s="6" t="n">
        <x:v>-557000</x:v>
      </x:c>
      <x:c r="I58" s="6" t="n">
        <x:v>-240000</x:v>
      </x:c>
      <x:c r="J58" s="6" t="n">
        <x:v>574000</x:v>
      </x:c>
      <x:c r="K58" s="11" t="n">
        <x:v>9</x:v>
      </x:c>
      <x:c r="L58" s="11" t="n">
        <x:v>319</x:v>
      </x:c>
    </x:row>
    <x:row r="59" ht="25" customHeight="1">
      <x:c r="A59" s="15" t="str">
        <x:v>累計／場内最悪値</x:v>
      </x:c>
      <x:c r="B59" s="15"/>
      <x:c r="C59" s="16" t="n">
        <x:f>SUM(C6:C58)</x:f>
        <x:v>35989000</x:v>
      </x:c>
      <x:c r="D59" s="16" t="n">
        <x:f>SUM(D6:D58)</x:f>
        <x:v>64396000</x:v>
      </x:c>
      <x:c r="E59" s="16" t="n">
        <x:f>C59-D59</x:f>
        <x:v>-28407000</x:v>
      </x:c>
      <x:c r="F59" s="16" t="n">
        <x:f>F58</x:f>
        <x:v>-28407000</x:v>
      </x:c>
      <x:c r="G59" s="16" t="n">
        <x:f>SUM(G6:G58)</x:f>
        <x:v>-5325000</x:v>
      </x:c>
      <x:c r="H59" s="16" t="n">
        <x:f>SUM(H6:H58)</x:f>
        <x:v>-23082000</x:v>
      </x:c>
      <x:c r="I59" s="16" t="n">
        <x:f>MIN(I6:I58)</x:f>
        <x:v>-3258000</x:v>
      </x:c>
      <x:c r="J59" s="16" t="n">
        <x:f>MAX(J6:J58)</x:f>
        <x:v>3365000</x:v>
      </x:c>
      <x:c r="K59" s="17" t="n">
        <x:f>SUM(K6:K58)</x:f>
        <x:v>386</x:v>
      </x:c>
      <x:c r="L59" s="17" t="n">
        <x:f>SUM(L6:L58)</x:f>
        <x:v>14471</x:v>
      </x:c>
    </x:row>
  </x:sheetData>
  <x:conditionalFormatting sqref="E6:I58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4efe990dd549fc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H17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段40・即追尾・追尾10・固定段再交差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21000</x:v>
      </x:c>
      <x:c r="E6" s="6" t="n">
        <x:f>C6-D6</x:f>
        <x:v>179000</x:v>
      </x:c>
      <x:c r="F6" s="6" t="n">
        <x:f>E6</x:f>
        <x:v>179000</x:v>
      </x:c>
      <x:c r="G6" s="6" t="n">
        <x:v>200000</x:v>
      </x:c>
      <x:c r="H6" s="6" t="n">
        <x:v>-21000</x:v>
      </x:c>
      <x:c r="I6" s="6" t="n">
        <x:v>-64000</x:v>
      </x:c>
      <x:c r="J6" s="6" t="n">
        <x:v>137000</x:v>
      </x:c>
      <x:c r="K6" s="11" t="n">
        <x:v>2</x:v>
      </x:c>
      <x:c r="L6" s="11" t="n">
        <x:v>11</x:v>
      </x:c>
    </x:row>
    <x:row r="7" ht="25" customHeight="1">
      <x:c r="A7" s="2" t="str">
        <x:v>2026-09-21_Night</x:v>
      </x:c>
      <x:c r="B7" s="2" t="str">
        <x:v>前30場</x:v>
      </x:c>
      <x:c r="C7" s="6" t="n">
        <x:v>590000</x:v>
      </x:c>
      <x:c r="D7" s="6" t="n">
        <x:v>917000</x:v>
      </x:c>
      <x:c r="E7" s="6" t="n">
        <x:f>C7-D7</x:f>
        <x:v>-327000</x:v>
      </x:c>
      <x:c r="F7" s="6" t="n">
        <x:f>F6+E7</x:f>
        <x:v>-148000</x:v>
      </x:c>
      <x:c r="G7" s="6" t="n">
        <x:v>-220000</x:v>
      </x:c>
      <x:c r="H7" s="6" t="n">
        <x:v>-107000</x:v>
      </x:c>
      <x:c r="I7" s="6" t="n">
        <x:v>-457000</x:v>
      </x:c>
      <x:c r="J7" s="6" t="n">
        <x:v>597000</x:v>
      </x:c>
      <x:c r="K7" s="11" t="n">
        <x:v>7</x:v>
      </x:c>
      <x:c r="L7" s="11" t="n">
        <x:v>65</x:v>
      </x:c>
    </x:row>
    <x:row r="8" ht="25" customHeight="1">
      <x:c r="A8" s="2" t="str">
        <x:v>2026-09-22_Day</x:v>
      </x:c>
      <x:c r="B8" s="2" t="str">
        <x:v>前30場</x:v>
      </x:c>
      <x:c r="C8" s="6" t="n">
        <x:v>118000</x:v>
      </x:c>
      <x:c r="D8" s="6" t="n">
        <x:v>452000</x:v>
      </x:c>
      <x:c r="E8" s="6" t="n">
        <x:f>C8-D8</x:f>
        <x:v>-334000</x:v>
      </x:c>
      <x:c r="F8" s="6" t="n">
        <x:f>F7+E8</x:f>
        <x:v>-482000</x:v>
      </x:c>
      <x:c r="G8" s="6" t="n">
        <x:v>100000</x:v>
      </x:c>
      <x:c r="H8" s="6" t="n">
        <x:v>-434000</x:v>
      </x:c>
      <x:c r="I8" s="6" t="n">
        <x:v>-556000</x:v>
      </x:c>
      <x:c r="J8" s="6" t="n">
        <x:v>636000</x:v>
      </x:c>
      <x:c r="K8" s="11" t="n">
        <x:v>1</x:v>
      </x:c>
      <x:c r="L8" s="11" t="n">
        <x:v>277</x:v>
      </x:c>
    </x:row>
    <x:row r="9" ht="25" customHeight="1">
      <x:c r="A9" s="2" t="str">
        <x:v>2026-09-22_Night</x:v>
      </x:c>
      <x:c r="B9" s="2" t="str">
        <x:v>前30場</x:v>
      </x:c>
      <x:c r="C9" s="6" t="n">
        <x:v>605000</x:v>
      </x:c>
      <x:c r="D9" s="6" t="n">
        <x:v>984000</x:v>
      </x:c>
      <x:c r="E9" s="6" t="n">
        <x:f>C9-D9</x:f>
        <x:v>-379000</x:v>
      </x:c>
      <x:c r="F9" s="6" t="n">
        <x:f>F8+E9</x:f>
        <x:v>-861000</x:v>
      </x:c>
      <x:c r="G9" s="6" t="n">
        <x:v>-320000</x:v>
      </x:c>
      <x:c r="H9" s="6" t="n">
        <x:v>-59000</x:v>
      </x:c>
      <x:c r="I9" s="6" t="n">
        <x:v>-549000</x:v>
      </x:c>
      <x:c r="J9" s="6" t="n">
        <x:v>679000</x:v>
      </x:c>
      <x:c r="K9" s="11" t="n">
        <x:v>7</x:v>
      </x:c>
      <x:c r="L9" s="11" t="n">
        <x:v>51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-861000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1138000</x:v>
      </x:c>
      <x:c r="E11" s="6" t="n">
        <x:f>C11-D11</x:f>
        <x:v>-558000</x:v>
      </x:c>
      <x:c r="F11" s="6" t="n">
        <x:f>F10+E11</x:f>
        <x:v>-1419000</x:v>
      </x:c>
      <x:c r="G11" s="6" t="n">
        <x:v>-490000</x:v>
      </x:c>
      <x:c r="H11" s="6" t="n">
        <x:v>-68000</x:v>
      </x:c>
      <x:c r="I11" s="6" t="n">
        <x:v>-558000</x:v>
      </x:c>
      <x:c r="J11" s="6" t="n">
        <x:v>618000</x:v>
      </x:c>
      <x:c r="K11" s="11" t="n">
        <x:v>8</x:v>
      </x:c>
      <x:c r="L11" s="11" t="n">
        <x:v>40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303000</x:v>
      </x:c>
      <x:c r="D12" s="6" t="n">
        <x:v>830000</x:v>
      </x:c>
      <x:c r="E12" s="6" t="n">
        <x:f>C12-D12</x:f>
        <x:v>-527000</x:v>
      </x:c>
      <x:c r="F12" s="6" t="n">
        <x:f>F11+E12</x:f>
        <x:v>-1946000</x:v>
      </x:c>
      <x:c r="G12" s="6" t="n">
        <x:v>290000</x:v>
      </x:c>
      <x:c r="H12" s="6" t="n">
        <x:v>-817000</x:v>
      </x:c>
      <x:c r="I12" s="6" t="n">
        <x:v>-764000</x:v>
      </x:c>
      <x:c r="J12" s="6" t="n">
        <x:v>764000</x:v>
      </x:c>
      <x:c r="K12" s="11" t="n">
        <x:v>3</x:v>
      </x:c>
      <x:c r="L12" s="11" t="n">
        <x:v>528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504000</x:v>
      </x:c>
      <x:c r="D13" s="6" t="n">
        <x:v>977000</x:v>
      </x:c>
      <x:c r="E13" s="6" t="n">
        <x:f>C13-D13</x:f>
        <x:v>-473000</x:v>
      </x:c>
      <x:c r="F13" s="6" t="n">
        <x:f>F12+E13</x:f>
        <x:v>-2419000</x:v>
      </x:c>
      <x:c r="G13" s="6" t="n">
        <x:v>-203000</x:v>
      </x:c>
      <x:c r="H13" s="6" t="n">
        <x:v>-270000</x:v>
      </x:c>
      <x:c r="I13" s="6" t="n">
        <x:v>-533000</x:v>
      </x:c>
      <x:c r="J13" s="6" t="n">
        <x:v>613000</x:v>
      </x:c>
      <x:c r="K13" s="11" t="n">
        <x:v>8</x:v>
      </x:c>
      <x:c r="L13" s="11" t="n">
        <x:v>172</x:v>
      </x:c>
    </x:row>
    <x:row r="14" ht="25" customHeight="1">
      <x:c r="A14" s="2" t="str">
        <x:v>2026-09-25_Day</x:v>
      </x:c>
      <x:c r="B14" s="2" t="str">
        <x:v>前30場</x:v>
      </x:c>
      <x:c r="C14" s="6" t="n">
        <x:v>97000</x:v>
      </x:c>
      <x:c r="D14" s="6" t="n">
        <x:v>1167000</x:v>
      </x:c>
      <x:c r="E14" s="6" t="n">
        <x:f>C14-D14</x:f>
        <x:v>-1070000</x:v>
      </x:c>
      <x:c r="F14" s="6" t="n">
        <x:f>F13+E14</x:f>
        <x:v>-3489000</x:v>
      </x:c>
      <x:c r="G14" s="6" t="n">
        <x:v>-610000</x:v>
      </x:c>
      <x:c r="H14" s="6" t="n">
        <x:v>-460000</x:v>
      </x:c>
      <x:c r="I14" s="6" t="n">
        <x:v>-1190000</x:v>
      </x:c>
      <x:c r="J14" s="6" t="n">
        <x:v>1260000</x:v>
      </x:c>
      <x:c r="K14" s="11" t="n">
        <x:v>3</x:v>
      </x:c>
      <x:c r="L14" s="11" t="n">
        <x:v>264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461000</x:v>
      </x:c>
      <x:c r="D15" s="6" t="n">
        <x:v>713000</x:v>
      </x:c>
      <x:c r="E15" s="6" t="n">
        <x:f>C15-D15</x:f>
        <x:v>-252000</x:v>
      </x:c>
      <x:c r="F15" s="6" t="n">
        <x:f>F14+E15</x:f>
        <x:v>-3741000</x:v>
      </x:c>
      <x:c r="G15" s="6" t="n">
        <x:v>-189000</x:v>
      </x:c>
      <x:c r="H15" s="6" t="n">
        <x:v>-63000</x:v>
      </x:c>
      <x:c r="I15" s="6" t="n">
        <x:v>-272000</x:v>
      </x:c>
      <x:c r="J15" s="6" t="n">
        <x:v>272000</x:v>
      </x:c>
      <x:c r="K15" s="11" t="n">
        <x:v>8</x:v>
      </x:c>
      <x:c r="L15" s="11" t="n">
        <x:v>39</x:v>
      </x:c>
    </x:row>
    <x:row r="16" ht="25" customHeight="1">
      <x:c r="A16" s="2" t="str">
        <x:v>2026-09-28_Day</x:v>
      </x:c>
      <x:c r="B16" s="2" t="str">
        <x:v>前30場</x:v>
      </x:c>
      <x:c r="C16" s="6" t="n">
        <x:v>476000</x:v>
      </x:c>
      <x:c r="D16" s="6" t="n">
        <x:v>464000</x:v>
      </x:c>
      <x:c r="E16" s="6" t="n">
        <x:f>C16-D16</x:f>
        <x:v>12000</x:v>
      </x:c>
      <x:c r="F16" s="6" t="n">
        <x:f>F15+E16</x:f>
        <x:v>-3729000</x:v>
      </x:c>
      <x:c r="G16" s="6" t="n">
        <x:v>462000</x:v>
      </x:c>
      <x:c r="H16" s="6" t="n">
        <x:v>-450000</x:v>
      </x:c>
      <x:c r="I16" s="6" t="n">
        <x:v>-547000</x:v>
      </x:c>
      <x:c r="J16" s="6" t="n">
        <x:v>551000</x:v>
      </x:c>
      <x:c r="K16" s="11" t="n">
        <x:v>5</x:v>
      </x:c>
      <x:c r="L16" s="11" t="n">
        <x:v>300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693000</x:v>
      </x:c>
      <x:c r="D17" s="6" t="n">
        <x:v>546000</x:v>
      </x:c>
      <x:c r="E17" s="6" t="n">
        <x:f>C17-D17</x:f>
        <x:v>147000</x:v>
      </x:c>
      <x:c r="F17" s="6" t="n">
        <x:f>F16+E17</x:f>
        <x:v>-3582000</x:v>
      </x:c>
      <x:c r="G17" s="6" t="n">
        <x:v>230000</x:v>
      </x:c>
      <x:c r="H17" s="6" t="n">
        <x:v>-83000</x:v>
      </x:c>
      <x:c r="I17" s="6" t="n">
        <x:v>-179000</x:v>
      </x:c>
      <x:c r="J17" s="6" t="n">
        <x:v>225000</x:v>
      </x:c>
      <x:c r="K17" s="11" t="n">
        <x:v>9</x:v>
      </x:c>
      <x:c r="L17" s="11" t="n">
        <x:v>61</x:v>
      </x:c>
    </x:row>
    <x:row r="18" ht="25" customHeight="1">
      <x:c r="A18" s="2" t="str">
        <x:v>2026-09-29_Day</x:v>
      </x:c>
      <x:c r="B18" s="2" t="str">
        <x:v>前30場</x:v>
      </x:c>
      <x:c r="C18" s="6" t="n">
        <x:v>388000</x:v>
      </x:c>
      <x:c r="D18" s="6" t="n">
        <x:v>1236000</x:v>
      </x:c>
      <x:c r="E18" s="6" t="n">
        <x:f>C18-D18</x:f>
        <x:v>-848000</x:v>
      </x:c>
      <x:c r="F18" s="6" t="n">
        <x:f>F17+E18</x:f>
        <x:v>-4430000</x:v>
      </x:c>
      <x:c r="G18" s="6" t="n">
        <x:v>-36000</x:v>
      </x:c>
      <x:c r="H18" s="6" t="n">
        <x:v>-812000</x:v>
      </x:c>
      <x:c r="I18" s="6" t="n">
        <x:v>-1347000</x:v>
      </x:c>
      <x:c r="J18" s="6" t="n">
        <x:v>1362000</x:v>
      </x:c>
      <x:c r="K18" s="11" t="n">
        <x:v>5</x:v>
      </x:c>
      <x:c r="L18" s="11" t="n">
        <x:v>517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694000</x:v>
      </x:c>
      <x:c r="D19" s="6" t="n">
        <x:v>797000</x:v>
      </x:c>
      <x:c r="E19" s="6" t="n">
        <x:f>C19-D19</x:f>
        <x:v>-103000</x:v>
      </x:c>
      <x:c r="F19" s="6" t="n">
        <x:f>F18+E19</x:f>
        <x:v>-4533000</x:v>
      </x:c>
      <x:c r="G19" s="6" t="n">
        <x:v>0</x:v>
      </x:c>
      <x:c r="H19" s="6" t="n">
        <x:v>-103000</x:v>
      </x:c>
      <x:c r="I19" s="6" t="n">
        <x:v>-163000</x:v>
      </x:c>
      <x:c r="J19" s="6" t="n">
        <x:v>293000</x:v>
      </x:c>
      <x:c r="K19" s="11" t="n">
        <x:v>9</x:v>
      </x:c>
      <x:c r="L19" s="11" t="n">
        <x:v>68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193000</x:v>
      </x:c>
      <x:c r="D20" s="6" t="n">
        <x:v>1024000</x:v>
      </x:c>
      <x:c r="E20" s="6" t="n">
        <x:f>C20-D20</x:f>
        <x:v>-831000</x:v>
      </x:c>
      <x:c r="F20" s="6" t="n">
        <x:f>F19+E20</x:f>
        <x:v>-5364000</x:v>
      </x:c>
      <x:c r="G20" s="6" t="n">
        <x:v>-420000</x:v>
      </x:c>
      <x:c r="H20" s="6" t="n">
        <x:v>-411000</x:v>
      </x:c>
      <x:c r="I20" s="6" t="n">
        <x:v>-831000</x:v>
      </x:c>
      <x:c r="J20" s="6" t="n">
        <x:v>971000</x:v>
      </x:c>
      <x:c r="K20" s="11" t="n">
        <x:v>3</x:v>
      </x:c>
      <x:c r="L20" s="11" t="n">
        <x:v>237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601000</x:v>
      </x:c>
      <x:c r="D21" s="6" t="n">
        <x:v>854000</x:v>
      </x:c>
      <x:c r="E21" s="6" t="n">
        <x:f>C21-D21</x:f>
        <x:v>-253000</x:v>
      </x:c>
      <x:c r="F21" s="6" t="n">
        <x:f>F20+E21</x:f>
        <x:v>-5617000</x:v>
      </x:c>
      <x:c r="G21" s="6" t="n">
        <x:v>-120000</x:v>
      </x:c>
      <x:c r="H21" s="6" t="n">
        <x:v>-133000</x:v>
      </x:c>
      <x:c r="I21" s="6" t="n">
        <x:v>-383000</x:v>
      </x:c>
      <x:c r="J21" s="6" t="n">
        <x:v>383000</x:v>
      </x:c>
      <x:c r="K21" s="11" t="n">
        <x:v>8</x:v>
      </x:c>
      <x:c r="L21" s="11" t="n">
        <x:v>80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209000</x:v>
      </x:c>
      <x:c r="D22" s="6" t="n">
        <x:v>2119000</x:v>
      </x:c>
      <x:c r="E22" s="6" t="n">
        <x:f>C22-D22</x:f>
        <x:v>-1910000</x:v>
      </x:c>
      <x:c r="F22" s="6" t="n">
        <x:f>F21+E22</x:f>
        <x:v>-7527000</x:v>
      </x:c>
      <x:c r="G22" s="6" t="n">
        <x:v>-1421000</x:v>
      </x:c>
      <x:c r="H22" s="6" t="n">
        <x:v>-489000</x:v>
      </x:c>
      <x:c r="I22" s="6" t="n">
        <x:v>-2110000</x:v>
      </x:c>
      <x:c r="J22" s="6" t="n">
        <x:v>2130000</x:v>
      </x:c>
      <x:c r="K22" s="11" t="n">
        <x:v>3</x:v>
      </x:c>
      <x:c r="L22" s="11" t="n">
        <x:v>283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860000</x:v>
      </x:c>
      <x:c r="D23" s="6" t="n">
        <x:v>951000</x:v>
      </x:c>
      <x:c r="E23" s="6" t="n">
        <x:f>C23-D23</x:f>
        <x:v>-91000</x:v>
      </x:c>
      <x:c r="F23" s="6" t="n">
        <x:f>F22+E23</x:f>
        <x:v>-7618000</x:v>
      </x:c>
      <x:c r="G23" s="6" t="n">
        <x:v>0</x:v>
      </x:c>
      <x:c r="H23" s="6" t="n">
        <x:v>-91000</x:v>
      </x:c>
      <x:c r="I23" s="6" t="n">
        <x:v>-261000</x:v>
      </x:c>
      <x:c r="J23" s="6" t="n">
        <x:v>371000</x:v>
      </x:c>
      <x:c r="K23" s="11" t="n">
        <x:v>11</x:v>
      </x:c>
      <x:c r="L23" s="11" t="n">
        <x:v>50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330000</x:v>
      </x:c>
      <x:c r="D24" s="6" t="n">
        <x:v>1635000</x:v>
      </x:c>
      <x:c r="E24" s="6" t="n">
        <x:f>C24-D24</x:f>
        <x:v>-1305000</x:v>
      </x:c>
      <x:c r="F24" s="6" t="n">
        <x:f>F23+E24</x:f>
        <x:v>-8923000</x:v>
      </x:c>
      <x:c r="G24" s="6" t="n">
        <x:v>15000</x:v>
      </x:c>
      <x:c r="H24" s="6" t="n">
        <x:v>-1320000</x:v>
      </x:c>
      <x:c r="I24" s="6" t="n">
        <x:v>-1437000</x:v>
      </x:c>
      <x:c r="J24" s="6" t="n">
        <x:v>1457000</x:v>
      </x:c>
      <x:c r="K24" s="11" t="n">
        <x:v>5</x:v>
      </x:c>
      <x:c r="L24" s="11" t="n">
        <x:v>804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1032000</x:v>
      </x:c>
      <x:c r="D25" s="6" t="n">
        <x:v>1238000</x:v>
      </x:c>
      <x:c r="E25" s="6" t="n">
        <x:f>C25-D25</x:f>
        <x:v>-206000</x:v>
      </x:c>
      <x:c r="F25" s="6" t="n">
        <x:f>F24+E25</x:f>
        <x:v>-9129000</x:v>
      </x:c>
      <x:c r="G25" s="6" t="n">
        <x:v>-140000</x:v>
      </x:c>
      <x:c r="H25" s="6" t="n">
        <x:v>-66000</x:v>
      </x:c>
      <x:c r="I25" s="6" t="n">
        <x:v>-496000</x:v>
      </x:c>
      <x:c r="J25" s="6" t="n">
        <x:v>554000</x:v>
      </x:c>
      <x:c r="K25" s="11" t="n">
        <x:v>13</x:v>
      </x:c>
      <x:c r="L25" s="11" t="n">
        <x:v>39</x:v>
      </x:c>
    </x:row>
    <x:row r="26" ht="25" customHeight="1">
      <x:c r="A26" s="2" t="str">
        <x:v>2026-10-05_Day</x:v>
      </x:c>
      <x:c r="B26" s="2" t="str">
        <x:v>前30場</x:v>
      </x:c>
      <x:c r="C26" s="6" t="n">
        <x:v>228000</x:v>
      </x:c>
      <x:c r="D26" s="6" t="n">
        <x:v>1687000</x:v>
      </x:c>
      <x:c r="E26" s="6" t="n">
        <x:f>C26-D26</x:f>
        <x:v>-1459000</x:v>
      </x:c>
      <x:c r="F26" s="6" t="n">
        <x:f>F25+E26</x:f>
        <x:v>-10588000</x:v>
      </x:c>
      <x:c r="G26" s="6" t="n">
        <x:v>-330000</x:v>
      </x:c>
      <x:c r="H26" s="6" t="n">
        <x:v>-1129000</x:v>
      </x:c>
      <x:c r="I26" s="6" t="n">
        <x:v>-1459000</x:v>
      </x:c>
      <x:c r="J26" s="6" t="n">
        <x:v>1509000</x:v>
      </x:c>
      <x:c r="K26" s="11" t="n">
        <x:v>3</x:v>
      </x:c>
      <x:c r="L26" s="11" t="n">
        <x:v>709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403000</x:v>
      </x:c>
      <x:c r="D27" s="6" t="n">
        <x:v>898000</x:v>
      </x:c>
      <x:c r="E27" s="6" t="n">
        <x:f>C27-D27</x:f>
        <x:v>-495000</x:v>
      </x:c>
      <x:c r="F27" s="6" t="n">
        <x:f>F26+E27</x:f>
        <x:v>-11083000</x:v>
      </x:c>
      <x:c r="G27" s="6" t="n">
        <x:v>-50000</x:v>
      </x:c>
      <x:c r="H27" s="6" t="n">
        <x:v>-445000</x:v>
      </x:c>
      <x:c r="I27" s="6" t="n">
        <x:v>-505000</x:v>
      </x:c>
      <x:c r="J27" s="6" t="n">
        <x:v>565000</x:v>
      </x:c>
      <x:c r="K27" s="11" t="n">
        <x:v>5</x:v>
      </x:c>
      <x:c r="L27" s="11" t="n">
        <x:v>280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101000</x:v>
      </x:c>
      <x:c r="D28" s="6" t="n">
        <x:v>77000</x:v>
      </x:c>
      <x:c r="E28" s="6" t="n">
        <x:f>C28-D28</x:f>
        <x:v>24000</x:v>
      </x:c>
      <x:c r="F28" s="6" t="n">
        <x:f>F27+E28</x:f>
        <x:v>-11059000</x:v>
      </x:c>
      <x:c r="G28" s="6" t="n">
        <x:v>100000</x:v>
      </x:c>
      <x:c r="H28" s="6" t="n">
        <x:v>-76000</x:v>
      </x:c>
      <x:c r="I28" s="6" t="n">
        <x:v>-209000</x:v>
      </x:c>
      <x:c r="J28" s="6" t="n">
        <x:v>209000</x:v>
      </x:c>
      <x:c r="K28" s="11" t="n">
        <x:v>1</x:v>
      </x:c>
      <x:c r="L28" s="11" t="n">
        <x:v>42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583000</x:v>
      </x:c>
      <x:c r="D29" s="6" t="n">
        <x:v>587000</x:v>
      </x:c>
      <x:c r="E29" s="6" t="n">
        <x:f>C29-D29</x:f>
        <x:v>-4000</x:v>
      </x:c>
      <x:c r="F29" s="6" t="n">
        <x:f>F28+E29</x:f>
        <x:v>-11063000</x:v>
      </x:c>
      <x:c r="G29" s="6" t="n">
        <x:v>53000</x:v>
      </x:c>
      <x:c r="H29" s="6" t="n">
        <x:v>-57000</x:v>
      </x:c>
      <x:c r="I29" s="6" t="n">
        <x:v>-164000</x:v>
      </x:c>
      <x:c r="J29" s="6" t="n">
        <x:v>232000</x:v>
      </x:c>
      <x:c r="K29" s="11" t="n">
        <x:v>8</x:v>
      </x:c>
      <x:c r="L29" s="11" t="n">
        <x:v>40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104000</x:v>
      </x:c>
      <x:c r="E30" s="6" t="n">
        <x:f>C30-D30</x:f>
        <x:v>96000</x:v>
      </x:c>
      <x:c r="F30" s="6" t="n">
        <x:f>F29+E30</x:f>
        <x:v>-10967000</x:v>
      </x:c>
      <x:c r="G30" s="6" t="n">
        <x:v>200000</x:v>
      </x:c>
      <x:c r="H30" s="6" t="n">
        <x:v>-104000</x:v>
      </x:c>
      <x:c r="I30" s="6" t="n">
        <x:v>-128000</x:v>
      </x:c>
      <x:c r="J30" s="6" t="n">
        <x:v>198000</x:v>
      </x:c>
      <x:c r="K30" s="11" t="n">
        <x:v>2</x:v>
      </x:c>
      <x:c r="L30" s="11" t="n">
        <x:v>65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790000</x:v>
      </x:c>
      <x:c r="D31" s="6" t="n">
        <x:v>976000</x:v>
      </x:c>
      <x:c r="E31" s="6" t="n">
        <x:f>C31-D31</x:f>
        <x:v>-186000</x:v>
      </x:c>
      <x:c r="F31" s="6" t="n">
        <x:f>F30+E31</x:f>
        <x:v>-11153000</x:v>
      </x:c>
      <x:c r="G31" s="6" t="n">
        <x:v>-140000</x:v>
      </x:c>
      <x:c r="H31" s="6" t="n">
        <x:v>-46000</x:v>
      </x:c>
      <x:c r="I31" s="6" t="n">
        <x:v>-196000</x:v>
      </x:c>
      <x:c r="J31" s="6" t="n">
        <x:v>216000</x:v>
      </x:c>
      <x:c r="K31" s="11" t="n">
        <x:v>10</x:v>
      </x:c>
      <x:c r="L31" s="11" t="n">
        <x:v>30</x:v>
      </x:c>
    </x:row>
    <x:row r="32" ht="25" customHeight="1">
      <x:c r="A32" s="2" t="str">
        <x:v>2026-10-08_Day</x:v>
      </x:c>
      <x:c r="B32" s="2" t="str">
        <x:v>前30場</x:v>
      </x:c>
      <x:c r="C32" s="6" t="n">
        <x:v>299000</x:v>
      </x:c>
      <x:c r="D32" s="6" t="n">
        <x:v>2178000</x:v>
      </x:c>
      <x:c r="E32" s="6" t="n">
        <x:f>C32-D32</x:f>
        <x:v>-1879000</x:v>
      </x:c>
      <x:c r="F32" s="6" t="n">
        <x:f>F31+E32</x:f>
        <x:v>-13032000</x:v>
      </x:c>
      <x:c r="G32" s="6" t="n">
        <x:v>-820000</x:v>
      </x:c>
      <x:c r="H32" s="6" t="n">
        <x:v>-1059000</x:v>
      </x:c>
      <x:c r="I32" s="6" t="n">
        <x:v>-1879000</x:v>
      </x:c>
      <x:c r="J32" s="6" t="n">
        <x:v>2094000</x:v>
      </x:c>
      <x:c r="K32" s="11" t="n">
        <x:v>4</x:v>
      </x:c>
      <x:c r="L32" s="11" t="n">
        <x:v>642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1198000</x:v>
      </x:c>
      <x:c r="D33" s="6" t="n">
        <x:v>1632000</x:v>
      </x:c>
      <x:c r="E33" s="6" t="n">
        <x:f>C33-D33</x:f>
        <x:v>-434000</x:v>
      </x:c>
      <x:c r="F33" s="6" t="n">
        <x:f>F32+E33</x:f>
        <x:v>-13466000</x:v>
      </x:c>
      <x:c r="G33" s="6" t="n">
        <x:v>-190000</x:v>
      </x:c>
      <x:c r="H33" s="6" t="n">
        <x:v>-244000</x:v>
      </x:c>
      <x:c r="I33" s="6" t="n">
        <x:v>-434000</x:v>
      </x:c>
      <x:c r="J33" s="6" t="n">
        <x:v>534000</x:v>
      </x:c>
      <x:c r="K33" s="11" t="n">
        <x:v>14</x:v>
      </x:c>
      <x:c r="L33" s="11" t="n">
        <x:v>166</x:v>
      </x:c>
    </x:row>
    <x:row r="34" ht="25" customHeight="1">
      <x:c r="A34" s="2" t="str">
        <x:v>2026-10-09_Day</x:v>
      </x:c>
      <x:c r="B34" s="2" t="str">
        <x:v>前30場</x:v>
      </x:c>
      <x:c r="C34" s="6" t="n">
        <x:v>521000</x:v>
      </x:c>
      <x:c r="D34" s="6" t="n">
        <x:v>1814000</x:v>
      </x:c>
      <x:c r="E34" s="6" t="n">
        <x:f>C34-D34</x:f>
        <x:v>-1293000</x:v>
      </x:c>
      <x:c r="F34" s="6" t="n">
        <x:f>F33+E34</x:f>
        <x:v>-14759000</x:v>
      </x:c>
      <x:c r="G34" s="6" t="n">
        <x:v>-450000</x:v>
      </x:c>
      <x:c r="H34" s="6" t="n">
        <x:v>-843000</x:v>
      </x:c>
      <x:c r="I34" s="6" t="n">
        <x:v>-1343000</x:v>
      </x:c>
      <x:c r="J34" s="6" t="n">
        <x:v>1460000</x:v>
      </x:c>
      <x:c r="K34" s="11" t="n">
        <x:v>7</x:v>
      </x:c>
      <x:c r="L34" s="11" t="n">
        <x:v>546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526000</x:v>
      </x:c>
      <x:c r="E35" s="6" t="n">
        <x:f>C35-D35</x:f>
        <x:v>-36000</x:v>
      </x:c>
      <x:c r="F35" s="6" t="n">
        <x:f>F34+E35</x:f>
        <x:v>-14795000</x:v>
      </x:c>
      <x:c r="G35" s="6" t="n">
        <x:v>20000</x:v>
      </x:c>
      <x:c r="H35" s="6" t="n">
        <x:v>-56000</x:v>
      </x:c>
      <x:c r="I35" s="6" t="n">
        <x:v>-196000</x:v>
      </x:c>
      <x:c r="J35" s="6" t="n">
        <x:v>220000</x:v>
      </x:c>
      <x:c r="K35" s="11" t="n">
        <x:v>7</x:v>
      </x:c>
      <x:c r="L35" s="11" t="n">
        <x:v>39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-14795000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670000</x:v>
      </x:c>
      <x:c r="D37" s="6" t="n">
        <x:v>916000</x:v>
      </x:c>
      <x:c r="E37" s="6" t="n">
        <x:f>C37-D37</x:f>
        <x:v>-246000</x:v>
      </x:c>
      <x:c r="F37" s="6" t="n">
        <x:f>F36+E37</x:f>
        <x:v>-15041000</x:v>
      </x:c>
      <x:c r="G37" s="6" t="n">
        <x:v>-150000</x:v>
      </x:c>
      <x:c r="H37" s="6" t="n">
        <x:v>-96000</x:v>
      </x:c>
      <x:c r="I37" s="6" t="n">
        <x:v>-276000</x:v>
      </x:c>
      <x:c r="J37" s="6" t="n">
        <x:v>286000</x:v>
      </x:c>
      <x:c r="K37" s="11" t="n">
        <x:v>9</x:v>
      </x:c>
      <x:c r="L37" s="11" t="n">
        <x:v>60</x:v>
      </x:c>
    </x:row>
    <x:row r="38" ht="25" customHeight="1">
      <x:c r="A38" s="2" t="str">
        <x:v>2026-10-13_Day</x:v>
      </x:c>
      <x:c r="B38" s="2" t="str">
        <x:v>次10場</x:v>
      </x:c>
      <x:c r="C38" s="6" t="n">
        <x:v>502000</x:v>
      </x:c>
      <x:c r="D38" s="6" t="n">
        <x:v>531000</x:v>
      </x:c>
      <x:c r="E38" s="6" t="n">
        <x:f>C38-D38</x:f>
        <x:v>-29000</x:v>
      </x:c>
      <x:c r="F38" s="6" t="n">
        <x:f>F37+E38</x:f>
        <x:v>-15070000</x:v>
      </x:c>
      <x:c r="G38" s="6" t="n">
        <x:v>490000</x:v>
      </x:c>
      <x:c r="H38" s="6" t="n">
        <x:v>-519000</x:v>
      </x:c>
      <x:c r="I38" s="6" t="n">
        <x:v>-366000</x:v>
      </x:c>
      <x:c r="J38" s="6" t="n">
        <x:v>386000</x:v>
      </x:c>
      <x:c r="K38" s="11" t="n">
        <x:v>5</x:v>
      </x:c>
      <x:c r="L38" s="11" t="n">
        <x:v>329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454000</x:v>
      </x:c>
      <x:c r="E39" s="6" t="n">
        <x:f>C39-D39</x:f>
        <x:v>-154000</x:v>
      </x:c>
      <x:c r="F39" s="6" t="n">
        <x:f>F38+E39</x:f>
        <x:v>-15224000</x:v>
      </x:c>
      <x:c r="G39" s="6" t="n">
        <x:v>-116000</x:v>
      </x:c>
      <x:c r="H39" s="6" t="n">
        <x:v>-38000</x:v>
      </x:c>
      <x:c r="I39" s="6" t="n">
        <x:v>-164000</x:v>
      </x:c>
      <x:c r="J39" s="6" t="n">
        <x:v>164000</x:v>
      </x:c>
      <x:c r="K39" s="11" t="n">
        <x:v>6</x:v>
      </x:c>
      <x:c r="L39" s="11" t="n">
        <x:v>28</x:v>
      </x:c>
    </x:row>
    <x:row r="40" ht="25" customHeight="1">
      <x:c r="A40" s="2" t="str">
        <x:v>2026-10-14_Day</x:v>
      </x:c>
      <x:c r="B40" s="2" t="str">
        <x:v>次10場</x:v>
      </x:c>
      <x:c r="C40" s="6" t="n">
        <x:v>419000</x:v>
      </x:c>
      <x:c r="D40" s="6" t="n">
        <x:v>1406000</x:v>
      </x:c>
      <x:c r="E40" s="6" t="n">
        <x:f>C40-D40</x:f>
        <x:v>-987000</x:v>
      </x:c>
      <x:c r="F40" s="6" t="n">
        <x:f>F39+E40</x:f>
        <x:v>-16211000</x:v>
      </x:c>
      <x:c r="G40" s="6" t="n">
        <x:v>40000</x:v>
      </x:c>
      <x:c r="H40" s="6" t="n">
        <x:v>-1027000</x:v>
      </x:c>
      <x:c r="I40" s="6" t="n">
        <x:v>-987000</x:v>
      </x:c>
      <x:c r="J40" s="6" t="n">
        <x:v>1174000</x:v>
      </x:c>
      <x:c r="K40" s="11" t="n">
        <x:v>5</x:v>
      </x:c>
      <x:c r="L40" s="11" t="n">
        <x:v>614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1451000</x:v>
      </x:c>
      <x:c r="D41" s="6" t="n">
        <x:v>2218000</x:v>
      </x:c>
      <x:c r="E41" s="6" t="n">
        <x:f>C41-D41</x:f>
        <x:v>-767000</x:v>
      </x:c>
      <x:c r="F41" s="6" t="n">
        <x:f>F40+E41</x:f>
        <x:v>-16978000</x:v>
      </x:c>
      <x:c r="G41" s="6" t="n">
        <x:v>-490000</x:v>
      </x:c>
      <x:c r="H41" s="6" t="n">
        <x:v>-277000</x:v>
      </x:c>
      <x:c r="I41" s="6" t="n">
        <x:v>-797000</x:v>
      </x:c>
      <x:c r="J41" s="6" t="n">
        <x:v>807000</x:v>
      </x:c>
      <x:c r="K41" s="11" t="n">
        <x:v>14</x:v>
      </x:c>
      <x:c r="L41" s="11" t="n">
        <x:v>48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1144000</x:v>
      </x:c>
      <x:c r="D42" s="6" t="n">
        <x:v>1671000</x:v>
      </x:c>
      <x:c r="E42" s="6" t="n">
        <x:f>C42-D42</x:f>
        <x:v>-527000</x:v>
      </x:c>
      <x:c r="F42" s="6" t="n">
        <x:f>F41+E42</x:f>
        <x:v>-17505000</x:v>
      </x:c>
      <x:c r="G42" s="6" t="n">
        <x:v>-130000</x:v>
      </x:c>
      <x:c r="H42" s="6" t="n">
        <x:v>-397000</x:v>
      </x:c>
      <x:c r="I42" s="6" t="n">
        <x:v>-1437000</x:v>
      </x:c>
      <x:c r="J42" s="6" t="n">
        <x:v>1682000</x:v>
      </x:c>
      <x:c r="K42" s="11" t="n">
        <x:v>12</x:v>
      </x:c>
      <x:c r="L42" s="11" t="n">
        <x:v>238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1559000</x:v>
      </x:c>
      <x:c r="D43" s="6" t="n">
        <x:v>1950000</x:v>
      </x:c>
      <x:c r="E43" s="6" t="n">
        <x:f>C43-D43</x:f>
        <x:v>-391000</x:v>
      </x:c>
      <x:c r="F43" s="6" t="n">
        <x:f>F42+E43</x:f>
        <x:v>-17896000</x:v>
      </x:c>
      <x:c r="G43" s="6" t="n">
        <x:v>159000</x:v>
      </x:c>
      <x:c r="H43" s="6" t="n">
        <x:v>-550000</x:v>
      </x:c>
      <x:c r="I43" s="6" t="n">
        <x:v>-651000</x:v>
      </x:c>
      <x:c r="J43" s="6" t="n">
        <x:v>681000</x:v>
      </x:c>
      <x:c r="K43" s="11" t="n">
        <x:v>17</x:v>
      </x:c>
      <x:c r="L43" s="11" t="n">
        <x:v>199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1017000</x:v>
      </x:c>
      <x:c r="D44" s="6" t="n">
        <x:v>1701000</x:v>
      </x:c>
      <x:c r="E44" s="6" t="n">
        <x:f>C44-D44</x:f>
        <x:v>-684000</x:v>
      </x:c>
      <x:c r="F44" s="6" t="n">
        <x:f>F43+E44</x:f>
        <x:v>-18580000</x:v>
      </x:c>
      <x:c r="G44" s="6" t="n">
        <x:v>800000</x:v>
      </x:c>
      <x:c r="H44" s="6" t="n">
        <x:v>-1484000</x:v>
      </x:c>
      <x:c r="I44" s="6" t="n">
        <x:v>-897000</x:v>
      </x:c>
      <x:c r="J44" s="6" t="n">
        <x:v>1370000</x:v>
      </x:c>
      <x:c r="K44" s="11" t="n">
        <x:v>11</x:v>
      </x:c>
      <x:c r="L44" s="11" t="n">
        <x:v>968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1560000</x:v>
      </x:c>
      <x:c r="D45" s="6" t="n">
        <x:v>2208000</x:v>
      </x:c>
      <x:c r="E45" s="6" t="n">
        <x:f>C45-D45</x:f>
        <x:v>-648000</x:v>
      </x:c>
      <x:c r="F45" s="6" t="n">
        <x:f>F44+E45</x:f>
        <x:v>-19228000</x:v>
      </x:c>
      <x:c r="G45" s="6" t="n">
        <x:v>-502000</x:v>
      </x:c>
      <x:c r="H45" s="6" t="n">
        <x:v>-146000</x:v>
      </x:c>
      <x:c r="I45" s="6" t="n">
        <x:v>-688000</x:v>
      </x:c>
      <x:c r="J45" s="6" t="n">
        <x:v>774000</x:v>
      </x:c>
      <x:c r="K45" s="11" t="n">
        <x:v>18</x:v>
      </x:c>
      <x:c r="L45" s="11" t="n">
        <x:v>92</x:v>
      </x:c>
    </x:row>
    <x:row r="46" ht="25" customHeight="1">
      <x:c r="A46" s="2" t="str">
        <x:v>2026-10-19_Day</x:v>
      </x:c>
      <x:c r="B46" s="2" t="str">
        <x:v>後13場</x:v>
      </x:c>
      <x:c r="C46" s="6" t="n">
        <x:v>430000</x:v>
      </x:c>
      <x:c r="D46" s="6" t="n">
        <x:v>1617000</x:v>
      </x:c>
      <x:c r="E46" s="6" t="n">
        <x:f>C46-D46</x:f>
        <x:v>-1187000</x:v>
      </x:c>
      <x:c r="F46" s="6" t="n">
        <x:f>F45+E46</x:f>
        <x:v>-20415000</x:v>
      </x:c>
      <x:c r="G46" s="6" t="n">
        <x:v>-471000</x:v>
      </x:c>
      <x:c r="H46" s="6" t="n">
        <x:v>-716000</x:v>
      </x:c>
      <x:c r="I46" s="6" t="n">
        <x:v>-1407000</x:v>
      </x:c>
      <x:c r="J46" s="6" t="n">
        <x:v>1427000</x:v>
      </x:c>
      <x:c r="K46" s="11" t="n">
        <x:v>8</x:v>
      </x:c>
      <x:c r="L46" s="11" t="n">
        <x:v>437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591000</x:v>
      </x:c>
      <x:c r="D47" s="6" t="n">
        <x:v>705000</x:v>
      </x:c>
      <x:c r="E47" s="6" t="n">
        <x:f>C47-D47</x:f>
        <x:v>-114000</x:v>
      </x:c>
      <x:c r="F47" s="6" t="n">
        <x:f>F46+E47</x:f>
        <x:v>-20529000</x:v>
      </x:c>
      <x:c r="G47" s="6" t="n">
        <x:v>90000</x:v>
      </x:c>
      <x:c r="H47" s="6" t="n">
        <x:v>-204000</x:v>
      </x:c>
      <x:c r="I47" s="6" t="n">
        <x:v>-199000</x:v>
      </x:c>
      <x:c r="J47" s="6" t="n">
        <x:v>244000</x:v>
      </x:c>
      <x:c r="K47" s="11" t="n">
        <x:v>10</x:v>
      </x:c>
      <x:c r="L47" s="11" t="n">
        <x:v>143</x:v>
      </x:c>
    </x:row>
    <x:row r="48" ht="25" customHeight="1">
      <x:c r="A48" s="2" t="str">
        <x:v>2026-10-20_Day</x:v>
      </x:c>
      <x:c r="B48" s="2" t="str">
        <x:v>後13場</x:v>
      </x:c>
      <x:c r="C48" s="6" t="n">
        <x:v>476000</x:v>
      </x:c>
      <x:c r="D48" s="6" t="n">
        <x:v>632000</x:v>
      </x:c>
      <x:c r="E48" s="6" t="n">
        <x:f>C48-D48</x:f>
        <x:v>-156000</x:v>
      </x:c>
      <x:c r="F48" s="6" t="n">
        <x:f>F47+E48</x:f>
        <x:v>-20685000</x:v>
      </x:c>
      <x:c r="G48" s="6" t="n">
        <x:v>10000</x:v>
      </x:c>
      <x:c r="H48" s="6" t="n">
        <x:v>-166000</x:v>
      </x:c>
      <x:c r="I48" s="6" t="n">
        <x:v>-575000</x:v>
      </x:c>
      <x:c r="J48" s="6" t="n">
        <x:v>728000</x:v>
      </x:c>
      <x:c r="K48" s="11" t="n">
        <x:v>6</x:v>
      </x:c>
      <x:c r="L48" s="11" t="n">
        <x:v>116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1040000</x:v>
      </x:c>
      <x:c r="D49" s="6" t="n">
        <x:v>1460000</x:v>
      </x:c>
      <x:c r="E49" s="6" t="n">
        <x:f>C49-D49</x:f>
        <x:v>-420000</x:v>
      </x:c>
      <x:c r="F49" s="6" t="n">
        <x:f>F48+E49</x:f>
        <x:v>-21105000</x:v>
      </x:c>
      <x:c r="G49" s="6" t="n">
        <x:v>-290000</x:v>
      </x:c>
      <x:c r="H49" s="6" t="n">
        <x:v>-130000</x:v>
      </x:c>
      <x:c r="I49" s="6" t="n">
        <x:v>-450000</x:v>
      </x:c>
      <x:c r="J49" s="6" t="n">
        <x:v>550000</x:v>
      </x:c>
      <x:c r="K49" s="11" t="n">
        <x:v>12</x:v>
      </x:c>
      <x:c r="L49" s="11" t="n">
        <x:v>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351000</x:v>
      </x:c>
      <x:c r="D50" s="6" t="n">
        <x:v>816000</x:v>
      </x:c>
      <x:c r="E50" s="6" t="n">
        <x:f>C50-D50</x:f>
        <x:v>-465000</x:v>
      </x:c>
      <x:c r="F50" s="6" t="n">
        <x:f>F49+E50</x:f>
        <x:v>-21570000</x:v>
      </x:c>
      <x:c r="G50" s="6" t="n">
        <x:v>-158000</x:v>
      </x:c>
      <x:c r="H50" s="6" t="n">
        <x:v>-307000</x:v>
      </x:c>
      <x:c r="I50" s="6" t="n">
        <x:v>-753000</x:v>
      </x:c>
      <x:c r="J50" s="6" t="n">
        <x:v>803000</x:v>
      </x:c>
      <x:c r="K50" s="11" t="n">
        <x:v>5</x:v>
      </x:c>
      <x:c r="L50" s="11" t="n">
        <x:v>209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600000</x:v>
      </x:c>
      <x:c r="D51" s="6" t="n">
        <x:v>681000</x:v>
      </x:c>
      <x:c r="E51" s="6" t="n">
        <x:f>C51-D51</x:f>
        <x:v>-81000</x:v>
      </x:c>
      <x:c r="F51" s="6" t="n">
        <x:f>F50+E51</x:f>
        <x:v>-21651000</x:v>
      </x:c>
      <x:c r="G51" s="6" t="n">
        <x:v>-50000</x:v>
      </x:c>
      <x:c r="H51" s="6" t="n">
        <x:v>-31000</x:v>
      </x:c>
      <x:c r="I51" s="6" t="n">
        <x:v>-221000</x:v>
      </x:c>
      <x:c r="J51" s="6" t="n">
        <x:v>221000</x:v>
      </x:c>
      <x:c r="K51" s="11" t="n">
        <x:v>8</x:v>
      </x:c>
      <x:c r="L51" s="11" t="n">
        <x:v>30</x:v>
      </x:c>
    </x:row>
    <x:row r="52" ht="25" customHeight="1">
      <x:c r="A52" s="2" t="str">
        <x:v>2026-10-22_Day</x:v>
      </x:c>
      <x:c r="B52" s="2" t="str">
        <x:v>後13場</x:v>
      </x:c>
      <x:c r="C52" s="6" t="n">
        <x:v>614000</x:v>
      </x:c>
      <x:c r="D52" s="6" t="n">
        <x:v>2185000</x:v>
      </x:c>
      <x:c r="E52" s="6" t="n">
        <x:f>C52-D52</x:f>
        <x:v>-1571000</x:v>
      </x:c>
      <x:c r="F52" s="6" t="n">
        <x:f>F51+E52</x:f>
        <x:v>-23222000</x:v>
      </x:c>
      <x:c r="G52" s="6" t="n">
        <x:v>-1121000</x:v>
      </x:c>
      <x:c r="H52" s="6" t="n">
        <x:v>-450000</x:v>
      </x:c>
      <x:c r="I52" s="6" t="n">
        <x:v>-1811000</x:v>
      </x:c>
      <x:c r="J52" s="6" t="n">
        <x:v>1930000</x:v>
      </x:c>
      <x:c r="K52" s="11" t="n">
        <x:v>9</x:v>
      </x:c>
      <x:c r="L52" s="11" t="n">
        <x:v>299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917000</x:v>
      </x:c>
      <x:c r="D53" s="6" t="n">
        <x:v>1359000</x:v>
      </x:c>
      <x:c r="E53" s="6" t="n">
        <x:f>C53-D53</x:f>
        <x:v>-442000</x:v>
      </x:c>
      <x:c r="F53" s="6" t="n">
        <x:f>F52+E53</x:f>
        <x:v>-23664000</x:v>
      </x:c>
      <x:c r="G53" s="6" t="n">
        <x:v>-291000</x:v>
      </x:c>
      <x:c r="H53" s="6" t="n">
        <x:v>-151000</x:v>
      </x:c>
      <x:c r="I53" s="6" t="n">
        <x:v>-452000</x:v>
      </x:c>
      <x:c r="J53" s="6" t="n">
        <x:v>540000</x:v>
      </x:c>
      <x:c r="K53" s="11" t="n">
        <x:v>14</x:v>
      </x:c>
      <x:c r="L53" s="11" t="n">
        <x:v>106</x:v>
      </x:c>
    </x:row>
    <x:row r="54" ht="25" customHeight="1">
      <x:c r="A54" s="2" t="str">
        <x:v>2026-10-23_Day</x:v>
      </x:c>
      <x:c r="B54" s="2" t="str">
        <x:v>後13場</x:v>
      </x:c>
      <x:c r="C54" s="6" t="n">
        <x:v>1492000</x:v>
      </x:c>
      <x:c r="D54" s="6" t="n">
        <x:v>2039000</x:v>
      </x:c>
      <x:c r="E54" s="6" t="n">
        <x:f>C54-D54</x:f>
        <x:v>-547000</x:v>
      </x:c>
      <x:c r="F54" s="6" t="n">
        <x:f>F53+E54</x:f>
        <x:v>-24211000</x:v>
      </x:c>
      <x:c r="G54" s="6" t="n">
        <x:v>340000</x:v>
      </x:c>
      <x:c r="H54" s="6" t="n">
        <x:v>-887000</x:v>
      </x:c>
      <x:c r="I54" s="6" t="n">
        <x:v>-1047000</x:v>
      </x:c>
      <x:c r="J54" s="6" t="n">
        <x:v>1307000</x:v>
      </x:c>
      <x:c r="K54" s="11" t="n">
        <x:v>16</x:v>
      </x:c>
      <x:c r="L54" s="11" t="n">
        <x:v>533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696000</x:v>
      </x:c>
      <x:c r="E55" s="6" t="n">
        <x:f>C55-D55</x:f>
        <x:v>-196000</x:v>
      </x:c>
      <x:c r="F55" s="6" t="n">
        <x:f>F54+E55</x:f>
        <x:v>-24407000</x:v>
      </x:c>
      <x:c r="G55" s="6" t="n">
        <x:v>-150000</x:v>
      </x:c>
      <x:c r="H55" s="6" t="n">
        <x:v>-46000</x:v>
      </x:c>
      <x:c r="I55" s="6" t="n">
        <x:v>-216000</x:v>
      </x:c>
      <x:c r="J55" s="6" t="n">
        <x:v>239000</x:v>
      </x:c>
      <x:c r="K55" s="11" t="n">
        <x:v>7</x:v>
      </x:c>
      <x:c r="L55" s="11" t="n">
        <x:v>28</x:v>
      </x:c>
    </x:row>
    <x:row r="56" ht="25" customHeight="1">
      <x:c r="A56" s="2" t="str">
        <x:v>2026-10-26_Day</x:v>
      </x:c>
      <x:c r="B56" s="2" t="str">
        <x:v>後13場</x:v>
      </x:c>
      <x:c r="C56" s="6" t="n">
        <x:v>468000</x:v>
      </x:c>
      <x:c r="D56" s="6" t="n">
        <x:v>1923000</x:v>
      </x:c>
      <x:c r="E56" s="6" t="n">
        <x:f>C56-D56</x:f>
        <x:v>-1455000</x:v>
      </x:c>
      <x:c r="F56" s="6" t="n">
        <x:f>F55+E56</x:f>
        <x:v>-25862000</x:v>
      </x:c>
      <x:c r="G56" s="6" t="n">
        <x:v>-221000</x:v>
      </x:c>
      <x:c r="H56" s="6" t="n">
        <x:v>-1234000</x:v>
      </x:c>
      <x:c r="I56" s="6" t="n">
        <x:v>-1515000</x:v>
      </x:c>
      <x:c r="J56" s="6" t="n">
        <x:v>1515000</x:v>
      </x:c>
      <x:c r="K56" s="11" t="n">
        <x:v>10</x:v>
      </x:c>
      <x:c r="L56" s="11" t="n">
        <x:v>750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680000</x:v>
      </x:c>
      <x:c r="D57" s="6" t="n">
        <x:v>1023000</x:v>
      </x:c>
      <x:c r="E57" s="6" t="n">
        <x:f>C57-D57</x:f>
        <x:v>-343000</x:v>
      </x:c>
      <x:c r="F57" s="6" t="n">
        <x:f>F56+E57</x:f>
        <x:v>-26205000</x:v>
      </x:c>
      <x:c r="G57" s="6" t="n">
        <x:v>-220000</x:v>
      </x:c>
      <x:c r="H57" s="6" t="n">
        <x:v>-123000</x:v>
      </x:c>
      <x:c r="I57" s="6" t="n">
        <x:v>-363000</x:v>
      </x:c>
      <x:c r="J57" s="6" t="n">
        <x:v>408000</x:v>
      </x:c>
      <x:c r="K57" s="11" t="n">
        <x:v>9</x:v>
      </x:c>
      <x:c r="L57" s="11" t="n">
        <x:v>69</x:v>
      </x:c>
    </x:row>
    <x:row r="58" ht="25" customHeight="1">
      <x:c r="A58" s="2" t="str">
        <x:v>2026-10-27_Day</x:v>
      </x:c>
      <x:c r="B58" s="2" t="str">
        <x:v>後13場</x:v>
      </x:c>
      <x:c r="C58" s="6" t="n">
        <x:v>912000</x:v>
      </x:c>
      <x:c r="D58" s="6" t="n">
        <x:v>1005000</x:v>
      </x:c>
      <x:c r="E58" s="6" t="n">
        <x:f>C58-D58</x:f>
        <x:v>-93000</x:v>
      </x:c>
      <x:c r="F58" s="6" t="n">
        <x:f>F57+E58</x:f>
        <x:v>-26298000</x:v>
      </x:c>
      <x:c r="G58" s="6" t="n">
        <x:v>900000</x:v>
      </x:c>
      <x:c r="H58" s="6" t="n">
        <x:v>-993000</x:v>
      </x:c>
      <x:c r="I58" s="6" t="n">
        <x:v>-358000</x:v>
      </x:c>
      <x:c r="J58" s="6" t="n">
        <x:v>835000</x:v>
      </x:c>
      <x:c r="K58" s="11" t="n">
        <x:v>9</x:v>
      </x:c>
      <x:c r="L58" s="11" t="n">
        <x:v>634</x:v>
      </x:c>
    </x:row>
    <x:row r="59" ht="25" customHeight="1">
      <x:c r="A59" s="15" t="str">
        <x:v>累計／場内最悪値</x:v>
      </x:c>
      <x:c r="B59" s="15"/>
      <x:c r="C59" s="16" t="n">
        <x:f>SUM(C6:C58)</x:f>
        <x:v>31440000</x:v>
      </x:c>
      <x:c r="D59" s="16" t="n">
        <x:f>SUM(D6:D58)</x:f>
        <x:v>57738000</x:v>
      </x:c>
      <x:c r="E59" s="16" t="n">
        <x:f>C59-D59</x:f>
        <x:v>-26298000</x:v>
      </x:c>
      <x:c r="F59" s="16" t="n">
        <x:f>F58</x:f>
        <x:v>-26298000</x:v>
      </x:c>
      <x:c r="G59" s="16" t="n">
        <x:f>SUM(G6:G58)</x:f>
        <x:v>-6010000</x:v>
      </x:c>
      <x:c r="H59" s="16" t="n">
        <x:f>SUM(H6:H58)</x:f>
        <x:v>-20288000</x:v>
      </x:c>
      <x:c r="I59" s="16" t="n">
        <x:f>MIN(I6:I58)</x:f>
        <x:v>-2110000</x:v>
      </x:c>
      <x:c r="J59" s="16" t="n">
        <x:f>MAX(J6:J58)</x:f>
        <x:v>2130000</x:v>
      </x:c>
      <x:c r="K59" s="17" t="n">
        <x:f>SUM(K6:K58)</x:f>
        <x:v>399</x:v>
      </x:c>
      <x:c r="L59" s="17" t="n">
        <x:f>SUM(L6:L58)</x:f>
        <x:v>12455</x:v>
      </x:c>
    </x:row>
  </x:sheetData>
  <x:conditionalFormatting sqref="E6:I58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6f37231db3446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H18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段40・即追尾・追尾10・完済後新基準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10000</x:v>
      </x:c>
      <x:c r="E6" s="6" t="n">
        <x:f>C6-D6</x:f>
        <x:v>190000</x:v>
      </x:c>
      <x:c r="F6" s="6" t="n">
        <x:f>E6</x:f>
        <x:v>190000</x:v>
      </x:c>
      <x:c r="G6" s="6" t="n">
        <x:v>200000</x:v>
      </x:c>
      <x:c r="H6" s="6" t="n">
        <x:v>-10000</x:v>
      </x:c>
      <x:c r="I6" s="6" t="n">
        <x:v>-62000</x:v>
      </x:c>
      <x:c r="J6" s="6" t="n">
        <x:v>136000</x:v>
      </x:c>
      <x:c r="K6" s="11" t="n">
        <x:v>2</x:v>
      </x:c>
      <x:c r="L6" s="11" t="n">
        <x:v>5</x:v>
      </x:c>
    </x:row>
    <x:row r="7" ht="25" customHeight="1">
      <x:c r="A7" s="2" t="str">
        <x:v>2026-09-21_Night</x:v>
      </x:c>
      <x:c r="B7" s="2" t="str">
        <x:v>前30場</x:v>
      </x:c>
      <x:c r="C7" s="6" t="n">
        <x:v>590000</x:v>
      </x:c>
      <x:c r="D7" s="6" t="n">
        <x:v>1087000</x:v>
      </x:c>
      <x:c r="E7" s="6" t="n">
        <x:f>C7-D7</x:f>
        <x:v>-497000</x:v>
      </x:c>
      <x:c r="F7" s="6" t="n">
        <x:f>F6+E7</x:f>
        <x:v>-307000</x:v>
      </x:c>
      <x:c r="G7" s="6" t="n">
        <x:v>-220000</x:v>
      </x:c>
      <x:c r="H7" s="6" t="n">
        <x:v>-277000</x:v>
      </x:c>
      <x:c r="I7" s="6" t="n">
        <x:v>-627000</x:v>
      </x:c>
      <x:c r="J7" s="6" t="n">
        <x:v>782000</x:v>
      </x:c>
      <x:c r="K7" s="11" t="n">
        <x:v>7</x:v>
      </x:c>
      <x:c r="L7" s="11" t="n">
        <x:v>151</x:v>
      </x:c>
    </x:row>
    <x:row r="8" ht="25" customHeight="1">
      <x:c r="A8" s="2" t="str">
        <x:v>2026-09-22_Day</x:v>
      </x:c>
      <x:c r="B8" s="2" t="str">
        <x:v>前30場</x:v>
      </x:c>
      <x:c r="C8" s="6" t="n">
        <x:v>100000</x:v>
      </x:c>
      <x:c r="D8" s="6" t="n">
        <x:v>44000</x:v>
      </x:c>
      <x:c r="E8" s="6" t="n">
        <x:f>C8-D8</x:f>
        <x:v>56000</x:v>
      </x:c>
      <x:c r="F8" s="6" t="n">
        <x:f>F7+E8</x:f>
        <x:v>-251000</x:v>
      </x:c>
      <x:c r="G8" s="6" t="n">
        <x:v>100000</x:v>
      </x:c>
      <x:c r="H8" s="6" t="n">
        <x:v>-44000</x:v>
      </x:c>
      <x:c r="I8" s="6" t="n">
        <x:v>-364000</x:v>
      </x:c>
      <x:c r="J8" s="6" t="n">
        <x:v>444000</x:v>
      </x:c>
      <x:c r="K8" s="11" t="n">
        <x:v>1</x:v>
      </x:c>
      <x:c r="L8" s="11" t="n">
        <x:v>29</x:v>
      </x:c>
    </x:row>
    <x:row r="9" ht="25" customHeight="1">
      <x:c r="A9" s="2" t="str">
        <x:v>2026-09-22_Night</x:v>
      </x:c>
      <x:c r="B9" s="2" t="str">
        <x:v>前30場</x:v>
      </x:c>
      <x:c r="C9" s="6" t="n">
        <x:v>610000</x:v>
      </x:c>
      <x:c r="D9" s="6" t="n">
        <x:v>1224000</x:v>
      </x:c>
      <x:c r="E9" s="6" t="n">
        <x:f>C9-D9</x:f>
        <x:v>-614000</x:v>
      </x:c>
      <x:c r="F9" s="6" t="n">
        <x:f>F8+E9</x:f>
        <x:v>-865000</x:v>
      </x:c>
      <x:c r="G9" s="6" t="n">
        <x:v>-320000</x:v>
      </x:c>
      <x:c r="H9" s="6" t="n">
        <x:v>-294000</x:v>
      </x:c>
      <x:c r="I9" s="6" t="n">
        <x:v>-784000</x:v>
      </x:c>
      <x:c r="J9" s="6" t="n">
        <x:v>914000</x:v>
      </x:c>
      <x:c r="K9" s="11" t="n">
        <x:v>7</x:v>
      </x:c>
      <x:c r="L9" s="11" t="n">
        <x:v>160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-865000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1344000</x:v>
      </x:c>
      <x:c r="E11" s="6" t="n">
        <x:f>C11-D11</x:f>
        <x:v>-764000</x:v>
      </x:c>
      <x:c r="F11" s="6" t="n">
        <x:f>F10+E11</x:f>
        <x:v>-1629000</x:v>
      </x:c>
      <x:c r="G11" s="6" t="n">
        <x:v>-490000</x:v>
      </x:c>
      <x:c r="H11" s="6" t="n">
        <x:v>-274000</x:v>
      </x:c>
      <x:c r="I11" s="6" t="n">
        <x:v>-764000</x:v>
      </x:c>
      <x:c r="J11" s="6" t="n">
        <x:v>824000</x:v>
      </x:c>
      <x:c r="K11" s="11" t="n">
        <x:v>8</x:v>
      </x:c>
      <x:c r="L11" s="11" t="n">
        <x:v>160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301000</x:v>
      </x:c>
      <x:c r="D12" s="6" t="n">
        <x:v>118000</x:v>
      </x:c>
      <x:c r="E12" s="6" t="n">
        <x:f>C12-D12</x:f>
        <x:v>183000</x:v>
      </x:c>
      <x:c r="F12" s="6" t="n">
        <x:f>F11+E12</x:f>
        <x:v>-1446000</x:v>
      </x:c>
      <x:c r="G12" s="6" t="n">
        <x:v>300000</x:v>
      </x:c>
      <x:c r="H12" s="6" t="n">
        <x:v>-117000</x:v>
      </x:c>
      <x:c r="I12" s="6" t="n">
        <x:v>-537000</x:v>
      </x:c>
      <x:c r="J12" s="6" t="n">
        <x:v>537000</x:v>
      </x:c>
      <x:c r="K12" s="11" t="n">
        <x:v>3</x:v>
      </x:c>
      <x:c r="L12" s="11" t="n">
        <x:v>74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500000</x:v>
      </x:c>
      <x:c r="D13" s="6" t="n">
        <x:v>819000</x:v>
      </x:c>
      <x:c r="E13" s="6" t="n">
        <x:f>C13-D13</x:f>
        <x:v>-319000</x:v>
      </x:c>
      <x:c r="F13" s="6" t="n">
        <x:f>F12+E13</x:f>
        <x:v>-1765000</x:v>
      </x:c>
      <x:c r="G13" s="6" t="n">
        <x:v>-210000</x:v>
      </x:c>
      <x:c r="H13" s="6" t="n">
        <x:v>-109000</x:v>
      </x:c>
      <x:c r="I13" s="6" t="n">
        <x:v>-379000</x:v>
      </x:c>
      <x:c r="J13" s="6" t="n">
        <x:v>459000</x:v>
      </x:c>
      <x:c r="K13" s="11" t="n">
        <x:v>7</x:v>
      </x:c>
      <x:c r="L13" s="11" t="n">
        <x:v>71</x:v>
      </x:c>
    </x:row>
    <x:row r="14" ht="25" customHeight="1">
      <x:c r="A14" s="2" t="str">
        <x:v>2026-09-25_Day</x:v>
      </x:c>
      <x:c r="B14" s="2" t="str">
        <x:v>前30場</x:v>
      </x:c>
      <x:c r="C14" s="6" t="n">
        <x:v>99000</x:v>
      </x:c>
      <x:c r="D14" s="6" t="n">
        <x:v>912000</x:v>
      </x:c>
      <x:c r="E14" s="6" t="n">
        <x:f>C14-D14</x:f>
        <x:v>-813000</x:v>
      </x:c>
      <x:c r="F14" s="6" t="n">
        <x:f>F13+E14</x:f>
        <x:v>-2578000</x:v>
      </x:c>
      <x:c r="G14" s="6" t="n">
        <x:v>-610000</x:v>
      </x:c>
      <x:c r="H14" s="6" t="n">
        <x:v>-203000</x:v>
      </x:c>
      <x:c r="I14" s="6" t="n">
        <x:v>-933000</x:v>
      </x:c>
      <x:c r="J14" s="6" t="n">
        <x:v>1003000</x:v>
      </x:c>
      <x:c r="K14" s="11" t="n">
        <x:v>2</x:v>
      </x:c>
      <x:c r="L14" s="11" t="n">
        <x:v>149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460000</x:v>
      </x:c>
      <x:c r="D15" s="6" t="n">
        <x:v>738000</x:v>
      </x:c>
      <x:c r="E15" s="6" t="n">
        <x:f>C15-D15</x:f>
        <x:v>-278000</x:v>
      </x:c>
      <x:c r="F15" s="6" t="n">
        <x:f>F14+E15</x:f>
        <x:v>-2856000</x:v>
      </x:c>
      <x:c r="G15" s="6" t="n">
        <x:v>-190000</x:v>
      </x:c>
      <x:c r="H15" s="6" t="n">
        <x:v>-88000</x:v>
      </x:c>
      <x:c r="I15" s="6" t="n">
        <x:v>-298000</x:v>
      </x:c>
      <x:c r="J15" s="6" t="n">
        <x:v>298000</x:v>
      </x:c>
      <x:c r="K15" s="11" t="n">
        <x:v>7</x:v>
      </x:c>
      <x:c r="L15" s="11" t="n">
        <x:v>55</x:v>
      </x:c>
    </x:row>
    <x:row r="16" ht="25" customHeight="1">
      <x:c r="A16" s="2" t="str">
        <x:v>2026-09-28_Day</x:v>
      </x:c>
      <x:c r="B16" s="2" t="str">
        <x:v>前30場</x:v>
      </x:c>
      <x:c r="C16" s="6" t="n">
        <x:v>483000</x:v>
      </x:c>
      <x:c r="D16" s="6" t="n">
        <x:v>90000</x:v>
      </x:c>
      <x:c r="E16" s="6" t="n">
        <x:f>C16-D16</x:f>
        <x:v>393000</x:v>
      </x:c>
      <x:c r="F16" s="6" t="n">
        <x:f>F15+E16</x:f>
        <x:v>-2463000</x:v>
      </x:c>
      <x:c r="G16" s="6" t="n">
        <x:v>480000</x:v>
      </x:c>
      <x:c r="H16" s="6" t="n">
        <x:v>-87000</x:v>
      </x:c>
      <x:c r="I16" s="6" t="n">
        <x:v>-465000</x:v>
      </x:c>
      <x:c r="J16" s="6" t="n">
        <x:v>483000</x:v>
      </x:c>
      <x:c r="K16" s="11" t="n">
        <x:v>5</x:v>
      </x:c>
      <x:c r="L16" s="11" t="n">
        <x:v>65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690000</x:v>
      </x:c>
      <x:c r="D17" s="6" t="n">
        <x:v>618000</x:v>
      </x:c>
      <x:c r="E17" s="6" t="n">
        <x:f>C17-D17</x:f>
        <x:v>72000</x:v>
      </x:c>
      <x:c r="F17" s="6" t="n">
        <x:f>F16+E17</x:f>
        <x:v>-2391000</x:v>
      </x:c>
      <x:c r="G17" s="6" t="n">
        <x:v>230000</x:v>
      </x:c>
      <x:c r="H17" s="6" t="n">
        <x:v>-158000</x:v>
      </x:c>
      <x:c r="I17" s="6" t="n">
        <x:v>-258000</x:v>
      </x:c>
      <x:c r="J17" s="6" t="n">
        <x:v>316000</x:v>
      </x:c>
      <x:c r="K17" s="11" t="n">
        <x:v>9</x:v>
      </x:c>
      <x:c r="L17" s="11" t="n">
        <x:v>93</x:v>
      </x:c>
    </x:row>
    <x:row r="18" ht="25" customHeight="1">
      <x:c r="A18" s="2" t="str">
        <x:v>2026-09-29_Day</x:v>
      </x:c>
      <x:c r="B18" s="2" t="str">
        <x:v>前30場</x:v>
      </x:c>
      <x:c r="C18" s="6" t="n">
        <x:v>371000</x:v>
      </x:c>
      <x:c r="D18" s="6" t="n">
        <x:v>839000</x:v>
      </x:c>
      <x:c r="E18" s="6" t="n">
        <x:f>C18-D18</x:f>
        <x:v>-468000</x:v>
      </x:c>
      <x:c r="F18" s="6" t="n">
        <x:f>F17+E18</x:f>
        <x:v>-2859000</x:v>
      </x:c>
      <x:c r="G18" s="6" t="n">
        <x:v>-70000</x:v>
      </x:c>
      <x:c r="H18" s="6" t="n">
        <x:v>-398000</x:v>
      </x:c>
      <x:c r="I18" s="6" t="n">
        <x:v>-1078000</x:v>
      </x:c>
      <x:c r="J18" s="6" t="n">
        <x:v>1111000</x:v>
      </x:c>
      <x:c r="K18" s="11" t="n">
        <x:v>5</x:v>
      </x:c>
      <x:c r="L18" s="11" t="n">
        <x:v>214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694000</x:v>
      </x:c>
      <x:c r="D19" s="6" t="n">
        <x:v>794000</x:v>
      </x:c>
      <x:c r="E19" s="6" t="n">
        <x:f>C19-D19</x:f>
        <x:v>-100000</x:v>
      </x:c>
      <x:c r="F19" s="6" t="n">
        <x:f>F18+E19</x:f>
        <x:v>-2959000</x:v>
      </x:c>
      <x:c r="G19" s="6" t="n">
        <x:v>0</x:v>
      </x:c>
      <x:c r="H19" s="6" t="n">
        <x:v>-100000</x:v>
      </x:c>
      <x:c r="I19" s="6" t="n">
        <x:v>-150000</x:v>
      </x:c>
      <x:c r="J19" s="6" t="n">
        <x:v>311000</x:v>
      </x:c>
      <x:c r="K19" s="11" t="n">
        <x:v>9</x:v>
      </x:c>
      <x:c r="L19" s="11" t="n">
        <x:v>74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190000</x:v>
      </x:c>
      <x:c r="D20" s="6" t="n">
        <x:v>765000</x:v>
      </x:c>
      <x:c r="E20" s="6" t="n">
        <x:f>C20-D20</x:f>
        <x:v>-575000</x:v>
      </x:c>
      <x:c r="F20" s="6" t="n">
        <x:f>F19+E20</x:f>
        <x:v>-3534000</x:v>
      </x:c>
      <x:c r="G20" s="6" t="n">
        <x:v>-420000</x:v>
      </x:c>
      <x:c r="H20" s="6" t="n">
        <x:v>-155000</x:v>
      </x:c>
      <x:c r="I20" s="6" t="n">
        <x:v>-575000</x:v>
      </x:c>
      <x:c r="J20" s="6" t="n">
        <x:v>759000</x:v>
      </x:c>
      <x:c r="K20" s="11" t="n">
        <x:v>3</x:v>
      </x:c>
      <x:c r="L20" s="11" t="n">
        <x:v>101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900000</x:v>
      </x:c>
      <x:c r="E21" s="6" t="n">
        <x:f>C21-D21</x:f>
        <x:v>-300000</x:v>
      </x:c>
      <x:c r="F21" s="6" t="n">
        <x:f>F20+E21</x:f>
        <x:v>-3834000</x:v>
      </x:c>
      <x:c r="G21" s="6" t="n">
        <x:v>-120000</x:v>
      </x:c>
      <x:c r="H21" s="6" t="n">
        <x:v>-180000</x:v>
      </x:c>
      <x:c r="I21" s="6" t="n">
        <x:v>-370000</x:v>
      </x:c>
      <x:c r="J21" s="6" t="n">
        <x:v>370000</x:v>
      </x:c>
      <x:c r="K21" s="11" t="n">
        <x:v>8</x:v>
      </x:c>
      <x:c r="L21" s="11" t="n">
        <x:v>82</x:v>
      </x:c>
    </x:row>
    <x:row r="22" ht="25" customHeight="1">
      <x:c r="A22" s="2" t="str">
        <x:v>2026-10-01_Day</x:v>
      </x:c>
      <x:c r="B22" s="2" t="str">
        <x:v>前30場</x:v>
      </x:c>
      <x:c r="C22" s="6" t="n">
        <x:v>210000</x:v>
      </x:c>
      <x:c r="D22" s="6" t="n">
        <x:v>2240000</x:v>
      </x:c>
      <x:c r="E22" s="6" t="n">
        <x:f>C22-D22</x:f>
        <x:v>-2030000</x:v>
      </x:c>
      <x:c r="F22" s="6" t="n">
        <x:f>F21+E22</x:f>
        <x:v>-5864000</x:v>
      </x:c>
      <x:c r="G22" s="6" t="n">
        <x:v>-1410000</x:v>
      </x:c>
      <x:c r="H22" s="6" t="n">
        <x:v>-620000</x:v>
      </x:c>
      <x:c r="I22" s="6" t="n">
        <x:v>-2230000</x:v>
      </x:c>
      <x:c r="J22" s="6" t="n">
        <x:v>2405000</x:v>
      </x:c>
      <x:c r="K22" s="11" t="n">
        <x:v>3</x:v>
      </x:c>
      <x:c r="L22" s="11" t="n">
        <x:v>401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860000</x:v>
      </x:c>
      <x:c r="D23" s="6" t="n">
        <x:v>1086000</x:v>
      </x:c>
      <x:c r="E23" s="6" t="n">
        <x:f>C23-D23</x:f>
        <x:v>-226000</x:v>
      </x:c>
      <x:c r="F23" s="6" t="n">
        <x:f>F22+E23</x:f>
        <x:v>-6090000</x:v>
      </x:c>
      <x:c r="G23" s="6" t="n">
        <x:v>0</x:v>
      </x:c>
      <x:c r="H23" s="6" t="n">
        <x:v>-226000</x:v>
      </x:c>
      <x:c r="I23" s="6" t="n">
        <x:v>-386000</x:v>
      </x:c>
      <x:c r="J23" s="6" t="n">
        <x:v>496000</x:v>
      </x:c>
      <x:c r="K23" s="11" t="n">
        <x:v>11</x:v>
      </x:c>
      <x:c r="L23" s="11" t="n">
        <x:v>138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300000</x:v>
      </x:c>
      <x:c r="D24" s="6" t="n">
        <x:v>421000</x:v>
      </x:c>
      <x:c r="E24" s="6" t="n">
        <x:f>C24-D24</x:f>
        <x:v>-121000</x:v>
      </x:c>
      <x:c r="F24" s="6" t="n">
        <x:f>F23+E24</x:f>
        <x:v>-6211000</x:v>
      </x:c>
      <x:c r="G24" s="6" t="n">
        <x:v>0</x:v>
      </x:c>
      <x:c r="H24" s="6" t="n">
        <x:v>-121000</x:v>
      </x:c>
      <x:c r="I24" s="6" t="n">
        <x:v>-411000</x:v>
      </x:c>
      <x:c r="J24" s="6" t="n">
        <x:v>504000</x:v>
      </x:c>
      <x:c r="K24" s="11" t="n">
        <x:v>5</x:v>
      </x:c>
      <x:c r="L24" s="11" t="n">
        <x:v>77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1040000</x:v>
      </x:c>
      <x:c r="D25" s="6" t="n">
        <x:v>1469000</x:v>
      </x:c>
      <x:c r="E25" s="6" t="n">
        <x:f>C25-D25</x:f>
        <x:v>-429000</x:v>
      </x:c>
      <x:c r="F25" s="6" t="n">
        <x:f>F24+E25</x:f>
        <x:v>-6640000</x:v>
      </x:c>
      <x:c r="G25" s="6" t="n">
        <x:v>-130000</x:v>
      </x:c>
      <x:c r="H25" s="6" t="n">
        <x:v>-299000</x:v>
      </x:c>
      <x:c r="I25" s="6" t="n">
        <x:v>-549000</x:v>
      </x:c>
      <x:c r="J25" s="6" t="n">
        <x:v>617000</x:v>
      </x:c>
      <x:c r="K25" s="11" t="n">
        <x:v>13</x:v>
      </x:c>
      <x:c r="L25" s="11" t="n">
        <x:v>103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202000</x:v>
      </x:c>
      <x:c r="D26" s="6" t="n">
        <x:v>679000</x:v>
      </x:c>
      <x:c r="E26" s="6" t="n">
        <x:f>C26-D26</x:f>
        <x:v>-477000</x:v>
      </x:c>
      <x:c r="F26" s="6" t="n">
        <x:f>F25+E26</x:f>
        <x:v>-7117000</x:v>
      </x:c>
      <x:c r="G26" s="6" t="n">
        <x:v>-320000</x:v>
      </x:c>
      <x:c r="H26" s="6" t="n">
        <x:v>-157000</x:v>
      </x:c>
      <x:c r="I26" s="6" t="n">
        <x:v>-537000</x:v>
      </x:c>
      <x:c r="J26" s="6" t="n">
        <x:v>587000</x:v>
      </x:c>
      <x:c r="K26" s="11" t="n">
        <x:v>3</x:v>
      </x:c>
      <x:c r="L26" s="11" t="n">
        <x:v>94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400000</x:v>
      </x:c>
      <x:c r="D27" s="6" t="n">
        <x:v>533000</x:v>
      </x:c>
      <x:c r="E27" s="6" t="n">
        <x:f>C27-D27</x:f>
        <x:v>-133000</x:v>
      </x:c>
      <x:c r="F27" s="6" t="n">
        <x:f>F26+E27</x:f>
        <x:v>-7250000</x:v>
      </x:c>
      <x:c r="G27" s="6" t="n">
        <x:v>-50000</x:v>
      </x:c>
      <x:c r="H27" s="6" t="n">
        <x:v>-83000</x:v>
      </x:c>
      <x:c r="I27" s="6" t="n">
        <x:v>-283000</x:v>
      </x:c>
      <x:c r="J27" s="6" t="n">
        <x:v>303000</x:v>
      </x:c>
      <x:c r="K27" s="11" t="n">
        <x:v>5</x:v>
      </x:c>
      <x:c r="L27" s="11" t="n">
        <x:v>51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100000</x:v>
      </x:c>
      <x:c r="D28" s="6" t="n">
        <x:v>13000</x:v>
      </x:c>
      <x:c r="E28" s="6" t="n">
        <x:f>C28-D28</x:f>
        <x:v>87000</x:v>
      </x:c>
      <x:c r="F28" s="6" t="n">
        <x:f>F27+E28</x:f>
        <x:v>-7163000</x:v>
      </x:c>
      <x:c r="G28" s="6" t="n">
        <x:v>100000</x:v>
      </x:c>
      <x:c r="H28" s="6" t="n">
        <x:v>-13000</x:v>
      </x:c>
      <x:c r="I28" s="6" t="n">
        <x:v>-173000</x:v>
      </x:c>
      <x:c r="J28" s="6" t="n">
        <x:v>173000</x:v>
      </x:c>
      <x:c r="K28" s="11" t="n">
        <x:v>1</x:v>
      </x:c>
      <x:c r="L28" s="11" t="n">
        <x:v>6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583000</x:v>
      </x:c>
      <x:c r="D29" s="6" t="n">
        <x:v>601000</x:v>
      </x:c>
      <x:c r="E29" s="6" t="n">
        <x:f>C29-D29</x:f>
        <x:v>-18000</x:v>
      </x:c>
      <x:c r="F29" s="6" t="n">
        <x:f>F28+E29</x:f>
        <x:v>-7181000</x:v>
      </x:c>
      <x:c r="G29" s="6" t="n">
        <x:v>53000</x:v>
      </x:c>
      <x:c r="H29" s="6" t="n">
        <x:v>-71000</x:v>
      </x:c>
      <x:c r="I29" s="6" t="n">
        <x:v>-178000</x:v>
      </x:c>
      <x:c r="J29" s="6" t="n">
        <x:v>252000</x:v>
      </x:c>
      <x:c r="K29" s="11" t="n">
        <x:v>8</x:v>
      </x:c>
      <x:c r="L29" s="11" t="n">
        <x:v>53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10000</x:v>
      </x:c>
      <x:c r="E30" s="6" t="n">
        <x:f>C30-D30</x:f>
        <x:v>190000</x:v>
      </x:c>
      <x:c r="F30" s="6" t="n">
        <x:f>F29+E30</x:f>
        <x:v>-6991000</x:v>
      </x:c>
      <x:c r="G30" s="6" t="n">
        <x:v>200000</x:v>
      </x:c>
      <x:c r="H30" s="6" t="n">
        <x:v>-10000</x:v>
      </x:c>
      <x:c r="I30" s="6" t="n">
        <x:v>-106000</x:v>
      </x:c>
      <x:c r="J30" s="6" t="n">
        <x:v>184000</x:v>
      </x:c>
      <x:c r="K30" s="11" t="n">
        <x:v>2</x:v>
      </x:c>
      <x:c r="L30" s="11" t="n">
        <x:v>5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790000</x:v>
      </x:c>
      <x:c r="D31" s="6" t="n">
        <x:v>1079000</x:v>
      </x:c>
      <x:c r="E31" s="6" t="n">
        <x:f>C31-D31</x:f>
        <x:v>-289000</x:v>
      </x:c>
      <x:c r="F31" s="6" t="n">
        <x:f>F30+E31</x:f>
        <x:v>-7280000</x:v>
      </x:c>
      <x:c r="G31" s="6" t="n">
        <x:v>-140000</x:v>
      </x:c>
      <x:c r="H31" s="6" t="n">
        <x:v>-149000</x:v>
      </x:c>
      <x:c r="I31" s="6" t="n">
        <x:v>-299000</x:v>
      </x:c>
      <x:c r="J31" s="6" t="n">
        <x:v>319000</x:v>
      </x:c>
      <x:c r="K31" s="11" t="n">
        <x:v>10</x:v>
      </x:c>
      <x:c r="L31" s="11" t="n">
        <x:v>93</x:v>
      </x:c>
    </x:row>
    <x:row r="32" ht="25" customHeight="1">
      <x:c r="A32" s="2" t="str">
        <x:v>2026-10-08_Day</x:v>
      </x:c>
      <x:c r="B32" s="2" t="str">
        <x:v>前30場</x:v>
      </x:c>
      <x:c r="C32" s="6" t="n">
        <x:v>300000</x:v>
      </x:c>
      <x:c r="D32" s="6" t="n">
        <x:v>1337000</x:v>
      </x:c>
      <x:c r="E32" s="6" t="n">
        <x:f>C32-D32</x:f>
        <x:v>-1037000</x:v>
      </x:c>
      <x:c r="F32" s="6" t="n">
        <x:f>F31+E32</x:f>
        <x:v>-8317000</x:v>
      </x:c>
      <x:c r="G32" s="6" t="n">
        <x:v>-810000</x:v>
      </x:c>
      <x:c r="H32" s="6" t="n">
        <x:v>-227000</x:v>
      </x:c>
      <x:c r="I32" s="6" t="n">
        <x:v>-1037000</x:v>
      </x:c>
      <x:c r="J32" s="6" t="n">
        <x:v>1294000</x:v>
      </x:c>
      <x:c r="K32" s="11" t="n">
        <x:v>4</x:v>
      </x:c>
      <x:c r="L32" s="11" t="n">
        <x:v>131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1186000</x:v>
      </x:c>
      <x:c r="D33" s="6" t="n">
        <x:v>1639000</x:v>
      </x:c>
      <x:c r="E33" s="6" t="n">
        <x:f>C33-D33</x:f>
        <x:v>-453000</x:v>
      </x:c>
      <x:c r="F33" s="6" t="n">
        <x:f>F32+E33</x:f>
        <x:v>-8770000</x:v>
      </x:c>
      <x:c r="G33" s="6" t="n">
        <x:v>-200000</x:v>
      </x:c>
      <x:c r="H33" s="6" t="n">
        <x:v>-253000</x:v>
      </x:c>
      <x:c r="I33" s="6" t="n">
        <x:v>-453000</x:v>
      </x:c>
      <x:c r="J33" s="6" t="n">
        <x:v>668000</x:v>
      </x:c>
      <x:c r="K33" s="11" t="n">
        <x:v>14</x:v>
      </x:c>
      <x:c r="L33" s="11" t="n">
        <x:v>164</x:v>
      </x:c>
    </x:row>
    <x:row r="34" ht="25" customHeight="1">
      <x:c r="A34" s="2" t="str">
        <x:v>2026-10-09_Day</x:v>
      </x:c>
      <x:c r="B34" s="2" t="str">
        <x:v>前30場</x:v>
      </x:c>
      <x:c r="C34" s="6" t="n">
        <x:v>522000</x:v>
      </x:c>
      <x:c r="D34" s="6" t="n">
        <x:v>1354000</x:v>
      </x:c>
      <x:c r="E34" s="6" t="n">
        <x:f>C34-D34</x:f>
        <x:v>-832000</x:v>
      </x:c>
      <x:c r="F34" s="6" t="n">
        <x:f>F33+E34</x:f>
        <x:v>-9602000</x:v>
      </x:c>
      <x:c r="G34" s="6" t="n">
        <x:v>-450000</x:v>
      </x:c>
      <x:c r="H34" s="6" t="n">
        <x:v>-382000</x:v>
      </x:c>
      <x:c r="I34" s="6" t="n">
        <x:v>-842000</x:v>
      </x:c>
      <x:c r="J34" s="6" t="n">
        <x:v>1251000</x:v>
      </x:c>
      <x:c r="K34" s="11" t="n">
        <x:v>6</x:v>
      </x:c>
      <x:c r="L34" s="11" t="n">
        <x:v>223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549000</x:v>
      </x:c>
      <x:c r="E35" s="6" t="n">
        <x:f>C35-D35</x:f>
        <x:v>-59000</x:v>
      </x:c>
      <x:c r="F35" s="6" t="n">
        <x:f>F34+E35</x:f>
        <x:v>-9661000</x:v>
      </x:c>
      <x:c r="G35" s="6" t="n">
        <x:v>20000</x:v>
      </x:c>
      <x:c r="H35" s="6" t="n">
        <x:v>-79000</x:v>
      </x:c>
      <x:c r="I35" s="6" t="n">
        <x:v>-219000</x:v>
      </x:c>
      <x:c r="J35" s="6" t="n">
        <x:v>246000</x:v>
      </x:c>
      <x:c r="K35" s="11" t="n">
        <x:v>7</x:v>
      </x:c>
      <x:c r="L35" s="11" t="n">
        <x:v>52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-9661000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700000</x:v>
      </x:c>
      <x:c r="D37" s="6" t="n">
        <x:v>954000</x:v>
      </x:c>
      <x:c r="E37" s="6" t="n">
        <x:f>C37-D37</x:f>
        <x:v>-254000</x:v>
      </x:c>
      <x:c r="F37" s="6" t="n">
        <x:f>F36+E37</x:f>
        <x:v>-9915000</x:v>
      </x:c>
      <x:c r="G37" s="6" t="n">
        <x:v>-120000</x:v>
      </x:c>
      <x:c r="H37" s="6" t="n">
        <x:v>-134000</x:v>
      </x:c>
      <x:c r="I37" s="6" t="n">
        <x:v>-284000</x:v>
      </x:c>
      <x:c r="J37" s="6" t="n">
        <x:v>300000</x:v>
      </x:c>
      <x:c r="K37" s="11" t="n">
        <x:v>8</x:v>
      </x:c>
      <x:c r="L37" s="11" t="n">
        <x:v>86</x:v>
      </x:c>
    </x:row>
    <x:row r="38" ht="25" customHeight="1">
      <x:c r="A38" s="2" t="str">
        <x:v>2026-10-13_Day</x:v>
      </x:c>
      <x:c r="B38" s="2" t="str">
        <x:v>次10場</x:v>
      </x:c>
      <x:c r="C38" s="6" t="n">
        <x:v>491000</x:v>
      </x:c>
      <x:c r="D38" s="6" t="n">
        <x:v>68000</x:v>
      </x:c>
      <x:c r="E38" s="6" t="n">
        <x:f>C38-D38</x:f>
        <x:v>423000</x:v>
      </x:c>
      <x:c r="F38" s="6" t="n">
        <x:f>F37+E38</x:f>
        <x:v>-9492000</x:v>
      </x:c>
      <x:c r="G38" s="6" t="n">
        <x:v>490000</x:v>
      </x:c>
      <x:c r="H38" s="6" t="n">
        <x:v>-67000</x:v>
      </x:c>
      <x:c r="I38" s="6" t="n">
        <x:v>-303000</x:v>
      </x:c>
      <x:c r="J38" s="6" t="n">
        <x:v>339000</x:v>
      </x:c>
      <x:c r="K38" s="11" t="n">
        <x:v>5</x:v>
      </x:c>
      <x:c r="L38" s="11" t="n">
        <x:v>53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445000</x:v>
      </x:c>
      <x:c r="E39" s="6" t="n">
        <x:f>C39-D39</x:f>
        <x:v>-145000</x:v>
      </x:c>
      <x:c r="F39" s="6" t="n">
        <x:f>F38+E39</x:f>
        <x:v>-9637000</x:v>
      </x:c>
      <x:c r="G39" s="6" t="n">
        <x:v>-120000</x:v>
      </x:c>
      <x:c r="H39" s="6" t="n">
        <x:v>-25000</x:v>
      </x:c>
      <x:c r="I39" s="6" t="n">
        <x:v>-155000</x:v>
      </x:c>
      <x:c r="J39" s="6" t="n">
        <x:v>155000</x:v>
      </x:c>
      <x:c r="K39" s="11" t="n">
        <x:v>5</x:v>
      </x:c>
      <x:c r="L39" s="11" t="n">
        <x:v>19</x:v>
      </x:c>
    </x:row>
    <x:row r="40" ht="25" customHeight="1">
      <x:c r="A40" s="2" t="str">
        <x:v>2026-10-14_Day</x:v>
      </x:c>
      <x:c r="B40" s="2" t="str">
        <x:v>次10場</x:v>
      </x:c>
      <x:c r="C40" s="6" t="n">
        <x:v>400000</x:v>
      </x:c>
      <x:c r="D40" s="6" t="n">
        <x:v>509000</x:v>
      </x:c>
      <x:c r="E40" s="6" t="n">
        <x:f>C40-D40</x:f>
        <x:v>-109000</x:v>
      </x:c>
      <x:c r="F40" s="6" t="n">
        <x:f>F39+E40</x:f>
        <x:v>-9746000</x:v>
      </x:c>
      <x:c r="G40" s="6" t="n">
        <x:v>40000</x:v>
      </x:c>
      <x:c r="H40" s="6" t="n">
        <x:v>-149000</x:v>
      </x:c>
      <x:c r="I40" s="6" t="n">
        <x:v>-424000</x:v>
      </x:c>
      <x:c r="J40" s="6" t="n">
        <x:v>612000</x:v>
      </x:c>
      <x:c r="K40" s="11" t="n">
        <x:v>5</x:v>
      </x:c>
      <x:c r="L40" s="11" t="n">
        <x:v>96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1450000</x:v>
      </x:c>
      <x:c r="D41" s="6" t="n">
        <x:v>2777000</x:v>
      </x:c>
      <x:c r="E41" s="6" t="n">
        <x:f>C41-D41</x:f>
        <x:v>-1327000</x:v>
      </x:c>
      <x:c r="F41" s="6" t="n">
        <x:f>F40+E41</x:f>
        <x:v>-11073000</x:v>
      </x:c>
      <x:c r="G41" s="6" t="n">
        <x:v>-490000</x:v>
      </x:c>
      <x:c r="H41" s="6" t="n">
        <x:v>-837000</x:v>
      </x:c>
      <x:c r="I41" s="6" t="n">
        <x:v>-1357000</x:v>
      </x:c>
      <x:c r="J41" s="6" t="n">
        <x:v>1367000</x:v>
      </x:c>
      <x:c r="K41" s="11" t="n">
        <x:v>14</x:v>
      </x:c>
      <x:c r="L41" s="11" t="n">
        <x:v>337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1155000</x:v>
      </x:c>
      <x:c r="D42" s="6" t="n">
        <x:v>1870000</x:v>
      </x:c>
      <x:c r="E42" s="6" t="n">
        <x:f>C42-D42</x:f>
        <x:v>-715000</x:v>
      </x:c>
      <x:c r="F42" s="6" t="n">
        <x:f>F41+E42</x:f>
        <x:v>-11788000</x:v>
      </x:c>
      <x:c r="G42" s="6" t="n">
        <x:v>-120000</x:v>
      </x:c>
      <x:c r="H42" s="6" t="n">
        <x:v>-595000</x:v>
      </x:c>
      <x:c r="I42" s="6" t="n">
        <x:v>-1625000</x:v>
      </x:c>
      <x:c r="J42" s="6" t="n">
        <x:v>1872000</x:v>
      </x:c>
      <x:c r="K42" s="11" t="n">
        <x:v>12</x:v>
      </x:c>
      <x:c r="L42" s="11" t="n">
        <x:v>409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1580000</x:v>
      </x:c>
      <x:c r="D43" s="6" t="n">
        <x:v>1806000</x:v>
      </x:c>
      <x:c r="E43" s="6" t="n">
        <x:f>C43-D43</x:f>
        <x:v>-226000</x:v>
      </x:c>
      <x:c r="F43" s="6" t="n">
        <x:f>F42+E43</x:f>
        <x:v>-12014000</x:v>
      </x:c>
      <x:c r="G43" s="6" t="n">
        <x:v>160000</x:v>
      </x:c>
      <x:c r="H43" s="6" t="n">
        <x:v>-386000</x:v>
      </x:c>
      <x:c r="I43" s="6" t="n">
        <x:v>-499000</x:v>
      </x:c>
      <x:c r="J43" s="6" t="n">
        <x:v>657000</x:v>
      </x:c>
      <x:c r="K43" s="11" t="n">
        <x:v>16</x:v>
      </x:c>
      <x:c r="L43" s="11" t="n">
        <x:v>196</x:v>
      </x:c>
    </x:row>
    <x:row r="44" ht="25" customHeight="1">
      <x:c r="A44" s="2" t="str">
        <x:v>2026-10-16_Day</x:v>
      </x:c>
      <x:c r="B44" s="2" t="str">
        <x:v>次10場</x:v>
      </x:c>
      <x:c r="C44" s="6" t="n">
        <x:v>992000</x:v>
      </x:c>
      <x:c r="D44" s="6" t="n">
        <x:v>343000</x:v>
      </x:c>
      <x:c r="E44" s="6" t="n">
        <x:f>C44-D44</x:f>
        <x:v>649000</x:v>
      </x:c>
      <x:c r="F44" s="6" t="n">
        <x:f>F43+E44</x:f>
        <x:v>-11365000</x:v>
      </x:c>
      <x:c r="G44" s="6" t="n">
        <x:v>820000</x:v>
      </x:c>
      <x:c r="H44" s="6" t="n">
        <x:v>-171000</x:v>
      </x:c>
      <x:c r="I44" s="6" t="n">
        <x:v>-62000</x:v>
      </x:c>
      <x:c r="J44" s="6" t="n">
        <x:v>569000</x:v>
      </x:c>
      <x:c r="K44" s="11" t="n">
        <x:v>11</x:v>
      </x:c>
      <x:c r="L44" s="11" t="n">
        <x:v>99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1570000</x:v>
      </x:c>
      <x:c r="D45" s="6" t="n">
        <x:v>2501000</x:v>
      </x:c>
      <x:c r="E45" s="6" t="n">
        <x:f>C45-D45</x:f>
        <x:v>-931000</x:v>
      </x:c>
      <x:c r="F45" s="6" t="n">
        <x:f>F44+E45</x:f>
        <x:v>-12296000</x:v>
      </x:c>
      <x:c r="G45" s="6" t="n">
        <x:v>-500000</x:v>
      </x:c>
      <x:c r="H45" s="6" t="n">
        <x:v>-431000</x:v>
      </x:c>
      <x:c r="I45" s="6" t="n">
        <x:v>-961000</x:v>
      </x:c>
      <x:c r="J45" s="6" t="n">
        <x:v>1116000</x:v>
      </x:c>
      <x:c r="K45" s="11" t="n">
        <x:v>17</x:v>
      </x:c>
      <x:c r="L45" s="11" t="n">
        <x:v>275</x:v>
      </x:c>
    </x:row>
    <x:row r="46" ht="25" customHeight="1">
      <x:c r="A46" s="2" t="str">
        <x:v>2026-10-19_Day</x:v>
      </x:c>
      <x:c r="B46" s="2" t="str">
        <x:v>後13場</x:v>
      </x:c>
      <x:c r="C46" s="6" t="n">
        <x:v>400000</x:v>
      </x:c>
      <x:c r="D46" s="6" t="n">
        <x:v>1249000</x:v>
      </x:c>
      <x:c r="E46" s="6" t="n">
        <x:f>C46-D46</x:f>
        <x:v>-849000</x:v>
      </x:c>
      <x:c r="F46" s="6" t="n">
        <x:f>F45+E46</x:f>
        <x:v>-13145000</x:v>
      </x:c>
      <x:c r="G46" s="6" t="n">
        <x:v>-520000</x:v>
      </x:c>
      <x:c r="H46" s="6" t="n">
        <x:v>-329000</x:v>
      </x:c>
      <x:c r="I46" s="6" t="n">
        <x:v>-1069000</x:v>
      </x:c>
      <x:c r="J46" s="6" t="n">
        <x:v>1131000</x:v>
      </x:c>
      <x:c r="K46" s="11" t="n">
        <x:v>5</x:v>
      </x:c>
      <x:c r="L46" s="11" t="n">
        <x:v>230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606000</x:v>
      </x:c>
      <x:c r="E47" s="6" t="n">
        <x:f>C47-D47</x:f>
        <x:v>-26000</x:v>
      </x:c>
      <x:c r="F47" s="6" t="n">
        <x:f>F46+E47</x:f>
        <x:v>-13171000</x:v>
      </x:c>
      <x:c r="G47" s="6" t="n">
        <x:v>80000</x:v>
      </x:c>
      <x:c r="H47" s="6" t="n">
        <x:v>-106000</x:v>
      </x:c>
      <x:c r="I47" s="6" t="n">
        <x:v>-139000</x:v>
      </x:c>
      <x:c r="J47" s="6" t="n">
        <x:v>249000</x:v>
      </x:c>
      <x:c r="K47" s="11" t="n">
        <x:v>8</x:v>
      </x:c>
      <x:c r="L47" s="11" t="n">
        <x:v>64</x:v>
      </x:c>
    </x:row>
    <x:row r="48" ht="25" customHeight="1">
      <x:c r="A48" s="2" t="str">
        <x:v>2026-10-20_Day</x:v>
      </x:c>
      <x:c r="B48" s="2" t="str">
        <x:v>後13場</x:v>
      </x:c>
      <x:c r="C48" s="6" t="n">
        <x:v>470000</x:v>
      </x:c>
      <x:c r="D48" s="6" t="n">
        <x:v>752000</x:v>
      </x:c>
      <x:c r="E48" s="6" t="n">
        <x:f>C48-D48</x:f>
        <x:v>-282000</x:v>
      </x:c>
      <x:c r="F48" s="6" t="n">
        <x:f>F47+E48</x:f>
        <x:v>-13453000</x:v>
      </x:c>
      <x:c r="G48" s="6" t="n">
        <x:v>10000</x:v>
      </x:c>
      <x:c r="H48" s="6" t="n">
        <x:v>-292000</x:v>
      </x:c>
      <x:c r="I48" s="6" t="n">
        <x:v>-702000</x:v>
      </x:c>
      <x:c r="J48" s="6" t="n">
        <x:v>859000</x:v>
      </x:c>
      <x:c r="K48" s="11" t="n">
        <x:v>6</x:v>
      </x:c>
      <x:c r="L48" s="11" t="n">
        <x:v>163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1050000</x:v>
      </x:c>
      <x:c r="D49" s="6" t="n">
        <x:v>1555000</x:v>
      </x:c>
      <x:c r="E49" s="6" t="n">
        <x:f>C49-D49</x:f>
        <x:v>-505000</x:v>
      </x:c>
      <x:c r="F49" s="6" t="n">
        <x:f>F48+E49</x:f>
        <x:v>-13958000</x:v>
      </x:c>
      <x:c r="G49" s="6" t="n">
        <x:v>-290000</x:v>
      </x:c>
      <x:c r="H49" s="6" t="n">
        <x:v>-215000</x:v>
      </x:c>
      <x:c r="I49" s="6" t="n">
        <x:v>-535000</x:v>
      </x:c>
      <x:c r="J49" s="6" t="n">
        <x:v>635000</x:v>
      </x:c>
      <x:c r="K49" s="11" t="n">
        <x:v>12</x:v>
      </x:c>
      <x:c r="L49" s="11" t="n">
        <x:v>149</x:v>
      </x:c>
    </x:row>
    <x:row r="50" ht="25" customHeight="1">
      <x:c r="A50" s="2" t="str">
        <x:v>2026-10-21_Day</x:v>
      </x:c>
      <x:c r="B50" s="2" t="str">
        <x:v>後13場</x:v>
      </x:c>
      <x:c r="C50" s="6" t="n">
        <x:v>300000</x:v>
      </x:c>
      <x:c r="D50" s="6" t="n">
        <x:v>746000</x:v>
      </x:c>
      <x:c r="E50" s="6" t="n">
        <x:f>C50-D50</x:f>
        <x:v>-446000</x:v>
      </x:c>
      <x:c r="F50" s="6" t="n">
        <x:f>F49+E50</x:f>
        <x:v>-14404000</x:v>
      </x:c>
      <x:c r="G50" s="6" t="n">
        <x:v>-170000</x:v>
      </x:c>
      <x:c r="H50" s="6" t="n">
        <x:v>-276000</x:v>
      </x:c>
      <x:c r="I50" s="6" t="n">
        <x:v>-696000</x:v>
      </x:c>
      <x:c r="J50" s="6" t="n">
        <x:v>746000</x:v>
      </x:c>
      <x:c r="K50" s="11" t="n">
        <x:v>4</x:v>
      </x:c>
      <x:c r="L50" s="11" t="n">
        <x:v>155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600000</x:v>
      </x:c>
      <x:c r="D51" s="6" t="n">
        <x:v>691000</x:v>
      </x:c>
      <x:c r="E51" s="6" t="n">
        <x:f>C51-D51</x:f>
        <x:v>-91000</x:v>
      </x:c>
      <x:c r="F51" s="6" t="n">
        <x:f>F50+E51</x:f>
        <x:v>-14495000</x:v>
      </x:c>
      <x:c r="G51" s="6" t="n">
        <x:v>-50000</x:v>
      </x:c>
      <x:c r="H51" s="6" t="n">
        <x:v>-41000</x:v>
      </x:c>
      <x:c r="I51" s="6" t="n">
        <x:v>-231000</x:v>
      </x:c>
      <x:c r="J51" s="6" t="n">
        <x:v>231000</x:v>
      </x:c>
      <x:c r="K51" s="11" t="n">
        <x:v>8</x:v>
      </x:c>
      <x:c r="L51" s="11" t="n">
        <x:v>56</x:v>
      </x:c>
    </x:row>
    <x:row r="52" ht="25" customHeight="1">
      <x:c r="A52" s="2" t="str">
        <x:v>2026-10-22_Day</x:v>
      </x:c>
      <x:c r="B52" s="2" t="str">
        <x:v>後13場</x:v>
      </x:c>
      <x:c r="C52" s="6" t="n">
        <x:v>601000</x:v>
      </x:c>
      <x:c r="D52" s="6" t="n">
        <x:v>2360000</x:v>
      </x:c>
      <x:c r="E52" s="6" t="n">
        <x:f>C52-D52</x:f>
        <x:v>-1759000</x:v>
      </x:c>
      <x:c r="F52" s="6" t="n">
        <x:f>F51+E52</x:f>
        <x:v>-16254000</x:v>
      </x:c>
      <x:c r="G52" s="6" t="n">
        <x:v>-1170000</x:v>
      </x:c>
      <x:c r="H52" s="6" t="n">
        <x:v>-589000</x:v>
      </x:c>
      <x:c r="I52" s="6" t="n">
        <x:v>-1999000</x:v>
      </x:c>
      <x:c r="J52" s="6" t="n">
        <x:v>2119000</x:v>
      </x:c>
      <x:c r="K52" s="11" t="n">
        <x:v>7</x:v>
      </x:c>
      <x:c r="L52" s="11" t="n">
        <x:v>414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926000</x:v>
      </x:c>
      <x:c r="D53" s="6" t="n">
        <x:v>1432000</x:v>
      </x:c>
      <x:c r="E53" s="6" t="n">
        <x:f>C53-D53</x:f>
        <x:v>-506000</x:v>
      </x:c>
      <x:c r="F53" s="6" t="n">
        <x:f>F52+E53</x:f>
        <x:v>-16760000</x:v>
      </x:c>
      <x:c r="G53" s="6" t="n">
        <x:v>-291000</x:v>
      </x:c>
      <x:c r="H53" s="6" t="n">
        <x:v>-215000</x:v>
      </x:c>
      <x:c r="I53" s="6" t="n">
        <x:v>-516000</x:v>
      </x:c>
      <x:c r="J53" s="6" t="n">
        <x:v>660000</x:v>
      </x:c>
      <x:c r="K53" s="11" t="n">
        <x:v>14</x:v>
      </x:c>
      <x:c r="L53" s="11" t="n">
        <x:v>161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1512000</x:v>
      </x:c>
      <x:c r="D54" s="6" t="n">
        <x:v>2024000</x:v>
      </x:c>
      <x:c r="E54" s="6" t="n">
        <x:f>C54-D54</x:f>
        <x:v>-512000</x:v>
      </x:c>
      <x:c r="F54" s="6" t="n">
        <x:f>F53+E54</x:f>
        <x:v>-17272000</x:v>
      </x:c>
      <x:c r="G54" s="6" t="n">
        <x:v>350000</x:v>
      </x:c>
      <x:c r="H54" s="6" t="n">
        <x:v>-862000</x:v>
      </x:c>
      <x:c r="I54" s="6" t="n">
        <x:v>-662000</x:v>
      </x:c>
      <x:c r="J54" s="6" t="n">
        <x:v>1160000</x:v>
      </x:c>
      <x:c r="K54" s="11" t="n">
        <x:v>16</x:v>
      </x:c>
      <x:c r="L54" s="11" t="n">
        <x:v>301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710000</x:v>
      </x:c>
      <x:c r="E55" s="6" t="n">
        <x:f>C55-D55</x:f>
        <x:v>-210000</x:v>
      </x:c>
      <x:c r="F55" s="6" t="n">
        <x:f>F54+E55</x:f>
        <x:v>-17482000</x:v>
      </x:c>
      <x:c r="G55" s="6" t="n">
        <x:v>-150000</x:v>
      </x:c>
      <x:c r="H55" s="6" t="n">
        <x:v>-60000</x:v>
      </x:c>
      <x:c r="I55" s="6" t="n">
        <x:v>-230000</x:v>
      </x:c>
      <x:c r="J55" s="6" t="n">
        <x:v>268000</x:v>
      </x:c>
      <x:c r="K55" s="11" t="n">
        <x:v>7</x:v>
      </x:c>
      <x:c r="L55" s="11" t="n">
        <x:v>42</x:v>
      </x:c>
    </x:row>
    <x:row r="56" ht="25" customHeight="1">
      <x:c r="A56" s="2" t="str">
        <x:v>2026-10-26_Day</x:v>
      </x:c>
      <x:c r="B56" s="2" t="str">
        <x:v>後13場</x:v>
      </x:c>
      <x:c r="C56" s="6" t="n">
        <x:v>419000</x:v>
      </x:c>
      <x:c r="D56" s="6" t="n">
        <x:v>858000</x:v>
      </x:c>
      <x:c r="E56" s="6" t="n">
        <x:f>C56-D56</x:f>
        <x:v>-439000</x:v>
      </x:c>
      <x:c r="F56" s="6" t="n">
        <x:f>F55+E56</x:f>
        <x:v>-17921000</x:v>
      </x:c>
      <x:c r="G56" s="6" t="n">
        <x:v>-250000</x:v>
      </x:c>
      <x:c r="H56" s="6" t="n">
        <x:v>-189000</x:v>
      </x:c>
      <x:c r="I56" s="6" t="n">
        <x:v>-529000</x:v>
      </x:c>
      <x:c r="J56" s="6" t="n">
        <x:v>529000</x:v>
      </x:c>
      <x:c r="K56" s="11" t="n">
        <x:v>5</x:v>
      </x:c>
      <x:c r="L56" s="11" t="n">
        <x:v>140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710000</x:v>
      </x:c>
      <x:c r="D57" s="6" t="n">
        <x:v>1080000</x:v>
      </x:c>
      <x:c r="E57" s="6" t="n">
        <x:f>C57-D57</x:f>
        <x:v>-370000</x:v>
      </x:c>
      <x:c r="F57" s="6" t="n">
        <x:f>F56+E57</x:f>
        <x:v>-18291000</x:v>
      </x:c>
      <x:c r="G57" s="6" t="n">
        <x:v>-190000</x:v>
      </x:c>
      <x:c r="H57" s="6" t="n">
        <x:v>-180000</x:v>
      </x:c>
      <x:c r="I57" s="6" t="n">
        <x:v>-390000</x:v>
      </x:c>
      <x:c r="J57" s="6" t="n">
        <x:v>462000</x:v>
      </x:c>
      <x:c r="K57" s="11" t="n">
        <x:v>9</x:v>
      </x:c>
      <x:c r="L57" s="11" t="n">
        <x:v>96</x:v>
      </x:c>
    </x:row>
    <x:row r="58" ht="25" customHeight="1">
      <x:c r="A58" s="2" t="str">
        <x:v>2026-10-27_Day</x:v>
      </x:c>
      <x:c r="B58" s="2" t="str">
        <x:v>後13場</x:v>
      </x:c>
      <x:c r="C58" s="6" t="n">
        <x:v>901000</x:v>
      </x:c>
      <x:c r="D58" s="6" t="n">
        <x:v>155000</x:v>
      </x:c>
      <x:c r="E58" s="6" t="n">
        <x:f>C58-D58</x:f>
        <x:v>746000</x:v>
      </x:c>
      <x:c r="F58" s="6" t="n">
        <x:f>F57+E58</x:f>
        <x:v>-17545000</x:v>
      </x:c>
      <x:c r="G58" s="6" t="n">
        <x:v>900000</x:v>
      </x:c>
      <x:c r="H58" s="6" t="n">
        <x:v>-154000</x:v>
      </x:c>
      <x:c r="I58" s="6" t="n">
        <x:v>-126000</x:v>
      </x:c>
      <x:c r="J58" s="6" t="n">
        <x:v>424000</x:v>
      </x:c>
      <x:c r="K58" s="11" t="n">
        <x:v>9</x:v>
      </x:c>
      <x:c r="L58" s="11" t="n">
        <x:v>93</x:v>
      </x:c>
    </x:row>
    <x:row r="59" ht="25" customHeight="1">
      <x:c r="A59" s="15" t="str">
        <x:v>累計／場内最悪値</x:v>
      </x:c>
      <x:c r="B59" s="15"/>
      <x:c r="C59" s="16" t="n">
        <x:f>SUM(C6:C58)</x:f>
        <x:v>31258000</x:v>
      </x:c>
      <x:c r="D59" s="16" t="n">
        <x:f>SUM(D6:D58)</x:f>
        <x:v>48803000</x:v>
      </x:c>
      <x:c r="E59" s="16" t="n">
        <x:f>C59-D59</x:f>
        <x:v>-17545000</x:v>
      </x:c>
      <x:c r="F59" s="16" t="n">
        <x:f>F58</x:f>
        <x:v>-17545000</x:v>
      </x:c>
      <x:c r="G59" s="16" t="n">
        <x:f>SUM(G6:G58)</x:f>
        <x:v>-6058000</x:v>
      </x:c>
      <x:c r="H59" s="16" t="n">
        <x:f>SUM(H6:H58)</x:f>
        <x:v>-11487000</x:v>
      </x:c>
      <x:c r="I59" s="16" t="n">
        <x:f>MIN(I6:I58)</x:f>
        <x:v>-2230000</x:v>
      </x:c>
      <x:c r="J59" s="16" t="n">
        <x:f>MAX(J6:J58)</x:f>
        <x:v>2405000</x:v>
      </x:c>
      <x:c r="K59" s="17" t="n">
        <x:f>SUM(K6:K58)</x:f>
        <x:v>378</x:v>
      </x:c>
      <x:c r="L59" s="17" t="n">
        <x:f>SUM(L6:L58)</x:f>
        <x:v>6708</x:v>
      </x:c>
    </x:row>
  </x:sheetData>
  <x:conditionalFormatting sqref="E6:I58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28b8177b354fc2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H19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段40・即追尾・追尾20・固定段再交差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203000</x:v>
      </x:c>
      <x:c r="D6" s="6" t="n">
        <x:v>21000</x:v>
      </x:c>
      <x:c r="E6" s="6" t="n">
        <x:f>C6-D6</x:f>
        <x:v>182000</x:v>
      </x:c>
      <x:c r="F6" s="6" t="n">
        <x:f>E6</x:f>
        <x:v>182000</x:v>
      </x:c>
      <x:c r="G6" s="6" t="n">
        <x:v>200000</x:v>
      </x:c>
      <x:c r="H6" s="6" t="n">
        <x:v>-18000</x:v>
      </x:c>
      <x:c r="I6" s="6" t="n">
        <x:v>-65000</x:v>
      </x:c>
      <x:c r="J6" s="6" t="n">
        <x:v>128000</x:v>
      </x:c>
      <x:c r="K6" s="11" t="n">
        <x:v>2</x:v>
      </x:c>
      <x:c r="L6" s="11" t="n">
        <x:v>8</x:v>
      </x:c>
    </x:row>
    <x:row r="7" ht="25" customHeight="1">
      <x:c r="A7" s="2" t="str">
        <x:v>2026-09-21_Night</x:v>
      </x:c>
      <x:c r="B7" s="2" t="str">
        <x:v>前30場</x:v>
      </x:c>
      <x:c r="C7" s="6" t="n">
        <x:v>600000</x:v>
      </x:c>
      <x:c r="D7" s="6" t="n">
        <x:v>1016000</x:v>
      </x:c>
      <x:c r="E7" s="6" t="n">
        <x:f>C7-D7</x:f>
        <x:v>-416000</x:v>
      </x:c>
      <x:c r="F7" s="6" t="n">
        <x:f>F6+E7</x:f>
        <x:v>-234000</x:v>
      </x:c>
      <x:c r="G7" s="6" t="n">
        <x:v>-239000</x:v>
      </x:c>
      <x:c r="H7" s="6" t="n">
        <x:v>-177000</x:v>
      </x:c>
      <x:c r="I7" s="6" t="n">
        <x:v>-546000</x:v>
      </x:c>
      <x:c r="J7" s="6" t="n">
        <x:v>682000</x:v>
      </x:c>
      <x:c r="K7" s="11" t="n">
        <x:v>8</x:v>
      </x:c>
      <x:c r="L7" s="11" t="n">
        <x:v>108</x:v>
      </x:c>
    </x:row>
    <x:row r="8" ht="25" customHeight="1">
      <x:c r="A8" s="2" t="str">
        <x:v>2026-09-22_Day</x:v>
      </x:c>
      <x:c r="B8" s="2" t="str">
        <x:v>前30場</x:v>
      </x:c>
      <x:c r="C8" s="6" t="n">
        <x:v>133000</x:v>
      </x:c>
      <x:c r="D8" s="6" t="n">
        <x:v>297000</x:v>
      </x:c>
      <x:c r="E8" s="6" t="n">
        <x:f>C8-D8</x:f>
        <x:v>-164000</x:v>
      </x:c>
      <x:c r="F8" s="6" t="n">
        <x:f>F7+E8</x:f>
        <x:v>-398000</x:v>
      </x:c>
      <x:c r="G8" s="6" t="n">
        <x:v>100000</x:v>
      </x:c>
      <x:c r="H8" s="6" t="n">
        <x:v>-264000</x:v>
      </x:c>
      <x:c r="I8" s="6" t="n">
        <x:v>-409000</x:v>
      </x:c>
      <x:c r="J8" s="6" t="n">
        <x:v>489000</x:v>
      </x:c>
      <x:c r="K8" s="11" t="n">
        <x:v>1</x:v>
      </x:c>
      <x:c r="L8" s="11" t="n">
        <x:v>150</x:v>
      </x:c>
    </x:row>
    <x:row r="9" ht="25" customHeight="1">
      <x:c r="A9" s="2" t="str">
        <x:v>2026-09-22_Night</x:v>
      </x:c>
      <x:c r="B9" s="2" t="str">
        <x:v>前30場</x:v>
      </x:c>
      <x:c r="C9" s="6" t="n">
        <x:v>615000</x:v>
      </x:c>
      <x:c r="D9" s="6" t="n">
        <x:v>993000</x:v>
      </x:c>
      <x:c r="E9" s="6" t="n">
        <x:f>C9-D9</x:f>
        <x:v>-378000</x:v>
      </x:c>
      <x:c r="F9" s="6" t="n">
        <x:f>F8+E9</x:f>
        <x:v>-776000</x:v>
      </x:c>
      <x:c r="G9" s="6" t="n">
        <x:v>-321000</x:v>
      </x:c>
      <x:c r="H9" s="6" t="n">
        <x:v>-57000</x:v>
      </x:c>
      <x:c r="I9" s="6" t="n">
        <x:v>-548000</x:v>
      </x:c>
      <x:c r="J9" s="6" t="n">
        <x:v>678000</x:v>
      </x:c>
      <x:c r="K9" s="11" t="n">
        <x:v>9</x:v>
      </x:c>
      <x:c r="L9" s="11" t="n">
        <x:v>47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-776000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1113000</x:v>
      </x:c>
      <x:c r="E11" s="6" t="n">
        <x:f>C11-D11</x:f>
        <x:v>-533000</x:v>
      </x:c>
      <x:c r="F11" s="6" t="n">
        <x:f>F10+E11</x:f>
        <x:v>-1309000</x:v>
      </x:c>
      <x:c r="G11" s="6" t="n">
        <x:v>-510000</x:v>
      </x:c>
      <x:c r="H11" s="6" t="n">
        <x:v>-23000</x:v>
      </x:c>
      <x:c r="I11" s="6" t="n">
        <x:v>-533000</x:v>
      </x:c>
      <x:c r="J11" s="6" t="n">
        <x:v>593000</x:v>
      </x:c>
      <x:c r="K11" s="11" t="n">
        <x:v>9</x:v>
      </x:c>
      <x:c r="L11" s="11" t="n">
        <x:v>31</x:v>
      </x:c>
    </x:row>
    <x:row r="12" ht="25" customHeight="1">
      <x:c r="A12" s="2" t="str">
        <x:v>2026-09-24_Day</x:v>
      </x:c>
      <x:c r="B12" s="2" t="str">
        <x:v>前30場</x:v>
      </x:c>
      <x:c r="C12" s="6" t="n">
        <x:v>363000</x:v>
      </x:c>
      <x:c r="D12" s="6" t="n">
        <x:v>580000</x:v>
      </x:c>
      <x:c r="E12" s="6" t="n">
        <x:f>C12-D12</x:f>
        <x:v>-217000</x:v>
      </x:c>
      <x:c r="F12" s="6" t="n">
        <x:f>F11+E12</x:f>
        <x:v>-1526000</x:v>
      </x:c>
      <x:c r="G12" s="6" t="n">
        <x:v>290000</x:v>
      </x:c>
      <x:c r="H12" s="6" t="n">
        <x:v>-507000</x:v>
      </x:c>
      <x:c r="I12" s="6" t="n">
        <x:v>-611000</x:v>
      </x:c>
      <x:c r="J12" s="6" t="n">
        <x:v>611000</x:v>
      </x:c>
      <x:c r="K12" s="11" t="n">
        <x:v>3</x:v>
      </x:c>
      <x:c r="L12" s="11" t="n">
        <x:v>306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540000</x:v>
      </x:c>
      <x:c r="D13" s="6" t="n">
        <x:v>865000</x:v>
      </x:c>
      <x:c r="E13" s="6" t="n">
        <x:f>C13-D13</x:f>
        <x:v>-325000</x:v>
      </x:c>
      <x:c r="F13" s="6" t="n">
        <x:f>F12+E13</x:f>
        <x:v>-1851000</x:v>
      </x:c>
      <x:c r="G13" s="6" t="n">
        <x:v>-204000</x:v>
      </x:c>
      <x:c r="H13" s="6" t="n">
        <x:v>-121000</x:v>
      </x:c>
      <x:c r="I13" s="6" t="n">
        <x:v>-385000</x:v>
      </x:c>
      <x:c r="J13" s="6" t="n">
        <x:v>465000</x:v>
      </x:c>
      <x:c r="K13" s="11" t="n">
        <x:v>9</x:v>
      </x:c>
      <x:c r="L13" s="11" t="n">
        <x:v>94</x:v>
      </x:c>
    </x:row>
    <x:row r="14" ht="25" customHeight="1">
      <x:c r="A14" s="2" t="str">
        <x:v>2026-09-25_Day</x:v>
      </x:c>
      <x:c r="B14" s="2" t="str">
        <x:v>前30場</x:v>
      </x:c>
      <x:c r="C14" s="6" t="n">
        <x:v>146000</x:v>
      </x:c>
      <x:c r="D14" s="6" t="n">
        <x:v>987000</x:v>
      </x:c>
      <x:c r="E14" s="6" t="n">
        <x:f>C14-D14</x:f>
        <x:v>-841000</x:v>
      </x:c>
      <x:c r="F14" s="6" t="n">
        <x:f>F13+E14</x:f>
        <x:v>-2692000</x:v>
      </x:c>
      <x:c r="G14" s="6" t="n">
        <x:v>-610000</x:v>
      </x:c>
      <x:c r="H14" s="6" t="n">
        <x:v>-231000</x:v>
      </x:c>
      <x:c r="I14" s="6" t="n">
        <x:v>-961000</x:v>
      </x:c>
      <x:c r="J14" s="6" t="n">
        <x:v>1031000</x:v>
      </x:c>
      <x:c r="K14" s="11" t="n">
        <x:v>3</x:v>
      </x:c>
      <x:c r="L14" s="11" t="n">
        <x:v>144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474000</x:v>
      </x:c>
      <x:c r="D15" s="6" t="n">
        <x:v>699000</x:v>
      </x:c>
      <x:c r="E15" s="6" t="n">
        <x:f>C15-D15</x:f>
        <x:v>-225000</x:v>
      </x:c>
      <x:c r="F15" s="6" t="n">
        <x:f>F14+E15</x:f>
        <x:v>-2917000</x:v>
      </x:c>
      <x:c r="G15" s="6" t="n">
        <x:v>-189000</x:v>
      </x:c>
      <x:c r="H15" s="6" t="n">
        <x:v>-36000</x:v>
      </x:c>
      <x:c r="I15" s="6" t="n">
        <x:v>-245000</x:v>
      </x:c>
      <x:c r="J15" s="6" t="n">
        <x:v>245000</x:v>
      </x:c>
      <x:c r="K15" s="11" t="n">
        <x:v>9</x:v>
      </x:c>
      <x:c r="L15" s="11" t="n">
        <x:v>30</x:v>
      </x:c>
    </x:row>
    <x:row r="16" ht="25" customHeight="1">
      <x:c r="A16" s="2" t="str">
        <x:v>2026-09-28_Day</x:v>
      </x:c>
      <x:c r="B16" s="2" t="str">
        <x:v>前30場</x:v>
      </x:c>
      <x:c r="C16" s="6" t="n">
        <x:v>514000</x:v>
      </x:c>
      <x:c r="D16" s="6" t="n">
        <x:v>333000</x:v>
      </x:c>
      <x:c r="E16" s="6" t="n">
        <x:f>C16-D16</x:f>
        <x:v>181000</x:v>
      </x:c>
      <x:c r="F16" s="6" t="n">
        <x:f>F15+E16</x:f>
        <x:v>-2736000</x:v>
      </x:c>
      <x:c r="G16" s="6" t="n">
        <x:v>452000</x:v>
      </x:c>
      <x:c r="H16" s="6" t="n">
        <x:v>-271000</x:v>
      </x:c>
      <x:c r="I16" s="6" t="n">
        <x:v>-486000</x:v>
      </x:c>
      <x:c r="J16" s="6" t="n">
        <x:v>497000</x:v>
      </x:c>
      <x:c r="K16" s="11" t="n">
        <x:v>5</x:v>
      </x:c>
      <x:c r="L16" s="11" t="n">
        <x:v>187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695000</x:v>
      </x:c>
      <x:c r="D17" s="6" t="n">
        <x:v>552000</x:v>
      </x:c>
      <x:c r="E17" s="6" t="n">
        <x:f>C17-D17</x:f>
        <x:v>143000</x:v>
      </x:c>
      <x:c r="F17" s="6" t="n">
        <x:f>F16+E17</x:f>
        <x:v>-2593000</x:v>
      </x:c>
      <x:c r="G17" s="6" t="n">
        <x:v>230000</x:v>
      </x:c>
      <x:c r="H17" s="6" t="n">
        <x:v>-87000</x:v>
      </x:c>
      <x:c r="I17" s="6" t="n">
        <x:v>-172000</x:v>
      </x:c>
      <x:c r="J17" s="6" t="n">
        <x:v>220000</x:v>
      </x:c>
      <x:c r="K17" s="11" t="n">
        <x:v>9</x:v>
      </x:c>
      <x:c r="L17" s="11" t="n">
        <x:v>53</x:v>
      </x:c>
    </x:row>
    <x:row r="18" ht="25" customHeight="1">
      <x:c r="A18" s="2" t="str">
        <x:v>2026-09-29_Day</x:v>
      </x:c>
      <x:c r="B18" s="2" t="str">
        <x:v>前30場</x:v>
      </x:c>
      <x:c r="C18" s="6" t="n">
        <x:v>439000</x:v>
      </x:c>
      <x:c r="D18" s="6" t="n">
        <x:v>949000</x:v>
      </x:c>
      <x:c r="E18" s="6" t="n">
        <x:f>C18-D18</x:f>
        <x:v>-510000</x:v>
      </x:c>
      <x:c r="F18" s="6" t="n">
        <x:f>F17+E18</x:f>
        <x:v>-3103000</x:v>
      </x:c>
      <x:c r="G18" s="6" t="n">
        <x:v>-36000</x:v>
      </x:c>
      <x:c r="H18" s="6" t="n">
        <x:v>-474000</x:v>
      </x:c>
      <x:c r="I18" s="6" t="n">
        <x:v>-1062000</x:v>
      </x:c>
      <x:c r="J18" s="6" t="n">
        <x:v>1084000</x:v>
      </x:c>
      <x:c r="K18" s="11" t="n">
        <x:v>5</x:v>
      </x:c>
      <x:c r="L18" s="11" t="n">
        <x:v>294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684000</x:v>
      </x:c>
      <x:c r="D19" s="6" t="n">
        <x:v>806000</x:v>
      </x:c>
      <x:c r="E19" s="6" t="n">
        <x:f>C19-D19</x:f>
        <x:v>-122000</x:v>
      </x:c>
      <x:c r="F19" s="6" t="n">
        <x:f>F18+E19</x:f>
        <x:v>-3225000</x:v>
      </x:c>
      <x:c r="G19" s="6" t="n">
        <x:v>-6000</x:v>
      </x:c>
      <x:c r="H19" s="6" t="n">
        <x:v>-116000</x:v>
      </x:c>
      <x:c r="I19" s="6" t="n">
        <x:v>-182000</x:v>
      </x:c>
      <x:c r="J19" s="6" t="n">
        <x:v>320000</x:v>
      </x:c>
      <x:c r="K19" s="11" t="n">
        <x:v>12</x:v>
      </x:c>
      <x:c r="L19" s="11" t="n">
        <x:v>61</x:v>
      </x:c>
    </x:row>
    <x:row r="20" ht="25" customHeight="1">
      <x:c r="A20" s="2" t="str">
        <x:v>2026-09-30_Day</x:v>
      </x:c>
      <x:c r="B20" s="2" t="str">
        <x:v>前30場</x:v>
      </x:c>
      <x:c r="C20" s="6" t="n">
        <x:v>240000</x:v>
      </x:c>
      <x:c r="D20" s="6" t="n">
        <x:v>878000</x:v>
      </x:c>
      <x:c r="E20" s="6" t="n">
        <x:f>C20-D20</x:f>
        <x:v>-638000</x:v>
      </x:c>
      <x:c r="F20" s="6" t="n">
        <x:f>F19+E20</x:f>
        <x:v>-3863000</x:v>
      </x:c>
      <x:c r="G20" s="6" t="n">
        <x:v>-420000</x:v>
      </x:c>
      <x:c r="H20" s="6" t="n">
        <x:v>-218000</x:v>
      </x:c>
      <x:c r="I20" s="6" t="n">
        <x:v>-638000</x:v>
      </x:c>
      <x:c r="J20" s="6" t="n">
        <x:v>778000</x:v>
      </x:c>
      <x:c r="K20" s="11" t="n">
        <x:v>3</x:v>
      </x:c>
      <x:c r="L20" s="11" t="n">
        <x:v>140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608000</x:v>
      </x:c>
      <x:c r="D21" s="6" t="n">
        <x:v>807000</x:v>
      </x:c>
      <x:c r="E21" s="6" t="n">
        <x:f>C21-D21</x:f>
        <x:v>-199000</x:v>
      </x:c>
      <x:c r="F21" s="6" t="n">
        <x:f>F20+E21</x:f>
        <x:v>-4062000</x:v>
      </x:c>
      <x:c r="G21" s="6" t="n">
        <x:v>-120000</x:v>
      </x:c>
      <x:c r="H21" s="6" t="n">
        <x:v>-79000</x:v>
      </x:c>
      <x:c r="I21" s="6" t="n">
        <x:v>-359000</x:v>
      </x:c>
      <x:c r="J21" s="6" t="n">
        <x:v>359000</x:v>
      </x:c>
      <x:c r="K21" s="11" t="n">
        <x:v>8</x:v>
      </x:c>
      <x:c r="L21" s="11" t="n">
        <x:v>57</x:v>
      </x:c>
    </x:row>
    <x:row r="22" ht="25" customHeight="1">
      <x:c r="A22" s="2" t="str">
        <x:v>2026-10-01_Day</x:v>
      </x:c>
      <x:c r="B22" s="2" t="str">
        <x:v>前30場</x:v>
      </x:c>
      <x:c r="C22" s="6" t="n">
        <x:v>251000</x:v>
      </x:c>
      <x:c r="D22" s="6" t="n">
        <x:v>1935000</x:v>
      </x:c>
      <x:c r="E22" s="6" t="n">
        <x:f>C22-D22</x:f>
        <x:v>-1684000</x:v>
      </x:c>
      <x:c r="F22" s="6" t="n">
        <x:f>F21+E22</x:f>
        <x:v>-5746000</x:v>
      </x:c>
      <x:c r="G22" s="6" t="n">
        <x:v>-1421000</x:v>
      </x:c>
      <x:c r="H22" s="6" t="n">
        <x:v>-263000</x:v>
      </x:c>
      <x:c r="I22" s="6" t="n">
        <x:v>-1884000</x:v>
      </x:c>
      <x:c r="J22" s="6" t="n">
        <x:v>1927000</x:v>
      </x:c>
      <x:c r="K22" s="11" t="n">
        <x:v>3</x:v>
      </x:c>
      <x:c r="L22" s="11" t="n">
        <x:v>165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876000</x:v>
      </x:c>
      <x:c r="D23" s="6" t="n">
        <x:v>921000</x:v>
      </x:c>
      <x:c r="E23" s="6" t="n">
        <x:f>C23-D23</x:f>
        <x:v>-45000</x:v>
      </x:c>
      <x:c r="F23" s="6" t="n">
        <x:f>F22+E23</x:f>
        <x:v>-5791000</x:v>
      </x:c>
      <x:c r="G23" s="6" t="n">
        <x:v>0</x:v>
      </x:c>
      <x:c r="H23" s="6" t="n">
        <x:v>-45000</x:v>
      </x:c>
      <x:c r="I23" s="6" t="n">
        <x:v>-215000</x:v>
      </x:c>
      <x:c r="J23" s="6" t="n">
        <x:v>325000</x:v>
      </x:c>
      <x:c r="K23" s="11" t="n">
        <x:v>11</x:v>
      </x:c>
      <x:c r="L23" s="11" t="n">
        <x:v>38</x:v>
      </x:c>
    </x:row>
    <x:row r="24" ht="25" customHeight="1">
      <x:c r="A24" s="2" t="str">
        <x:v>2026-10-02_Day</x:v>
      </x:c>
      <x:c r="B24" s="2" t="str">
        <x:v>前30場</x:v>
      </x:c>
      <x:c r="C24" s="6" t="n">
        <x:v>406000</x:v>
      </x:c>
      <x:c r="D24" s="6" t="n">
        <x:v>1156000</x:v>
      </x:c>
      <x:c r="E24" s="6" t="n">
        <x:f>C24-D24</x:f>
        <x:v>-750000</x:v>
      </x:c>
      <x:c r="F24" s="6" t="n">
        <x:f>F23+E24</x:f>
        <x:v>-6541000</x:v>
      </x:c>
      <x:c r="G24" s="6" t="n">
        <x:v>15000</x:v>
      </x:c>
      <x:c r="H24" s="6" t="n">
        <x:v>-765000</x:v>
      </x:c>
      <x:c r="I24" s="6" t="n">
        <x:v>-882000</x:v>
      </x:c>
      <x:c r="J24" s="6" t="n">
        <x:v>902000</x:v>
      </x:c>
      <x:c r="K24" s="11" t="n">
        <x:v>5</x:v>
      </x:c>
      <x:c r="L24" s="11" t="n">
        <x:v>437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1101000</x:v>
      </x:c>
      <x:c r="D25" s="6" t="n">
        <x:v>1201000</x:v>
      </x:c>
      <x:c r="E25" s="6" t="n">
        <x:f>C25-D25</x:f>
        <x:v>-100000</x:v>
      </x:c>
      <x:c r="F25" s="6" t="n">
        <x:f>F24+E25</x:f>
        <x:v>-6641000</x:v>
      </x:c>
      <x:c r="G25" s="6" t="n">
        <x:v>-102000</x:v>
      </x:c>
      <x:c r="H25" s="6" t="n">
        <x:v>2000</x:v>
      </x:c>
      <x:c r="I25" s="6" t="n">
        <x:v>-470000</x:v>
      </x:c>
      <x:c r="J25" s="6" t="n">
        <x:v>535000</x:v>
      </x:c>
      <x:c r="K25" s="11" t="n">
        <x:v>16</x:v>
      </x:c>
      <x:c r="L25" s="11" t="n">
        <x:v>28</x:v>
      </x:c>
    </x:row>
    <x:row r="26" ht="25" customHeight="1">
      <x:c r="A26" s="2" t="str">
        <x:v>2026-10-05_Day</x:v>
      </x:c>
      <x:c r="B26" s="2" t="str">
        <x:v>前30場</x:v>
      </x:c>
      <x:c r="C26" s="6" t="n">
        <x:v>304000</x:v>
      </x:c>
      <x:c r="D26" s="6" t="n">
        <x:v>1161000</x:v>
      </x:c>
      <x:c r="E26" s="6" t="n">
        <x:f>C26-D26</x:f>
        <x:v>-857000</x:v>
      </x:c>
      <x:c r="F26" s="6" t="n">
        <x:f>F25+E26</x:f>
        <x:v>-7498000</x:v>
      </x:c>
      <x:c r="G26" s="6" t="n">
        <x:v>-278000</x:v>
      </x:c>
      <x:c r="H26" s="6" t="n">
        <x:v>-579000</x:v>
      </x:c>
      <x:c r="I26" s="6" t="n">
        <x:v>-857000</x:v>
      </x:c>
      <x:c r="J26" s="6" t="n">
        <x:v>907000</x:v>
      </x:c>
      <x:c r="K26" s="11" t="n">
        <x:v>3</x:v>
      </x:c>
      <x:c r="L26" s="11" t="n">
        <x:v>345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439000</x:v>
      </x:c>
      <x:c r="D27" s="6" t="n">
        <x:v>729000</x:v>
      </x:c>
      <x:c r="E27" s="6" t="n">
        <x:f>C27-D27</x:f>
        <x:v>-290000</x:v>
      </x:c>
      <x:c r="F27" s="6" t="n">
        <x:f>F26+E27</x:f>
        <x:v>-7788000</x:v>
      </x:c>
      <x:c r="G27" s="6" t="n">
        <x:v>-50000</x:v>
      </x:c>
      <x:c r="H27" s="6" t="n">
        <x:v>-240000</x:v>
      </x:c>
      <x:c r="I27" s="6" t="n">
        <x:v>-314000</x:v>
      </x:c>
      <x:c r="J27" s="6" t="n">
        <x:v>386000</x:v>
      </x:c>
      <x:c r="K27" s="11" t="n">
        <x:v>5</x:v>
      </x:c>
      <x:c r="L27" s="11" t="n">
        <x:v>146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103000</x:v>
      </x:c>
      <x:c r="D28" s="6" t="n">
        <x:v>62000</x:v>
      </x:c>
      <x:c r="E28" s="6" t="n">
        <x:f>C28-D28</x:f>
        <x:v>41000</x:v>
      </x:c>
      <x:c r="F28" s="6" t="n">
        <x:f>F27+E28</x:f>
        <x:v>-7747000</x:v>
      </x:c>
      <x:c r="G28" s="6" t="n">
        <x:v>100000</x:v>
      </x:c>
      <x:c r="H28" s="6" t="n">
        <x:v>-59000</x:v>
      </x:c>
      <x:c r="I28" s="6" t="n">
        <x:v>-195000</x:v>
      </x:c>
      <x:c r="J28" s="6" t="n">
        <x:v>195000</x:v>
      </x:c>
      <x:c r="K28" s="11" t="n">
        <x:v>1</x:v>
      </x:c>
      <x:c r="L28" s="11" t="n">
        <x:v>28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567000</x:v>
      </x:c>
      <x:c r="D29" s="6" t="n">
        <x:v>600000</x:v>
      </x:c>
      <x:c r="E29" s="6" t="n">
        <x:f>C29-D29</x:f>
        <x:v>-33000</x:v>
      </x:c>
      <x:c r="F29" s="6" t="n">
        <x:f>F28+E29</x:f>
        <x:v>-7780000</x:v>
      </x:c>
      <x:c r="G29" s="6" t="n">
        <x:v>35000</x:v>
      </x:c>
      <x:c r="H29" s="6" t="n">
        <x:v>-68000</x:v>
      </x:c>
      <x:c r="I29" s="6" t="n">
        <x:v>-178000</x:v>
      </x:c>
      <x:c r="J29" s="6" t="n">
        <x:v>243000</x:v>
      </x:c>
      <x:c r="K29" s="11" t="n">
        <x:v>9</x:v>
      </x:c>
      <x:c r="L29" s="11" t="n">
        <x:v>38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202000</x:v>
      </x:c>
      <x:c r="D30" s="6" t="n">
        <x:v>70000</x:v>
      </x:c>
      <x:c r="E30" s="6" t="n">
        <x:f>C30-D30</x:f>
        <x:v>132000</x:v>
      </x:c>
      <x:c r="F30" s="6" t="n">
        <x:f>F29+E30</x:f>
        <x:v>-7648000</x:v>
      </x:c>
      <x:c r="G30" s="6" t="n">
        <x:v>200000</x:v>
      </x:c>
      <x:c r="H30" s="6" t="n">
        <x:v>-68000</x:v>
      </x:c>
      <x:c r="I30" s="6" t="n">
        <x:v>-119000</x:v>
      </x:c>
      <x:c r="J30" s="6" t="n">
        <x:v>189000</x:v>
      </x:c>
      <x:c r="K30" s="11" t="n">
        <x:v>2</x:v>
      </x:c>
      <x:c r="L30" s="11" t="n">
        <x:v>35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791000</x:v>
      </x:c>
      <x:c r="D31" s="6" t="n">
        <x:v>982000</x:v>
      </x:c>
      <x:c r="E31" s="6" t="n">
        <x:f>C31-D31</x:f>
        <x:v>-191000</x:v>
      </x:c>
      <x:c r="F31" s="6" t="n">
        <x:f>F30+E31</x:f>
        <x:v>-7839000</x:v>
      </x:c>
      <x:c r="G31" s="6" t="n">
        <x:v>-140000</x:v>
      </x:c>
      <x:c r="H31" s="6" t="n">
        <x:v>-51000</x:v>
      </x:c>
      <x:c r="I31" s="6" t="n">
        <x:v>-201000</x:v>
      </x:c>
      <x:c r="J31" s="6" t="n">
        <x:v>221000</x:v>
      </x:c>
      <x:c r="K31" s="11" t="n">
        <x:v>12</x:v>
      </x:c>
      <x:c r="L31" s="11" t="n">
        <x:v>25</x:v>
      </x:c>
    </x:row>
    <x:row r="32" ht="25" customHeight="1">
      <x:c r="A32" s="2" t="str">
        <x:v>2026-10-08_Day</x:v>
      </x:c>
      <x:c r="B32" s="2" t="str">
        <x:v>前30場</x:v>
      </x:c>
      <x:c r="C32" s="6" t="n">
        <x:v>419000</x:v>
      </x:c>
      <x:c r="D32" s="6" t="n">
        <x:v>1833000</x:v>
      </x:c>
      <x:c r="E32" s="6" t="n">
        <x:f>C32-D32</x:f>
        <x:v>-1414000</x:v>
      </x:c>
      <x:c r="F32" s="6" t="n">
        <x:f>F31+E32</x:f>
        <x:v>-9253000</x:v>
      </x:c>
      <x:c r="G32" s="6" t="n">
        <x:v>-820000</x:v>
      </x:c>
      <x:c r="H32" s="6" t="n">
        <x:v>-594000</x:v>
      </x:c>
      <x:c r="I32" s="6" t="n">
        <x:v>-1414000</x:v>
      </x:c>
      <x:c r="J32" s="6" t="n">
        <x:v>1626000</x:v>
      </x:c>
      <x:c r="K32" s="11" t="n">
        <x:v>4</x:v>
      </x:c>
      <x:c r="L32" s="11" t="n">
        <x:v>380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1242000</x:v>
      </x:c>
      <x:c r="D33" s="6" t="n">
        <x:v>1717000</x:v>
      </x:c>
      <x:c r="E33" s="6" t="n">
        <x:f>C33-D33</x:f>
        <x:v>-475000</x:v>
      </x:c>
      <x:c r="F33" s="6" t="n">
        <x:f>F32+E33</x:f>
        <x:v>-9728000</x:v>
      </x:c>
      <x:c r="G33" s="6" t="n">
        <x:v>-192000</x:v>
      </x:c>
      <x:c r="H33" s="6" t="n">
        <x:v>-283000</x:v>
      </x:c>
      <x:c r="I33" s="6" t="n">
        <x:v>-475000</x:v>
      </x:c>
      <x:c r="J33" s="6" t="n">
        <x:v>575000</x:v>
      </x:c>
      <x:c r="K33" s="11" t="n">
        <x:v>23</x:v>
      </x:c>
      <x:c r="L33" s="11" t="n">
        <x:v>170</x:v>
      </x:c>
    </x:row>
    <x:row r="34" ht="25" customHeight="1">
      <x:c r="A34" s="2" t="str">
        <x:v>2026-10-09_Day</x:v>
      </x:c>
      <x:c r="B34" s="2" t="str">
        <x:v>前30場</x:v>
      </x:c>
      <x:c r="C34" s="6" t="n">
        <x:v>618000</x:v>
      </x:c>
      <x:c r="D34" s="6" t="n">
        <x:v>1501000</x:v>
      </x:c>
      <x:c r="E34" s="6" t="n">
        <x:f>C34-D34</x:f>
        <x:v>-883000</x:v>
      </x:c>
      <x:c r="F34" s="6" t="n">
        <x:f>F33+E34</x:f>
        <x:v>-10611000</x:v>
      </x:c>
      <x:c r="G34" s="6" t="n">
        <x:v>-450000</x:v>
      </x:c>
      <x:c r="H34" s="6" t="n">
        <x:v>-433000</x:v>
      </x:c>
      <x:c r="I34" s="6" t="n">
        <x:v>-933000</x:v>
      </x:c>
      <x:c r="J34" s="6" t="n">
        <x:v>1197000</x:v>
      </x:c>
      <x:c r="K34" s="11" t="n">
        <x:v>7</x:v>
      </x:c>
      <x:c r="L34" s="11" t="n">
        <x:v>289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491000</x:v>
      </x:c>
      <x:c r="D35" s="6" t="n">
        <x:v>512000</x:v>
      </x:c>
      <x:c r="E35" s="6" t="n">
        <x:f>C35-D35</x:f>
        <x:v>-21000</x:v>
      </x:c>
      <x:c r="F35" s="6" t="n">
        <x:f>F34+E35</x:f>
        <x:v>-10632000</x:v>
      </x:c>
      <x:c r="G35" s="6" t="n">
        <x:v>20000</x:v>
      </x:c>
      <x:c r="H35" s="6" t="n">
        <x:v>-41000</x:v>
      </x:c>
      <x:c r="I35" s="6" t="n">
        <x:v>-181000</x:v>
      </x:c>
      <x:c r="J35" s="6" t="n">
        <x:v>220000</x:v>
      </x:c>
      <x:c r="K35" s="11" t="n">
        <x:v>7</x:v>
      </x:c>
      <x:c r="L35" s="11" t="n">
        <x:v>29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-10632000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683000</x:v>
      </x:c>
      <x:c r="D37" s="6" t="n">
        <x:v>916000</x:v>
      </x:c>
      <x:c r="E37" s="6" t="n">
        <x:f>C37-D37</x:f>
        <x:v>-233000</x:v>
      </x:c>
      <x:c r="F37" s="6" t="n">
        <x:f>F36+E37</x:f>
        <x:v>-10865000</x:v>
      </x:c>
      <x:c r="G37" s="6" t="n">
        <x:v>-140000</x:v>
      </x:c>
      <x:c r="H37" s="6" t="n">
        <x:v>-93000</x:v>
      </x:c>
      <x:c r="I37" s="6" t="n">
        <x:v>-263000</x:v>
      </x:c>
      <x:c r="J37" s="6" t="n">
        <x:v>273000</x:v>
      </x:c>
      <x:c r="K37" s="11" t="n">
        <x:v>13</x:v>
      </x:c>
      <x:c r="L37" s="11" t="n">
        <x:v>50</x:v>
      </x:c>
    </x:row>
    <x:row r="38" ht="25" customHeight="1">
      <x:c r="A38" s="2" t="str">
        <x:v>2026-10-13_Day</x:v>
      </x:c>
      <x:c r="B38" s="2" t="str">
        <x:v>次10場</x:v>
      </x:c>
      <x:c r="C38" s="6" t="n">
        <x:v>531000</x:v>
      </x:c>
      <x:c r="D38" s="6" t="n">
        <x:v>535000</x:v>
      </x:c>
      <x:c r="E38" s="6" t="n">
        <x:f>C38-D38</x:f>
        <x:v>-4000</x:v>
      </x:c>
      <x:c r="F38" s="6" t="n">
        <x:f>F37+E38</x:f>
        <x:v>-10869000</x:v>
      </x:c>
      <x:c r="G38" s="6" t="n">
        <x:v>502000</x:v>
      </x:c>
      <x:c r="H38" s="6" t="n">
        <x:v>-506000</x:v>
      </x:c>
      <x:c r="I38" s="6" t="n">
        <x:v>-339000</x:v>
      </x:c>
      <x:c r="J38" s="6" t="n">
        <x:v>349000</x:v>
      </x:c>
      <x:c r="K38" s="11" t="n">
        <x:v>7</x:v>
      </x:c>
      <x:c r="L38" s="11" t="n">
        <x:v>254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412000</x:v>
      </x:c>
      <x:c r="D39" s="6" t="n">
        <x:v>346000</x:v>
      </x:c>
      <x:c r="E39" s="6" t="n">
        <x:f>C39-D39</x:f>
        <x:v>66000</x:v>
      </x:c>
      <x:c r="F39" s="6" t="n">
        <x:f>F38+E39</x:f>
        <x:v>-10803000</x:v>
      </x:c>
      <x:c r="G39" s="6" t="n">
        <x:v>104000</x:v>
      </x:c>
      <x:c r="H39" s="6" t="n">
        <x:v>-38000</x:v>
      </x:c>
      <x:c r="I39" s="6" t="n">
        <x:v>-94000</x:v>
      </x:c>
      <x:c r="J39" s="6" t="n">
        <x:v>140000</x:v>
      </x:c>
      <x:c r="K39" s="11" t="n">
        <x:v>6</x:v>
      </x:c>
      <x:c r="L39" s="11" t="n">
        <x:v>32</x:v>
      </x:c>
    </x:row>
    <x:row r="40" ht="25" customHeight="1">
      <x:c r="A40" s="2" t="str">
        <x:v>2026-10-14_Day</x:v>
      </x:c>
      <x:c r="B40" s="2" t="str">
        <x:v>次10場</x:v>
      </x:c>
      <x:c r="C40" s="6" t="n">
        <x:v>477000</x:v>
      </x:c>
      <x:c r="D40" s="6" t="n">
        <x:v>1057000</x:v>
      </x:c>
      <x:c r="E40" s="6" t="n">
        <x:f>C40-D40</x:f>
        <x:v>-580000</x:v>
      </x:c>
      <x:c r="F40" s="6" t="n">
        <x:f>F39+E40</x:f>
        <x:v>-11383000</x:v>
      </x:c>
      <x:c r="G40" s="6" t="n">
        <x:v>40000</x:v>
      </x:c>
      <x:c r="H40" s="6" t="n">
        <x:v>-620000</x:v>
      </x:c>
      <x:c r="I40" s="6" t="n">
        <x:v>-705000</x:v>
      </x:c>
      <x:c r="J40" s="6" t="n">
        <x:v>894000</x:v>
      </x:c>
      <x:c r="K40" s="11" t="n">
        <x:v>6</x:v>
      </x:c>
      <x:c r="L40" s="11" t="n">
        <x:v>356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1446000</x:v>
      </x:c>
      <x:c r="D41" s="6" t="n">
        <x:v>2223000</x:v>
      </x:c>
      <x:c r="E41" s="6" t="n">
        <x:f>C41-D41</x:f>
        <x:v>-777000</x:v>
      </x:c>
      <x:c r="F41" s="6" t="n">
        <x:f>F40+E41</x:f>
        <x:v>-12160000</x:v>
      </x:c>
      <x:c r="G41" s="6" t="n">
        <x:v>-506000</x:v>
      </x:c>
      <x:c r="H41" s="6" t="n">
        <x:v>-271000</x:v>
      </x:c>
      <x:c r="I41" s="6" t="n">
        <x:v>-807000</x:v>
      </x:c>
      <x:c r="J41" s="6" t="n">
        <x:v>817000</x:v>
      </x:c>
      <x:c r="K41" s="11" t="n">
        <x:v>15</x:v>
      </x:c>
      <x:c r="L41" s="11" t="n">
        <x:v>54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1156000</x:v>
      </x:c>
      <x:c r="D42" s="6" t="n">
        <x:v>1543000</x:v>
      </x:c>
      <x:c r="E42" s="6" t="n">
        <x:f>C42-D42</x:f>
        <x:v>-387000</x:v>
      </x:c>
      <x:c r="F42" s="6" t="n">
        <x:f>F41+E42</x:f>
        <x:v>-12547000</x:v>
      </x:c>
      <x:c r="G42" s="6" t="n">
        <x:v>-136000</x:v>
      </x:c>
      <x:c r="H42" s="6" t="n">
        <x:v>-251000</x:v>
      </x:c>
      <x:c r="I42" s="6" t="n">
        <x:v>-1297000</x:v>
      </x:c>
      <x:c r="J42" s="6" t="n">
        <x:v>1545000</x:v>
      </x:c>
      <x:c r="K42" s="11" t="n">
        <x:v>13</x:v>
      </x:c>
      <x:c r="L42" s="11" t="n">
        <x:v>166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1621000</x:v>
      </x:c>
      <x:c r="D43" s="6" t="n">
        <x:v>1964000</x:v>
      </x:c>
      <x:c r="E43" s="6" t="n">
        <x:f>C43-D43</x:f>
        <x:v>-343000</x:v>
      </x:c>
      <x:c r="F43" s="6" t="n">
        <x:f>F42+E43</x:f>
        <x:v>-12890000</x:v>
      </x:c>
      <x:c r="G43" s="6" t="n">
        <x:v>218000</x:v>
      </x:c>
      <x:c r="H43" s="6" t="n">
        <x:v>-561000</x:v>
      </x:c>
      <x:c r="I43" s="6" t="n">
        <x:v>-603000</x:v>
      </x:c>
      <x:c r="J43" s="6" t="n">
        <x:v>633000</x:v>
      </x:c>
      <x:c r="K43" s="11" t="n">
        <x:v>22</x:v>
      </x:c>
      <x:c r="L43" s="11" t="n">
        <x:v>231</x:v>
      </x:c>
    </x:row>
    <x:row r="44" ht="25" customHeight="1">
      <x:c r="A44" s="2" t="str">
        <x:v>2026-10-16_Day</x:v>
      </x:c>
      <x:c r="B44" s="2" t="str">
        <x:v>次10場</x:v>
      </x:c>
      <x:c r="C44" s="6" t="n">
        <x:v>1150000</x:v>
      </x:c>
      <x:c r="D44" s="6" t="n">
        <x:v>1201000</x:v>
      </x:c>
      <x:c r="E44" s="6" t="n">
        <x:f>C44-D44</x:f>
        <x:v>-51000</x:v>
      </x:c>
      <x:c r="F44" s="6" t="n">
        <x:f>F43+E44</x:f>
        <x:v>-12941000</x:v>
      </x:c>
      <x:c r="G44" s="6" t="n">
        <x:v>800000</x:v>
      </x:c>
      <x:c r="H44" s="6" t="n">
        <x:v>-851000</x:v>
      </x:c>
      <x:c r="I44" s="6" t="n">
        <x:v>-330000</x:v>
      </x:c>
      <x:c r="J44" s="6" t="n">
        <x:v>807000</x:v>
      </x:c>
      <x:c r="K44" s="11" t="n">
        <x:v>11</x:v>
      </x:c>
      <x:c r="L44" s="11" t="n">
        <x:v>540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1635000</x:v>
      </x:c>
      <x:c r="D45" s="6" t="n">
        <x:v>2244000</x:v>
      </x:c>
      <x:c r="E45" s="6" t="n">
        <x:f>C45-D45</x:f>
        <x:v>-609000</x:v>
      </x:c>
      <x:c r="F45" s="6" t="n">
        <x:f>F44+E45</x:f>
        <x:v>-13550000</x:v>
      </x:c>
      <x:c r="G45" s="6" t="n">
        <x:v>-442000</x:v>
      </x:c>
      <x:c r="H45" s="6" t="n">
        <x:v>-167000</x:v>
      </x:c>
      <x:c r="I45" s="6" t="n">
        <x:v>-649000</x:v>
      </x:c>
      <x:c r="J45" s="6" t="n">
        <x:v>757000</x:v>
      </x:c>
      <x:c r="K45" s="11" t="n">
        <x:v>24</x:v>
      </x:c>
      <x:c r="L45" s="11" t="n">
        <x:v>96</x:v>
      </x:c>
    </x:row>
    <x:row r="46" ht="25" customHeight="1">
      <x:c r="A46" s="2" t="str">
        <x:v>2026-10-19_Day</x:v>
      </x:c>
      <x:c r="B46" s="2" t="str">
        <x:v>後13場</x:v>
      </x:c>
      <x:c r="C46" s="6" t="n">
        <x:v>594000</x:v>
      </x:c>
      <x:c r="D46" s="6" t="n">
        <x:v>1769000</x:v>
      </x:c>
      <x:c r="E46" s="6" t="n">
        <x:f>C46-D46</x:f>
        <x:v>-1175000</x:v>
      </x:c>
      <x:c r="F46" s="6" t="n">
        <x:f>F45+E46</x:f>
        <x:v>-14725000</x:v>
      </x:c>
      <x:c r="G46" s="6" t="n">
        <x:v>-401000</x:v>
      </x:c>
      <x:c r="H46" s="6" t="n">
        <x:v>-774000</x:v>
      </x:c>
      <x:c r="I46" s="6" t="n">
        <x:v>-1395000</x:v>
      </x:c>
      <x:c r="J46" s="6" t="n">
        <x:v>1415000</x:v>
      </x:c>
      <x:c r="K46" s="11" t="n">
        <x:v>13</x:v>
      </x:c>
      <x:c r="L46" s="11" t="n">
        <x:v>486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597000</x:v>
      </x:c>
      <x:c r="D47" s="6" t="n">
        <x:v>680000</x:v>
      </x:c>
      <x:c r="E47" s="6" t="n">
        <x:f>C47-D47</x:f>
        <x:v>-83000</x:v>
      </x:c>
      <x:c r="F47" s="6" t="n">
        <x:f>F46+E47</x:f>
        <x:v>-14808000</x:v>
      </x:c>
      <x:c r="G47" s="6" t="n">
        <x:v>80000</x:v>
      </x:c>
      <x:c r="H47" s="6" t="n">
        <x:v>-163000</x:v>
      </x:c>
      <x:c r="I47" s="6" t="n">
        <x:v>-166000</x:v>
      </x:c>
      <x:c r="J47" s="6" t="n">
        <x:v>225000</x:v>
      </x:c>
      <x:c r="K47" s="11" t="n">
        <x:v>9</x:v>
      </x:c>
      <x:c r="L47" s="11" t="n">
        <x:v>93</x:v>
      </x:c>
    </x:row>
    <x:row r="48" ht="25" customHeight="1">
      <x:c r="A48" s="2" t="str">
        <x:v>2026-10-20_Day</x:v>
      </x:c>
      <x:c r="B48" s="2" t="str">
        <x:v>後13場</x:v>
      </x:c>
      <x:c r="C48" s="6" t="n">
        <x:v>535000</x:v>
      </x:c>
      <x:c r="D48" s="6" t="n">
        <x:v>644000</x:v>
      </x:c>
      <x:c r="E48" s="6" t="n">
        <x:f>C48-D48</x:f>
        <x:v>-109000</x:v>
      </x:c>
      <x:c r="F48" s="6" t="n">
        <x:f>F47+E48</x:f>
        <x:v>-14917000</x:v>
      </x:c>
      <x:c r="G48" s="6" t="n">
        <x:v>1000</x:v>
      </x:c>
      <x:c r="H48" s="6" t="n">
        <x:v>-110000</x:v>
      </x:c>
      <x:c r="I48" s="6" t="n">
        <x:v>-538000</x:v>
      </x:c>
      <x:c r="J48" s="6" t="n">
        <x:v>694000</x:v>
      </x:c>
      <x:c r="K48" s="11" t="n">
        <x:v>6</x:v>
      </x:c>
      <x:c r="L48" s="11" t="n">
        <x:v>115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1067000</x:v>
      </x:c>
      <x:c r="D49" s="6" t="n">
        <x:v>1390000</x:v>
      </x:c>
      <x:c r="E49" s="6" t="n">
        <x:f>C49-D49</x:f>
        <x:v>-323000</x:v>
      </x:c>
      <x:c r="F49" s="6" t="n">
        <x:f>F48+E49</x:f>
        <x:v>-15240000</x:v>
      </x:c>
      <x:c r="G49" s="6" t="n">
        <x:v>-326000</x:v>
      </x:c>
      <x:c r="H49" s="6" t="n">
        <x:v>3000</x:v>
      </x:c>
      <x:c r="I49" s="6" t="n">
        <x:v>-353000</x:v>
      </x:c>
      <x:c r="J49" s="6" t="n">
        <x:v>453000</x:v>
      </x:c>
      <x:c r="K49" s="11" t="n">
        <x:v>14</x:v>
      </x:c>
      <x:c r="L49" s="11" t="n">
        <x:v>51</x:v>
      </x:c>
    </x:row>
    <x:row r="50" ht="25" customHeight="1">
      <x:c r="A50" s="2" t="str">
        <x:v>2026-10-21_Day</x:v>
      </x:c>
      <x:c r="B50" s="2" t="str">
        <x:v>後13場</x:v>
      </x:c>
      <x:c r="C50" s="6" t="n">
        <x:v>431000</x:v>
      </x:c>
      <x:c r="D50" s="6" t="n">
        <x:v>1035000</x:v>
      </x:c>
      <x:c r="E50" s="6" t="n">
        <x:f>C50-D50</x:f>
        <x:v>-604000</x:v>
      </x:c>
      <x:c r="F50" s="6" t="n">
        <x:f>F49+E50</x:f>
        <x:v>-15844000</x:v>
      </x:c>
      <x:c r="G50" s="6" t="n">
        <x:v>-104000</x:v>
      </x:c>
      <x:c r="H50" s="6" t="n">
        <x:v>-500000</x:v>
      </x:c>
      <x:c r="I50" s="6" t="n">
        <x:v>-882000</x:v>
      </x:c>
      <x:c r="J50" s="6" t="n">
        <x:v>932000</x:v>
      </x:c>
      <x:c r="K50" s="11" t="n">
        <x:v>7</x:v>
      </x:c>
      <x:c r="L50" s="11" t="n">
        <x:v>313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708000</x:v>
      </x:c>
      <x:c r="D51" s="6" t="n">
        <x:v>699000</x:v>
      </x:c>
      <x:c r="E51" s="6" t="n">
        <x:f>C51-D51</x:f>
        <x:v>9000</x:v>
      </x:c>
      <x:c r="F51" s="6" t="n">
        <x:f>F50+E51</x:f>
        <x:v>-15835000</x:v>
      </x:c>
      <x:c r="G51" s="6" t="n">
        <x:v>30000</x:v>
      </x:c>
      <x:c r="H51" s="6" t="n">
        <x:v>-21000</x:v>
      </x:c>
      <x:c r="I51" s="6" t="n">
        <x:v>-133000</x:v>
      </x:c>
      <x:c r="J51" s="6" t="n">
        <x:v>133000</x:v>
      </x:c>
      <x:c r="K51" s="11" t="n">
        <x:v>11</x:v>
      </x:c>
      <x:c r="L51" s="11" t="n">
        <x:v>33</x:v>
      </x:c>
    </x:row>
    <x:row r="52" ht="25" customHeight="1">
      <x:c r="A52" s="2" t="str">
        <x:v>2026-10-22_Day</x:v>
      </x:c>
      <x:c r="B52" s="2" t="str">
        <x:v>後13場</x:v>
      </x:c>
      <x:c r="C52" s="6" t="n">
        <x:v>652000</x:v>
      </x:c>
      <x:c r="D52" s="6" t="n">
        <x:v>2053000</x:v>
      </x:c>
      <x:c r="E52" s="6" t="n">
        <x:f>C52-D52</x:f>
        <x:v>-1401000</x:v>
      </x:c>
      <x:c r="F52" s="6" t="n">
        <x:f>F51+E52</x:f>
        <x:v>-17236000</x:v>
      </x:c>
      <x:c r="G52" s="6" t="n">
        <x:v>-1121000</x:v>
      </x:c>
      <x:c r="H52" s="6" t="n">
        <x:v>-280000</x:v>
      </x:c>
      <x:c r="I52" s="6" t="n">
        <x:v>-1641000</x:v>
      </x:c>
      <x:c r="J52" s="6" t="n">
        <x:v>1761000</x:v>
      </x:c>
      <x:c r="K52" s="11" t="n">
        <x:v>9</x:v>
      </x:c>
      <x:c r="L52" s="11" t="n">
        <x:v>185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919000</x:v>
      </x:c>
      <x:c r="D53" s="6" t="n">
        <x:v>1348000</x:v>
      </x:c>
      <x:c r="E53" s="6" t="n">
        <x:f>C53-D53</x:f>
        <x:v>-429000</x:v>
      </x:c>
      <x:c r="F53" s="6" t="n">
        <x:f>F52+E53</x:f>
        <x:v>-17665000</x:v>
      </x:c>
      <x:c r="G53" s="6" t="n">
        <x:v>-292000</x:v>
      </x:c>
      <x:c r="H53" s="6" t="n">
        <x:v>-137000</x:v>
      </x:c>
      <x:c r="I53" s="6" t="n">
        <x:v>-439000</x:v>
      </x:c>
      <x:c r="J53" s="6" t="n">
        <x:v>540000</x:v>
      </x:c>
      <x:c r="K53" s="11" t="n">
        <x:v>15</x:v>
      </x:c>
      <x:c r="L53" s="11" t="n">
        <x:v>78</x:v>
      </x:c>
    </x:row>
    <x:row r="54" ht="25" customHeight="1">
      <x:c r="A54" s="2" t="str">
        <x:v>2026-10-23_Day</x:v>
      </x:c>
      <x:c r="B54" s="2" t="str">
        <x:v>後13場</x:v>
      </x:c>
      <x:c r="C54" s="6" t="n">
        <x:v>1639000</x:v>
      </x:c>
      <x:c r="D54" s="6" t="n">
        <x:v>2247000</x:v>
      </x:c>
      <x:c r="E54" s="6" t="n">
        <x:f>C54-D54</x:f>
        <x:v>-608000</x:v>
      </x:c>
      <x:c r="F54" s="6" t="n">
        <x:f>F53+E54</x:f>
        <x:v>-18273000</x:v>
      </x:c>
      <x:c r="G54" s="6" t="n">
        <x:v>329000</x:v>
      </x:c>
      <x:c r="H54" s="6" t="n">
        <x:v>-937000</x:v>
      </x:c>
      <x:c r="I54" s="6" t="n">
        <x:v>-1108000</x:v>
      </x:c>
      <x:c r="J54" s="6" t="n">
        <x:v>1307000</x:v>
      </x:c>
      <x:c r="K54" s="11" t="n">
        <x:v>21</x:v>
      </x:c>
      <x:c r="L54" s="11" t="n">
        <x:v>557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494000</x:v>
      </x:c>
      <x:c r="D55" s="6" t="n">
        <x:v>690000</x:v>
      </x:c>
      <x:c r="E55" s="6" t="n">
        <x:f>C55-D55</x:f>
        <x:v>-196000</x:v>
      </x:c>
      <x:c r="F55" s="6" t="n">
        <x:f>F54+E55</x:f>
        <x:v>-18469000</x:v>
      </x:c>
      <x:c r="G55" s="6" t="n">
        <x:v>-157000</x:v>
      </x:c>
      <x:c r="H55" s="6" t="n">
        <x:v>-39000</x:v>
      </x:c>
      <x:c r="I55" s="6" t="n">
        <x:v>-216000</x:v>
      </x:c>
      <x:c r="J55" s="6" t="n">
        <x:v>250000</x:v>
      </x:c>
      <x:c r="K55" s="11" t="n">
        <x:v>10</x:v>
      </x:c>
      <x:c r="L55" s="11" t="n">
        <x:v>28</x:v>
      </x:c>
    </x:row>
    <x:row r="56" ht="25" customHeight="1">
      <x:c r="A56" s="2" t="str">
        <x:v>2026-10-26_Day</x:v>
      </x:c>
      <x:c r="B56" s="2" t="str">
        <x:v>後13場</x:v>
      </x:c>
      <x:c r="C56" s="6" t="n">
        <x:v>567000</x:v>
      </x:c>
      <x:c r="D56" s="6" t="n">
        <x:v>1529000</x:v>
      </x:c>
      <x:c r="E56" s="6" t="n">
        <x:f>C56-D56</x:f>
        <x:v>-962000</x:v>
      </x:c>
      <x:c r="F56" s="6" t="n">
        <x:f>F55+E56</x:f>
        <x:v>-19431000</x:v>
      </x:c>
      <x:c r="G56" s="6" t="n">
        <x:v>-231000</x:v>
      </x:c>
      <x:c r="H56" s="6" t="n">
        <x:v>-731000</x:v>
      </x:c>
      <x:c r="I56" s="6" t="n">
        <x:v>-1022000</x:v>
      </x:c>
      <x:c r="J56" s="6" t="n">
        <x:v>1022000</x:v>
      </x:c>
      <x:c r="K56" s="11" t="n">
        <x:v>9</x:v>
      </x:c>
      <x:c r="L56" s="11" t="n">
        <x:v>441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693000</x:v>
      </x:c>
      <x:c r="D57" s="6" t="n">
        <x:v>993000</x:v>
      </x:c>
      <x:c r="E57" s="6" t="n">
        <x:f>C57-D57</x:f>
        <x:v>-300000</x:v>
      </x:c>
      <x:c r="F57" s="6" t="n">
        <x:f>F56+E57</x:f>
        <x:v>-19731000</x:v>
      </x:c>
      <x:c r="G57" s="6" t="n">
        <x:v>-217000</x:v>
      </x:c>
      <x:c r="H57" s="6" t="n">
        <x:v>-83000</x:v>
      </x:c>
      <x:c r="I57" s="6" t="n">
        <x:v>-320000</x:v>
      </x:c>
      <x:c r="J57" s="6" t="n">
        <x:v>380000</x:v>
      </x:c>
      <x:c r="K57" s="11" t="n">
        <x:v>13</x:v>
      </x:c>
      <x:c r="L57" s="11" t="n">
        <x:v>54</x:v>
      </x:c>
    </x:row>
    <x:row r="58" ht="25" customHeight="1">
      <x:c r="A58" s="2" t="str">
        <x:v>2026-10-27_Day</x:v>
      </x:c>
      <x:c r="B58" s="2" t="str">
        <x:v>後13場</x:v>
      </x:c>
      <x:c r="C58" s="6" t="n">
        <x:v>968000</x:v>
      </x:c>
      <x:c r="D58" s="6" t="n">
        <x:v>633000</x:v>
      </x:c>
      <x:c r="E58" s="6" t="n">
        <x:f>C58-D58</x:f>
        <x:v>335000</x:v>
      </x:c>
      <x:c r="F58" s="6" t="n">
        <x:f>F57+E58</x:f>
        <x:v>-19396000</x:v>
      </x:c>
      <x:c r="G58" s="6" t="n">
        <x:v>900000</x:v>
      </x:c>
      <x:c r="H58" s="6" t="n">
        <x:v>-565000</x:v>
      </x:c>
      <x:c r="I58" s="6" t="n">
        <x:v>-113000</x:v>
      </x:c>
      <x:c r="J58" s="6" t="n">
        <x:v>487000</x:v>
      </x:c>
      <x:c r="K58" s="11" t="n">
        <x:v>9</x:v>
      </x:c>
      <x:c r="L58" s="11" t="n">
        <x:v>337</x:v>
      </x:c>
    </x:row>
    <x:row r="59" ht="25" customHeight="1">
      <x:c r="A59" s="15" t="str">
        <x:v>累計／場内最悪値</x:v>
      </x:c>
      <x:c r="B59" s="15"/>
      <x:c r="C59" s="16" t="n">
        <x:f>SUM(C6:C58)</x:f>
        <x:v>33619000</x:v>
      </x:c>
      <x:c r="D59" s="16" t="n">
        <x:f>SUM(D6:D58)</x:f>
        <x:v>53015000</x:v>
      </x:c>
      <x:c r="E59" s="16" t="n">
        <x:f>C59-D59</x:f>
        <x:v>-19396000</x:v>
      </x:c>
      <x:c r="F59" s="16" t="n">
        <x:f>F58</x:f>
        <x:v>-19396000</x:v>
      </x:c>
      <x:c r="G59" s="16" t="n">
        <x:f>SUM(G6:G58)</x:f>
        <x:v>-5535000</x:v>
      </x:c>
      <x:c r="H59" s="16" t="n">
        <x:f>SUM(H6:H58)</x:f>
        <x:v>-13861000</x:v>
      </x:c>
      <x:c r="I59" s="16" t="n">
        <x:f>MIN(I6:I58)</x:f>
        <x:v>-1884000</x:v>
      </x:c>
      <x:c r="J59" s="16" t="n">
        <x:f>MAX(J6:J58)</x:f>
        <x:v>1927000</x:v>
      </x:c>
      <x:c r="K59" s="17" t="n">
        <x:f>SUM(K6:K58)</x:f>
        <x:v>466</x:v>
      </x:c>
      <x:c r="L59" s="17" t="n">
        <x:f>SUM(L6:L58)</x:f>
        <x:v>8413</x:v>
      </x:c>
    </x:row>
  </x:sheetData>
  <x:conditionalFormatting sqref="E6:I58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e39e5f16a445a9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H20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段40・即追尾・追尾20・完済後新基準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201000</x:v>
      </x:c>
      <x:c r="D6" s="6" t="n">
        <x:v>8000</x:v>
      </x:c>
      <x:c r="E6" s="6" t="n">
        <x:f>C6-D6</x:f>
        <x:v>193000</x:v>
      </x:c>
      <x:c r="F6" s="6" t="n">
        <x:f>E6</x:f>
        <x:v>193000</x:v>
      </x:c>
      <x:c r="G6" s="6" t="n">
        <x:v>200000</x:v>
      </x:c>
      <x:c r="H6" s="6" t="n">
        <x:v>-7000</x:v>
      </x:c>
      <x:c r="I6" s="6" t="n">
        <x:v>-63000</x:v>
      </x:c>
      <x:c r="J6" s="6" t="n">
        <x:v>130000</x:v>
      </x:c>
      <x:c r="K6" s="11" t="n">
        <x:v>2</x:v>
      </x:c>
      <x:c r="L6" s="11" t="n">
        <x:v>4</x:v>
      </x:c>
    </x:row>
    <x:row r="7" ht="25" customHeight="1">
      <x:c r="A7" s="2" t="str">
        <x:v>2026-09-21_Night</x:v>
      </x:c>
      <x:c r="B7" s="2" t="str">
        <x:v>前30場</x:v>
      </x:c>
      <x:c r="C7" s="6" t="n">
        <x:v>610000</x:v>
      </x:c>
      <x:c r="D7" s="6" t="n">
        <x:v>1063000</x:v>
      </x:c>
      <x:c r="E7" s="6" t="n">
        <x:f>C7-D7</x:f>
        <x:v>-453000</x:v>
      </x:c>
      <x:c r="F7" s="6" t="n">
        <x:f>F6+E7</x:f>
        <x:v>-260000</x:v>
      </x:c>
      <x:c r="G7" s="6" t="n">
        <x:v>-220000</x:v>
      </x:c>
      <x:c r="H7" s="6" t="n">
        <x:v>-233000</x:v>
      </x:c>
      <x:c r="I7" s="6" t="n">
        <x:v>-583000</x:v>
      </x:c>
      <x:c r="J7" s="6" t="n">
        <x:v>734000</x:v>
      </x:c>
      <x:c r="K7" s="11" t="n">
        <x:v>7</x:v>
      </x:c>
      <x:c r="L7" s="11" t="n">
        <x:v>134</x:v>
      </x:c>
    </x:row>
    <x:row r="8" ht="25" customHeight="1">
      <x:c r="A8" s="2" t="str">
        <x:v>2026-09-22_Day</x:v>
      </x:c>
      <x:c r="B8" s="2" t="str">
        <x:v>前30場</x:v>
      </x:c>
      <x:c r="C8" s="6" t="n">
        <x:v>105000</x:v>
      </x:c>
      <x:c r="D8" s="6" t="n">
        <x:v>56000</x:v>
      </x:c>
      <x:c r="E8" s="6" t="n">
        <x:f>C8-D8</x:f>
        <x:v>49000</x:v>
      </x:c>
      <x:c r="F8" s="6" t="n">
        <x:f>F7+E8</x:f>
        <x:v>-211000</x:v>
      </x:c>
      <x:c r="G8" s="6" t="n">
        <x:v>100000</x:v>
      </x:c>
      <x:c r="H8" s="6" t="n">
        <x:v>-51000</x:v>
      </x:c>
      <x:c r="I8" s="6" t="n">
        <x:v>-371000</x:v>
      </x:c>
      <x:c r="J8" s="6" t="n">
        <x:v>451000</x:v>
      </x:c>
      <x:c r="K8" s="11" t="n">
        <x:v>1</x:v>
      </x:c>
      <x:c r="L8" s="11" t="n">
        <x:v>29</x:v>
      </x:c>
    </x:row>
    <x:row r="9" ht="25" customHeight="1">
      <x:c r="A9" s="2" t="str">
        <x:v>2026-09-22_Night</x:v>
      </x:c>
      <x:c r="B9" s="2" t="str">
        <x:v>前30場</x:v>
      </x:c>
      <x:c r="C9" s="6" t="n">
        <x:v>612000</x:v>
      </x:c>
      <x:c r="D9" s="6" t="n">
        <x:v>1238000</x:v>
      </x:c>
      <x:c r="E9" s="6" t="n">
        <x:f>C9-D9</x:f>
        <x:v>-626000</x:v>
      </x:c>
      <x:c r="F9" s="6" t="n">
        <x:f>F8+E9</x:f>
        <x:v>-837000</x:v>
      </x:c>
      <x:c r="G9" s="6" t="n">
        <x:v>-320000</x:v>
      </x:c>
      <x:c r="H9" s="6" t="n">
        <x:v>-306000</x:v>
      </x:c>
      <x:c r="I9" s="6" t="n">
        <x:v>-796000</x:v>
      </x:c>
      <x:c r="J9" s="6" t="n">
        <x:v>926000</x:v>
      </x:c>
      <x:c r="K9" s="11" t="n">
        <x:v>7</x:v>
      </x:c>
      <x:c r="L9" s="11" t="n">
        <x:v>148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-837000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585000</x:v>
      </x:c>
      <x:c r="D11" s="6" t="n">
        <x:v>1345000</x:v>
      </x:c>
      <x:c r="E11" s="6" t="n">
        <x:f>C11-D11</x:f>
        <x:v>-760000</x:v>
      </x:c>
      <x:c r="F11" s="6" t="n">
        <x:f>F10+E11</x:f>
        <x:v>-1597000</x:v>
      </x:c>
      <x:c r="G11" s="6" t="n">
        <x:v>-530000</x:v>
      </x:c>
      <x:c r="H11" s="6" t="n">
        <x:v>-230000</x:v>
      </x:c>
      <x:c r="I11" s="6" t="n">
        <x:v>-760000</x:v>
      </x:c>
      <x:c r="J11" s="6" t="n">
        <x:v>820000</x:v>
      </x:c>
      <x:c r="K11" s="11" t="n">
        <x:v>8</x:v>
      </x:c>
      <x:c r="L11" s="11" t="n">
        <x:v>155</x:v>
      </x:c>
    </x:row>
    <x:row r="12" ht="25" customHeight="1">
      <x:c r="A12" s="2" t="str">
        <x:v>2026-09-24_Day</x:v>
      </x:c>
      <x:c r="B12" s="2" t="str">
        <x:v>前30場</x:v>
      </x:c>
      <x:c r="C12" s="6" t="n">
        <x:v>310000</x:v>
      </x:c>
      <x:c r="D12" s="6" t="n">
        <x:v>189000</x:v>
      </x:c>
      <x:c r="E12" s="6" t="n">
        <x:f>C12-D12</x:f>
        <x:v>121000</x:v>
      </x:c>
      <x:c r="F12" s="6" t="n">
        <x:f>F11+E12</x:f>
        <x:v>-1476000</x:v>
      </x:c>
      <x:c r="G12" s="6" t="n">
        <x:v>300000</x:v>
      </x:c>
      <x:c r="H12" s="6" t="n">
        <x:v>-179000</x:v>
      </x:c>
      <x:c r="I12" s="6" t="n">
        <x:v>-599000</x:v>
      </x:c>
      <x:c r="J12" s="6" t="n">
        <x:v>599000</x:v>
      </x:c>
      <x:c r="K12" s="11" t="n">
        <x:v>3</x:v>
      </x:c>
      <x:c r="L12" s="11" t="n">
        <x:v>90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553000</x:v>
      </x:c>
      <x:c r="D13" s="6" t="n">
        <x:v>765000</x:v>
      </x:c>
      <x:c r="E13" s="6" t="n">
        <x:f>C13-D13</x:f>
        <x:v>-212000</x:v>
      </x:c>
      <x:c r="F13" s="6" t="n">
        <x:f>F12+E13</x:f>
        <x:v>-1688000</x:v>
      </x:c>
      <x:c r="G13" s="6" t="n">
        <x:v>-210000</x:v>
      </x:c>
      <x:c r="H13" s="6" t="n">
        <x:v>-2000</x:v>
      </x:c>
      <x:c r="I13" s="6" t="n">
        <x:v>-272000</x:v>
      </x:c>
      <x:c r="J13" s="6" t="n">
        <x:v>352000</x:v>
      </x:c>
      <x:c r="K13" s="11" t="n">
        <x:v>7</x:v>
      </x:c>
      <x:c r="L13" s="11" t="n">
        <x:v>51</x:v>
      </x:c>
    </x:row>
    <x:row r="14" ht="25" customHeight="1">
      <x:c r="A14" s="2" t="str">
        <x:v>2026-09-25_Day</x:v>
      </x:c>
      <x:c r="B14" s="2" t="str">
        <x:v>前30場</x:v>
      </x:c>
      <x:c r="C14" s="6" t="n">
        <x:v>176000</x:v>
      </x:c>
      <x:c r="D14" s="6" t="n">
        <x:v>929000</x:v>
      </x:c>
      <x:c r="E14" s="6" t="n">
        <x:f>C14-D14</x:f>
        <x:v>-753000</x:v>
      </x:c>
      <x:c r="F14" s="6" t="n">
        <x:f>F13+E14</x:f>
        <x:v>-2441000</x:v>
      </x:c>
      <x:c r="G14" s="6" t="n">
        <x:v>-610000</x:v>
      </x:c>
      <x:c r="H14" s="6" t="n">
        <x:v>-143000</x:v>
      </x:c>
      <x:c r="I14" s="6" t="n">
        <x:v>-873000</x:v>
      </x:c>
      <x:c r="J14" s="6" t="n">
        <x:v>943000</x:v>
      </x:c>
      <x:c r="K14" s="11" t="n">
        <x:v>2</x:v>
      </x:c>
      <x:c r="L14" s="11" t="n">
        <x:v>136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463000</x:v>
      </x:c>
      <x:c r="D15" s="6" t="n">
        <x:v>756000</x:v>
      </x:c>
      <x:c r="E15" s="6" t="n">
        <x:f>C15-D15</x:f>
        <x:v>-293000</x:v>
      </x:c>
      <x:c r="F15" s="6" t="n">
        <x:f>F14+E15</x:f>
        <x:v>-2734000</x:v>
      </x:c>
      <x:c r="G15" s="6" t="n">
        <x:v>-190000</x:v>
      </x:c>
      <x:c r="H15" s="6" t="n">
        <x:v>-103000</x:v>
      </x:c>
      <x:c r="I15" s="6" t="n">
        <x:v>-313000</x:v>
      </x:c>
      <x:c r="J15" s="6" t="n">
        <x:v>313000</x:v>
      </x:c>
      <x:c r="K15" s="11" t="n">
        <x:v>8</x:v>
      </x:c>
      <x:c r="L15" s="11" t="n">
        <x:v>55</x:v>
      </x:c>
    </x:row>
    <x:row r="16" ht="25" customHeight="1">
      <x:c r="A16" s="2" t="str">
        <x:v>2026-09-28_Day</x:v>
      </x:c>
      <x:c r="B16" s="2" t="str">
        <x:v>前30場</x:v>
      </x:c>
      <x:c r="C16" s="6" t="n">
        <x:v>499000</x:v>
      </x:c>
      <x:c r="D16" s="6" t="n">
        <x:v>125000</x:v>
      </x:c>
      <x:c r="E16" s="6" t="n">
        <x:f>C16-D16</x:f>
        <x:v>374000</x:v>
      </x:c>
      <x:c r="F16" s="6" t="n">
        <x:f>F15+E16</x:f>
        <x:v>-2360000</x:v>
      </x:c>
      <x:c r="G16" s="6" t="n">
        <x:v>480000</x:v>
      </x:c>
      <x:c r="H16" s="6" t="n">
        <x:v>-106000</x:v>
      </x:c>
      <x:c r="I16" s="6" t="n">
        <x:v>-478000</x:v>
      </x:c>
      <x:c r="J16" s="6" t="n">
        <x:v>496000</x:v>
      </x:c>
      <x:c r="K16" s="11" t="n">
        <x:v>5</x:v>
      </x:c>
      <x:c r="L16" s="11" t="n">
        <x:v>70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700000</x:v>
      </x:c>
      <x:c r="D17" s="6" t="n">
        <x:v>578000</x:v>
      </x:c>
      <x:c r="E17" s="6" t="n">
        <x:f>C17-D17</x:f>
        <x:v>122000</x:v>
      </x:c>
      <x:c r="F17" s="6" t="n">
        <x:f>F16+E17</x:f>
        <x:v>-2238000</x:v>
      </x:c>
      <x:c r="G17" s="6" t="n">
        <x:v>230000</x:v>
      </x:c>
      <x:c r="H17" s="6" t="n">
        <x:v>-108000</x:v>
      </x:c>
      <x:c r="I17" s="6" t="n">
        <x:v>-198000</x:v>
      </x:c>
      <x:c r="J17" s="6" t="n">
        <x:v>257000</x:v>
      </x:c>
      <x:c r="K17" s="11" t="n">
        <x:v>9</x:v>
      </x:c>
      <x:c r="L17" s="11" t="n">
        <x:v>73</x:v>
      </x:c>
    </x:row>
    <x:row r="18" ht="25" customHeight="1">
      <x:c r="A18" s="2" t="str">
        <x:v>2026-09-29_Day</x:v>
      </x:c>
      <x:c r="B18" s="2" t="str">
        <x:v>前30場</x:v>
      </x:c>
      <x:c r="C18" s="6" t="n">
        <x:v>392000</x:v>
      </x:c>
      <x:c r="D18" s="6" t="n">
        <x:v>933000</x:v>
      </x:c>
      <x:c r="E18" s="6" t="n">
        <x:f>C18-D18</x:f>
        <x:v>-541000</x:v>
      </x:c>
      <x:c r="F18" s="6" t="n">
        <x:f>F17+E18</x:f>
        <x:v>-2779000</x:v>
      </x:c>
      <x:c r="G18" s="6" t="n">
        <x:v>-70000</x:v>
      </x:c>
      <x:c r="H18" s="6" t="n">
        <x:v>-471000</x:v>
      </x:c>
      <x:c r="I18" s="6" t="n">
        <x:v>-1151000</x:v>
      </x:c>
      <x:c r="J18" s="6" t="n">
        <x:v>1180000</x:v>
      </x:c>
      <x:c r="K18" s="11" t="n">
        <x:v>5</x:v>
      </x:c>
      <x:c r="L18" s="11" t="n">
        <x:v>227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610000</x:v>
      </x:c>
      <x:c r="D19" s="6" t="n">
        <x:v>904000</x:v>
      </x:c>
      <x:c r="E19" s="6" t="n">
        <x:f>C19-D19</x:f>
        <x:v>-294000</x:v>
      </x:c>
      <x:c r="F19" s="6" t="n">
        <x:f>F18+E19</x:f>
        <x:v>-3073000</x:v>
      </x:c>
      <x:c r="G19" s="6" t="n">
        <x:v>-80000</x:v>
      </x:c>
      <x:c r="H19" s="6" t="n">
        <x:v>-214000</x:v>
      </x:c>
      <x:c r="I19" s="6" t="n">
        <x:v>-324000</x:v>
      </x:c>
      <x:c r="J19" s="6" t="n">
        <x:v>483000</x:v>
      </x:c>
      <x:c r="K19" s="11" t="n">
        <x:v>10</x:v>
      </x:c>
      <x:c r="L19" s="11" t="n">
        <x:v>111</x:v>
      </x:c>
    </x:row>
    <x:row r="20" ht="25" customHeight="1">
      <x:c r="A20" s="2" t="str">
        <x:v>2026-09-30_Day</x:v>
      </x:c>
      <x:c r="B20" s="2" t="str">
        <x:v>前30場</x:v>
      </x:c>
      <x:c r="C20" s="6" t="n">
        <x:v>272000</x:v>
      </x:c>
      <x:c r="D20" s="6" t="n">
        <x:v>773000</x:v>
      </x:c>
      <x:c r="E20" s="6" t="n">
        <x:f>C20-D20</x:f>
        <x:v>-501000</x:v>
      </x:c>
      <x:c r="F20" s="6" t="n">
        <x:f>F19+E20</x:f>
        <x:v>-3574000</x:v>
      </x:c>
      <x:c r="G20" s="6" t="n">
        <x:v>-420000</x:v>
      </x:c>
      <x:c r="H20" s="6" t="n">
        <x:v>-81000</x:v>
      </x:c>
      <x:c r="I20" s="6" t="n">
        <x:v>-501000</x:v>
      </x:c>
      <x:c r="J20" s="6" t="n">
        <x:v>663000</x:v>
      </x:c>
      <x:c r="K20" s="11" t="n">
        <x:v>3</x:v>
      </x:c>
      <x:c r="L20" s="11" t="n">
        <x:v>91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602000</x:v>
      </x:c>
      <x:c r="D21" s="6" t="n">
        <x:v>843000</x:v>
      </x:c>
      <x:c r="E21" s="6" t="n">
        <x:f>C21-D21</x:f>
        <x:v>-241000</x:v>
      </x:c>
      <x:c r="F21" s="6" t="n">
        <x:f>F20+E21</x:f>
        <x:v>-3815000</x:v>
      </x:c>
      <x:c r="G21" s="6" t="n">
        <x:v>-100000</x:v>
      </x:c>
      <x:c r="H21" s="6" t="n">
        <x:v>-141000</x:v>
      </x:c>
      <x:c r="I21" s="6" t="n">
        <x:v>-381000</x:v>
      </x:c>
      <x:c r="J21" s="6" t="n">
        <x:v>381000</x:v>
      </x:c>
      <x:c r="K21" s="11" t="n">
        <x:v>8</x:v>
      </x:c>
      <x:c r="L21" s="11" t="n">
        <x:v>78</x:v>
      </x:c>
    </x:row>
    <x:row r="22" ht="25" customHeight="1">
      <x:c r="A22" s="2" t="str">
        <x:v>2026-10-01_Day</x:v>
      </x:c>
      <x:c r="B22" s="2" t="str">
        <x:v>前30場</x:v>
      </x:c>
      <x:c r="C22" s="6" t="n">
        <x:v>381000</x:v>
      </x:c>
      <x:c r="D22" s="6" t="n">
        <x:v>2175000</x:v>
      </x:c>
      <x:c r="E22" s="6" t="n">
        <x:f>C22-D22</x:f>
        <x:v>-1794000</x:v>
      </x:c>
      <x:c r="F22" s="6" t="n">
        <x:f>F21+E22</x:f>
        <x:v>-5609000</x:v>
      </x:c>
      <x:c r="G22" s="6" t="n">
        <x:v>-1410000</x:v>
      </x:c>
      <x:c r="H22" s="6" t="n">
        <x:v>-384000</x:v>
      </x:c>
      <x:c r="I22" s="6" t="n">
        <x:v>-1984000</x:v>
      </x:c>
      <x:c r="J22" s="6" t="n">
        <x:v>2157000</x:v>
      </x:c>
      <x:c r="K22" s="11" t="n">
        <x:v>3</x:v>
      </x:c>
      <x:c r="L22" s="11" t="n">
        <x:v>366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883000</x:v>
      </x:c>
      <x:c r="D23" s="6" t="n">
        <x:v>1099000</x:v>
      </x:c>
      <x:c r="E23" s="6" t="n">
        <x:f>C23-D23</x:f>
        <x:v>-216000</x:v>
      </x:c>
      <x:c r="F23" s="6" t="n">
        <x:f>F22+E23</x:f>
        <x:v>-5825000</x:v>
      </x:c>
      <x:c r="G23" s="6" t="n">
        <x:v>0</x:v>
      </x:c>
      <x:c r="H23" s="6" t="n">
        <x:v>-216000</x:v>
      </x:c>
      <x:c r="I23" s="6" t="n">
        <x:v>-376000</x:v>
      </x:c>
      <x:c r="J23" s="6" t="n">
        <x:v>486000</x:v>
      </x:c>
      <x:c r="K23" s="11" t="n">
        <x:v>11</x:v>
      </x:c>
      <x:c r="L23" s="11" t="n">
        <x:v>133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303000</x:v>
      </x:c>
      <x:c r="D24" s="6" t="n">
        <x:v>412000</x:v>
      </x:c>
      <x:c r="E24" s="6" t="n">
        <x:f>C24-D24</x:f>
        <x:v>-109000</x:v>
      </x:c>
      <x:c r="F24" s="6" t="n">
        <x:f>F23+E24</x:f>
        <x:v>-5934000</x:v>
      </x:c>
      <x:c r="G24" s="6" t="n">
        <x:v>0</x:v>
      </x:c>
      <x:c r="H24" s="6" t="n">
        <x:v>-109000</x:v>
      </x:c>
      <x:c r="I24" s="6" t="n">
        <x:v>-389000</x:v>
      </x:c>
      <x:c r="J24" s="6" t="n">
        <x:v>502000</x:v>
      </x:c>
      <x:c r="K24" s="11" t="n">
        <x:v>5</x:v>
      </x:c>
      <x:c r="L24" s="11" t="n">
        <x:v>72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1121000</x:v>
      </x:c>
      <x:c r="D25" s="6" t="n">
        <x:v>1447000</x:v>
      </x:c>
      <x:c r="E25" s="6" t="n">
        <x:f>C25-D25</x:f>
        <x:v>-326000</x:v>
      </x:c>
      <x:c r="F25" s="6" t="n">
        <x:f>F24+E25</x:f>
        <x:v>-6260000</x:v>
      </x:c>
      <x:c r="G25" s="6" t="n">
        <x:v>-54000</x:v>
      </x:c>
      <x:c r="H25" s="6" t="n">
        <x:v>-272000</x:v>
      </x:c>
      <x:c r="I25" s="6" t="n">
        <x:v>-516000</x:v>
      </x:c>
      <x:c r="J25" s="6" t="n">
        <x:v>584000</x:v>
      </x:c>
      <x:c r="K25" s="11" t="n">
        <x:v>13</x:v>
      </x:c>
      <x:c r="L25" s="11" t="n">
        <x:v>99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201000</x:v>
      </x:c>
      <x:c r="D26" s="6" t="n">
        <x:v>734000</x:v>
      </x:c>
      <x:c r="E26" s="6" t="n">
        <x:f>C26-D26</x:f>
        <x:v>-533000</x:v>
      </x:c>
      <x:c r="F26" s="6" t="n">
        <x:f>F25+E26</x:f>
        <x:v>-6793000</x:v>
      </x:c>
      <x:c r="G26" s="6" t="n">
        <x:v>-320000</x:v>
      </x:c>
      <x:c r="H26" s="6" t="n">
        <x:v>-213000</x:v>
      </x:c>
      <x:c r="I26" s="6" t="n">
        <x:v>-593000</x:v>
      </x:c>
      <x:c r="J26" s="6" t="n">
        <x:v>643000</x:v>
      </x:c>
      <x:c r="K26" s="11" t="n">
        <x:v>3</x:v>
      </x:c>
      <x:c r="L26" s="11" t="n">
        <x:v>99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408000</x:v>
      </x:c>
      <x:c r="D27" s="6" t="n">
        <x:v>552000</x:v>
      </x:c>
      <x:c r="E27" s="6" t="n">
        <x:f>C27-D27</x:f>
        <x:v>-144000</x:v>
      </x:c>
      <x:c r="F27" s="6" t="n">
        <x:f>F26+E27</x:f>
        <x:v>-6937000</x:v>
      </x:c>
      <x:c r="G27" s="6" t="n">
        <x:v>-40000</x:v>
      </x:c>
      <x:c r="H27" s="6" t="n">
        <x:v>-104000</x:v>
      </x:c>
      <x:c r="I27" s="6" t="n">
        <x:v>-284000</x:v>
      </x:c>
      <x:c r="J27" s="6" t="n">
        <x:v>304000</x:v>
      </x:c>
      <x:c r="K27" s="11" t="n">
        <x:v>5</x:v>
      </x:c>
      <x:c r="L27" s="11" t="n">
        <x:v>54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100000</x:v>
      </x:c>
      <x:c r="D28" s="6" t="n">
        <x:v>9000</x:v>
      </x:c>
      <x:c r="E28" s="6" t="n">
        <x:f>C28-D28</x:f>
        <x:v>91000</x:v>
      </x:c>
      <x:c r="F28" s="6" t="n">
        <x:f>F27+E28</x:f>
        <x:v>-6846000</x:v>
      </x:c>
      <x:c r="G28" s="6" t="n">
        <x:v>100000</x:v>
      </x:c>
      <x:c r="H28" s="6" t="n">
        <x:v>-9000</x:v>
      </x:c>
      <x:c r="I28" s="6" t="n">
        <x:v>-169000</x:v>
      </x:c>
      <x:c r="J28" s="6" t="n">
        <x:v>169000</x:v>
      </x:c>
      <x:c r="K28" s="11" t="n">
        <x:v>1</x:v>
      </x:c>
      <x:c r="L28" s="11" t="n">
        <x:v>6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506000</x:v>
      </x:c>
      <x:c r="D29" s="6" t="n">
        <x:v>473000</x:v>
      </x:c>
      <x:c r="E29" s="6" t="n">
        <x:f>C29-D29</x:f>
        <x:v>33000</x:v>
      </x:c>
      <x:c r="F29" s="6" t="n">
        <x:f>F28+E29</x:f>
        <x:v>-6813000</x:v>
      </x:c>
      <x:c r="G29" s="6" t="n">
        <x:v>46000</x:v>
      </x:c>
      <x:c r="H29" s="6" t="n">
        <x:v>-13000</x:v>
      </x:c>
      <x:c r="I29" s="6" t="n">
        <x:v>-119000</x:v>
      </x:c>
      <x:c r="J29" s="6" t="n">
        <x:v>190000</x:v>
      </x:c>
      <x:c r="K29" s="11" t="n">
        <x:v>7</x:v>
      </x:c>
      <x:c r="L29" s="11" t="n">
        <x:v>37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15000</x:v>
      </x:c>
      <x:c r="E30" s="6" t="n">
        <x:f>C30-D30</x:f>
        <x:v>185000</x:v>
      </x:c>
      <x:c r="F30" s="6" t="n">
        <x:f>F29+E30</x:f>
        <x:v>-6628000</x:v>
      </x:c>
      <x:c r="G30" s="6" t="n">
        <x:v>200000</x:v>
      </x:c>
      <x:c r="H30" s="6" t="n">
        <x:v>-15000</x:v>
      </x:c>
      <x:c r="I30" s="6" t="n">
        <x:v>-109000</x:v>
      </x:c>
      <x:c r="J30" s="6" t="n">
        <x:v>186000</x:v>
      </x:c>
      <x:c r="K30" s="11" t="n">
        <x:v>2</x:v>
      </x:c>
      <x:c r="L30" s="11" t="n">
        <x:v>5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780000</x:v>
      </x:c>
      <x:c r="D31" s="6" t="n">
        <x:v>1106000</x:v>
      </x:c>
      <x:c r="E31" s="6" t="n">
        <x:f>C31-D31</x:f>
        <x:v>-326000</x:v>
      </x:c>
      <x:c r="F31" s="6" t="n">
        <x:f>F30+E31</x:f>
        <x:v>-6954000</x:v>
      </x:c>
      <x:c r="G31" s="6" t="n">
        <x:v>-150000</x:v>
      </x:c>
      <x:c r="H31" s="6" t="n">
        <x:v>-176000</x:v>
      </x:c>
      <x:c r="I31" s="6" t="n">
        <x:v>-336000</x:v>
      </x:c>
      <x:c r="J31" s="6" t="n">
        <x:v>356000</x:v>
      </x:c>
      <x:c r="K31" s="11" t="n">
        <x:v>10</x:v>
      </x:c>
      <x:c r="L31" s="11" t="n">
        <x:v>93</x:v>
      </x:c>
    </x:row>
    <x:row r="32" ht="25" customHeight="1">
      <x:c r="A32" s="2" t="str">
        <x:v>2026-10-08_Day</x:v>
      </x:c>
      <x:c r="B32" s="2" t="str">
        <x:v>前30場</x:v>
      </x:c>
      <x:c r="C32" s="6" t="n">
        <x:v>320000</x:v>
      </x:c>
      <x:c r="D32" s="6" t="n">
        <x:v>1414000</x:v>
      </x:c>
      <x:c r="E32" s="6" t="n">
        <x:f>C32-D32</x:f>
        <x:v>-1094000</x:v>
      </x:c>
      <x:c r="F32" s="6" t="n">
        <x:f>F31+E32</x:f>
        <x:v>-8048000</x:v>
      </x:c>
      <x:c r="G32" s="6" t="n">
        <x:v>-810000</x:v>
      </x:c>
      <x:c r="H32" s="6" t="n">
        <x:v>-284000</x:v>
      </x:c>
      <x:c r="I32" s="6" t="n">
        <x:v>-1094000</x:v>
      </x:c>
      <x:c r="J32" s="6" t="n">
        <x:v>1330000</x:v>
      </x:c>
      <x:c r="K32" s="11" t="n">
        <x:v>4</x:v>
      </x:c>
      <x:c r="L32" s="11" t="n">
        <x:v>138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1220000</x:v>
      </x:c>
      <x:c r="D33" s="6" t="n">
        <x:v>1718000</x:v>
      </x:c>
      <x:c r="E33" s="6" t="n">
        <x:f>C33-D33</x:f>
        <x:v>-498000</x:v>
      </x:c>
      <x:c r="F33" s="6" t="n">
        <x:f>F32+E33</x:f>
        <x:v>-8546000</x:v>
      </x:c>
      <x:c r="G33" s="6" t="n">
        <x:v>-190000</x:v>
      </x:c>
      <x:c r="H33" s="6" t="n">
        <x:v>-308000</x:v>
      </x:c>
      <x:c r="I33" s="6" t="n">
        <x:v>-498000</x:v>
      </x:c>
      <x:c r="J33" s="6" t="n">
        <x:v>685000</x:v>
      </x:c>
      <x:c r="K33" s="11" t="n">
        <x:v>17</x:v>
      </x:c>
      <x:c r="L33" s="11" t="n">
        <x:v>159</x:v>
      </x:c>
    </x:row>
    <x:row r="34" ht="25" customHeight="1">
      <x:c r="A34" s="2" t="str">
        <x:v>2026-10-09_Day</x:v>
      </x:c>
      <x:c r="B34" s="2" t="str">
        <x:v>前30場</x:v>
      </x:c>
      <x:c r="C34" s="6" t="n">
        <x:v>553000</x:v>
      </x:c>
      <x:c r="D34" s="6" t="n">
        <x:v>1397000</x:v>
      </x:c>
      <x:c r="E34" s="6" t="n">
        <x:f>C34-D34</x:f>
        <x:v>-844000</x:v>
      </x:c>
      <x:c r="F34" s="6" t="n">
        <x:f>F33+E34</x:f>
        <x:v>-9390000</x:v>
      </x:c>
      <x:c r="G34" s="6" t="n">
        <x:v>-450000</x:v>
      </x:c>
      <x:c r="H34" s="6" t="n">
        <x:v>-394000</x:v>
      </x:c>
      <x:c r="I34" s="6" t="n">
        <x:v>-854000</x:v>
      </x:c>
      <x:c r="J34" s="6" t="n">
        <x:v>1273000</x:v>
      </x:c>
      <x:c r="K34" s="11" t="n">
        <x:v>6</x:v>
      </x:c>
      <x:c r="L34" s="11" t="n">
        <x:v>218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492000</x:v>
      </x:c>
      <x:c r="D35" s="6" t="n">
        <x:v>614000</x:v>
      </x:c>
      <x:c r="E35" s="6" t="n">
        <x:f>C35-D35</x:f>
        <x:v>-122000</x:v>
      </x:c>
      <x:c r="F35" s="6" t="n">
        <x:f>F34+E35</x:f>
        <x:v>-9512000</x:v>
      </x:c>
      <x:c r="G35" s="6" t="n">
        <x:v>20000</x:v>
      </x:c>
      <x:c r="H35" s="6" t="n">
        <x:v>-142000</x:v>
      </x:c>
      <x:c r="I35" s="6" t="n">
        <x:v>-282000</x:v>
      </x:c>
      <x:c r="J35" s="6" t="n">
        <x:v>306000</x:v>
      </x:c>
      <x:c r="K35" s="11" t="n">
        <x:v>7</x:v>
      </x:c>
      <x:c r="L35" s="11" t="n">
        <x:v>64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-9512000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702000</x:v>
      </x:c>
      <x:c r="D37" s="6" t="n">
        <x:v>1102000</x:v>
      </x:c>
      <x:c r="E37" s="6" t="n">
        <x:f>C37-D37</x:f>
        <x:v>-400000</x:v>
      </x:c>
      <x:c r="F37" s="6" t="n">
        <x:f>F36+E37</x:f>
        <x:v>-9912000</x:v>
      </x:c>
      <x:c r="G37" s="6" t="n">
        <x:v>-120000</x:v>
      </x:c>
      <x:c r="H37" s="6" t="n">
        <x:v>-280000</x:v>
      </x:c>
      <x:c r="I37" s="6" t="n">
        <x:v>-420000</x:v>
      </x:c>
      <x:c r="J37" s="6" t="n">
        <x:v>430000</x:v>
      </x:c>
      <x:c r="K37" s="11" t="n">
        <x:v>8</x:v>
      </x:c>
      <x:c r="L37" s="11" t="n">
        <x:v>117</x:v>
      </x:c>
    </x:row>
    <x:row r="38" ht="25" customHeight="1">
      <x:c r="A38" s="2" t="str">
        <x:v>2026-10-13_Day</x:v>
      </x:c>
      <x:c r="B38" s="2" t="str">
        <x:v>次10場</x:v>
      </x:c>
      <x:c r="C38" s="6" t="n">
        <x:v>506000</x:v>
      </x:c>
      <x:c r="D38" s="6" t="n">
        <x:v>73000</x:v>
      </x:c>
      <x:c r="E38" s="6" t="n">
        <x:f>C38-D38</x:f>
        <x:v>433000</x:v>
      </x:c>
      <x:c r="F38" s="6" t="n">
        <x:f>F37+E38</x:f>
        <x:v>-9479000</x:v>
      </x:c>
      <x:c r="G38" s="6" t="n">
        <x:v>490000</x:v>
      </x:c>
      <x:c r="H38" s="6" t="n">
        <x:v>-57000</x:v>
      </x:c>
      <x:c r="I38" s="6" t="n">
        <x:v>-278000</x:v>
      </x:c>
      <x:c r="J38" s="6" t="n">
        <x:v>315000</x:v>
      </x:c>
      <x:c r="K38" s="11" t="n">
        <x:v>5</x:v>
      </x:c>
      <x:c r="L38" s="11" t="n">
        <x:v>47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412000</x:v>
      </x:c>
      <x:c r="D39" s="6" t="n">
        <x:v>342000</x:v>
      </x:c>
      <x:c r="E39" s="6" t="n">
        <x:f>C39-D39</x:f>
        <x:v>70000</x:v>
      </x:c>
      <x:c r="F39" s="6" t="n">
        <x:f>F38+E39</x:f>
        <x:v>-9409000</x:v>
      </x:c>
      <x:c r="G39" s="6" t="n">
        <x:v>104000</x:v>
      </x:c>
      <x:c r="H39" s="6" t="n">
        <x:v>-34000</x:v>
      </x:c>
      <x:c r="I39" s="6" t="n">
        <x:v>-94000</x:v>
      </x:c>
      <x:c r="J39" s="6" t="n">
        <x:v>140000</x:v>
      </x:c>
      <x:c r="K39" s="11" t="n">
        <x:v>6</x:v>
      </x:c>
      <x:c r="L39" s="11" t="n">
        <x:v>31</x:v>
      </x:c>
    </x:row>
    <x:row r="40" ht="25" customHeight="1">
      <x:c r="A40" s="2" t="str">
        <x:v>2026-10-14_Day</x:v>
      </x:c>
      <x:c r="B40" s="2" t="str">
        <x:v>次10場</x:v>
      </x:c>
      <x:c r="C40" s="6" t="n">
        <x:v>439000</x:v>
      </x:c>
      <x:c r="D40" s="6" t="n">
        <x:v>513000</x:v>
      </x:c>
      <x:c r="E40" s="6" t="n">
        <x:f>C40-D40</x:f>
        <x:v>-74000</x:v>
      </x:c>
      <x:c r="F40" s="6" t="n">
        <x:f>F39+E40</x:f>
        <x:v>-9483000</x:v>
      </x:c>
      <x:c r="G40" s="6" t="n">
        <x:v>40000</x:v>
      </x:c>
      <x:c r="H40" s="6" t="n">
        <x:v>-114000</x:v>
      </x:c>
      <x:c r="I40" s="6" t="n">
        <x:v>-425000</x:v>
      </x:c>
      <x:c r="J40" s="6" t="n">
        <x:v>614000</x:v>
      </x:c>
      <x:c r="K40" s="11" t="n">
        <x:v>5</x:v>
      </x:c>
      <x:c r="L40" s="11" t="n">
        <x:v>87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1495000</x:v>
      </x:c>
      <x:c r="D41" s="6" t="n">
        <x:v>2849000</x:v>
      </x:c>
      <x:c r="E41" s="6" t="n">
        <x:f>C41-D41</x:f>
        <x:v>-1354000</x:v>
      </x:c>
      <x:c r="F41" s="6" t="n">
        <x:f>F40+E41</x:f>
        <x:v>-10837000</x:v>
      </x:c>
      <x:c r="G41" s="6" t="n">
        <x:v>-490000</x:v>
      </x:c>
      <x:c r="H41" s="6" t="n">
        <x:v>-864000</x:v>
      </x:c>
      <x:c r="I41" s="6" t="n">
        <x:v>-1384000</x:v>
      </x:c>
      <x:c r="J41" s="6" t="n">
        <x:v>1394000</x:v>
      </x:c>
      <x:c r="K41" s="11" t="n">
        <x:v>14</x:v>
      </x:c>
      <x:c r="L41" s="11" t="n">
        <x:v>346</x:v>
      </x:c>
    </x:row>
    <x:row r="42" ht="25" customHeight="1">
      <x:c r="A42" s="2" t="str">
        <x:v>2026-10-15_Day</x:v>
      </x:c>
      <x:c r="B42" s="2" t="str">
        <x:v>次10場</x:v>
      </x:c>
      <x:c r="C42" s="6" t="n">
        <x:v>1326000</x:v>
      </x:c>
      <x:c r="D42" s="6" t="n">
        <x:v>2159000</x:v>
      </x:c>
      <x:c r="E42" s="6" t="n">
        <x:f>C42-D42</x:f>
        <x:v>-833000</x:v>
      </x:c>
      <x:c r="F42" s="6" t="n">
        <x:f>F41+E42</x:f>
        <x:v>-11670000</x:v>
      </x:c>
      <x:c r="G42" s="6" t="n">
        <x:v>-120000</x:v>
      </x:c>
      <x:c r="H42" s="6" t="n">
        <x:v>-713000</x:v>
      </x:c>
      <x:c r="I42" s="6" t="n">
        <x:v>-1743000</x:v>
      </x:c>
      <x:c r="J42" s="6" t="n">
        <x:v>1991000</x:v>
      </x:c>
      <x:c r="K42" s="11" t="n">
        <x:v>12</x:v>
      </x:c>
      <x:c r="L42" s="11" t="n">
        <x:v>431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1630000</x:v>
      </x:c>
      <x:c r="D43" s="6" t="n">
        <x:v>1852000</x:v>
      </x:c>
      <x:c r="E43" s="6" t="n">
        <x:f>C43-D43</x:f>
        <x:v>-222000</x:v>
      </x:c>
      <x:c r="F43" s="6" t="n">
        <x:f>F42+E43</x:f>
        <x:v>-11892000</x:v>
      </x:c>
      <x:c r="G43" s="6" t="n">
        <x:v>220000</x:v>
      </x:c>
      <x:c r="H43" s="6" t="n">
        <x:v>-442000</x:v>
      </x:c>
      <x:c r="I43" s="6" t="n">
        <x:v>-494000</x:v>
      </x:c>
      <x:c r="J43" s="6" t="n">
        <x:v>658000</x:v>
      </x:c>
      <x:c r="K43" s="11" t="n">
        <x:v>16</x:v>
      </x:c>
      <x:c r="L43" s="11" t="n">
        <x:v>206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1016000</x:v>
      </x:c>
      <x:c r="D44" s="6" t="n">
        <x:v>440000</x:v>
      </x:c>
      <x:c r="E44" s="6" t="n">
        <x:f>C44-D44</x:f>
        <x:v>576000</x:v>
      </x:c>
      <x:c r="F44" s="6" t="n">
        <x:f>F43+E44</x:f>
        <x:v>-11316000</x:v>
      </x:c>
      <x:c r="G44" s="6" t="n">
        <x:v>820000</x:v>
      </x:c>
      <x:c r="H44" s="6" t="n">
        <x:v>-244000</x:v>
      </x:c>
      <x:c r="I44" s="6" t="n">
        <x:v>-62000</x:v>
      </x:c>
      <x:c r="J44" s="6" t="n">
        <x:v>554000</x:v>
      </x:c>
      <x:c r="K44" s="11" t="n">
        <x:v>11</x:v>
      </x:c>
      <x:c r="L44" s="11" t="n">
        <x:v>110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1853000</x:v>
      </x:c>
      <x:c r="D45" s="6" t="n">
        <x:v>2463000</x:v>
      </x:c>
      <x:c r="E45" s="6" t="n">
        <x:f>C45-D45</x:f>
        <x:v>-610000</x:v>
      </x:c>
      <x:c r="F45" s="6" t="n">
        <x:f>F44+E45</x:f>
        <x:v>-11926000</x:v>
      </x:c>
      <x:c r="G45" s="6" t="n">
        <x:v>-330000</x:v>
      </x:c>
      <x:c r="H45" s="6" t="n">
        <x:v>-280000</x:v>
      </x:c>
      <x:c r="I45" s="6" t="n">
        <x:v>-640000</x:v>
      </x:c>
      <x:c r="J45" s="6" t="n">
        <x:v>794000</x:v>
      </x:c>
      <x:c r="K45" s="11" t="n">
        <x:v>21</x:v>
      </x:c>
      <x:c r="L45" s="11" t="n">
        <x:v>275</x:v>
      </x:c>
    </x:row>
    <x:row r="46" ht="25" customHeight="1">
      <x:c r="A46" s="2" t="str">
        <x:v>2026-10-19_Day</x:v>
      </x:c>
      <x:c r="B46" s="2" t="str">
        <x:v>後13場</x:v>
      </x:c>
      <x:c r="C46" s="6" t="n">
        <x:v>443000</x:v>
      </x:c>
      <x:c r="D46" s="6" t="n">
        <x:v>1359000</x:v>
      </x:c>
      <x:c r="E46" s="6" t="n">
        <x:f>C46-D46</x:f>
        <x:v>-916000</x:v>
      </x:c>
      <x:c r="F46" s="6" t="n">
        <x:f>F45+E46</x:f>
        <x:v>-12842000</x:v>
      </x:c>
      <x:c r="G46" s="6" t="n">
        <x:v>-520000</x:v>
      </x:c>
      <x:c r="H46" s="6" t="n">
        <x:v>-396000</x:v>
      </x:c>
      <x:c r="I46" s="6" t="n">
        <x:v>-1126000</x:v>
      </x:c>
      <x:c r="J46" s="6" t="n">
        <x:v>1219000</x:v>
      </x:c>
      <x:c r="K46" s="11" t="n">
        <x:v>5</x:v>
      </x:c>
      <x:c r="L46" s="11" t="n">
        <x:v>237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653000</x:v>
      </x:c>
      <x:c r="E47" s="6" t="n">
        <x:f>C47-D47</x:f>
        <x:v>-73000</x:v>
      </x:c>
      <x:c r="F47" s="6" t="n">
        <x:f>F46+E47</x:f>
        <x:v>-12915000</x:v>
      </x:c>
      <x:c r="G47" s="6" t="n">
        <x:v>80000</x:v>
      </x:c>
      <x:c r="H47" s="6" t="n">
        <x:v>-153000</x:v>
      </x:c>
      <x:c r="I47" s="6" t="n">
        <x:v>-153000</x:v>
      </x:c>
      <x:c r="J47" s="6" t="n">
        <x:v>263000</x:v>
      </x:c>
      <x:c r="K47" s="11" t="n">
        <x:v>8</x:v>
      </x:c>
      <x:c r="L47" s="11" t="n">
        <x:v>69</x:v>
      </x:c>
    </x:row>
    <x:row r="48" ht="25" customHeight="1">
      <x:c r="A48" s="2" t="str">
        <x:v>2026-10-20_Day</x:v>
      </x:c>
      <x:c r="B48" s="2" t="str">
        <x:v>後13場</x:v>
      </x:c>
      <x:c r="C48" s="6" t="n">
        <x:v>606000</x:v>
      </x:c>
      <x:c r="D48" s="6" t="n">
        <x:v>796000</x:v>
      </x:c>
      <x:c r="E48" s="6" t="n">
        <x:f>C48-D48</x:f>
        <x:v>-190000</x:v>
      </x:c>
      <x:c r="F48" s="6" t="n">
        <x:f>F47+E48</x:f>
        <x:v>-13105000</x:v>
      </x:c>
      <x:c r="G48" s="6" t="n">
        <x:v>10000</x:v>
      </x:c>
      <x:c r="H48" s="6" t="n">
        <x:v>-200000</x:v>
      </x:c>
      <x:c r="I48" s="6" t="n">
        <x:v>-600000</x:v>
      </x:c>
      <x:c r="J48" s="6" t="n">
        <x:v>758000</x:v>
      </x:c>
      <x:c r="K48" s="11" t="n">
        <x:v>6</x:v>
      </x:c>
      <x:c r="L48" s="11" t="n">
        <x:v>158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1063000</x:v>
      </x:c>
      <x:c r="D49" s="6" t="n">
        <x:v>1552000</x:v>
      </x:c>
      <x:c r="E49" s="6" t="n">
        <x:f>C49-D49</x:f>
        <x:v>-489000</x:v>
      </x:c>
      <x:c r="F49" s="6" t="n">
        <x:f>F48+E49</x:f>
        <x:v>-13594000</x:v>
      </x:c>
      <x:c r="G49" s="6" t="n">
        <x:v>-335000</x:v>
      </x:c>
      <x:c r="H49" s="6" t="n">
        <x:v>-154000</x:v>
      </x:c>
      <x:c r="I49" s="6" t="n">
        <x:v>-519000</x:v>
      </x:c>
      <x:c r="J49" s="6" t="n">
        <x:v>619000</x:v>
      </x:c>
      <x:c r="K49" s="11" t="n">
        <x:v>12</x:v>
      </x:c>
      <x:c r="L49" s="11" t="n">
        <x:v>140</x:v>
      </x:c>
    </x:row>
    <x:row r="50" ht="25" customHeight="1">
      <x:c r="A50" s="2" t="str">
        <x:v>2026-10-21_Day</x:v>
      </x:c>
      <x:c r="B50" s="2" t="str">
        <x:v>後13場</x:v>
      </x:c>
      <x:c r="C50" s="6" t="n">
        <x:v>388000</x:v>
      </x:c>
      <x:c r="D50" s="6" t="n">
        <x:v>703000</x:v>
      </x:c>
      <x:c r="E50" s="6" t="n">
        <x:f>C50-D50</x:f>
        <x:v>-315000</x:v>
      </x:c>
      <x:c r="F50" s="6" t="n">
        <x:f>F49+E50</x:f>
        <x:v>-13909000</x:v>
      </x:c>
      <x:c r="G50" s="6" t="n">
        <x:v>-170000</x:v>
      </x:c>
      <x:c r="H50" s="6" t="n">
        <x:v>-145000</x:v>
      </x:c>
      <x:c r="I50" s="6" t="n">
        <x:v>-595000</x:v>
      </x:c>
      <x:c r="J50" s="6" t="n">
        <x:v>645000</x:v>
      </x:c>
      <x:c r="K50" s="11" t="n">
        <x:v>4</x:v>
      </x:c>
      <x:c r="L50" s="11" t="n">
        <x:v>127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722000</x:v>
      </x:c>
      <x:c r="D51" s="6" t="n">
        <x:v>753000</x:v>
      </x:c>
      <x:c r="E51" s="6" t="n">
        <x:f>C51-D51</x:f>
        <x:v>-31000</x:v>
      </x:c>
      <x:c r="F51" s="6" t="n">
        <x:f>F50+E51</x:f>
        <x:v>-13940000</x:v>
      </x:c>
      <x:c r="G51" s="6" t="n">
        <x:v>30000</x:v>
      </x:c>
      <x:c r="H51" s="6" t="n">
        <x:v>-61000</x:v>
      </x:c>
      <x:c r="I51" s="6" t="n">
        <x:v>-151000</x:v>
      </x:c>
      <x:c r="J51" s="6" t="n">
        <x:v>151000</x:v>
      </x:c>
      <x:c r="K51" s="11" t="n">
        <x:v>10</x:v>
      </x:c>
      <x:c r="L51" s="11" t="n">
        <x:v>57</x:v>
      </x:c>
    </x:row>
    <x:row r="52" ht="25" customHeight="1">
      <x:c r="A52" s="2" t="str">
        <x:v>2026-10-22_Day</x:v>
      </x:c>
      <x:c r="B52" s="2" t="str">
        <x:v>後13場</x:v>
      </x:c>
      <x:c r="C52" s="6" t="n">
        <x:v>661000</x:v>
      </x:c>
      <x:c r="D52" s="6" t="n">
        <x:v>2428000</x:v>
      </x:c>
      <x:c r="E52" s="6" t="n">
        <x:f>C52-D52</x:f>
        <x:v>-1767000</x:v>
      </x:c>
      <x:c r="F52" s="6" t="n">
        <x:f>F51+E52</x:f>
        <x:v>-15707000</x:v>
      </x:c>
      <x:c r="G52" s="6" t="n">
        <x:v>-1170000</x:v>
      </x:c>
      <x:c r="H52" s="6" t="n">
        <x:v>-597000</x:v>
      </x:c>
      <x:c r="I52" s="6" t="n">
        <x:v>-2007000</x:v>
      </x:c>
      <x:c r="J52" s="6" t="n">
        <x:v>2118000</x:v>
      </x:c>
      <x:c r="K52" s="11" t="n">
        <x:v>7</x:v>
      </x:c>
      <x:c r="L52" s="11" t="n">
        <x:v>420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960000</x:v>
      </x:c>
      <x:c r="D53" s="6" t="n">
        <x:v>1456000</x:v>
      </x:c>
      <x:c r="E53" s="6" t="n">
        <x:f>C53-D53</x:f>
        <x:v>-496000</x:v>
      </x:c>
      <x:c r="F53" s="6" t="n">
        <x:f>F52+E53</x:f>
        <x:v>-16203000</x:v>
      </x:c>
      <x:c r="G53" s="6" t="n">
        <x:v>-301000</x:v>
      </x:c>
      <x:c r="H53" s="6" t="n">
        <x:v>-195000</x:v>
      </x:c>
      <x:c r="I53" s="6" t="n">
        <x:v>-506000</x:v>
      </x:c>
      <x:c r="J53" s="6" t="n">
        <x:v>610000</x:v>
      </x:c>
      <x:c r="K53" s="11" t="n">
        <x:v>14</x:v>
      </x:c>
      <x:c r="L53" s="11" t="n">
        <x:v>162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1565000</x:v>
      </x:c>
      <x:c r="D54" s="6" t="n">
        <x:v>1966000</x:v>
      </x:c>
      <x:c r="E54" s="6" t="n">
        <x:f>C54-D54</x:f>
        <x:v>-401000</x:v>
      </x:c>
      <x:c r="F54" s="6" t="n">
        <x:f>F53+E54</x:f>
        <x:v>-16604000</x:v>
      </x:c>
      <x:c r="G54" s="6" t="n">
        <x:v>350000</x:v>
      </x:c>
      <x:c r="H54" s="6" t="n">
        <x:v>-751000</x:v>
      </x:c>
      <x:c r="I54" s="6" t="n">
        <x:v>-551000</x:v>
      </x:c>
      <x:c r="J54" s="6" t="n">
        <x:v>1110000</x:v>
      </x:c>
      <x:c r="K54" s="11" t="n">
        <x:v>16</x:v>
      </x:c>
      <x:c r="L54" s="11" t="n">
        <x:v>288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719000</x:v>
      </x:c>
      <x:c r="E55" s="6" t="n">
        <x:f>C55-D55</x:f>
        <x:v>-219000</x:v>
      </x:c>
      <x:c r="F55" s="6" t="n">
        <x:f>F54+E55</x:f>
        <x:v>-16823000</x:v>
      </x:c>
      <x:c r="G55" s="6" t="n">
        <x:v>-157000</x:v>
      </x:c>
      <x:c r="H55" s="6" t="n">
        <x:v>-62000</x:v>
      </x:c>
      <x:c r="I55" s="6" t="n">
        <x:v>-239000</x:v>
      </x:c>
      <x:c r="J55" s="6" t="n">
        <x:v>277000</x:v>
      </x:c>
      <x:c r="K55" s="11" t="n">
        <x:v>9</x:v>
      </x:c>
      <x:c r="L55" s="11" t="n">
        <x:v>49</x:v>
      </x:c>
    </x:row>
    <x:row r="56" ht="25" customHeight="1">
      <x:c r="A56" s="2" t="str">
        <x:v>2026-10-26_Day</x:v>
      </x:c>
      <x:c r="B56" s="2" t="str">
        <x:v>後13場</x:v>
      </x:c>
      <x:c r="C56" s="6" t="n">
        <x:v>463000</x:v>
      </x:c>
      <x:c r="D56" s="6" t="n">
        <x:v>882000</x:v>
      </x:c>
      <x:c r="E56" s="6" t="n">
        <x:f>C56-D56</x:f>
        <x:v>-419000</x:v>
      </x:c>
      <x:c r="F56" s="6" t="n">
        <x:f>F55+E56</x:f>
        <x:v>-17242000</x:v>
      </x:c>
      <x:c r="G56" s="6" t="n">
        <x:v>-250000</x:v>
      </x:c>
      <x:c r="H56" s="6" t="n">
        <x:v>-169000</x:v>
      </x:c>
      <x:c r="I56" s="6" t="n">
        <x:v>-479000</x:v>
      </x:c>
      <x:c r="J56" s="6" t="n">
        <x:v>479000</x:v>
      </x:c>
      <x:c r="K56" s="11" t="n">
        <x:v>5</x:v>
      </x:c>
      <x:c r="L56" s="11" t="n">
        <x:v>136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704000</x:v>
      </x:c>
      <x:c r="D57" s="6" t="n">
        <x:v>1015000</x:v>
      </x:c>
      <x:c r="E57" s="6" t="n">
        <x:f>C57-D57</x:f>
        <x:v>-311000</x:v>
      </x:c>
      <x:c r="F57" s="6" t="n">
        <x:f>F56+E57</x:f>
        <x:v>-17553000</x:v>
      </x:c>
      <x:c r="G57" s="6" t="n">
        <x:v>-200000</x:v>
      </x:c>
      <x:c r="H57" s="6" t="n">
        <x:v>-111000</x:v>
      </x:c>
      <x:c r="I57" s="6" t="n">
        <x:v>-331000</x:v>
      </x:c>
      <x:c r="J57" s="6" t="n">
        <x:v>407000</x:v>
      </x:c>
      <x:c r="K57" s="11" t="n">
        <x:v>9</x:v>
      </x:c>
      <x:c r="L57" s="11" t="n">
        <x:v>73</x:v>
      </x:c>
    </x:row>
    <x:row r="58" ht="25" customHeight="1">
      <x:c r="A58" s="2" t="str">
        <x:v>2026-10-27_Day</x:v>
      </x:c>
      <x:c r="B58" s="2" t="str">
        <x:v>後13場</x:v>
      </x:c>
      <x:c r="C58" s="6" t="n">
        <x:v>914000</x:v>
      </x:c>
      <x:c r="D58" s="6" t="n">
        <x:v>215000</x:v>
      </x:c>
      <x:c r="E58" s="6" t="n">
        <x:f>C58-D58</x:f>
        <x:v>699000</x:v>
      </x:c>
      <x:c r="F58" s="6" t="n">
        <x:f>F57+E58</x:f>
        <x:v>-16854000</x:v>
      </x:c>
      <x:c r="G58" s="6" t="n">
        <x:v>900000</x:v>
      </x:c>
      <x:c r="H58" s="6" t="n">
        <x:v>-201000</x:v>
      </x:c>
      <x:c r="I58" s="6" t="n">
        <x:v>-131000</x:v>
      </x:c>
      <x:c r="J58" s="6" t="n">
        <x:v>453000</x:v>
      </x:c>
      <x:c r="K58" s="11" t="n">
        <x:v>9</x:v>
      </x:c>
      <x:c r="L58" s="11" t="n">
        <x:v>99</x:v>
      </x:c>
    </x:row>
    <x:row r="59" ht="25" customHeight="1">
      <x:c r="A59" s="15" t="str">
        <x:v>累計／場内最悪値</x:v>
      </x:c>
      <x:c r="B59" s="15"/>
      <x:c r="C59" s="16" t="n">
        <x:f>SUM(C6:C58)</x:f>
        <x:v>33106000</x:v>
      </x:c>
      <x:c r="D59" s="16" t="n">
        <x:f>SUM(D6:D58)</x:f>
        <x:v>49960000</x:v>
      </x:c>
      <x:c r="E59" s="16" t="n">
        <x:f>C59-D59</x:f>
        <x:v>-16854000</x:v>
      </x:c>
      <x:c r="F59" s="16" t="n">
        <x:f>F58</x:f>
        <x:v>-16854000</x:v>
      </x:c>
      <x:c r="G59" s="16" t="n">
        <x:f>SUM(G6:G58)</x:f>
        <x:v>-5617000</x:v>
      </x:c>
      <x:c r="H59" s="16" t="n">
        <x:f>SUM(H6:H58)</x:f>
        <x:v>-11237000</x:v>
      </x:c>
      <x:c r="I59" s="16" t="n">
        <x:f>MIN(I6:I58)</x:f>
        <x:v>-2007000</x:v>
      </x:c>
      <x:c r="J59" s="16" t="n">
        <x:f>MAX(J6:J58)</x:f>
        <x:v>2157000</x:v>
      </x:c>
      <x:c r="K59" s="17" t="n">
        <x:f>SUM(K6:K58)</x:f>
        <x:v>391</x:v>
      </x:c>
      <x:c r="L59" s="17" t="n">
        <x:f>SUM(L6:L58)</x:f>
        <x:v>6660</x:v>
      </x:c>
    </x:row>
  </x:sheetData>
  <x:conditionalFormatting sqref="E6:I58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ae3c2ca2c34798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H21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段60・即追尾・追尾10・固定段再交差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5000</x:v>
      </x:c>
      <x:c r="E6" s="6" t="n">
        <x:f>C6-D6</x:f>
        <x:v>195000</x:v>
      </x:c>
      <x:c r="F6" s="6" t="n">
        <x:f>E6</x:f>
        <x:v>195000</x:v>
      </x:c>
      <x:c r="G6" s="6" t="n">
        <x:v>200000</x:v>
      </x:c>
      <x:c r="H6" s="6" t="n">
        <x:v>-5000</x:v>
      </x:c>
      <x:c r="I6" s="6" t="n">
        <x:v>-60000</x:v>
      </x:c>
      <x:c r="J6" s="6" t="n">
        <x:v>132000</x:v>
      </x:c>
      <x:c r="K6" s="11" t="n">
        <x:v>2</x:v>
      </x:c>
      <x:c r="L6" s="11" t="n">
        <x:v>3</x:v>
      </x:c>
    </x:row>
    <x:row r="7" ht="25" customHeight="1">
      <x:c r="A7" s="2" t="str">
        <x:v>2026-09-21_Night</x:v>
      </x:c>
      <x:c r="B7" s="2" t="str">
        <x:v>前30場</x:v>
      </x:c>
      <x:c r="C7" s="6" t="n">
        <x:v>591000</x:v>
      </x:c>
      <x:c r="D7" s="6" t="n">
        <x:v>988000</x:v>
      </x:c>
      <x:c r="E7" s="6" t="n">
        <x:f>C7-D7</x:f>
        <x:v>-397000</x:v>
      </x:c>
      <x:c r="F7" s="6" t="n">
        <x:f>F6+E7</x:f>
        <x:v>-202000</x:v>
      </x:c>
      <x:c r="G7" s="6" t="n">
        <x:v>-220000</x:v>
      </x:c>
      <x:c r="H7" s="6" t="n">
        <x:v>-177000</x:v>
      </x:c>
      <x:c r="I7" s="6" t="n">
        <x:v>-527000</x:v>
      </x:c>
      <x:c r="J7" s="6" t="n">
        <x:v>664000</x:v>
      </x:c>
      <x:c r="K7" s="11" t="n">
        <x:v>7</x:v>
      </x:c>
      <x:c r="L7" s="11" t="n">
        <x:v>113</x:v>
      </x:c>
    </x:row>
    <x:row r="8" ht="25" customHeight="1">
      <x:c r="A8" s="2" t="str">
        <x:v>2026-09-22_Day</x:v>
      </x:c>
      <x:c r="B8" s="2" t="str">
        <x:v>前30場</x:v>
      </x:c>
      <x:c r="C8" s="6" t="n">
        <x:v>107000</x:v>
      </x:c>
      <x:c r="D8" s="6" t="n">
        <x:v>312000</x:v>
      </x:c>
      <x:c r="E8" s="6" t="n">
        <x:f>C8-D8</x:f>
        <x:v>-205000</x:v>
      </x:c>
      <x:c r="F8" s="6" t="n">
        <x:f>F7+E8</x:f>
        <x:v>-407000</x:v>
      </x:c>
      <x:c r="G8" s="6" t="n">
        <x:v>100000</x:v>
      </x:c>
      <x:c r="H8" s="6" t="n">
        <x:v>-305000</x:v>
      </x:c>
      <x:c r="I8" s="6" t="n">
        <x:v>-468000</x:v>
      </x:c>
      <x:c r="J8" s="6" t="n">
        <x:v>548000</x:v>
      </x:c>
      <x:c r="K8" s="11" t="n">
        <x:v>1</x:v>
      </x:c>
      <x:c r="L8" s="11" t="n">
        <x:v>198</x:v>
      </x:c>
    </x:row>
    <x:row r="9" ht="25" customHeight="1">
      <x:c r="A9" s="2" t="str">
        <x:v>2026-09-22_Night</x:v>
      </x:c>
      <x:c r="B9" s="2" t="str">
        <x:v>前30場</x:v>
      </x:c>
      <x:c r="C9" s="6" t="n">
        <x:v>623000</x:v>
      </x:c>
      <x:c r="D9" s="6" t="n">
        <x:v>1237000</x:v>
      </x:c>
      <x:c r="E9" s="6" t="n">
        <x:f>C9-D9</x:f>
        <x:v>-614000</x:v>
      </x:c>
      <x:c r="F9" s="6" t="n">
        <x:f>F8+E9</x:f>
        <x:v>-1021000</x:v>
      </x:c>
      <x:c r="G9" s="6" t="n">
        <x:v>-311000</x:v>
      </x:c>
      <x:c r="H9" s="6" t="n">
        <x:v>-303000</x:v>
      </x:c>
      <x:c r="I9" s="6" t="n">
        <x:v>-784000</x:v>
      </x:c>
      <x:c r="J9" s="6" t="n">
        <x:v>914000</x:v>
      </x:c>
      <x:c r="K9" s="11" t="n">
        <x:v>9</x:v>
      </x:c>
      <x:c r="L9" s="11" t="n">
        <x:v>210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-1021000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1189000</x:v>
      </x:c>
      <x:c r="E11" s="6" t="n">
        <x:f>C11-D11</x:f>
        <x:v>-609000</x:v>
      </x:c>
      <x:c r="F11" s="6" t="n">
        <x:f>F10+E11</x:f>
        <x:v>-1630000</x:v>
      </x:c>
      <x:c r="G11" s="6" t="n">
        <x:v>-490000</x:v>
      </x:c>
      <x:c r="H11" s="6" t="n">
        <x:v>-119000</x:v>
      </x:c>
      <x:c r="I11" s="6" t="n">
        <x:v>-609000</x:v>
      </x:c>
      <x:c r="J11" s="6" t="n">
        <x:v>669000</x:v>
      </x:c>
      <x:c r="K11" s="11" t="n">
        <x:v>9</x:v>
      </x:c>
      <x:c r="L11" s="11" t="n">
        <x:v>66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303000</x:v>
      </x:c>
      <x:c r="D12" s="6" t="n">
        <x:v>649000</x:v>
      </x:c>
      <x:c r="E12" s="6" t="n">
        <x:f>C12-D12</x:f>
        <x:v>-346000</x:v>
      </x:c>
      <x:c r="F12" s="6" t="n">
        <x:f>F11+E12</x:f>
        <x:v>-1976000</x:v>
      </x:c>
      <x:c r="G12" s="6" t="n">
        <x:v>290000</x:v>
      </x:c>
      <x:c r="H12" s="6" t="n">
        <x:v>-636000</x:v>
      </x:c>
      <x:c r="I12" s="6" t="n">
        <x:v>-701000</x:v>
      </x:c>
      <x:c r="J12" s="6" t="n">
        <x:v>701000</x:v>
      </x:c>
      <x:c r="K12" s="11" t="n">
        <x:v>3</x:v>
      </x:c>
      <x:c r="L12" s="11" t="n">
        <x:v>400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591000</x:v>
      </x:c>
      <x:c r="D13" s="6" t="n">
        <x:v>1087000</x:v>
      </x:c>
      <x:c r="E13" s="6" t="n">
        <x:f>C13-D13</x:f>
        <x:v>-496000</x:v>
      </x:c>
      <x:c r="F13" s="6" t="n">
        <x:f>F12+E13</x:f>
        <x:v>-2472000</x:v>
      </x:c>
      <x:c r="G13" s="6" t="n">
        <x:v>-130000</x:v>
      </x:c>
      <x:c r="H13" s="6" t="n">
        <x:v>-366000</x:v>
      </x:c>
      <x:c r="I13" s="6" t="n">
        <x:v>-576000</x:v>
      </x:c>
      <x:c r="J13" s="6" t="n">
        <x:v>656000</x:v>
      </x:c>
      <x:c r="K13" s="11" t="n">
        <x:v>9</x:v>
      </x:c>
      <x:c r="L13" s="11" t="n">
        <x:v>239</x:v>
      </x:c>
    </x:row>
    <x:row r="14" ht="25" customHeight="1">
      <x:c r="A14" s="2" t="str">
        <x:v>2026-09-25_Day</x:v>
      </x:c>
      <x:c r="B14" s="2" t="str">
        <x:v>前30場</x:v>
      </x:c>
      <x:c r="C14" s="6" t="n">
        <x:v>99000</x:v>
      </x:c>
      <x:c r="D14" s="6" t="n">
        <x:v>1271000</x:v>
      </x:c>
      <x:c r="E14" s="6" t="n">
        <x:f>C14-D14</x:f>
        <x:v>-1172000</x:v>
      </x:c>
      <x:c r="F14" s="6" t="n">
        <x:f>F13+E14</x:f>
        <x:v>-3644000</x:v>
      </x:c>
      <x:c r="G14" s="6" t="n">
        <x:v>-610000</x:v>
      </x:c>
      <x:c r="H14" s="6" t="n">
        <x:v>-562000</x:v>
      </x:c>
      <x:c r="I14" s="6" t="n">
        <x:v>-1292000</x:v>
      </x:c>
      <x:c r="J14" s="6" t="n">
        <x:v>1362000</x:v>
      </x:c>
      <x:c r="K14" s="11" t="n">
        <x:v>3</x:v>
      </x:c>
      <x:c r="L14" s="11" t="n">
        <x:v>324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460000</x:v>
      </x:c>
      <x:c r="D15" s="6" t="n">
        <x:v>698000</x:v>
      </x:c>
      <x:c r="E15" s="6" t="n">
        <x:f>C15-D15</x:f>
        <x:v>-238000</x:v>
      </x:c>
      <x:c r="F15" s="6" t="n">
        <x:f>F14+E15</x:f>
        <x:v>-3882000</x:v>
      </x:c>
      <x:c r="G15" s="6" t="n">
        <x:v>-190000</x:v>
      </x:c>
      <x:c r="H15" s="6" t="n">
        <x:v>-48000</x:v>
      </x:c>
      <x:c r="I15" s="6" t="n">
        <x:v>-258000</x:v>
      </x:c>
      <x:c r="J15" s="6" t="n">
        <x:v>258000</x:v>
      </x:c>
      <x:c r="K15" s="11" t="n">
        <x:v>7</x:v>
      </x:c>
      <x:c r="L15" s="11" t="n">
        <x:v>30</x:v>
      </x:c>
    </x:row>
    <x:row r="16" ht="25" customHeight="1">
      <x:c r="A16" s="2" t="str">
        <x:v>2026-09-28_Day</x:v>
      </x:c>
      <x:c r="B16" s="2" t="str">
        <x:v>前30場</x:v>
      </x:c>
      <x:c r="C16" s="6" t="n">
        <x:v>473000</x:v>
      </x:c>
      <x:c r="D16" s="6" t="n">
        <x:v>325000</x:v>
      </x:c>
      <x:c r="E16" s="6" t="n">
        <x:f>C16-D16</x:f>
        <x:v>148000</x:v>
      </x:c>
      <x:c r="F16" s="6" t="n">
        <x:f>F15+E16</x:f>
        <x:v>-3734000</x:v>
      </x:c>
      <x:c r="G16" s="6" t="n">
        <x:v>461000</x:v>
      </x:c>
      <x:c r="H16" s="6" t="n">
        <x:v>-313000</x:v>
      </x:c>
      <x:c r="I16" s="6" t="n">
        <x:v>-529000</x:v>
      </x:c>
      <x:c r="J16" s="6" t="n">
        <x:v>544000</x:v>
      </x:c>
      <x:c r="K16" s="11" t="n">
        <x:v>5</x:v>
      </x:c>
      <x:c r="L16" s="11" t="n">
        <x:v>211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686000</x:v>
      </x:c>
      <x:c r="D17" s="6" t="n">
        <x:v>855000</x:v>
      </x:c>
      <x:c r="E17" s="6" t="n">
        <x:f>C17-D17</x:f>
        <x:v>-169000</x:v>
      </x:c>
      <x:c r="F17" s="6" t="n">
        <x:f>F16+E17</x:f>
        <x:v>-3903000</x:v>
      </x:c>
      <x:c r="G17" s="6" t="n">
        <x:v>220000</x:v>
      </x:c>
      <x:c r="H17" s="6" t="n">
        <x:v>-389000</x:v>
      </x:c>
      <x:c r="I17" s="6" t="n">
        <x:v>-353000</x:v>
      </x:c>
      <x:c r="J17" s="6" t="n">
        <x:v>406000</x:v>
      </x:c>
      <x:c r="K17" s="11" t="n">
        <x:v>11</x:v>
      </x:c>
      <x:c r="L17" s="11" t="n">
        <x:v>237</x:v>
      </x:c>
    </x:row>
    <x:row r="18" ht="25" customHeight="1">
      <x:c r="A18" s="2" t="str">
        <x:v>2026-09-29_Day</x:v>
      </x:c>
      <x:c r="B18" s="2" t="str">
        <x:v>前30場</x:v>
      </x:c>
      <x:c r="C18" s="6" t="n">
        <x:v>386000</x:v>
      </x:c>
      <x:c r="D18" s="6" t="n">
        <x:v>1369000</x:v>
      </x:c>
      <x:c r="E18" s="6" t="n">
        <x:f>C18-D18</x:f>
        <x:v>-983000</x:v>
      </x:c>
      <x:c r="F18" s="6" t="n">
        <x:f>F17+E18</x:f>
        <x:v>-4886000</x:v>
      </x:c>
      <x:c r="G18" s="6" t="n">
        <x:v>-80000</x:v>
      </x:c>
      <x:c r="H18" s="6" t="n">
        <x:v>-903000</x:v>
      </x:c>
      <x:c r="I18" s="6" t="n">
        <x:v>-1516000</x:v>
      </x:c>
      <x:c r="J18" s="6" t="n">
        <x:v>1540000</x:v>
      </x:c>
      <x:c r="K18" s="11" t="n">
        <x:v>5</x:v>
      </x:c>
      <x:c r="L18" s="11" t="n">
        <x:v>604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694000</x:v>
      </x:c>
      <x:c r="D19" s="6" t="n">
        <x:v>793000</x:v>
      </x:c>
      <x:c r="E19" s="6" t="n">
        <x:f>C19-D19</x:f>
        <x:v>-99000</x:v>
      </x:c>
      <x:c r="F19" s="6" t="n">
        <x:f>F18+E19</x:f>
        <x:v>-4985000</x:v>
      </x:c>
      <x:c r="G19" s="6" t="n">
        <x:v>4000</x:v>
      </x:c>
      <x:c r="H19" s="6" t="n">
        <x:v>-103000</x:v>
      </x:c>
      <x:c r="I19" s="6" t="n">
        <x:v>-159000</x:v>
      </x:c>
      <x:c r="J19" s="6" t="n">
        <x:v>306000</x:v>
      </x:c>
      <x:c r="K19" s="11" t="n">
        <x:v>11</x:v>
      </x:c>
      <x:c r="L19" s="11" t="n">
        <x:v>72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197000</x:v>
      </x:c>
      <x:c r="D20" s="6" t="n">
        <x:v>1041000</x:v>
      </x:c>
      <x:c r="E20" s="6" t="n">
        <x:f>C20-D20</x:f>
        <x:v>-844000</x:v>
      </x:c>
      <x:c r="F20" s="6" t="n">
        <x:f>F19+E20</x:f>
        <x:v>-5829000</x:v>
      </x:c>
      <x:c r="G20" s="6" t="n">
        <x:v>-420000</x:v>
      </x:c>
      <x:c r="H20" s="6" t="n">
        <x:v>-424000</x:v>
      </x:c>
      <x:c r="I20" s="6" t="n">
        <x:v>-844000</x:v>
      </x:c>
      <x:c r="J20" s="6" t="n">
        <x:v>984000</x:v>
      </x:c>
      <x:c r="K20" s="11" t="n">
        <x:v>3</x:v>
      </x:c>
      <x:c r="L20" s="11" t="n">
        <x:v>240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850000</x:v>
      </x:c>
      <x:c r="E21" s="6" t="n">
        <x:f>C21-D21</x:f>
        <x:v>-250000</x:v>
      </x:c>
      <x:c r="F21" s="6" t="n">
        <x:f>F20+E21</x:f>
        <x:v>-6079000</x:v>
      </x:c>
      <x:c r="G21" s="6" t="n">
        <x:v>-120000</x:v>
      </x:c>
      <x:c r="H21" s="6" t="n">
        <x:v>-130000</x:v>
      </x:c>
      <x:c r="I21" s="6" t="n">
        <x:v>-369000</x:v>
      </x:c>
      <x:c r="J21" s="6" t="n">
        <x:v>369000</x:v>
      </x:c>
      <x:c r="K21" s="11" t="n">
        <x:v>8</x:v>
      </x:c>
      <x:c r="L21" s="11" t="n">
        <x:v>72</x:v>
      </x:c>
    </x:row>
    <x:row r="22" ht="25" customHeight="1">
      <x:c r="A22" s="2" t="str">
        <x:v>2026-10-01_Day</x:v>
      </x:c>
      <x:c r="B22" s="2" t="str">
        <x:v>前30場</x:v>
      </x:c>
      <x:c r="C22" s="6" t="n">
        <x:v>223000</x:v>
      </x:c>
      <x:c r="D22" s="6" t="n">
        <x:v>1911000</x:v>
      </x:c>
      <x:c r="E22" s="6" t="n">
        <x:f>C22-D22</x:f>
        <x:v>-1688000</x:v>
      </x:c>
      <x:c r="F22" s="6" t="n">
        <x:f>F21+E22</x:f>
        <x:v>-7767000</x:v>
      </x:c>
      <x:c r="G22" s="6" t="n">
        <x:v>-1410000</x:v>
      </x:c>
      <x:c r="H22" s="6" t="n">
        <x:v>-278000</x:v>
      </x:c>
      <x:c r="I22" s="6" t="n">
        <x:v>-1888000</x:v>
      </x:c>
      <x:c r="J22" s="6" t="n">
        <x:v>1948000</x:v>
      </x:c>
      <x:c r="K22" s="11" t="n">
        <x:v>3</x:v>
      </x:c>
      <x:c r="L22" s="11" t="n">
        <x:v>175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860000</x:v>
      </x:c>
      <x:c r="D23" s="6" t="n">
        <x:v>942000</x:v>
      </x:c>
      <x:c r="E23" s="6" t="n">
        <x:f>C23-D23</x:f>
        <x:v>-82000</x:v>
      </x:c>
      <x:c r="F23" s="6" t="n">
        <x:f>F22+E23</x:f>
        <x:v>-7849000</x:v>
      </x:c>
      <x:c r="G23" s="6" t="n">
        <x:v>0</x:v>
      </x:c>
      <x:c r="H23" s="6" t="n">
        <x:v>-82000</x:v>
      </x:c>
      <x:c r="I23" s="6" t="n">
        <x:v>-252000</x:v>
      </x:c>
      <x:c r="J23" s="6" t="n">
        <x:v>362000</x:v>
      </x:c>
      <x:c r="K23" s="11" t="n">
        <x:v>11</x:v>
      </x:c>
      <x:c r="L23" s="11" t="n">
        <x:v>48</x:v>
      </x:c>
    </x:row>
    <x:row r="24" ht="25" customHeight="1">
      <x:c r="A24" s="2" t="str">
        <x:v>2026-10-02_Day</x:v>
      </x:c>
      <x:c r="B24" s="2" t="str">
        <x:v>前30場</x:v>
      </x:c>
      <x:c r="C24" s="6" t="n">
        <x:v>314000</x:v>
      </x:c>
      <x:c r="D24" s="6" t="n">
        <x:v>1225000</x:v>
      </x:c>
      <x:c r="E24" s="6" t="n">
        <x:f>C24-D24</x:f>
        <x:v>-911000</x:v>
      </x:c>
      <x:c r="F24" s="6" t="n">
        <x:f>F23+E24</x:f>
        <x:v>-8760000</x:v>
      </x:c>
      <x:c r="G24" s="6" t="n">
        <x:v>0</x:v>
      </x:c>
      <x:c r="H24" s="6" t="n">
        <x:v>-911000</x:v>
      </x:c>
      <x:c r="I24" s="6" t="n">
        <x:v>-1051000</x:v>
      </x:c>
      <x:c r="J24" s="6" t="n">
        <x:v>1071000</x:v>
      </x:c>
      <x:c r="K24" s="11" t="n">
        <x:v>5</x:v>
      </x:c>
      <x:c r="L24" s="11" t="n">
        <x:v>531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1040000</x:v>
      </x:c>
      <x:c r="D25" s="6" t="n">
        <x:v>1259000</x:v>
      </x:c>
      <x:c r="E25" s="6" t="n">
        <x:f>C25-D25</x:f>
        <x:v>-219000</x:v>
      </x:c>
      <x:c r="F25" s="6" t="n">
        <x:f>F24+E25</x:f>
        <x:v>-8979000</x:v>
      </x:c>
      <x:c r="G25" s="6" t="n">
        <x:v>-130000</x:v>
      </x:c>
      <x:c r="H25" s="6" t="n">
        <x:v>-89000</x:v>
      </x:c>
      <x:c r="I25" s="6" t="n">
        <x:v>-461000</x:v>
      </x:c>
      <x:c r="J25" s="6" t="n">
        <x:v>531000</x:v>
      </x:c>
      <x:c r="K25" s="11" t="n">
        <x:v>13</x:v>
      </x:c>
      <x:c r="L25" s="11" t="n">
        <x:v>25</x:v>
      </x:c>
    </x:row>
    <x:row r="26" ht="25" customHeight="1">
      <x:c r="A26" s="2" t="str">
        <x:v>2026-10-05_Day</x:v>
      </x:c>
      <x:c r="B26" s="2" t="str">
        <x:v>前30場</x:v>
      </x:c>
      <x:c r="C26" s="6" t="n">
        <x:v>221000</x:v>
      </x:c>
      <x:c r="D26" s="6" t="n">
        <x:v>1427000</x:v>
      </x:c>
      <x:c r="E26" s="6" t="n">
        <x:f>C26-D26</x:f>
        <x:v>-1206000</x:v>
      </x:c>
      <x:c r="F26" s="6" t="n">
        <x:f>F25+E26</x:f>
        <x:v>-10185000</x:v>
      </x:c>
      <x:c r="G26" s="6" t="n">
        <x:v>-330000</x:v>
      </x:c>
      <x:c r="H26" s="6" t="n">
        <x:v>-876000</x:v>
      </x:c>
      <x:c r="I26" s="6" t="n">
        <x:v>-1206000</x:v>
      </x:c>
      <x:c r="J26" s="6" t="n">
        <x:v>1256000</x:v>
      </x:c>
      <x:c r="K26" s="11" t="n">
        <x:v>3</x:v>
      </x:c>
      <x:c r="L26" s="11" t="n">
        <x:v>553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404000</x:v>
      </x:c>
      <x:c r="D27" s="6" t="n">
        <x:v>743000</x:v>
      </x:c>
      <x:c r="E27" s="6" t="n">
        <x:f>C27-D27</x:f>
        <x:v>-339000</x:v>
      </x:c>
      <x:c r="F27" s="6" t="n">
        <x:f>F26+E27</x:f>
        <x:v>-10524000</x:v>
      </x:c>
      <x:c r="G27" s="6" t="n">
        <x:v>-50000</x:v>
      </x:c>
      <x:c r="H27" s="6" t="n">
        <x:v>-289000</x:v>
      </x:c>
      <x:c r="I27" s="6" t="n">
        <x:v>-349000</x:v>
      </x:c>
      <x:c r="J27" s="6" t="n">
        <x:v>418000</x:v>
      </x:c>
      <x:c r="K27" s="11" t="n">
        <x:v>5</x:v>
      </x:c>
      <x:c r="L27" s="11" t="n">
        <x:v>183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101000</x:v>
      </x:c>
      <x:c r="D28" s="6" t="n">
        <x:v>50000</x:v>
      </x:c>
      <x:c r="E28" s="6" t="n">
        <x:f>C28-D28</x:f>
        <x:v>51000</x:v>
      </x:c>
      <x:c r="F28" s="6" t="n">
        <x:f>F27+E28</x:f>
        <x:v>-10473000</x:v>
      </x:c>
      <x:c r="G28" s="6" t="n">
        <x:v>100000</x:v>
      </x:c>
      <x:c r="H28" s="6" t="n">
        <x:v>-49000</x:v>
      </x:c>
      <x:c r="I28" s="6" t="n">
        <x:v>-183000</x:v>
      </x:c>
      <x:c r="J28" s="6" t="n">
        <x:v>183000</x:v>
      </x:c>
      <x:c r="K28" s="11" t="n">
        <x:v>1</x:v>
      </x:c>
      <x:c r="L28" s="11" t="n">
        <x:v>31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586000</x:v>
      </x:c>
      <x:c r="D29" s="6" t="n">
        <x:v>590000</x:v>
      </x:c>
      <x:c r="E29" s="6" t="n">
        <x:f>C29-D29</x:f>
        <x:v>-4000</x:v>
      </x:c>
      <x:c r="F29" s="6" t="n">
        <x:f>F28+E29</x:f>
        <x:v>-10477000</x:v>
      </x:c>
      <x:c r="G29" s="6" t="n">
        <x:v>56000</x:v>
      </x:c>
      <x:c r="H29" s="6" t="n">
        <x:v>-60000</x:v>
      </x:c>
      <x:c r="I29" s="6" t="n">
        <x:v>-150000</x:v>
      </x:c>
      <x:c r="J29" s="6" t="n">
        <x:v>223000</x:v>
      </x:c>
      <x:c r="K29" s="11" t="n">
        <x:v>8</x:v>
      </x:c>
      <x:c r="L29" s="11" t="n">
        <x:v>35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86000</x:v>
      </x:c>
      <x:c r="E30" s="6" t="n">
        <x:f>C30-D30</x:f>
        <x:v>114000</x:v>
      </x:c>
      <x:c r="F30" s="6" t="n">
        <x:f>F29+E30</x:f>
        <x:v>-10363000</x:v>
      </x:c>
      <x:c r="G30" s="6" t="n">
        <x:v>200000</x:v>
      </x:c>
      <x:c r="H30" s="6" t="n">
        <x:v>-86000</x:v>
      </x:c>
      <x:c r="I30" s="6" t="n">
        <x:v>-112000</x:v>
      </x:c>
      <x:c r="J30" s="6" t="n">
        <x:v>192000</x:v>
      </x:c>
      <x:c r="K30" s="11" t="n">
        <x:v>2</x:v>
      </x:c>
      <x:c r="L30" s="11" t="n">
        <x:v>51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790000</x:v>
      </x:c>
      <x:c r="D31" s="6" t="n">
        <x:v>964000</x:v>
      </x:c>
      <x:c r="E31" s="6" t="n">
        <x:f>C31-D31</x:f>
        <x:v>-174000</x:v>
      </x:c>
      <x:c r="F31" s="6" t="n">
        <x:f>F30+E31</x:f>
        <x:v>-10537000</x:v>
      </x:c>
      <x:c r="G31" s="6" t="n">
        <x:v>-140000</x:v>
      </x:c>
      <x:c r="H31" s="6" t="n">
        <x:v>-34000</x:v>
      </x:c>
      <x:c r="I31" s="6" t="n">
        <x:v>-184000</x:v>
      </x:c>
      <x:c r="J31" s="6" t="n">
        <x:v>204000</x:v>
      </x:c>
      <x:c r="K31" s="11" t="n">
        <x:v>10</x:v>
      </x:c>
      <x:c r="L31" s="11" t="n">
        <x:v>27</x:v>
      </x:c>
    </x:row>
    <x:row r="32" ht="25" customHeight="1">
      <x:c r="A32" s="2" t="str">
        <x:v>2026-10-08_Day</x:v>
      </x:c>
      <x:c r="B32" s="2" t="str">
        <x:v>前30場</x:v>
      </x:c>
      <x:c r="C32" s="6" t="n">
        <x:v>317000</x:v>
      </x:c>
      <x:c r="D32" s="6" t="n">
        <x:v>2085000</x:v>
      </x:c>
      <x:c r="E32" s="6" t="n">
        <x:f>C32-D32</x:f>
        <x:v>-1768000</x:v>
      </x:c>
      <x:c r="F32" s="6" t="n">
        <x:f>F31+E32</x:f>
        <x:v>-12305000</x:v>
      </x:c>
      <x:c r="G32" s="6" t="n">
        <x:v>-810000</x:v>
      </x:c>
      <x:c r="H32" s="6" t="n">
        <x:v>-958000</x:v>
      </x:c>
      <x:c r="I32" s="6" t="n">
        <x:v>-1768000</x:v>
      </x:c>
      <x:c r="J32" s="6" t="n">
        <x:v>1986000</x:v>
      </x:c>
      <x:c r="K32" s="11" t="n">
        <x:v>4</x:v>
      </x:c>
      <x:c r="L32" s="11" t="n">
        <x:v>552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1200000</x:v>
      </x:c>
      <x:c r="D33" s="6" t="n">
        <x:v>1713000</x:v>
      </x:c>
      <x:c r="E33" s="6" t="n">
        <x:f>C33-D33</x:f>
        <x:v>-513000</x:v>
      </x:c>
      <x:c r="F33" s="6" t="n">
        <x:f>F32+E33</x:f>
        <x:v>-12818000</x:v>
      </x:c>
      <x:c r="G33" s="6" t="n">
        <x:v>-158000</x:v>
      </x:c>
      <x:c r="H33" s="6" t="n">
        <x:v>-355000</x:v>
      </x:c>
      <x:c r="I33" s="6" t="n">
        <x:v>-513000</x:v>
      </x:c>
      <x:c r="J33" s="6" t="n">
        <x:v>660000</x:v>
      </x:c>
      <x:c r="K33" s="11" t="n">
        <x:v>15</x:v>
      </x:c>
      <x:c r="L33" s="11" t="n">
        <x:v>230</x:v>
      </x:c>
    </x:row>
    <x:row r="34" ht="25" customHeight="1">
      <x:c r="A34" s="2" t="str">
        <x:v>2026-10-09_Day</x:v>
      </x:c>
      <x:c r="B34" s="2" t="str">
        <x:v>前30場</x:v>
      </x:c>
      <x:c r="C34" s="6" t="n">
        <x:v>512000</x:v>
      </x:c>
      <x:c r="D34" s="6" t="n">
        <x:v>1572000</x:v>
      </x:c>
      <x:c r="E34" s="6" t="n">
        <x:f>C34-D34</x:f>
        <x:v>-1060000</x:v>
      </x:c>
      <x:c r="F34" s="6" t="n">
        <x:f>F33+E34</x:f>
        <x:v>-13878000</x:v>
      </x:c>
      <x:c r="G34" s="6" t="n">
        <x:v>-450000</x:v>
      </x:c>
      <x:c r="H34" s="6" t="n">
        <x:v>-610000</x:v>
      </x:c>
      <x:c r="I34" s="6" t="n">
        <x:v>-1110000</x:v>
      </x:c>
      <x:c r="J34" s="6" t="n">
        <x:v>1425000</x:v>
      </x:c>
      <x:c r="K34" s="11" t="n">
        <x:v>7</x:v>
      </x:c>
      <x:c r="L34" s="11" t="n">
        <x:v>391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491000</x:v>
      </x:c>
      <x:c r="D35" s="6" t="n">
        <x:v>803000</x:v>
      </x:c>
      <x:c r="E35" s="6" t="n">
        <x:f>C35-D35</x:f>
        <x:v>-312000</x:v>
      </x:c>
      <x:c r="F35" s="6" t="n">
        <x:f>F34+E35</x:f>
        <x:v>-14190000</x:v>
      </x:c>
      <x:c r="G35" s="6" t="n">
        <x:v>20000</x:v>
      </x:c>
      <x:c r="H35" s="6" t="n">
        <x:v>-332000</x:v>
      </x:c>
      <x:c r="I35" s="6" t="n">
        <x:v>-361000</x:v>
      </x:c>
      <x:c r="J35" s="6" t="n">
        <x:v>389000</x:v>
      </x:c>
      <x:c r="K35" s="11" t="n">
        <x:v>7</x:v>
      </x:c>
      <x:c r="L35" s="11" t="n">
        <x:v>217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-14190000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681000</x:v>
      </x:c>
      <x:c r="D37" s="6" t="n">
        <x:v>918000</x:v>
      </x:c>
      <x:c r="E37" s="6" t="n">
        <x:f>C37-D37</x:f>
        <x:v>-237000</x:v>
      </x:c>
      <x:c r="F37" s="6" t="n">
        <x:f>F36+E37</x:f>
        <x:v>-14427000</x:v>
      </x:c>
      <x:c r="G37" s="6" t="n">
        <x:v>-140000</x:v>
      </x:c>
      <x:c r="H37" s="6" t="n">
        <x:v>-97000</x:v>
      </x:c>
      <x:c r="I37" s="6" t="n">
        <x:v>-267000</x:v>
      </x:c>
      <x:c r="J37" s="6" t="n">
        <x:v>277000</x:v>
      </x:c>
      <x:c r="K37" s="11" t="n">
        <x:v>9</x:v>
      </x:c>
      <x:c r="L37" s="11" t="n">
        <x:v>59</x:v>
      </x:c>
    </x:row>
    <x:row r="38" ht="25" customHeight="1">
      <x:c r="A38" s="2" t="str">
        <x:v>2026-10-13_Day</x:v>
      </x:c>
      <x:c r="B38" s="2" t="str">
        <x:v>次10場</x:v>
      </x:c>
      <x:c r="C38" s="6" t="n">
        <x:v>497000</x:v>
      </x:c>
      <x:c r="D38" s="6" t="n">
        <x:v>354000</x:v>
      </x:c>
      <x:c r="E38" s="6" t="n">
        <x:f>C38-D38</x:f>
        <x:v>143000</x:v>
      </x:c>
      <x:c r="F38" s="6" t="n">
        <x:f>F37+E38</x:f>
        <x:v>-14284000</x:v>
      </x:c>
      <x:c r="G38" s="6" t="n">
        <x:v>490000</x:v>
      </x:c>
      <x:c r="H38" s="6" t="n">
        <x:v>-347000</x:v>
      </x:c>
      <x:c r="I38" s="6" t="n">
        <x:v>-328000</x:v>
      </x:c>
      <x:c r="J38" s="6" t="n">
        <x:v>386000</x:v>
      </x:c>
      <x:c r="K38" s="11" t="n">
        <x:v>5</x:v>
      </x:c>
      <x:c r="L38" s="11" t="n">
        <x:v>219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446000</x:v>
      </x:c>
      <x:c r="E39" s="6" t="n">
        <x:f>C39-D39</x:f>
        <x:v>-146000</x:v>
      </x:c>
      <x:c r="F39" s="6" t="n">
        <x:f>F38+E39</x:f>
        <x:v>-14430000</x:v>
      </x:c>
      <x:c r="G39" s="6" t="n">
        <x:v>-116000</x:v>
      </x:c>
      <x:c r="H39" s="6" t="n">
        <x:v>-30000</x:v>
      </x:c>
      <x:c r="I39" s="6" t="n">
        <x:v>-156000</x:v>
      </x:c>
      <x:c r="J39" s="6" t="n">
        <x:v>156000</x:v>
      </x:c>
      <x:c r="K39" s="11" t="n">
        <x:v>6</x:v>
      </x:c>
      <x:c r="L39" s="11" t="n">
        <x:v>22</x:v>
      </x:c>
    </x:row>
    <x:row r="40" ht="25" customHeight="1">
      <x:c r="A40" s="2" t="str">
        <x:v>2026-10-14_Day</x:v>
      </x:c>
      <x:c r="B40" s="2" t="str">
        <x:v>次10場</x:v>
      </x:c>
      <x:c r="C40" s="6" t="n">
        <x:v>404000</x:v>
      </x:c>
      <x:c r="D40" s="6" t="n">
        <x:v>1029000</x:v>
      </x:c>
      <x:c r="E40" s="6" t="n">
        <x:f>C40-D40</x:f>
        <x:v>-625000</x:v>
      </x:c>
      <x:c r="F40" s="6" t="n">
        <x:f>F39+E40</x:f>
        <x:v>-15055000</x:v>
      </x:c>
      <x:c r="G40" s="6" t="n">
        <x:v>40000</x:v>
      </x:c>
      <x:c r="H40" s="6" t="n">
        <x:v>-665000</x:v>
      </x:c>
      <x:c r="I40" s="6" t="n">
        <x:v>-786000</x:v>
      </x:c>
      <x:c r="J40" s="6" t="n">
        <x:v>964000</x:v>
      </x:c>
      <x:c r="K40" s="11" t="n">
        <x:v>5</x:v>
      </x:c>
      <x:c r="L40" s="11" t="n">
        <x:v>401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1450000</x:v>
      </x:c>
      <x:c r="D41" s="6" t="n">
        <x:v>2264000</x:v>
      </x:c>
      <x:c r="E41" s="6" t="n">
        <x:f>C41-D41</x:f>
        <x:v>-814000</x:v>
      </x:c>
      <x:c r="F41" s="6" t="n">
        <x:f>F40+E41</x:f>
        <x:v>-15869000</x:v>
      </x:c>
      <x:c r="G41" s="6" t="n">
        <x:v>-490000</x:v>
      </x:c>
      <x:c r="H41" s="6" t="n">
        <x:v>-324000</x:v>
      </x:c>
      <x:c r="I41" s="6" t="n">
        <x:v>-844000</x:v>
      </x:c>
      <x:c r="J41" s="6" t="n">
        <x:v>854000</x:v>
      </x:c>
      <x:c r="K41" s="11" t="n">
        <x:v>15</x:v>
      </x:c>
      <x:c r="L41" s="11" t="n">
        <x:v>59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1141000</x:v>
      </x:c>
      <x:c r="D42" s="6" t="n">
        <x:v>1610000</x:v>
      </x:c>
      <x:c r="E42" s="6" t="n">
        <x:f>C42-D42</x:f>
        <x:v>-469000</x:v>
      </x:c>
      <x:c r="F42" s="6" t="n">
        <x:f>F41+E42</x:f>
        <x:v>-16338000</x:v>
      </x:c>
      <x:c r="G42" s="6" t="n">
        <x:v>-130000</x:v>
      </x:c>
      <x:c r="H42" s="6" t="n">
        <x:v>-339000</x:v>
      </x:c>
      <x:c r="I42" s="6" t="n">
        <x:v>-1379000</x:v>
      </x:c>
      <x:c r="J42" s="6" t="n">
        <x:v>1629000</x:v>
      </x:c>
      <x:c r="K42" s="11" t="n">
        <x:v>12</x:v>
      </x:c>
      <x:c r="L42" s="11" t="n">
        <x:v>208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1559000</x:v>
      </x:c>
      <x:c r="D43" s="6" t="n">
        <x:v>1748000</x:v>
      </x:c>
      <x:c r="E43" s="6" t="n">
        <x:f>C43-D43</x:f>
        <x:v>-189000</x:v>
      </x:c>
      <x:c r="F43" s="6" t="n">
        <x:f>F42+E43</x:f>
        <x:v>-16527000</x:v>
      </x:c>
      <x:c r="G43" s="6" t="n">
        <x:v>159000</x:v>
      </x:c>
      <x:c r="H43" s="6" t="n">
        <x:v>-348000</x:v>
      </x:c>
      <x:c r="I43" s="6" t="n">
        <x:v>-563000</x:v>
      </x:c>
      <x:c r="J43" s="6" t="n">
        <x:v>593000</x:v>
      </x:c>
      <x:c r="K43" s="11" t="n">
        <x:v>17</x:v>
      </x:c>
      <x:c r="L43" s="11" t="n">
        <x:v>132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1012000</x:v>
      </x:c>
      <x:c r="D44" s="6" t="n">
        <x:v>1300000</x:v>
      </x:c>
      <x:c r="E44" s="6" t="n">
        <x:f>C44-D44</x:f>
        <x:v>-288000</x:v>
      </x:c>
      <x:c r="F44" s="6" t="n">
        <x:f>F43+E44</x:f>
        <x:v>-16815000</x:v>
      </x:c>
      <x:c r="G44" s="6" t="n">
        <x:v>820000</x:v>
      </x:c>
      <x:c r="H44" s="6" t="n">
        <x:v>-1108000</x:v>
      </x:c>
      <x:c r="I44" s="6" t="n">
        <x:v>-514000</x:v>
      </x:c>
      <x:c r="J44" s="6" t="n">
        <x:v>1099000</x:v>
      </x:c>
      <x:c r="K44" s="11" t="n">
        <x:v>11</x:v>
      </x:c>
      <x:c r="L44" s="11" t="n">
        <x:v>705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1580000</x:v>
      </x:c>
      <x:c r="D45" s="6" t="n">
        <x:v>2217000</x:v>
      </x:c>
      <x:c r="E45" s="6" t="n">
        <x:f>C45-D45</x:f>
        <x:v>-637000</x:v>
      </x:c>
      <x:c r="F45" s="6" t="n">
        <x:f>F44+E45</x:f>
        <x:v>-17452000</x:v>
      </x:c>
      <x:c r="G45" s="6" t="n">
        <x:v>-480000</x:v>
      </x:c>
      <x:c r="H45" s="6" t="n">
        <x:v>-157000</x:v>
      </x:c>
      <x:c r="I45" s="6" t="n">
        <x:v>-677000</x:v>
      </x:c>
      <x:c r="J45" s="6" t="n">
        <x:v>786000</x:v>
      </x:c>
      <x:c r="K45" s="11" t="n">
        <x:v>20</x:v>
      </x:c>
      <x:c r="L45" s="11" t="n">
        <x:v>97</x:v>
      </x:c>
    </x:row>
    <x:row r="46" ht="25" customHeight="1">
      <x:c r="A46" s="2" t="str">
        <x:v>2026-10-19_Day</x:v>
      </x:c>
      <x:c r="B46" s="2" t="str">
        <x:v>後13場</x:v>
      </x:c>
      <x:c r="C46" s="6" t="n">
        <x:v>441000</x:v>
      </x:c>
      <x:c r="D46" s="6" t="n">
        <x:v>1401000</x:v>
      </x:c>
      <x:c r="E46" s="6" t="n">
        <x:f>C46-D46</x:f>
        <x:v>-960000</x:v>
      </x:c>
      <x:c r="F46" s="6" t="n">
        <x:f>F45+E46</x:f>
        <x:v>-18412000</x:v>
      </x:c>
      <x:c r="G46" s="6" t="n">
        <x:v>-470000</x:v>
      </x:c>
      <x:c r="H46" s="6" t="n">
        <x:v>-490000</x:v>
      </x:c>
      <x:c r="I46" s="6" t="n">
        <x:v>-1180000</x:v>
      </x:c>
      <x:c r="J46" s="6" t="n">
        <x:v>1211000</x:v>
      </x:c>
      <x:c r="K46" s="11" t="n">
        <x:v>9</x:v>
      </x:c>
      <x:c r="L46" s="11" t="n">
        <x:v>311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581000</x:v>
      </x:c>
      <x:c r="D47" s="6" t="n">
        <x:v>646000</x:v>
      </x:c>
      <x:c r="E47" s="6" t="n">
        <x:f>C47-D47</x:f>
        <x:v>-65000</x:v>
      </x:c>
      <x:c r="F47" s="6" t="n">
        <x:f>F46+E47</x:f>
        <x:v>-18477000</x:v>
      </x:c>
      <x:c r="G47" s="6" t="n">
        <x:v>80000</x:v>
      </x:c>
      <x:c r="H47" s="6" t="n">
        <x:v>-145000</x:v>
      </x:c>
      <x:c r="I47" s="6" t="n">
        <x:v>-168000</x:v>
      </x:c>
      <x:c r="J47" s="6" t="n">
        <x:v>231000</x:v>
      </x:c>
      <x:c r="K47" s="11" t="n">
        <x:v>8</x:v>
      </x:c>
      <x:c r="L47" s="11" t="n">
        <x:v>95</x:v>
      </x:c>
    </x:row>
    <x:row r="48" ht="25" customHeight="1">
      <x:c r="A48" s="2" t="str">
        <x:v>2026-10-20_Day</x:v>
      </x:c>
      <x:c r="B48" s="2" t="str">
        <x:v>後13場</x:v>
      </x:c>
      <x:c r="C48" s="6" t="n">
        <x:v>485000</x:v>
      </x:c>
      <x:c r="D48" s="6" t="n">
        <x:v>872000</x:v>
      </x:c>
      <x:c r="E48" s="6" t="n">
        <x:f>C48-D48</x:f>
        <x:v>-387000</x:v>
      </x:c>
      <x:c r="F48" s="6" t="n">
        <x:f>F47+E48</x:f>
        <x:v>-18864000</x:v>
      </x:c>
      <x:c r="G48" s="6" t="n">
        <x:v>11000</x:v>
      </x:c>
      <x:c r="H48" s="6" t="n">
        <x:v>-398000</x:v>
      </x:c>
      <x:c r="I48" s="6" t="n">
        <x:v>-737000</x:v>
      </x:c>
      <x:c r="J48" s="6" t="n">
        <x:v>897000</x:v>
      </x:c>
      <x:c r="K48" s="11" t="n">
        <x:v>8</x:v>
      </x:c>
      <x:c r="L48" s="11" t="n">
        <x:v>263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1036000</x:v>
      </x:c>
      <x:c r="D49" s="6" t="n">
        <x:v>1434000</x:v>
      </x:c>
      <x:c r="E49" s="6" t="n">
        <x:f>C49-D49</x:f>
        <x:v>-398000</x:v>
      </x:c>
      <x:c r="F49" s="6" t="n">
        <x:f>F48+E49</x:f>
        <x:v>-19262000</x:v>
      </x:c>
      <x:c r="G49" s="6" t="n">
        <x:v>-300000</x:v>
      </x:c>
      <x:c r="H49" s="6" t="n">
        <x:v>-98000</x:v>
      </x:c>
      <x:c r="I49" s="6" t="n">
        <x:v>-428000</x:v>
      </x:c>
      <x:c r="J49" s="6" t="n">
        <x:v>528000</x:v>
      </x:c>
      <x:c r="K49" s="11" t="n">
        <x:v>12</x:v>
      </x:c>
      <x:c r="L49" s="11" t="n">
        <x:v>70</x:v>
      </x:c>
    </x:row>
    <x:row r="50" ht="25" customHeight="1">
      <x:c r="A50" s="2" t="str">
        <x:v>2026-10-21_Day</x:v>
      </x:c>
      <x:c r="B50" s="2" t="str">
        <x:v>後13場</x:v>
      </x:c>
      <x:c r="C50" s="6" t="n">
        <x:v>329000</x:v>
      </x:c>
      <x:c r="D50" s="6" t="n">
        <x:v>1014000</x:v>
      </x:c>
      <x:c r="E50" s="6" t="n">
        <x:f>C50-D50</x:f>
        <x:v>-685000</x:v>
      </x:c>
      <x:c r="F50" s="6" t="n">
        <x:f>F49+E50</x:f>
        <x:v>-19947000</x:v>
      </x:c>
      <x:c r="G50" s="6" t="n">
        <x:v>-158000</x:v>
      </x:c>
      <x:c r="H50" s="6" t="n">
        <x:v>-527000</x:v>
      </x:c>
      <x:c r="I50" s="6" t="n">
        <x:v>-893000</x:v>
      </x:c>
      <x:c r="J50" s="6" t="n">
        <x:v>943000</x:v>
      </x:c>
      <x:c r="K50" s="11" t="n">
        <x:v>5</x:v>
      </x:c>
      <x:c r="L50" s="11" t="n">
        <x:v>341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600000</x:v>
      </x:c>
      <x:c r="D51" s="6" t="n">
        <x:v>692000</x:v>
      </x:c>
      <x:c r="E51" s="6" t="n">
        <x:f>C51-D51</x:f>
        <x:v>-92000</x:v>
      </x:c>
      <x:c r="F51" s="6" t="n">
        <x:f>F50+E51</x:f>
        <x:v>-20039000</x:v>
      </x:c>
      <x:c r="G51" s="6" t="n">
        <x:v>-50000</x:v>
      </x:c>
      <x:c r="H51" s="6" t="n">
        <x:v>-42000</x:v>
      </x:c>
      <x:c r="I51" s="6" t="n">
        <x:v>-232000</x:v>
      </x:c>
      <x:c r="J51" s="6" t="n">
        <x:v>232000</x:v>
      </x:c>
      <x:c r="K51" s="11" t="n">
        <x:v>8</x:v>
      </x:c>
      <x:c r="L51" s="11" t="n">
        <x:v>32</x:v>
      </x:c>
    </x:row>
    <x:row r="52" ht="25" customHeight="1">
      <x:c r="A52" s="2" t="str">
        <x:v>2026-10-22_Day</x:v>
      </x:c>
      <x:c r="B52" s="2" t="str">
        <x:v>後13場</x:v>
      </x:c>
      <x:c r="C52" s="6" t="n">
        <x:v>598000</x:v>
      </x:c>
      <x:c r="D52" s="6" t="n">
        <x:v>2207000</x:v>
      </x:c>
      <x:c r="E52" s="6" t="n">
        <x:f>C52-D52</x:f>
        <x:v>-1609000</x:v>
      </x:c>
      <x:c r="F52" s="6" t="n">
        <x:f>F51+E52</x:f>
        <x:v>-21648000</x:v>
      </x:c>
      <x:c r="G52" s="6" t="n">
        <x:v>-1170000</x:v>
      </x:c>
      <x:c r="H52" s="6" t="n">
        <x:v>-439000</x:v>
      </x:c>
      <x:c r="I52" s="6" t="n">
        <x:v>-1849000</x:v>
      </x:c>
      <x:c r="J52" s="6" t="n">
        <x:v>1980000</x:v>
      </x:c>
      <x:c r="K52" s="11" t="n">
        <x:v>7</x:v>
      </x:c>
      <x:c r="L52" s="11" t="n">
        <x:v>266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912000</x:v>
      </x:c>
      <x:c r="D53" s="6" t="n">
        <x:v>1313000</x:v>
      </x:c>
      <x:c r="E53" s="6" t="n">
        <x:f>C53-D53</x:f>
        <x:v>-401000</x:v>
      </x:c>
      <x:c r="F53" s="6" t="n">
        <x:f>F52+E53</x:f>
        <x:v>-22049000</x:v>
      </x:c>
      <x:c r="G53" s="6" t="n">
        <x:v>-294000</x:v>
      </x:c>
      <x:c r="H53" s="6" t="n">
        <x:v>-107000</x:v>
      </x:c>
      <x:c r="I53" s="6" t="n">
        <x:v>-411000</x:v>
      </x:c>
      <x:c r="J53" s="6" t="n">
        <x:v>540000</x:v>
      </x:c>
      <x:c r="K53" s="11" t="n">
        <x:v>14</x:v>
      </x:c>
      <x:c r="L53" s="11" t="n">
        <x:v>80</x:v>
      </x:c>
    </x:row>
    <x:row r="54" ht="25" customHeight="1">
      <x:c r="A54" s="2" t="str">
        <x:v>2026-10-23_Day</x:v>
      </x:c>
      <x:c r="B54" s="2" t="str">
        <x:v>後13場</x:v>
      </x:c>
      <x:c r="C54" s="6" t="n">
        <x:v>1498000</x:v>
      </x:c>
      <x:c r="D54" s="6" t="n">
        <x:v>2197000</x:v>
      </x:c>
      <x:c r="E54" s="6" t="n">
        <x:f>C54-D54</x:f>
        <x:v>-699000</x:v>
      </x:c>
      <x:c r="F54" s="6" t="n">
        <x:f>F53+E54</x:f>
        <x:v>-22748000</x:v>
      </x:c>
      <x:c r="G54" s="6" t="n">
        <x:v>340000</x:v>
      </x:c>
      <x:c r="H54" s="6" t="n">
        <x:v>-1039000</x:v>
      </x:c>
      <x:c r="I54" s="6" t="n">
        <x:v>-1199000</x:v>
      </x:c>
      <x:c r="J54" s="6" t="n">
        <x:v>1545000</x:v>
      </x:c>
      <x:c r="K54" s="11" t="n">
        <x:v>17</x:v>
      </x:c>
      <x:c r="L54" s="11" t="n">
        <x:v>619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677000</x:v>
      </x:c>
      <x:c r="E55" s="6" t="n">
        <x:f>C55-D55</x:f>
        <x:v>-177000</x:v>
      </x:c>
      <x:c r="F55" s="6" t="n">
        <x:f>F54+E55</x:f>
        <x:v>-22925000</x:v>
      </x:c>
      <x:c r="G55" s="6" t="n">
        <x:v>-150000</x:v>
      </x:c>
      <x:c r="H55" s="6" t="n">
        <x:v>-27000</x:v>
      </x:c>
      <x:c r="I55" s="6" t="n">
        <x:v>-197000</x:v>
      </x:c>
      <x:c r="J55" s="6" t="n">
        <x:v>236000</x:v>
      </x:c>
      <x:c r="K55" s="11" t="n">
        <x:v>7</x:v>
      </x:c>
      <x:c r="L55" s="11" t="n">
        <x:v>19</x:v>
      </x:c>
    </x:row>
    <x:row r="56" ht="25" customHeight="1">
      <x:c r="A56" s="2" t="str">
        <x:v>2026-10-26_Day</x:v>
      </x:c>
      <x:c r="B56" s="2" t="str">
        <x:v>後13場</x:v>
      </x:c>
      <x:c r="C56" s="6" t="n">
        <x:v>430000</x:v>
      </x:c>
      <x:c r="D56" s="6" t="n">
        <x:v>1549000</x:v>
      </x:c>
      <x:c r="E56" s="6" t="n">
        <x:f>C56-D56</x:f>
        <x:v>-1119000</x:v>
      </x:c>
      <x:c r="F56" s="6" t="n">
        <x:f>F55+E56</x:f>
        <x:v>-24044000</x:v>
      </x:c>
      <x:c r="G56" s="6" t="n">
        <x:v>-240000</x:v>
      </x:c>
      <x:c r="H56" s="6" t="n">
        <x:v>-879000</x:v>
      </x:c>
      <x:c r="I56" s="6" t="n">
        <x:v>-1160000</x:v>
      </x:c>
      <x:c r="J56" s="6" t="n">
        <x:v>1160000</x:v>
      </x:c>
      <x:c r="K56" s="11" t="n">
        <x:v>7</x:v>
      </x:c>
      <x:c r="L56" s="11" t="n">
        <x:v>532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680000</x:v>
      </x:c>
      <x:c r="D57" s="6" t="n">
        <x:v>1002000</x:v>
      </x:c>
      <x:c r="E57" s="6" t="n">
        <x:f>C57-D57</x:f>
        <x:v>-322000</x:v>
      </x:c>
      <x:c r="F57" s="6" t="n">
        <x:f>F56+E57</x:f>
        <x:v>-24366000</x:v>
      </x:c>
      <x:c r="G57" s="6" t="n">
        <x:v>-220000</x:v>
      </x:c>
      <x:c r="H57" s="6" t="n">
        <x:v>-102000</x:v>
      </x:c>
      <x:c r="I57" s="6" t="n">
        <x:v>-342000</x:v>
      </x:c>
      <x:c r="J57" s="6" t="n">
        <x:v>404000</x:v>
      </x:c>
      <x:c r="K57" s="11" t="n">
        <x:v>9</x:v>
      </x:c>
      <x:c r="L57" s="11" t="n">
        <x:v>60</x:v>
      </x:c>
    </x:row>
    <x:row r="58" ht="25" customHeight="1">
      <x:c r="A58" s="2" t="str">
        <x:v>2026-10-27_Day</x:v>
      </x:c>
      <x:c r="B58" s="2" t="str">
        <x:v>後13場</x:v>
      </x:c>
      <x:c r="C58" s="6" t="n">
        <x:v>907000</x:v>
      </x:c>
      <x:c r="D58" s="6" t="n">
        <x:v>674000</x:v>
      </x:c>
      <x:c r="E58" s="6" t="n">
        <x:f>C58-D58</x:f>
        <x:v>233000</x:v>
      </x:c>
      <x:c r="F58" s="6" t="n">
        <x:f>F57+E58</x:f>
        <x:v>-24133000</x:v>
      </x:c>
      <x:c r="G58" s="6" t="n">
        <x:v>900000</x:v>
      </x:c>
      <x:c r="H58" s="6" t="n">
        <x:v>-667000</x:v>
      </x:c>
      <x:c r="I58" s="6" t="n">
        <x:v>-120000</x:v>
      </x:c>
      <x:c r="J58" s="6" t="n">
        <x:v>580000</x:v>
      </x:c>
      <x:c r="K58" s="11" t="n">
        <x:v>9</x:v>
      </x:c>
      <x:c r="L58" s="11" t="n">
        <x:v>417</x:v>
      </x:c>
    </x:row>
    <x:row r="59" ht="25" customHeight="1">
      <x:c r="A59" s="15" t="str">
        <x:v>累計／場内最悪値</x:v>
      </x:c>
      <x:c r="B59" s="15"/>
      <x:c r="C59" s="16" t="n">
        <x:f>SUM(C6:C58)</x:f>
        <x:v>31470000</x:v>
      </x:c>
      <x:c r="D59" s="16" t="n">
        <x:f>SUM(D6:D58)</x:f>
        <x:v>55603000</x:v>
      </x:c>
      <x:c r="E59" s="16" t="n">
        <x:f>C59-D59</x:f>
        <x:v>-24133000</x:v>
      </x:c>
      <x:c r="F59" s="16" t="n">
        <x:f>F58</x:f>
        <x:v>-24133000</x:v>
      </x:c>
      <x:c r="G59" s="16" t="n">
        <x:f>SUM(G6:G58)</x:f>
        <x:v>-5966000</x:v>
      </x:c>
      <x:c r="H59" s="16" t="n">
        <x:f>SUM(H6:H58)</x:f>
        <x:v>-18167000</x:v>
      </x:c>
      <x:c r="I59" s="16" t="n">
        <x:f>MIN(I6:I58)</x:f>
        <x:v>-1888000</x:v>
      </x:c>
      <x:c r="J59" s="16" t="n">
        <x:f>MAX(J6:J58)</x:f>
        <x:v>1986000</x:v>
      </x:c>
      <x:c r="K59" s="17" t="n">
        <x:f>SUM(K6:K58)</x:f>
        <x:v>407</x:v>
      </x:c>
      <x:c r="L59" s="17" t="n">
        <x:f>SUM(L6:L58)</x:f>
        <x:v>11075</x:v>
      </x:c>
    </x:row>
  </x:sheetData>
  <x:conditionalFormatting sqref="E6:I58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fe9c9314864bb7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H22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段60・即追尾・追尾10・完済後新基準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200000</x:v>
      </x:c>
      <x:c r="D6" s="6" t="n">
        <x:v>2000</x:v>
      </x:c>
      <x:c r="E6" s="6" t="n">
        <x:f>C6-D6</x:f>
        <x:v>198000</x:v>
      </x:c>
      <x:c r="F6" s="6" t="n">
        <x:f>E6</x:f>
        <x:v>198000</x:v>
      </x:c>
      <x:c r="G6" s="6" t="n">
        <x:v>200000</x:v>
      </x:c>
      <x:c r="H6" s="6" t="n">
        <x:v>-2000</x:v>
      </x:c>
      <x:c r="I6" s="6" t="n">
        <x:v>-60000</x:v>
      </x:c>
      <x:c r="J6" s="6" t="n">
        <x:v>132000</x:v>
      </x:c>
      <x:c r="K6" s="11" t="n">
        <x:v>2</x:v>
      </x:c>
      <x:c r="L6" s="11" t="n">
        <x:v>1</x:v>
      </x:c>
    </x:row>
    <x:row r="7" ht="25" customHeight="1">
      <x:c r="A7" s="2" t="str">
        <x:v>2026-09-21_Night</x:v>
      </x:c>
      <x:c r="B7" s="2" t="str">
        <x:v>前30場</x:v>
      </x:c>
      <x:c r="C7" s="6" t="n">
        <x:v>604000</x:v>
      </x:c>
      <x:c r="D7" s="6" t="n">
        <x:v>969000</x:v>
      </x:c>
      <x:c r="E7" s="6" t="n">
        <x:f>C7-D7</x:f>
        <x:v>-365000</x:v>
      </x:c>
      <x:c r="F7" s="6" t="n">
        <x:f>F6+E7</x:f>
        <x:v>-167000</x:v>
      </x:c>
      <x:c r="G7" s="6" t="n">
        <x:v>-220000</x:v>
      </x:c>
      <x:c r="H7" s="6" t="n">
        <x:v>-145000</x:v>
      </x:c>
      <x:c r="I7" s="6" t="n">
        <x:v>-495000</x:v>
      </x:c>
      <x:c r="J7" s="6" t="n">
        <x:v>653000</x:v>
      </x:c>
      <x:c r="K7" s="11" t="n">
        <x:v>7</x:v>
      </x:c>
      <x:c r="L7" s="11" t="n">
        <x:v>89</x:v>
      </x:c>
    </x:row>
    <x:row r="8" ht="25" customHeight="1">
      <x:c r="A8" s="2" t="str">
        <x:v>2026-09-22_Day</x:v>
      </x:c>
      <x:c r="B8" s="2" t="str">
        <x:v>前30場</x:v>
      </x:c>
      <x:c r="C8" s="6" t="n">
        <x:v>100000</x:v>
      </x:c>
      <x:c r="D8" s="6" t="n">
        <x:v>18000</x:v>
      </x:c>
      <x:c r="E8" s="6" t="n">
        <x:f>C8-D8</x:f>
        <x:v>82000</x:v>
      </x:c>
      <x:c r="F8" s="6" t="n">
        <x:f>F7+E8</x:f>
        <x:v>-85000</x:v>
      </x:c>
      <x:c r="G8" s="6" t="n">
        <x:v>100000</x:v>
      </x:c>
      <x:c r="H8" s="6" t="n">
        <x:v>-18000</x:v>
      </x:c>
      <x:c r="I8" s="6" t="n">
        <x:v>-338000</x:v>
      </x:c>
      <x:c r="J8" s="6" t="n">
        <x:v>418000</x:v>
      </x:c>
      <x:c r="K8" s="11" t="n">
        <x:v>1</x:v>
      </x:c>
      <x:c r="L8" s="11" t="n">
        <x:v>12</x:v>
      </x:c>
    </x:row>
    <x:row r="9" ht="25" customHeight="1">
      <x:c r="A9" s="2" t="str">
        <x:v>2026-09-22_Night</x:v>
      </x:c>
      <x:c r="B9" s="2" t="str">
        <x:v>前30場</x:v>
      </x:c>
      <x:c r="C9" s="6" t="n">
        <x:v>608000</x:v>
      </x:c>
      <x:c r="D9" s="6" t="n">
        <x:v>1042000</x:v>
      </x:c>
      <x:c r="E9" s="6" t="n">
        <x:f>C9-D9</x:f>
        <x:v>-434000</x:v>
      </x:c>
      <x:c r="F9" s="6" t="n">
        <x:f>F8+E9</x:f>
        <x:v>-519000</x:v>
      </x:c>
      <x:c r="G9" s="6" t="n">
        <x:v>-320000</x:v>
      </x:c>
      <x:c r="H9" s="6" t="n">
        <x:v>-114000</x:v>
      </x:c>
      <x:c r="I9" s="6" t="n">
        <x:v>-604000</x:v>
      </x:c>
      <x:c r="J9" s="6" t="n">
        <x:v>734000</x:v>
      </x:c>
      <x:c r="K9" s="11" t="n">
        <x:v>7</x:v>
      </x:c>
      <x:c r="L9" s="11" t="n">
        <x:v>82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-519000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580000</x:v>
      </x:c>
      <x:c r="D11" s="6" t="n">
        <x:v>1219000</x:v>
      </x:c>
      <x:c r="E11" s="6" t="n">
        <x:f>C11-D11</x:f>
        <x:v>-639000</x:v>
      </x:c>
      <x:c r="F11" s="6" t="n">
        <x:f>F10+E11</x:f>
        <x:v>-1158000</x:v>
      </x:c>
      <x:c r="G11" s="6" t="n">
        <x:v>-490000</x:v>
      </x:c>
      <x:c r="H11" s="6" t="n">
        <x:v>-149000</x:v>
      </x:c>
      <x:c r="I11" s="6" t="n">
        <x:v>-639000</x:v>
      </x:c>
      <x:c r="J11" s="6" t="n">
        <x:v>699000</x:v>
      </x:c>
      <x:c r="K11" s="11" t="n">
        <x:v>8</x:v>
      </x:c>
      <x:c r="L11" s="11" t="n">
        <x:v>102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300000</x:v>
      </x:c>
      <x:c r="D12" s="6" t="n">
        <x:v>52000</x:v>
      </x:c>
      <x:c r="E12" s="6" t="n">
        <x:f>C12-D12</x:f>
        <x:v>248000</x:v>
      </x:c>
      <x:c r="F12" s="6" t="n">
        <x:f>F11+E12</x:f>
        <x:v>-910000</x:v>
      </x:c>
      <x:c r="G12" s="6" t="n">
        <x:v>300000</x:v>
      </x:c>
      <x:c r="H12" s="6" t="n">
        <x:v>-52000</x:v>
      </x:c>
      <x:c r="I12" s="6" t="n">
        <x:v>-472000</x:v>
      </x:c>
      <x:c r="J12" s="6" t="n">
        <x:v>472000</x:v>
      </x:c>
      <x:c r="K12" s="11" t="n">
        <x:v>3</x:v>
      </x:c>
      <x:c r="L12" s="11" t="n">
        <x:v>36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500000</x:v>
      </x:c>
      <x:c r="D13" s="6" t="n">
        <x:v>786000</x:v>
      </x:c>
      <x:c r="E13" s="6" t="n">
        <x:f>C13-D13</x:f>
        <x:v>-286000</x:v>
      </x:c>
      <x:c r="F13" s="6" t="n">
        <x:f>F12+E13</x:f>
        <x:v>-1196000</x:v>
      </x:c>
      <x:c r="G13" s="6" t="n">
        <x:v>-210000</x:v>
      </x:c>
      <x:c r="H13" s="6" t="n">
        <x:v>-76000</x:v>
      </x:c>
      <x:c r="I13" s="6" t="n">
        <x:v>-346000</x:v>
      </x:c>
      <x:c r="J13" s="6" t="n">
        <x:v>426000</x:v>
      </x:c>
      <x:c r="K13" s="11" t="n">
        <x:v>7</x:v>
      </x:c>
      <x:c r="L13" s="11" t="n">
        <x:v>46</x:v>
      </x:c>
    </x:row>
    <x:row r="14" ht="25" customHeight="1">
      <x:c r="A14" s="2" t="str">
        <x:v>2026-09-25_Day</x:v>
      </x:c>
      <x:c r="B14" s="2" t="str">
        <x:v>前30場</x:v>
      </x:c>
      <x:c r="C14" s="6" t="n">
        <x:v>91000</x:v>
      </x:c>
      <x:c r="D14" s="6" t="n">
        <x:v>832000</x:v>
      </x:c>
      <x:c r="E14" s="6" t="n">
        <x:f>C14-D14</x:f>
        <x:v>-741000</x:v>
      </x:c>
      <x:c r="F14" s="6" t="n">
        <x:f>F13+E14</x:f>
        <x:v>-1937000</x:v>
      </x:c>
      <x:c r="G14" s="6" t="n">
        <x:v>-610000</x:v>
      </x:c>
      <x:c r="H14" s="6" t="n">
        <x:v>-131000</x:v>
      </x:c>
      <x:c r="I14" s="6" t="n">
        <x:v>-861000</x:v>
      </x:c>
      <x:c r="J14" s="6" t="n">
        <x:v>931000</x:v>
      </x:c>
      <x:c r="K14" s="11" t="n">
        <x:v>2</x:v>
      </x:c>
      <x:c r="L14" s="11" t="n">
        <x:v>84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460000</x:v>
      </x:c>
      <x:c r="D15" s="6" t="n">
        <x:v>699000</x:v>
      </x:c>
      <x:c r="E15" s="6" t="n">
        <x:f>C15-D15</x:f>
        <x:v>-239000</x:v>
      </x:c>
      <x:c r="F15" s="6" t="n">
        <x:f>F14+E15</x:f>
        <x:v>-2176000</x:v>
      </x:c>
      <x:c r="G15" s="6" t="n">
        <x:v>-190000</x:v>
      </x:c>
      <x:c r="H15" s="6" t="n">
        <x:v>-49000</x:v>
      </x:c>
      <x:c r="I15" s="6" t="n">
        <x:v>-259000</x:v>
      </x:c>
      <x:c r="J15" s="6" t="n">
        <x:v>259000</x:v>
      </x:c>
      <x:c r="K15" s="11" t="n">
        <x:v>7</x:v>
      </x:c>
      <x:c r="L15" s="11" t="n">
        <x:v>36</x:v>
      </x:c>
    </x:row>
    <x:row r="16" ht="25" customHeight="1">
      <x:c r="A16" s="2" t="str">
        <x:v>2026-09-28_Day</x:v>
      </x:c>
      <x:c r="B16" s="2" t="str">
        <x:v>前30場</x:v>
      </x:c>
      <x:c r="C16" s="6" t="n">
        <x:v>484000</x:v>
      </x:c>
      <x:c r="D16" s="6" t="n">
        <x:v>51000</x:v>
      </x:c>
      <x:c r="E16" s="6" t="n">
        <x:f>C16-D16</x:f>
        <x:v>433000</x:v>
      </x:c>
      <x:c r="F16" s="6" t="n">
        <x:f>F15+E16</x:f>
        <x:v>-1743000</x:v>
      </x:c>
      <x:c r="G16" s="6" t="n">
        <x:v>480000</x:v>
      </x:c>
      <x:c r="H16" s="6" t="n">
        <x:v>-47000</x:v>
      </x:c>
      <x:c r="I16" s="6" t="n">
        <x:v>-423000</x:v>
      </x:c>
      <x:c r="J16" s="6" t="n">
        <x:v>440000</x:v>
      </x:c>
      <x:c r="K16" s="11" t="n">
        <x:v>5</x:v>
      </x:c>
      <x:c r="L16" s="11" t="n">
        <x:v>31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690000</x:v>
      </x:c>
      <x:c r="D17" s="6" t="n">
        <x:v>523000</x:v>
      </x:c>
      <x:c r="E17" s="6" t="n">
        <x:f>C17-D17</x:f>
        <x:v>167000</x:v>
      </x:c>
      <x:c r="F17" s="6" t="n">
        <x:f>F16+E17</x:f>
        <x:v>-1576000</x:v>
      </x:c>
      <x:c r="G17" s="6" t="n">
        <x:v>230000</x:v>
      </x:c>
      <x:c r="H17" s="6" t="n">
        <x:v>-63000</x:v>
      </x:c>
      <x:c r="I17" s="6" t="n">
        <x:v>-172000</x:v>
      </x:c>
      <x:c r="J17" s="6" t="n">
        <x:v>232000</x:v>
      </x:c>
      <x:c r="K17" s="11" t="n">
        <x:v>9</x:v>
      </x:c>
      <x:c r="L17" s="11" t="n">
        <x:v>54</x:v>
      </x:c>
    </x:row>
    <x:row r="18" ht="25" customHeight="1">
      <x:c r="A18" s="2" t="str">
        <x:v>2026-09-29_Day</x:v>
      </x:c>
      <x:c r="B18" s="2" t="str">
        <x:v>前30場</x:v>
      </x:c>
      <x:c r="C18" s="6" t="n">
        <x:v>370000</x:v>
      </x:c>
      <x:c r="D18" s="6" t="n">
        <x:v>637000</x:v>
      </x:c>
      <x:c r="E18" s="6" t="n">
        <x:f>C18-D18</x:f>
        <x:v>-267000</x:v>
      </x:c>
      <x:c r="F18" s="6" t="n">
        <x:f>F17+E18</x:f>
        <x:v>-1843000</x:v>
      </x:c>
      <x:c r="G18" s="6" t="n">
        <x:v>-70000</x:v>
      </x:c>
      <x:c r="H18" s="6" t="n">
        <x:v>-197000</x:v>
      </x:c>
      <x:c r="I18" s="6" t="n">
        <x:v>-877000</x:v>
      </x:c>
      <x:c r="J18" s="6" t="n">
        <x:v>918000</x:v>
      </x:c>
      <x:c r="K18" s="11" t="n">
        <x:v>5</x:v>
      </x:c>
      <x:c r="L18" s="11" t="n">
        <x:v>116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692000</x:v>
      </x:c>
      <x:c r="D19" s="6" t="n">
        <x:v>762000</x:v>
      </x:c>
      <x:c r="E19" s="6" t="n">
        <x:f>C19-D19</x:f>
        <x:v>-70000</x:v>
      </x:c>
      <x:c r="F19" s="6" t="n">
        <x:f>F18+E19</x:f>
        <x:v>-1913000</x:v>
      </x:c>
      <x:c r="G19" s="6" t="n">
        <x:v>0</x:v>
      </x:c>
      <x:c r="H19" s="6" t="n">
        <x:v>-70000</x:v>
      </x:c>
      <x:c r="I19" s="6" t="n">
        <x:v>-120000</x:v>
      </x:c>
      <x:c r="J19" s="6" t="n">
        <x:v>284000</x:v>
      </x:c>
      <x:c r="K19" s="11" t="n">
        <x:v>9</x:v>
      </x:c>
      <x:c r="L19" s="11" t="n">
        <x:v>47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190000</x:v>
      </x:c>
      <x:c r="D20" s="6" t="n">
        <x:v>679000</x:v>
      </x:c>
      <x:c r="E20" s="6" t="n">
        <x:f>C20-D20</x:f>
        <x:v>-489000</x:v>
      </x:c>
      <x:c r="F20" s="6" t="n">
        <x:f>F19+E20</x:f>
        <x:v>-2402000</x:v>
      </x:c>
      <x:c r="G20" s="6" t="n">
        <x:v>-420000</x:v>
      </x:c>
      <x:c r="H20" s="6" t="n">
        <x:v>-69000</x:v>
      </x:c>
      <x:c r="I20" s="6" t="n">
        <x:v>-489000</x:v>
      </x:c>
      <x:c r="J20" s="6" t="n">
        <x:v>685000</x:v>
      </x:c>
      <x:c r="K20" s="11" t="n">
        <x:v>3</x:v>
      </x:c>
      <x:c r="L20" s="11" t="n">
        <x:v>48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807000</x:v>
      </x:c>
      <x:c r="E21" s="6" t="n">
        <x:f>C21-D21</x:f>
        <x:v>-207000</x:v>
      </x:c>
      <x:c r="F21" s="6" t="n">
        <x:f>F20+E21</x:f>
        <x:v>-2609000</x:v>
      </x:c>
      <x:c r="G21" s="6" t="n">
        <x:v>-118000</x:v>
      </x:c>
      <x:c r="H21" s="6" t="n">
        <x:v>-89000</x:v>
      </x:c>
      <x:c r="I21" s="6" t="n">
        <x:v>-320000</x:v>
      </x:c>
      <x:c r="J21" s="6" t="n">
        <x:v>350000</x:v>
      </x:c>
      <x:c r="K21" s="11" t="n">
        <x:v>9</x:v>
      </x:c>
      <x:c r="L21" s="11" t="n">
        <x:v>42</x:v>
      </x:c>
    </x:row>
    <x:row r="22" ht="25" customHeight="1">
      <x:c r="A22" s="2" t="str">
        <x:v>2026-10-01_Day</x:v>
      </x:c>
      <x:c r="B22" s="2" t="str">
        <x:v>前30場</x:v>
      </x:c>
      <x:c r="C22" s="6" t="n">
        <x:v>230000</x:v>
      </x:c>
      <x:c r="D22" s="6" t="n">
        <x:v>1999000</x:v>
      </x:c>
      <x:c r="E22" s="6" t="n">
        <x:f>C22-D22</x:f>
        <x:v>-1769000</x:v>
      </x:c>
      <x:c r="F22" s="6" t="n">
        <x:f>F21+E22</x:f>
        <x:v>-4378000</x:v>
      </x:c>
      <x:c r="G22" s="6" t="n">
        <x:v>-1410000</x:v>
      </x:c>
      <x:c r="H22" s="6" t="n">
        <x:v>-359000</x:v>
      </x:c>
      <x:c r="I22" s="6" t="n">
        <x:v>-1959000</x:v>
      </x:c>
      <x:c r="J22" s="6" t="n">
        <x:v>2165000</x:v>
      </x:c>
      <x:c r="K22" s="11" t="n">
        <x:v>3</x:v>
      </x:c>
      <x:c r="L22" s="11" t="n">
        <x:v>257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860000</x:v>
      </x:c>
      <x:c r="D23" s="6" t="n">
        <x:v>965000</x:v>
      </x:c>
      <x:c r="E23" s="6" t="n">
        <x:f>C23-D23</x:f>
        <x:v>-105000</x:v>
      </x:c>
      <x:c r="F23" s="6" t="n">
        <x:f>F22+E23</x:f>
        <x:v>-4483000</x:v>
      </x:c>
      <x:c r="G23" s="6" t="n">
        <x:v>0</x:v>
      </x:c>
      <x:c r="H23" s="6" t="n">
        <x:v>-105000</x:v>
      </x:c>
      <x:c r="I23" s="6" t="n">
        <x:v>-265000</x:v>
      </x:c>
      <x:c r="J23" s="6" t="n">
        <x:v>375000</x:v>
      </x:c>
      <x:c r="K23" s="11" t="n">
        <x:v>11</x:v>
      </x:c>
      <x:c r="L23" s="11" t="n">
        <x:v>83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300000</x:v>
      </x:c>
      <x:c r="D24" s="6" t="n">
        <x:v>390000</x:v>
      </x:c>
      <x:c r="E24" s="6" t="n">
        <x:f>C24-D24</x:f>
        <x:v>-90000</x:v>
      </x:c>
      <x:c r="F24" s="6" t="n">
        <x:f>F23+E24</x:f>
        <x:v>-4573000</x:v>
      </x:c>
      <x:c r="G24" s="6" t="n">
        <x:v>0</x:v>
      </x:c>
      <x:c r="H24" s="6" t="n">
        <x:v>-90000</x:v>
      </x:c>
      <x:c r="I24" s="6" t="n">
        <x:v>-381000</x:v>
      </x:c>
      <x:c r="J24" s="6" t="n">
        <x:v>485000</x:v>
      </x:c>
      <x:c r="K24" s="11" t="n">
        <x:v>5</x:v>
      </x:c>
      <x:c r="L24" s="11" t="n">
        <x:v>44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1040000</x:v>
      </x:c>
      <x:c r="D25" s="6" t="n">
        <x:v>1420000</x:v>
      </x:c>
      <x:c r="E25" s="6" t="n">
        <x:f>C25-D25</x:f>
        <x:v>-380000</x:v>
      </x:c>
      <x:c r="F25" s="6" t="n">
        <x:f>F24+E25</x:f>
        <x:v>-4953000</x:v>
      </x:c>
      <x:c r="G25" s="6" t="n">
        <x:v>-130000</x:v>
      </x:c>
      <x:c r="H25" s="6" t="n">
        <x:v>-250000</x:v>
      </x:c>
      <x:c r="I25" s="6" t="n">
        <x:v>-510000</x:v>
      </x:c>
      <x:c r="J25" s="6" t="n">
        <x:v>580000</x:v>
      </x:c>
      <x:c r="K25" s="11" t="n">
        <x:v>13</x:v>
      </x:c>
      <x:c r="L25" s="11" t="n">
        <x:v>72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200000</x:v>
      </x:c>
      <x:c r="D26" s="6" t="n">
        <x:v>609000</x:v>
      </x:c>
      <x:c r="E26" s="6" t="n">
        <x:f>C26-D26</x:f>
        <x:v>-409000</x:v>
      </x:c>
      <x:c r="F26" s="6" t="n">
        <x:f>F25+E26</x:f>
        <x:v>-5362000</x:v>
      </x:c>
      <x:c r="G26" s="6" t="n">
        <x:v>-320000</x:v>
      </x:c>
      <x:c r="H26" s="6" t="n">
        <x:v>-89000</x:v>
      </x:c>
      <x:c r="I26" s="6" t="n">
        <x:v>-469000</x:v>
      </x:c>
      <x:c r="J26" s="6" t="n">
        <x:v>519000</x:v>
      </x:c>
      <x:c r="K26" s="11" t="n">
        <x:v>3</x:v>
      </x:c>
      <x:c r="L26" s="11" t="n">
        <x:v>49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400000</x:v>
      </x:c>
      <x:c r="D27" s="6" t="n">
        <x:v>499000</x:v>
      </x:c>
      <x:c r="E27" s="6" t="n">
        <x:f>C27-D27</x:f>
        <x:v>-99000</x:v>
      </x:c>
      <x:c r="F27" s="6" t="n">
        <x:f>F26+E27</x:f>
        <x:v>-5461000</x:v>
      </x:c>
      <x:c r="G27" s="6" t="n">
        <x:v>-50000</x:v>
      </x:c>
      <x:c r="H27" s="6" t="n">
        <x:v>-49000</x:v>
      </x:c>
      <x:c r="I27" s="6" t="n">
        <x:v>-251000</x:v>
      </x:c>
      <x:c r="J27" s="6" t="n">
        <x:v>290000</x:v>
      </x:c>
      <x:c r="K27" s="11" t="n">
        <x:v>5</x:v>
      </x:c>
      <x:c r="L27" s="11" t="n">
        <x:v>29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100000</x:v>
      </x:c>
      <x:c r="D28" s="6" t="n">
        <x:v>5000</x:v>
      </x:c>
      <x:c r="E28" s="6" t="n">
        <x:f>C28-D28</x:f>
        <x:v>95000</x:v>
      </x:c>
      <x:c r="F28" s="6" t="n">
        <x:f>F27+E28</x:f>
        <x:v>-5366000</x:v>
      </x:c>
      <x:c r="G28" s="6" t="n">
        <x:v>100000</x:v>
      </x:c>
      <x:c r="H28" s="6" t="n">
        <x:v>-5000</x:v>
      </x:c>
      <x:c r="I28" s="6" t="n">
        <x:v>-165000</x:v>
      </x:c>
      <x:c r="J28" s="6" t="n">
        <x:v>165000</x:v>
      </x:c>
      <x:c r="K28" s="11" t="n">
        <x:v>1</x:v>
      </x:c>
      <x:c r="L28" s="11" t="n">
        <x:v>3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586000</x:v>
      </x:c>
      <x:c r="D29" s="6" t="n">
        <x:v>586000</x:v>
      </x:c>
      <x:c r="E29" s="6" t="n">
        <x:f>C29-D29</x:f>
        <x:v>0</x:v>
      </x:c>
      <x:c r="F29" s="6" t="n">
        <x:f>F28+E29</x:f>
        <x:v>-5366000</x:v>
      </x:c>
      <x:c r="G29" s="6" t="n">
        <x:v>56000</x:v>
      </x:c>
      <x:c r="H29" s="6" t="n">
        <x:v>-56000</x:v>
      </x:c>
      <x:c r="I29" s="6" t="n">
        <x:v>-160000</x:v>
      </x:c>
      <x:c r="J29" s="6" t="n">
        <x:v>236000</x:v>
      </x:c>
      <x:c r="K29" s="11" t="n">
        <x:v>8</x:v>
      </x:c>
      <x:c r="L29" s="11" t="n">
        <x:v>37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4000</x:v>
      </x:c>
      <x:c r="E30" s="6" t="n">
        <x:f>C30-D30</x:f>
        <x:v>196000</x:v>
      </x:c>
      <x:c r="F30" s="6" t="n">
        <x:f>F29+E30</x:f>
        <x:v>-5170000</x:v>
      </x:c>
      <x:c r="G30" s="6" t="n">
        <x:v>200000</x:v>
      </x:c>
      <x:c r="H30" s="6" t="n">
        <x:v>-4000</x:v>
      </x:c>
      <x:c r="I30" s="6" t="n">
        <x:v>-102000</x:v>
      </x:c>
      <x:c r="J30" s="6" t="n">
        <x:v>182000</x:v>
      </x:c>
      <x:c r="K30" s="11" t="n">
        <x:v>2</x:v>
      </x:c>
      <x:c r="L30" s="11" t="n">
        <x:v>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790000</x:v>
      </x:c>
      <x:c r="D31" s="6" t="n">
        <x:v>1030000</x:v>
      </x:c>
      <x:c r="E31" s="6" t="n">
        <x:f>C31-D31</x:f>
        <x:v>-240000</x:v>
      </x:c>
      <x:c r="F31" s="6" t="n">
        <x:f>F30+E31</x:f>
        <x:v>-5410000</x:v>
      </x:c>
      <x:c r="G31" s="6" t="n">
        <x:v>-140000</x:v>
      </x:c>
      <x:c r="H31" s="6" t="n">
        <x:v>-100000</x:v>
      </x:c>
      <x:c r="I31" s="6" t="n">
        <x:v>-250000</x:v>
      </x:c>
      <x:c r="J31" s="6" t="n">
        <x:v>270000</x:v>
      </x:c>
      <x:c r="K31" s="11" t="n">
        <x:v>10</x:v>
      </x:c>
      <x:c r="L31" s="11" t="n">
        <x:v>65</x:v>
      </x:c>
    </x:row>
    <x:row r="32" ht="25" customHeight="1">
      <x:c r="A32" s="2" t="str">
        <x:v>2026-10-08_Day</x:v>
      </x:c>
      <x:c r="B32" s="2" t="str">
        <x:v>前30場</x:v>
      </x:c>
      <x:c r="C32" s="6" t="n">
        <x:v>300000</x:v>
      </x:c>
      <x:c r="D32" s="6" t="n">
        <x:v>1257000</x:v>
      </x:c>
      <x:c r="E32" s="6" t="n">
        <x:f>C32-D32</x:f>
        <x:v>-957000</x:v>
      </x:c>
      <x:c r="F32" s="6" t="n">
        <x:f>F31+E32</x:f>
        <x:v>-6367000</x:v>
      </x:c>
      <x:c r="G32" s="6" t="n">
        <x:v>-810000</x:v>
      </x:c>
      <x:c r="H32" s="6" t="n">
        <x:v>-147000</x:v>
      </x:c>
      <x:c r="I32" s="6" t="n">
        <x:v>-957000</x:v>
      </x:c>
      <x:c r="J32" s="6" t="n">
        <x:v>1224000</x:v>
      </x:c>
      <x:c r="K32" s="11" t="n">
        <x:v>4</x:v>
      </x:c>
      <x:c r="L32" s="11" t="n">
        <x:v>75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1194000</x:v>
      </x:c>
      <x:c r="D33" s="6" t="n">
        <x:v>1437000</x:v>
      </x:c>
      <x:c r="E33" s="6" t="n">
        <x:f>C33-D33</x:f>
        <x:v>-243000</x:v>
      </x:c>
      <x:c r="F33" s="6" t="n">
        <x:f>F32+E33</x:f>
        <x:v>-6610000</x:v>
      </x:c>
      <x:c r="G33" s="6" t="n">
        <x:v>-94000</x:v>
      </x:c>
      <x:c r="H33" s="6" t="n">
        <x:v>-149000</x:v>
      </x:c>
      <x:c r="I33" s="6" t="n">
        <x:v>-243000</x:v>
      </x:c>
      <x:c r="J33" s="6" t="n">
        <x:v>484000</x:v>
      </x:c>
      <x:c r="K33" s="11" t="n">
        <x:v>15</x:v>
      </x:c>
      <x:c r="L33" s="11" t="n">
        <x:v>94</x:v>
      </x:c>
    </x:row>
    <x:row r="34" ht="25" customHeight="1">
      <x:c r="A34" s="2" t="str">
        <x:v>2026-10-09_Day</x:v>
      </x:c>
      <x:c r="B34" s="2" t="str">
        <x:v>前30場</x:v>
      </x:c>
      <x:c r="C34" s="6" t="n">
        <x:v>504000</x:v>
      </x:c>
      <x:c r="D34" s="6" t="n">
        <x:v>1153000</x:v>
      </x:c>
      <x:c r="E34" s="6" t="n">
        <x:f>C34-D34</x:f>
        <x:v>-649000</x:v>
      </x:c>
      <x:c r="F34" s="6" t="n">
        <x:f>F33+E34</x:f>
        <x:v>-7259000</x:v>
      </x:c>
      <x:c r="G34" s="6" t="n">
        <x:v>-450000</x:v>
      </x:c>
      <x:c r="H34" s="6" t="n">
        <x:v>-199000</x:v>
      </x:c>
      <x:c r="I34" s="6" t="n">
        <x:v>-659000</x:v>
      </x:c>
      <x:c r="J34" s="6" t="n">
        <x:v>1150000</x:v>
      </x:c>
      <x:c r="K34" s="11" t="n">
        <x:v>6</x:v>
      </x:c>
      <x:c r="L34" s="11" t="n">
        <x:v>113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490000</x:v>
      </x:c>
      <x:c r="D35" s="6" t="n">
        <x:v>535000</x:v>
      </x:c>
      <x:c r="E35" s="6" t="n">
        <x:f>C35-D35</x:f>
        <x:v>-45000</x:v>
      </x:c>
      <x:c r="F35" s="6" t="n">
        <x:f>F34+E35</x:f>
        <x:v>-7304000</x:v>
      </x:c>
      <x:c r="G35" s="6" t="n">
        <x:v>20000</x:v>
      </x:c>
      <x:c r="H35" s="6" t="n">
        <x:v>-65000</x:v>
      </x:c>
      <x:c r="I35" s="6" t="n">
        <x:v>-205000</x:v>
      </x:c>
      <x:c r="J35" s="6" t="n">
        <x:v>240000</x:v>
      </x:c>
      <x:c r="K35" s="11" t="n">
        <x:v>7</x:v>
      </x:c>
      <x:c r="L35" s="11" t="n">
        <x:v>38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-7304000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710000</x:v>
      </x:c>
      <x:c r="D37" s="6" t="n">
        <x:v>899000</x:v>
      </x:c>
      <x:c r="E37" s="6" t="n">
        <x:f>C37-D37</x:f>
        <x:v>-189000</x:v>
      </x:c>
      <x:c r="F37" s="6" t="n">
        <x:f>F36+E37</x:f>
        <x:v>-7493000</x:v>
      </x:c>
      <x:c r="G37" s="6" t="n">
        <x:v>-110000</x:v>
      </x:c>
      <x:c r="H37" s="6" t="n">
        <x:v>-79000</x:v>
      </x:c>
      <x:c r="I37" s="6" t="n">
        <x:v>-219000</x:v>
      </x:c>
      <x:c r="J37" s="6" t="n">
        <x:v>252000</x:v>
      </x:c>
      <x:c r="K37" s="11" t="n">
        <x:v>8</x:v>
      </x:c>
      <x:c r="L37" s="11" t="n">
        <x:v>51</x:v>
      </x:c>
    </x:row>
    <x:row r="38" ht="25" customHeight="1">
      <x:c r="A38" s="2" t="str">
        <x:v>2026-10-13_Day</x:v>
      </x:c>
      <x:c r="B38" s="2" t="str">
        <x:v>次10場</x:v>
      </x:c>
      <x:c r="C38" s="6" t="n">
        <x:v>490000</x:v>
      </x:c>
      <x:c r="D38" s="6" t="n">
        <x:v>29000</x:v>
      </x:c>
      <x:c r="E38" s="6" t="n">
        <x:f>C38-D38</x:f>
        <x:v>461000</x:v>
      </x:c>
      <x:c r="F38" s="6" t="n">
        <x:f>F37+E38</x:f>
        <x:v>-7032000</x:v>
      </x:c>
      <x:c r="G38" s="6" t="n">
        <x:v>490000</x:v>
      </x:c>
      <x:c r="H38" s="6" t="n">
        <x:v>-29000</x:v>
      </x:c>
      <x:c r="I38" s="6" t="n">
        <x:v>-270000</x:v>
      </x:c>
      <x:c r="J38" s="6" t="n">
        <x:v>306000</x:v>
      </x:c>
      <x:c r="K38" s="11" t="n">
        <x:v>5</x:v>
      </x:c>
      <x:c r="L38" s="11" t="n">
        <x:v>25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300000</x:v>
      </x:c>
      <x:c r="D39" s="6" t="n">
        <x:v>437000</x:v>
      </x:c>
      <x:c r="E39" s="6" t="n">
        <x:f>C39-D39</x:f>
        <x:v>-137000</x:v>
      </x:c>
      <x:c r="F39" s="6" t="n">
        <x:f>F38+E39</x:f>
        <x:v>-7169000</x:v>
      </x:c>
      <x:c r="G39" s="6" t="n">
        <x:v>-120000</x:v>
      </x:c>
      <x:c r="H39" s="6" t="n">
        <x:v>-17000</x:v>
      </x:c>
      <x:c r="I39" s="6" t="n">
        <x:v>-147000</x:v>
      </x:c>
      <x:c r="J39" s="6" t="n">
        <x:v>147000</x:v>
      </x:c>
      <x:c r="K39" s="11" t="n">
        <x:v>5</x:v>
      </x:c>
      <x:c r="L39" s="11" t="n">
        <x:v>13</x:v>
      </x:c>
    </x:row>
    <x:row r="40" ht="25" customHeight="1">
      <x:c r="A40" s="2" t="str">
        <x:v>2026-10-14_Day</x:v>
      </x:c>
      <x:c r="B40" s="2" t="str">
        <x:v>次10場</x:v>
      </x:c>
      <x:c r="C40" s="6" t="n">
        <x:v>402000</x:v>
      </x:c>
      <x:c r="D40" s="6" t="n">
        <x:v>433000</x:v>
      </x:c>
      <x:c r="E40" s="6" t="n">
        <x:f>C40-D40</x:f>
        <x:v>-31000</x:v>
      </x:c>
      <x:c r="F40" s="6" t="n">
        <x:f>F39+E40</x:f>
        <x:v>-7200000</x:v>
      </x:c>
      <x:c r="G40" s="6" t="n">
        <x:v>40000</x:v>
      </x:c>
      <x:c r="H40" s="6" t="n">
        <x:v>-71000</x:v>
      </x:c>
      <x:c r="I40" s="6" t="n">
        <x:v>-389000</x:v>
      </x:c>
      <x:c r="J40" s="6" t="n">
        <x:v>578000</x:v>
      </x:c>
      <x:c r="K40" s="11" t="n">
        <x:v>5</x:v>
      </x:c>
      <x:c r="L40" s="11" t="n">
        <x:v>44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1450000</x:v>
      </x:c>
      <x:c r="D41" s="6" t="n">
        <x:v>2561000</x:v>
      </x:c>
      <x:c r="E41" s="6" t="n">
        <x:f>C41-D41</x:f>
        <x:v>-1111000</x:v>
      </x:c>
      <x:c r="F41" s="6" t="n">
        <x:f>F40+E41</x:f>
        <x:v>-8311000</x:v>
      </x:c>
      <x:c r="G41" s="6" t="n">
        <x:v>-490000</x:v>
      </x:c>
      <x:c r="H41" s="6" t="n">
        <x:v>-621000</x:v>
      </x:c>
      <x:c r="I41" s="6" t="n">
        <x:v>-1141000</x:v>
      </x:c>
      <x:c r="J41" s="6" t="n">
        <x:v>1151000</x:v>
      </x:c>
      <x:c r="K41" s="11" t="n">
        <x:v>14</x:v>
      </x:c>
      <x:c r="L41" s="11" t="n">
        <x:v>228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1140000</x:v>
      </x:c>
      <x:c r="D42" s="6" t="n">
        <x:v>1784000</x:v>
      </x:c>
      <x:c r="E42" s="6" t="n">
        <x:f>C42-D42</x:f>
        <x:v>-644000</x:v>
      </x:c>
      <x:c r="F42" s="6" t="n">
        <x:f>F41+E42</x:f>
        <x:v>-8955000</x:v>
      </x:c>
      <x:c r="G42" s="6" t="n">
        <x:v>-120000</x:v>
      </x:c>
      <x:c r="H42" s="6" t="n">
        <x:v>-524000</x:v>
      </x:c>
      <x:c r="I42" s="6" t="n">
        <x:v>-1554000</x:v>
      </x:c>
      <x:c r="J42" s="6" t="n">
        <x:v>1804000</x:v>
      </x:c>
      <x:c r="K42" s="11" t="n">
        <x:v>12</x:v>
      </x:c>
      <x:c r="L42" s="11" t="n">
        <x:v>274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1560000</x:v>
      </x:c>
      <x:c r="D43" s="6" t="n">
        <x:v>1777000</x:v>
      </x:c>
      <x:c r="E43" s="6" t="n">
        <x:f>C43-D43</x:f>
        <x:v>-217000</x:v>
      </x:c>
      <x:c r="F43" s="6" t="n">
        <x:f>F42+E43</x:f>
        <x:v>-9172000</x:v>
      </x:c>
      <x:c r="G43" s="6" t="n">
        <x:v>160000</x:v>
      </x:c>
      <x:c r="H43" s="6" t="n">
        <x:v>-377000</x:v>
      </x:c>
      <x:c r="I43" s="6" t="n">
        <x:v>-485000</x:v>
      </x:c>
      <x:c r="J43" s="6" t="n">
        <x:v>707000</x:v>
      </x:c>
      <x:c r="K43" s="11" t="n">
        <x:v>16</x:v>
      </x:c>
      <x:c r="L43" s="11" t="n">
        <x:v>159</x:v>
      </x:c>
    </x:row>
    <x:row r="44" ht="25" customHeight="1">
      <x:c r="A44" s="2" t="str">
        <x:v>2026-10-16_Day</x:v>
      </x:c>
      <x:c r="B44" s="2" t="str">
        <x:v>次10場</x:v>
      </x:c>
      <x:c r="C44" s="6" t="n">
        <x:v>994000</x:v>
      </x:c>
      <x:c r="D44" s="6" t="n">
        <x:v>248000</x:v>
      </x:c>
      <x:c r="E44" s="6" t="n">
        <x:f>C44-D44</x:f>
        <x:v>746000</x:v>
      </x:c>
      <x:c r="F44" s="6" t="n">
        <x:f>F43+E44</x:f>
        <x:v>-8426000</x:v>
      </x:c>
      <x:c r="G44" s="6" t="n">
        <x:v>820000</x:v>
      </x:c>
      <x:c r="H44" s="6" t="n">
        <x:v>-74000</x:v>
      </x:c>
      <x:c r="I44" s="6" t="n">
        <x:v>-60000</x:v>
      </x:c>
      <x:c r="J44" s="6" t="n">
        <x:v>506000</x:v>
      </x:c>
      <x:c r="K44" s="11" t="n">
        <x:v>11</x:v>
      </x:c>
      <x:c r="L44" s="11" t="n">
        <x:v>43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1580000</x:v>
      </x:c>
      <x:c r="D45" s="6" t="n">
        <x:v>2442000</x:v>
      </x:c>
      <x:c r="E45" s="6" t="n">
        <x:f>C45-D45</x:f>
        <x:v>-862000</x:v>
      </x:c>
      <x:c r="F45" s="6" t="n">
        <x:f>F44+E45</x:f>
        <x:v>-9288000</x:v>
      </x:c>
      <x:c r="G45" s="6" t="n">
        <x:v>-480000</x:v>
      </x:c>
      <x:c r="H45" s="6" t="n">
        <x:v>-382000</x:v>
      </x:c>
      <x:c r="I45" s="6" t="n">
        <x:v>-892000</x:v>
      </x:c>
      <x:c r="J45" s="6" t="n">
        <x:v>1050000</x:v>
      </x:c>
      <x:c r="K45" s="11" t="n">
        <x:v>20</x:v>
      </x:c>
      <x:c r="L45" s="11" t="n">
        <x:v>208</x:v>
      </x:c>
    </x:row>
    <x:row r="46" ht="25" customHeight="1">
      <x:c r="A46" s="2" t="str">
        <x:v>2026-10-19_Day</x:v>
      </x:c>
      <x:c r="B46" s="2" t="str">
        <x:v>後13場</x:v>
      </x:c>
      <x:c r="C46" s="6" t="n">
        <x:v>390000</x:v>
      </x:c>
      <x:c r="D46" s="6" t="n">
        <x:v>1178000</x:v>
      </x:c>
      <x:c r="E46" s="6" t="n">
        <x:f>C46-D46</x:f>
        <x:v>-788000</x:v>
      </x:c>
      <x:c r="F46" s="6" t="n">
        <x:f>F45+E46</x:f>
        <x:v>-10076000</x:v>
      </x:c>
      <x:c r="G46" s="6" t="n">
        <x:v>-520000</x:v>
      </x:c>
      <x:c r="H46" s="6" t="n">
        <x:v>-268000</x:v>
      </x:c>
      <x:c r="I46" s="6" t="n">
        <x:v>-1008000</x:v>
      </x:c>
      <x:c r="J46" s="6" t="n">
        <x:v>1088000</x:v>
      </x:c>
      <x:c r="K46" s="11" t="n">
        <x:v>5</x:v>
      </x:c>
      <x:c r="L46" s="11" t="n">
        <x:v>153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552000</x:v>
      </x:c>
      <x:c r="E47" s="6" t="n">
        <x:f>C47-D47</x:f>
        <x:v>28000</x:v>
      </x:c>
      <x:c r="F47" s="6" t="n">
        <x:f>F46+E47</x:f>
        <x:v>-10048000</x:v>
      </x:c>
      <x:c r="G47" s="6" t="n">
        <x:v>80000</x:v>
      </x:c>
      <x:c r="H47" s="6" t="n">
        <x:v>-52000</x:v>
      </x:c>
      <x:c r="I47" s="6" t="n">
        <x:v>-119000</x:v>
      </x:c>
      <x:c r="J47" s="6" t="n">
        <x:v>230000</x:v>
      </x:c>
      <x:c r="K47" s="11" t="n">
        <x:v>8</x:v>
      </x:c>
      <x:c r="L47" s="11" t="n">
        <x:v>34</x:v>
      </x:c>
    </x:row>
    <x:row r="48" ht="25" customHeight="1">
      <x:c r="A48" s="2" t="str">
        <x:v>2026-10-20_Day</x:v>
      </x:c>
      <x:c r="B48" s="2" t="str">
        <x:v>後13場</x:v>
      </x:c>
      <x:c r="C48" s="6" t="n">
        <x:v>471000</x:v>
      </x:c>
      <x:c r="D48" s="6" t="n">
        <x:v>591000</x:v>
      </x:c>
      <x:c r="E48" s="6" t="n">
        <x:f>C48-D48</x:f>
        <x:v>-120000</x:v>
      </x:c>
      <x:c r="F48" s="6" t="n">
        <x:f>F47+E48</x:f>
        <x:v>-10168000</x:v>
      </x:c>
      <x:c r="G48" s="6" t="n">
        <x:v>10000</x:v>
      </x:c>
      <x:c r="H48" s="6" t="n">
        <x:v>-130000</x:v>
      </x:c>
      <x:c r="I48" s="6" t="n">
        <x:v>-540000</x:v>
      </x:c>
      <x:c r="J48" s="6" t="n">
        <x:v>700000</x:v>
      </x:c>
      <x:c r="K48" s="11" t="n">
        <x:v>6</x:v>
      </x:c>
      <x:c r="L48" s="11" t="n">
        <x:v>94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1041000</x:v>
      </x:c>
      <x:c r="D49" s="6" t="n">
        <x:v>1475000</x:v>
      </x:c>
      <x:c r="E49" s="6" t="n">
        <x:f>C49-D49</x:f>
        <x:v>-434000</x:v>
      </x:c>
      <x:c r="F49" s="6" t="n">
        <x:f>F48+E49</x:f>
        <x:v>-10602000</x:v>
      </x:c>
      <x:c r="G49" s="6" t="n">
        <x:v>-290000</x:v>
      </x:c>
      <x:c r="H49" s="6" t="n">
        <x:v>-144000</x:v>
      </x:c>
      <x:c r="I49" s="6" t="n">
        <x:v>-464000</x:v>
      </x:c>
      <x:c r="J49" s="6" t="n">
        <x:v>564000</x:v>
      </x:c>
      <x:c r="K49" s="11" t="n">
        <x:v>12</x:v>
      </x:c>
      <x:c r="L49" s="11" t="n">
        <x:v>97</x:v>
      </x:c>
    </x:row>
    <x:row r="50" ht="25" customHeight="1">
      <x:c r="A50" s="2" t="str">
        <x:v>2026-10-21_Day</x:v>
      </x:c>
      <x:c r="B50" s="2" t="str">
        <x:v>後13場</x:v>
      </x:c>
      <x:c r="C50" s="6" t="n">
        <x:v>301000</x:v>
      </x:c>
      <x:c r="D50" s="6" t="n">
        <x:v>599000</x:v>
      </x:c>
      <x:c r="E50" s="6" t="n">
        <x:f>C50-D50</x:f>
        <x:v>-298000</x:v>
      </x:c>
      <x:c r="F50" s="6" t="n">
        <x:f>F49+E50</x:f>
        <x:v>-10900000</x:v>
      </x:c>
      <x:c r="G50" s="6" t="n">
        <x:v>-170000</x:v>
      </x:c>
      <x:c r="H50" s="6" t="n">
        <x:v>-128000</x:v>
      </x:c>
      <x:c r="I50" s="6" t="n">
        <x:v>-548000</x:v>
      </x:c>
      <x:c r="J50" s="6" t="n">
        <x:v>598000</x:v>
      </x:c>
      <x:c r="K50" s="11" t="n">
        <x:v>4</x:v>
      </x:c>
      <x:c r="L50" s="11" t="n">
        <x:v>76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600000</x:v>
      </x:c>
      <x:c r="D51" s="6" t="n">
        <x:v>718000</x:v>
      </x:c>
      <x:c r="E51" s="6" t="n">
        <x:f>C51-D51</x:f>
        <x:v>-118000</x:v>
      </x:c>
      <x:c r="F51" s="6" t="n">
        <x:f>F50+E51</x:f>
        <x:v>-11018000</x:v>
      </x:c>
      <x:c r="G51" s="6" t="n">
        <x:v>-50000</x:v>
      </x:c>
      <x:c r="H51" s="6" t="n">
        <x:v>-68000</x:v>
      </x:c>
      <x:c r="I51" s="6" t="n">
        <x:v>-248000</x:v>
      </x:c>
      <x:c r="J51" s="6" t="n">
        <x:v>248000</x:v>
      </x:c>
      <x:c r="K51" s="11" t="n">
        <x:v>8</x:v>
      </x:c>
      <x:c r="L51" s="11" t="n">
        <x:v>47</x:v>
      </x:c>
    </x:row>
    <x:row r="52" ht="25" customHeight="1">
      <x:c r="A52" s="2" t="str">
        <x:v>2026-10-22_Day</x:v>
      </x:c>
      <x:c r="B52" s="2" t="str">
        <x:v>後13場</x:v>
      </x:c>
      <x:c r="C52" s="6" t="n">
        <x:v>610000</x:v>
      </x:c>
      <x:c r="D52" s="6" t="n">
        <x:v>2145000</x:v>
      </x:c>
      <x:c r="E52" s="6" t="n">
        <x:f>C52-D52</x:f>
        <x:v>-1535000</x:v>
      </x:c>
      <x:c r="F52" s="6" t="n">
        <x:f>F51+E52</x:f>
        <x:v>-12553000</x:v>
      </x:c>
      <x:c r="G52" s="6" t="n">
        <x:v>-1170000</x:v>
      </x:c>
      <x:c r="H52" s="6" t="n">
        <x:v>-365000</x:v>
      </x:c>
      <x:c r="I52" s="6" t="n">
        <x:v>-1775000</x:v>
      </x:c>
      <x:c r="J52" s="6" t="n">
        <x:v>1910000</x:v>
      </x:c>
      <x:c r="K52" s="11" t="n">
        <x:v>7</x:v>
      </x:c>
      <x:c r="L52" s="11" t="n">
        <x:v>253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917000</x:v>
      </x:c>
      <x:c r="D53" s="6" t="n">
        <x:v>1344000</x:v>
      </x:c>
      <x:c r="E53" s="6" t="n">
        <x:f>C53-D53</x:f>
        <x:v>-427000</x:v>
      </x:c>
      <x:c r="F53" s="6" t="n">
        <x:f>F52+E53</x:f>
        <x:v>-12980000</x:v>
      </x:c>
      <x:c r="G53" s="6" t="n">
        <x:v>-304000</x:v>
      </x:c>
      <x:c r="H53" s="6" t="n">
        <x:v>-123000</x:v>
      </x:c>
      <x:c r="I53" s="6" t="n">
        <x:v>-437000</x:v>
      </x:c>
      <x:c r="J53" s="6" t="n">
        <x:v>600000</x:v>
      </x:c>
      <x:c r="K53" s="11" t="n">
        <x:v>14</x:v>
      </x:c>
      <x:c r="L53" s="11" t="n">
        <x:v>111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1510000</x:v>
      </x:c>
      <x:c r="D54" s="6" t="n">
        <x:v>1763000</x:v>
      </x:c>
      <x:c r="E54" s="6" t="n">
        <x:f>C54-D54</x:f>
        <x:v>-253000</x:v>
      </x:c>
      <x:c r="F54" s="6" t="n">
        <x:f>F53+E54</x:f>
        <x:v>-13233000</x:v>
      </x:c>
      <x:c r="G54" s="6" t="n">
        <x:v>350000</x:v>
      </x:c>
      <x:c r="H54" s="6" t="n">
        <x:v>-603000</x:v>
      </x:c>
      <x:c r="I54" s="6" t="n">
        <x:v>-403000</x:v>
      </x:c>
      <x:c r="J54" s="6" t="n">
        <x:v>1055000</x:v>
      </x:c>
      <x:c r="K54" s="11" t="n">
        <x:v>16</x:v>
      </x:c>
      <x:c r="L54" s="11" t="n">
        <x:v>163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696000</x:v>
      </x:c>
      <x:c r="E55" s="6" t="n">
        <x:f>C55-D55</x:f>
        <x:v>-196000</x:v>
      </x:c>
      <x:c r="F55" s="6" t="n">
        <x:f>F54+E55</x:f>
        <x:v>-13429000</x:v>
      </x:c>
      <x:c r="G55" s="6" t="n">
        <x:v>-150000</x:v>
      </x:c>
      <x:c r="H55" s="6" t="n">
        <x:v>-46000</x:v>
      </x:c>
      <x:c r="I55" s="6" t="n">
        <x:v>-216000</x:v>
      </x:c>
      <x:c r="J55" s="6" t="n">
        <x:v>255000</x:v>
      </x:c>
      <x:c r="K55" s="11" t="n">
        <x:v>7</x:v>
      </x:c>
      <x:c r="L55" s="11" t="n">
        <x:v>32</x:v>
      </x:c>
    </x:row>
    <x:row r="56" ht="25" customHeight="1">
      <x:c r="A56" s="2" t="str">
        <x:v>2026-10-26_Day</x:v>
      </x:c>
      <x:c r="B56" s="2" t="str">
        <x:v>後13場</x:v>
      </x:c>
      <x:c r="C56" s="6" t="n">
        <x:v>410000</x:v>
      </x:c>
      <x:c r="D56" s="6" t="n">
        <x:v>810000</x:v>
      </x:c>
      <x:c r="E56" s="6" t="n">
        <x:f>C56-D56</x:f>
        <x:v>-400000</x:v>
      </x:c>
      <x:c r="F56" s="6" t="n">
        <x:f>F55+E56</x:f>
        <x:v>-13829000</x:v>
      </x:c>
      <x:c r="G56" s="6" t="n">
        <x:v>-250000</x:v>
      </x:c>
      <x:c r="H56" s="6" t="n">
        <x:v>-150000</x:v>
      </x:c>
      <x:c r="I56" s="6" t="n">
        <x:v>-480000</x:v>
      </x:c>
      <x:c r="J56" s="6" t="n">
        <x:v>480000</x:v>
      </x:c>
      <x:c r="K56" s="11" t="n">
        <x:v>5</x:v>
      </x:c>
      <x:c r="L56" s="11" t="n">
        <x:v>85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680000</x:v>
      </x:c>
      <x:c r="D57" s="6" t="n">
        <x:v>990000</x:v>
      </x:c>
      <x:c r="E57" s="6" t="n">
        <x:f>C57-D57</x:f>
        <x:v>-310000</x:v>
      </x:c>
      <x:c r="F57" s="6" t="n">
        <x:f>F56+E57</x:f>
        <x:v>-14139000</x:v>
      </x:c>
      <x:c r="G57" s="6" t="n">
        <x:v>-220000</x:v>
      </x:c>
      <x:c r="H57" s="6" t="n">
        <x:v>-90000</x:v>
      </x:c>
      <x:c r="I57" s="6" t="n">
        <x:v>-330000</x:v>
      </x:c>
      <x:c r="J57" s="6" t="n">
        <x:v>405000</x:v>
      </x:c>
      <x:c r="K57" s="11" t="n">
        <x:v>9</x:v>
      </x:c>
      <x:c r="L57" s="11" t="n">
        <x:v>47</x:v>
      </x:c>
    </x:row>
    <x:row r="58" ht="25" customHeight="1">
      <x:c r="A58" s="2" t="str">
        <x:v>2026-10-27_Day</x:v>
      </x:c>
      <x:c r="B58" s="2" t="str">
        <x:v>後13場</x:v>
      </x:c>
      <x:c r="C58" s="6" t="n">
        <x:v>900000</x:v>
      </x:c>
      <x:c r="D58" s="6" t="n">
        <x:v>56000</x:v>
      </x:c>
      <x:c r="E58" s="6" t="n">
        <x:f>C58-D58</x:f>
        <x:v>844000</x:v>
      </x:c>
      <x:c r="F58" s="6" t="n">
        <x:f>F57+E58</x:f>
        <x:v>-13295000</x:v>
      </x:c>
      <x:c r="G58" s="6" t="n">
        <x:v>900000</x:v>
      </x:c>
      <x:c r="H58" s="6" t="n">
        <x:v>-56000</x:v>
      </x:c>
      <x:c r="I58" s="6" t="n">
        <x:v>-112000</x:v>
      </x:c>
      <x:c r="J58" s="6" t="n">
        <x:v>378000</x:v>
      </x:c>
      <x:c r="K58" s="11" t="n">
        <x:v>9</x:v>
      </x:c>
      <x:c r="L58" s="11" t="n">
        <x:v>38</x:v>
      </x:c>
    </x:row>
    <x:row r="59" ht="25" customHeight="1">
      <x:c r="A59" s="15" t="str">
        <x:v>累計／場内最悪値</x:v>
      </x:c>
      <x:c r="B59" s="15"/>
      <x:c r="C59" s="16" t="n">
        <x:f>SUM(C6:C58)</x:f>
        <x:v>31199000</x:v>
      </x:c>
      <x:c r="D59" s="16" t="n">
        <x:f>SUM(D6:D58)</x:f>
        <x:v>44494000</x:v>
      </x:c>
      <x:c r="E59" s="16" t="n">
        <x:f>C59-D59</x:f>
        <x:v>-13295000</x:v>
      </x:c>
      <x:c r="F59" s="16" t="n">
        <x:f>F58</x:f>
        <x:v>-13295000</x:v>
      </x:c>
      <x:c r="G59" s="16" t="n">
        <x:f>SUM(G6:G58)</x:f>
        <x:v>-5960000</x:v>
      </x:c>
      <x:c r="H59" s="16" t="n">
        <x:f>SUM(H6:H58)</x:f>
        <x:v>-7335000</x:v>
      </x:c>
      <x:c r="I59" s="16" t="n">
        <x:f>MIN(I6:I58)</x:f>
        <x:v>-1959000</x:v>
      </x:c>
      <x:c r="J59" s="16" t="n">
        <x:f>MAX(J6:J58)</x:f>
        <x:v>2165000</x:v>
      </x:c>
      <x:c r="K59" s="17" t="n">
        <x:f>SUM(K6:K58)</x:f>
        <x:v>383</x:v>
      </x:c>
      <x:c r="L59" s="17" t="n">
        <x:f>SUM(L6:L58)</x:f>
        <x:v>4062</x:v>
      </x:c>
    </x:row>
  </x:sheetData>
  <x:conditionalFormatting sqref="E6:I58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a3d77db79649f1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H23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段60・即追尾・追尾20・固定段再交差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201000</x:v>
      </x:c>
      <x:c r="D6" s="6" t="n">
        <x:v>3000</x:v>
      </x:c>
      <x:c r="E6" s="6" t="n">
        <x:f>C6-D6</x:f>
        <x:v>198000</x:v>
      </x:c>
      <x:c r="F6" s="6" t="n">
        <x:f>E6</x:f>
        <x:v>198000</x:v>
      </x:c>
      <x:c r="G6" s="6" t="n">
        <x:v>200000</x:v>
      </x:c>
      <x:c r="H6" s="6" t="n">
        <x:v>-2000</x:v>
      </x:c>
      <x:c r="I6" s="6" t="n">
        <x:v>-60000</x:v>
      </x:c>
      <x:c r="J6" s="6" t="n">
        <x:v>127000</x:v>
      </x:c>
      <x:c r="K6" s="11" t="n">
        <x:v>2</x:v>
      </x:c>
      <x:c r="L6" s="11" t="n">
        <x:v>2</x:v>
      </x:c>
    </x:row>
    <x:row r="7" ht="25" customHeight="1">
      <x:c r="A7" s="2" t="str">
        <x:v>2026-09-21_Night</x:v>
      </x:c>
      <x:c r="B7" s="2" t="str">
        <x:v>前30場</x:v>
      </x:c>
      <x:c r="C7" s="6" t="n">
        <x:v>599000</x:v>
      </x:c>
      <x:c r="D7" s="6" t="n">
        <x:v>911000</x:v>
      </x:c>
      <x:c r="E7" s="6" t="n">
        <x:f>C7-D7</x:f>
        <x:v>-312000</x:v>
      </x:c>
      <x:c r="F7" s="6" t="n">
        <x:f>F6+E7</x:f>
        <x:v>-114000</x:v>
      </x:c>
      <x:c r="G7" s="6" t="n">
        <x:v>-230000</x:v>
      </x:c>
      <x:c r="H7" s="6" t="n">
        <x:v>-82000</x:v>
      </x:c>
      <x:c r="I7" s="6" t="n">
        <x:v>-442000</x:v>
      </x:c>
      <x:c r="J7" s="6" t="n">
        <x:v>583000</x:v>
      </x:c>
      <x:c r="K7" s="11" t="n">
        <x:v>7</x:v>
      </x:c>
      <x:c r="L7" s="11" t="n">
        <x:v>57</x:v>
      </x:c>
    </x:row>
    <x:row r="8" ht="25" customHeight="1">
      <x:c r="A8" s="2" t="str">
        <x:v>2026-09-22_Day</x:v>
      </x:c>
      <x:c r="B8" s="2" t="str">
        <x:v>前30場</x:v>
      </x:c>
      <x:c r="C8" s="6" t="n">
        <x:v>123000</x:v>
      </x:c>
      <x:c r="D8" s="6" t="n">
        <x:v>208000</x:v>
      </x:c>
      <x:c r="E8" s="6" t="n">
        <x:f>C8-D8</x:f>
        <x:v>-85000</x:v>
      </x:c>
      <x:c r="F8" s="6" t="n">
        <x:f>F7+E8</x:f>
        <x:v>-199000</x:v>
      </x:c>
      <x:c r="G8" s="6" t="n">
        <x:v>100000</x:v>
      </x:c>
      <x:c r="H8" s="6" t="n">
        <x:v>-185000</x:v>
      </x:c>
      <x:c r="I8" s="6" t="n">
        <x:v>-387000</x:v>
      </x:c>
      <x:c r="J8" s="6" t="n">
        <x:v>467000</x:v>
      </x:c>
      <x:c r="K8" s="11" t="n">
        <x:v>1</x:v>
      </x:c>
      <x:c r="L8" s="11" t="n">
        <x:v>106</x:v>
      </x:c>
    </x:row>
    <x:row r="9" ht="25" customHeight="1">
      <x:c r="A9" s="2" t="str">
        <x:v>2026-09-22_Night</x:v>
      </x:c>
      <x:c r="B9" s="2" t="str">
        <x:v>前30場</x:v>
      </x:c>
      <x:c r="C9" s="6" t="n">
        <x:v>644000</x:v>
      </x:c>
      <x:c r="D9" s="6" t="n">
        <x:v>1164000</x:v>
      </x:c>
      <x:c r="E9" s="6" t="n">
        <x:f>C9-D9</x:f>
        <x:v>-520000</x:v>
      </x:c>
      <x:c r="F9" s="6" t="n">
        <x:f>F8+E9</x:f>
        <x:v>-719000</x:v>
      </x:c>
      <x:c r="G9" s="6" t="n">
        <x:v>-322000</x:v>
      </x:c>
      <x:c r="H9" s="6" t="n">
        <x:v>-198000</x:v>
      </x:c>
      <x:c r="I9" s="6" t="n">
        <x:v>-690000</x:v>
      </x:c>
      <x:c r="J9" s="6" t="n">
        <x:v>820000</x:v>
      </x:c>
      <x:c r="K9" s="11" t="n">
        <x:v>10</x:v>
      </x:c>
      <x:c r="L9" s="11" t="n">
        <x:v>146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-719000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584000</x:v>
      </x:c>
      <x:c r="D11" s="6" t="n">
        <x:v>1157000</x:v>
      </x:c>
      <x:c r="E11" s="6" t="n">
        <x:f>C11-D11</x:f>
        <x:v>-573000</x:v>
      </x:c>
      <x:c r="F11" s="6" t="n">
        <x:f>F10+E11</x:f>
        <x:v>-1292000</x:v>
      </x:c>
      <x:c r="G11" s="6" t="n">
        <x:v>-510000</x:v>
      </x:c>
      <x:c r="H11" s="6" t="n">
        <x:v>-63000</x:v>
      </x:c>
      <x:c r="I11" s="6" t="n">
        <x:v>-573000</x:v>
      </x:c>
      <x:c r="J11" s="6" t="n">
        <x:v>633000</x:v>
      </x:c>
      <x:c r="K11" s="11" t="n">
        <x:v>8</x:v>
      </x:c>
      <x:c r="L11" s="11" t="n">
        <x:v>47</x:v>
      </x:c>
    </x:row>
    <x:row r="12" ht="25" customHeight="1">
      <x:c r="A12" s="2" t="str">
        <x:v>2026-09-24_Day</x:v>
      </x:c>
      <x:c r="B12" s="2" t="str">
        <x:v>前30場</x:v>
      </x:c>
      <x:c r="C12" s="6" t="n">
        <x:v>338000</x:v>
      </x:c>
      <x:c r="D12" s="6" t="n">
        <x:v>441000</x:v>
      </x:c>
      <x:c r="E12" s="6" t="n">
        <x:f>C12-D12</x:f>
        <x:v>-103000</x:v>
      </x:c>
      <x:c r="F12" s="6" t="n">
        <x:f>F11+E12</x:f>
        <x:v>-1395000</x:v>
      </x:c>
      <x:c r="G12" s="6" t="n">
        <x:v>290000</x:v>
      </x:c>
      <x:c r="H12" s="6" t="n">
        <x:v>-393000</x:v>
      </x:c>
      <x:c r="I12" s="6" t="n">
        <x:v>-554000</x:v>
      </x:c>
      <x:c r="J12" s="6" t="n">
        <x:v>554000</x:v>
      </x:c>
      <x:c r="K12" s="11" t="n">
        <x:v>3</x:v>
      </x:c>
      <x:c r="L12" s="11" t="n">
        <x:v>226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540000</x:v>
      </x:c>
      <x:c r="D13" s="6" t="n">
        <x:v>930000</x:v>
      </x:c>
      <x:c r="E13" s="6" t="n">
        <x:f>C13-D13</x:f>
        <x:v>-390000</x:v>
      </x:c>
      <x:c r="F13" s="6" t="n">
        <x:f>F12+E13</x:f>
        <x:v>-1785000</x:v>
      </x:c>
      <x:c r="G13" s="6" t="n">
        <x:v>-219000</x:v>
      </x:c>
      <x:c r="H13" s="6" t="n">
        <x:v>-171000</x:v>
      </x:c>
      <x:c r="I13" s="6" t="n">
        <x:v>-450000</x:v>
      </x:c>
      <x:c r="J13" s="6" t="n">
        <x:v>530000</x:v>
      </x:c>
      <x:c r="K13" s="11" t="n">
        <x:v>9</x:v>
      </x:c>
      <x:c r="L13" s="11" t="n">
        <x:v>126</x:v>
      </x:c>
    </x:row>
    <x:row r="14" ht="25" customHeight="1">
      <x:c r="A14" s="2" t="str">
        <x:v>2026-09-25_Day</x:v>
      </x:c>
      <x:c r="B14" s="2" t="str">
        <x:v>前30場</x:v>
      </x:c>
      <x:c r="C14" s="6" t="n">
        <x:v>142000</x:v>
      </x:c>
      <x:c r="D14" s="6" t="n">
        <x:v>1065000</x:v>
      </x:c>
      <x:c r="E14" s="6" t="n">
        <x:f>C14-D14</x:f>
        <x:v>-923000</x:v>
      </x:c>
      <x:c r="F14" s="6" t="n">
        <x:f>F13+E14</x:f>
        <x:v>-2708000</x:v>
      </x:c>
      <x:c r="G14" s="6" t="n">
        <x:v>-610000</x:v>
      </x:c>
      <x:c r="H14" s="6" t="n">
        <x:v>-313000</x:v>
      </x:c>
      <x:c r="I14" s="6" t="n">
        <x:v>-1043000</x:v>
      </x:c>
      <x:c r="J14" s="6" t="n">
        <x:v>1113000</x:v>
      </x:c>
      <x:c r="K14" s="11" t="n">
        <x:v>3</x:v>
      </x:c>
      <x:c r="L14" s="11" t="n">
        <x:v>189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463000</x:v>
      </x:c>
      <x:c r="D15" s="6" t="n">
        <x:v>698000</x:v>
      </x:c>
      <x:c r="E15" s="6" t="n">
        <x:f>C15-D15</x:f>
        <x:v>-235000</x:v>
      </x:c>
      <x:c r="F15" s="6" t="n">
        <x:f>F14+E15</x:f>
        <x:v>-2943000</x:v>
      </x:c>
      <x:c r="G15" s="6" t="n">
        <x:v>-190000</x:v>
      </x:c>
      <x:c r="H15" s="6" t="n">
        <x:v>-45000</x:v>
      </x:c>
      <x:c r="I15" s="6" t="n">
        <x:v>-255000</x:v>
      </x:c>
      <x:c r="J15" s="6" t="n">
        <x:v>255000</x:v>
      </x:c>
      <x:c r="K15" s="11" t="n">
        <x:v>8</x:v>
      </x:c>
      <x:c r="L15" s="11" t="n">
        <x:v>25</x:v>
      </x:c>
    </x:row>
    <x:row r="16" ht="25" customHeight="1">
      <x:c r="A16" s="2" t="str">
        <x:v>2026-09-28_Day</x:v>
      </x:c>
      <x:c r="B16" s="2" t="str">
        <x:v>前30場</x:v>
      </x:c>
      <x:c r="C16" s="6" t="n">
        <x:v>504000</x:v>
      </x:c>
      <x:c r="D16" s="6" t="n">
        <x:v>213000</x:v>
      </x:c>
      <x:c r="E16" s="6" t="n">
        <x:f>C16-D16</x:f>
        <x:v>291000</x:v>
      </x:c>
      <x:c r="F16" s="6" t="n">
        <x:f>F15+E16</x:f>
        <x:v>-2652000</x:v>
      </x:c>
      <x:c r="G16" s="6" t="n">
        <x:v>461000</x:v>
      </x:c>
      <x:c r="H16" s="6" t="n">
        <x:v>-170000</x:v>
      </x:c>
      <x:c r="I16" s="6" t="n">
        <x:v>-467000</x:v>
      </x:c>
      <x:c r="J16" s="6" t="n">
        <x:v>483000</x:v>
      </x:c>
      <x:c r="K16" s="11" t="n">
        <x:v>5</x:v>
      </x:c>
      <x:c r="L16" s="11" t="n">
        <x:v>123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709000</x:v>
      </x:c>
      <x:c r="D17" s="6" t="n">
        <x:v>694000</x:v>
      </x:c>
      <x:c r="E17" s="6" t="n">
        <x:f>C17-D17</x:f>
        <x:v>15000</x:v>
      </x:c>
      <x:c r="F17" s="6" t="n">
        <x:f>F16+E17</x:f>
        <x:v>-2637000</x:v>
      </x:c>
      <x:c r="G17" s="6" t="n">
        <x:v>220000</x:v>
      </x:c>
      <x:c r="H17" s="6" t="n">
        <x:v>-205000</x:v>
      </x:c>
      <x:c r="I17" s="6" t="n">
        <x:v>-241000</x:v>
      </x:c>
      <x:c r="J17" s="6" t="n">
        <x:v>299000</x:v>
      </x:c>
      <x:c r="K17" s="11" t="n">
        <x:v>10</x:v>
      </x:c>
      <x:c r="L17" s="11" t="n">
        <x:v>129</x:v>
      </x:c>
    </x:row>
    <x:row r="18" ht="25" customHeight="1">
      <x:c r="A18" s="2" t="str">
        <x:v>2026-09-29_Day</x:v>
      </x:c>
      <x:c r="B18" s="2" t="str">
        <x:v>前30場</x:v>
      </x:c>
      <x:c r="C18" s="6" t="n">
        <x:v>453000</x:v>
      </x:c>
      <x:c r="D18" s="6" t="n">
        <x:v>1049000</x:v>
      </x:c>
      <x:c r="E18" s="6" t="n">
        <x:f>C18-D18</x:f>
        <x:v>-596000</x:v>
      </x:c>
      <x:c r="F18" s="6" t="n">
        <x:f>F17+E18</x:f>
        <x:v>-3233000</x:v>
      </x:c>
      <x:c r="G18" s="6" t="n">
        <x:v>-90000</x:v>
      </x:c>
      <x:c r="H18" s="6" t="n">
        <x:v>-506000</x:v>
      </x:c>
      <x:c r="I18" s="6" t="n">
        <x:v>-1165000</x:v>
      </x:c>
      <x:c r="J18" s="6" t="n">
        <x:v>1196000</x:v>
      </x:c>
      <x:c r="K18" s="11" t="n">
        <x:v>5</x:v>
      </x:c>
      <x:c r="L18" s="11" t="n">
        <x:v>342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690000</x:v>
      </x:c>
      <x:c r="D19" s="6" t="n">
        <x:v>783000</x:v>
      </x:c>
      <x:c r="E19" s="6" t="n">
        <x:f>C19-D19</x:f>
        <x:v>-93000</x:v>
      </x:c>
      <x:c r="F19" s="6" t="n">
        <x:f>F18+E19</x:f>
        <x:v>-3326000</x:v>
      </x:c>
      <x:c r="G19" s="6" t="n">
        <x:v>3000</x:v>
      </x:c>
      <x:c r="H19" s="6" t="n">
        <x:v>-96000</x:v>
      </x:c>
      <x:c r="I19" s="6" t="n">
        <x:v>-153000</x:v>
      </x:c>
      <x:c r="J19" s="6" t="n">
        <x:v>303000</x:v>
      </x:c>
      <x:c r="K19" s="11" t="n">
        <x:v>12</x:v>
      </x:c>
      <x:c r="L19" s="11" t="n">
        <x:v>49</x:v>
      </x:c>
    </x:row>
    <x:row r="20" ht="25" customHeight="1">
      <x:c r="A20" s="2" t="str">
        <x:v>2026-09-30_Day</x:v>
      </x:c>
      <x:c r="B20" s="2" t="str">
        <x:v>前30場</x:v>
      </x:c>
      <x:c r="C20" s="6" t="n">
        <x:v>250000</x:v>
      </x:c>
      <x:c r="D20" s="6" t="n">
        <x:v>890000</x:v>
      </x:c>
      <x:c r="E20" s="6" t="n">
        <x:f>C20-D20</x:f>
        <x:v>-640000</x:v>
      </x:c>
      <x:c r="F20" s="6" t="n">
        <x:f>F19+E20</x:f>
        <x:v>-3966000</x:v>
      </x:c>
      <x:c r="G20" s="6" t="n">
        <x:v>-420000</x:v>
      </x:c>
      <x:c r="H20" s="6" t="n">
        <x:v>-220000</x:v>
      </x:c>
      <x:c r="I20" s="6" t="n">
        <x:v>-640000</x:v>
      </x:c>
      <x:c r="J20" s="6" t="n">
        <x:v>792000</x:v>
      </x:c>
      <x:c r="K20" s="11" t="n">
        <x:v>3</x:v>
      </x:c>
      <x:c r="L20" s="11" t="n">
        <x:v>144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581000</x:v>
      </x:c>
      <x:c r="D21" s="6" t="n">
        <x:v>787000</x:v>
      </x:c>
      <x:c r="E21" s="6" t="n">
        <x:f>C21-D21</x:f>
        <x:v>-206000</x:v>
      </x:c>
      <x:c r="F21" s="6" t="n">
        <x:f>F20+E21</x:f>
        <x:v>-4172000</x:v>
      </x:c>
      <x:c r="G21" s="6" t="n">
        <x:v>-147000</x:v>
      </x:c>
      <x:c r="H21" s="6" t="n">
        <x:v>-59000</x:v>
      </x:c>
      <x:c r="I21" s="6" t="n">
        <x:v>-367000</x:v>
      </x:c>
      <x:c r="J21" s="6" t="n">
        <x:v>367000</x:v>
      </x:c>
      <x:c r="K21" s="11" t="n">
        <x:v>10</x:v>
      </x:c>
      <x:c r="L21" s="11" t="n">
        <x:v>49</x:v>
      </x:c>
    </x:row>
    <x:row r="22" ht="25" customHeight="1">
      <x:c r="A22" s="2" t="str">
        <x:v>2026-10-01_Day</x:v>
      </x:c>
      <x:c r="B22" s="2" t="str">
        <x:v>前30場</x:v>
      </x:c>
      <x:c r="C22" s="6" t="n">
        <x:v>252000</x:v>
      </x:c>
      <x:c r="D22" s="6" t="n">
        <x:v>1818000</x:v>
      </x:c>
      <x:c r="E22" s="6" t="n">
        <x:f>C22-D22</x:f>
        <x:v>-1566000</x:v>
      </x:c>
      <x:c r="F22" s="6" t="n">
        <x:f>F21+E22</x:f>
        <x:v>-5738000</x:v>
      </x:c>
      <x:c r="G22" s="6" t="n">
        <x:v>-1410000</x:v>
      </x:c>
      <x:c r="H22" s="6" t="n">
        <x:v>-156000</x:v>
      </x:c>
      <x:c r="I22" s="6" t="n">
        <x:v>-1766000</x:v>
      </x:c>
      <x:c r="J22" s="6" t="n">
        <x:v>1883000</x:v>
      </x:c>
      <x:c r="K22" s="11" t="n">
        <x:v>3</x:v>
      </x:c>
      <x:c r="L22" s="11" t="n">
        <x:v>108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870000</x:v>
      </x:c>
      <x:c r="D23" s="6" t="n">
        <x:v>909000</x:v>
      </x:c>
      <x:c r="E23" s="6" t="n">
        <x:f>C23-D23</x:f>
        <x:v>-39000</x:v>
      </x:c>
      <x:c r="F23" s="6" t="n">
        <x:f>F22+E23</x:f>
        <x:v>-5777000</x:v>
      </x:c>
      <x:c r="G23" s="6" t="n">
        <x:v>0</x:v>
      </x:c>
      <x:c r="H23" s="6" t="n">
        <x:v>-39000</x:v>
      </x:c>
      <x:c r="I23" s="6" t="n">
        <x:v>-209000</x:v>
      </x:c>
      <x:c r="J23" s="6" t="n">
        <x:v>319000</x:v>
      </x:c>
      <x:c r="K23" s="11" t="n">
        <x:v>11</x:v>
      </x:c>
      <x:c r="L23" s="11" t="n">
        <x:v>34</x:v>
      </x:c>
    </x:row>
    <x:row r="24" ht="25" customHeight="1">
      <x:c r="A24" s="2" t="str">
        <x:v>2026-10-02_Day</x:v>
      </x:c>
      <x:c r="B24" s="2" t="str">
        <x:v>前30場</x:v>
      </x:c>
      <x:c r="C24" s="6" t="n">
        <x:v>358000</x:v>
      </x:c>
      <x:c r="D24" s="6" t="n">
        <x:v>860000</x:v>
      </x:c>
      <x:c r="E24" s="6" t="n">
        <x:f>C24-D24</x:f>
        <x:v>-502000</x:v>
      </x:c>
      <x:c r="F24" s="6" t="n">
        <x:f>F23+E24</x:f>
        <x:v>-6279000</x:v>
      </x:c>
      <x:c r="G24" s="6" t="n">
        <x:v>0</x:v>
      </x:c>
      <x:c r="H24" s="6" t="n">
        <x:v>-502000</x:v>
      </x:c>
      <x:c r="I24" s="6" t="n">
        <x:v>-642000</x:v>
      </x:c>
      <x:c r="J24" s="6" t="n">
        <x:v>682000</x:v>
      </x:c>
      <x:c r="K24" s="11" t="n">
        <x:v>5</x:v>
      </x:c>
      <x:c r="L24" s="11" t="n">
        <x:v>268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1066000</x:v>
      </x:c>
      <x:c r="D25" s="6" t="n">
        <x:v>1301000</x:v>
      </x:c>
      <x:c r="E25" s="6" t="n">
        <x:f>C25-D25</x:f>
        <x:v>-235000</x:v>
      </x:c>
      <x:c r="F25" s="6" t="n">
        <x:f>F24+E25</x:f>
        <x:v>-6514000</x:v>
      </x:c>
      <x:c r="G25" s="6" t="n">
        <x:v>-128000</x:v>
      </x:c>
      <x:c r="H25" s="6" t="n">
        <x:v>-107000</x:v>
      </x:c>
      <x:c r="I25" s="6" t="n">
        <x:v>-507000</x:v>
      </x:c>
      <x:c r="J25" s="6" t="n">
        <x:v>577000</x:v>
      </x:c>
      <x:c r="K25" s="11" t="n">
        <x:v>17</x:v>
      </x:c>
      <x:c r="L25" s="11" t="n">
        <x:v>50</x:v>
      </x:c>
    </x:row>
    <x:row r="26" ht="25" customHeight="1">
      <x:c r="A26" s="2" t="str">
        <x:v>2026-10-05_Day</x:v>
      </x:c>
      <x:c r="B26" s="2" t="str">
        <x:v>前30場</x:v>
      </x:c>
      <x:c r="C26" s="6" t="n">
        <x:v>294000</x:v>
      </x:c>
      <x:c r="D26" s="6" t="n">
        <x:v>1117000</x:v>
      </x:c>
      <x:c r="E26" s="6" t="n">
        <x:f>C26-D26</x:f>
        <x:v>-823000</x:v>
      </x:c>
      <x:c r="F26" s="6" t="n">
        <x:f>F25+E26</x:f>
        <x:v>-7337000</x:v>
      </x:c>
      <x:c r="G26" s="6" t="n">
        <x:v>-278000</x:v>
      </x:c>
      <x:c r="H26" s="6" t="n">
        <x:v>-545000</x:v>
      </x:c>
      <x:c r="I26" s="6" t="n">
        <x:v>-823000</x:v>
      </x:c>
      <x:c r="J26" s="6" t="n">
        <x:v>873000</x:v>
      </x:c>
      <x:c r="K26" s="11" t="n">
        <x:v>3</x:v>
      </x:c>
      <x:c r="L26" s="11" t="n">
        <x:v>319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423000</x:v>
      </x:c>
      <x:c r="D27" s="6" t="n">
        <x:v>625000</x:v>
      </x:c>
      <x:c r="E27" s="6" t="n">
        <x:f>C27-D27</x:f>
        <x:v>-202000</x:v>
      </x:c>
      <x:c r="F27" s="6" t="n">
        <x:f>F26+E27</x:f>
        <x:v>-7539000</x:v>
      </x:c>
      <x:c r="G27" s="6" t="n">
        <x:v>-42000</x:v>
      </x:c>
      <x:c r="H27" s="6" t="n">
        <x:v>-160000</x:v>
      </x:c>
      <x:c r="I27" s="6" t="n">
        <x:v>-226000</x:v>
      </x:c>
      <x:c r="J27" s="6" t="n">
        <x:v>332000</x:v>
      </x:c>
      <x:c r="K27" s="11" t="n">
        <x:v>6</x:v>
      </x:c>
      <x:c r="L27" s="11" t="n">
        <x:v>96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101000</x:v>
      </x:c>
      <x:c r="D28" s="6" t="n">
        <x:v>27000</x:v>
      </x:c>
      <x:c r="E28" s="6" t="n">
        <x:f>C28-D28</x:f>
        <x:v>74000</x:v>
      </x:c>
      <x:c r="F28" s="6" t="n">
        <x:f>F27+E28</x:f>
        <x:v>-7465000</x:v>
      </x:c>
      <x:c r="G28" s="6" t="n">
        <x:v>100000</x:v>
      </x:c>
      <x:c r="H28" s="6" t="n">
        <x:v>-26000</x:v>
      </x:c>
      <x:c r="I28" s="6" t="n">
        <x:v>-172000</x:v>
      </x:c>
      <x:c r="J28" s="6" t="n">
        <x:v>172000</x:v>
      </x:c>
      <x:c r="K28" s="11" t="n">
        <x:v>1</x:v>
      </x:c>
      <x:c r="L28" s="11" t="n">
        <x:v>19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552000</x:v>
      </x:c>
      <x:c r="D29" s="6" t="n">
        <x:v>534000</x:v>
      </x:c>
      <x:c r="E29" s="6" t="n">
        <x:f>C29-D29</x:f>
        <x:v>18000</x:v>
      </x:c>
      <x:c r="F29" s="6" t="n">
        <x:f>F28+E29</x:f>
        <x:v>-7447000</x:v>
      </x:c>
      <x:c r="G29" s="6" t="n">
        <x:v>52000</x:v>
      </x:c>
      <x:c r="H29" s="6" t="n">
        <x:v>-34000</x:v>
      </x:c>
      <x:c r="I29" s="6" t="n">
        <x:v>-140000</x:v>
      </x:c>
      <x:c r="J29" s="6" t="n">
        <x:v>212000</x:v>
      </x:c>
      <x:c r="K29" s="11" t="n">
        <x:v>12</x:v>
      </x:c>
      <x:c r="L29" s="11" t="n">
        <x:v>31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203000</x:v>
      </x:c>
      <x:c r="D30" s="6" t="n">
        <x:v>37000</x:v>
      </x:c>
      <x:c r="E30" s="6" t="n">
        <x:f>C30-D30</x:f>
        <x:v>166000</x:v>
      </x:c>
      <x:c r="F30" s="6" t="n">
        <x:f>F29+E30</x:f>
        <x:v>-7281000</x:v>
      </x:c>
      <x:c r="G30" s="6" t="n">
        <x:v>200000</x:v>
      </x:c>
      <x:c r="H30" s="6" t="n">
        <x:v>-34000</x:v>
      </x:c>
      <x:c r="I30" s="6" t="n">
        <x:v>-108000</x:v>
      </x:c>
      <x:c r="J30" s="6" t="n">
        <x:v>188000</x:v>
      </x:c>
      <x:c r="K30" s="11" t="n">
        <x:v>2</x:v>
      </x:c>
      <x:c r="L30" s="11" t="n">
        <x:v>22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795000</x:v>
      </x:c>
      <x:c r="D31" s="6" t="n">
        <x:v>981000</x:v>
      </x:c>
      <x:c r="E31" s="6" t="n">
        <x:f>C31-D31</x:f>
        <x:v>-186000</x:v>
      </x:c>
      <x:c r="F31" s="6" t="n">
        <x:f>F30+E31</x:f>
        <x:v>-7467000</x:v>
      </x:c>
      <x:c r="G31" s="6" t="n">
        <x:v>-143000</x:v>
      </x:c>
      <x:c r="H31" s="6" t="n">
        <x:v>-43000</x:v>
      </x:c>
      <x:c r="I31" s="6" t="n">
        <x:v>-196000</x:v>
      </x:c>
      <x:c r="J31" s="6" t="n">
        <x:v>216000</x:v>
      </x:c>
      <x:c r="K31" s="11" t="n">
        <x:v>13</x:v>
      </x:c>
      <x:c r="L31" s="11" t="n">
        <x:v>26</x:v>
      </x:c>
    </x:row>
    <x:row r="32" ht="25" customHeight="1">
      <x:c r="A32" s="2" t="str">
        <x:v>2026-10-08_Day</x:v>
      </x:c>
      <x:c r="B32" s="2" t="str">
        <x:v>前30場</x:v>
      </x:c>
      <x:c r="C32" s="6" t="n">
        <x:v>404000</x:v>
      </x:c>
      <x:c r="D32" s="6" t="n">
        <x:v>1763000</x:v>
      </x:c>
      <x:c r="E32" s="6" t="n">
        <x:f>C32-D32</x:f>
        <x:v>-1359000</x:v>
      </x:c>
      <x:c r="F32" s="6" t="n">
        <x:f>F31+E32</x:f>
        <x:v>-8826000</x:v>
      </x:c>
      <x:c r="G32" s="6" t="n">
        <x:v>-810000</x:v>
      </x:c>
      <x:c r="H32" s="6" t="n">
        <x:v>-549000</x:v>
      </x:c>
      <x:c r="I32" s="6" t="n">
        <x:v>-1359000</x:v>
      </x:c>
      <x:c r="J32" s="6" t="n">
        <x:v>1575000</x:v>
      </x:c>
      <x:c r="K32" s="11" t="n">
        <x:v>4</x:v>
      </x:c>
      <x:c r="L32" s="11" t="n">
        <x:v>331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1216000</x:v>
      </x:c>
      <x:c r="D33" s="6" t="n">
        <x:v>1644000</x:v>
      </x:c>
      <x:c r="E33" s="6" t="n">
        <x:f>C33-D33</x:f>
        <x:v>-428000</x:v>
      </x:c>
      <x:c r="F33" s="6" t="n">
        <x:f>F32+E33</x:f>
        <x:v>-9254000</x:v>
      </x:c>
      <x:c r="G33" s="6" t="n">
        <x:v>-201000</x:v>
      </x:c>
      <x:c r="H33" s="6" t="n">
        <x:v>-227000</x:v>
      </x:c>
      <x:c r="I33" s="6" t="n">
        <x:v>-428000</x:v>
      </x:c>
      <x:c r="J33" s="6" t="n">
        <x:v>580000</x:v>
      </x:c>
      <x:c r="K33" s="11" t="n">
        <x:v>21</x:v>
      </x:c>
      <x:c r="L33" s="11" t="n">
        <x:v>133</x:v>
      </x:c>
    </x:row>
    <x:row r="34" ht="25" customHeight="1">
      <x:c r="A34" s="2" t="str">
        <x:v>2026-10-09_Day</x:v>
      </x:c>
      <x:c r="B34" s="2" t="str">
        <x:v>前30場</x:v>
      </x:c>
      <x:c r="C34" s="6" t="n">
        <x:v>592000</x:v>
      </x:c>
      <x:c r="D34" s="6" t="n">
        <x:v>1321000</x:v>
      </x:c>
      <x:c r="E34" s="6" t="n">
        <x:f>C34-D34</x:f>
        <x:v>-729000</x:v>
      </x:c>
      <x:c r="F34" s="6" t="n">
        <x:f>F33+E34</x:f>
        <x:v>-9983000</x:v>
      </x:c>
      <x:c r="G34" s="6" t="n">
        <x:v>-450000</x:v>
      </x:c>
      <x:c r="H34" s="6" t="n">
        <x:v>-279000</x:v>
      </x:c>
      <x:c r="I34" s="6" t="n">
        <x:v>-779000</x:v>
      </x:c>
      <x:c r="J34" s="6" t="n">
        <x:v>1184000</x:v>
      </x:c>
      <x:c r="K34" s="11" t="n">
        <x:v>7</x:v>
      </x:c>
      <x:c r="L34" s="11" t="n">
        <x:v>208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522000</x:v>
      </x:c>
      <x:c r="D35" s="6" t="n">
        <x:v>613000</x:v>
      </x:c>
      <x:c r="E35" s="6" t="n">
        <x:f>C35-D35</x:f>
        <x:v>-91000</x:v>
      </x:c>
      <x:c r="F35" s="6" t="n">
        <x:f>F34+E35</x:f>
        <x:v>-10074000</x:v>
      </x:c>
      <x:c r="G35" s="6" t="n">
        <x:v>20000</x:v>
      </x:c>
      <x:c r="H35" s="6" t="n">
        <x:v>-111000</x:v>
      </x:c>
      <x:c r="I35" s="6" t="n">
        <x:v>-219000</x:v>
      </x:c>
      <x:c r="J35" s="6" t="n">
        <x:v>250000</x:v>
      </x:c>
      <x:c r="K35" s="11" t="n">
        <x:v>7</x:v>
      </x:c>
      <x:c r="L35" s="11" t="n">
        <x:v>94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-10074000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687000</x:v>
      </x:c>
      <x:c r="D37" s="6" t="n">
        <x:v>912000</x:v>
      </x:c>
      <x:c r="E37" s="6" t="n">
        <x:f>C37-D37</x:f>
        <x:v>-225000</x:v>
      </x:c>
      <x:c r="F37" s="6" t="n">
        <x:f>F36+E37</x:f>
        <x:v>-10299000</x:v>
      </x:c>
      <x:c r="G37" s="6" t="n">
        <x:v>-140000</x:v>
      </x:c>
      <x:c r="H37" s="6" t="n">
        <x:v>-85000</x:v>
      </x:c>
      <x:c r="I37" s="6" t="n">
        <x:v>-255000</x:v>
      </x:c>
      <x:c r="J37" s="6" t="n">
        <x:v>265000</x:v>
      </x:c>
      <x:c r="K37" s="11" t="n">
        <x:v>10</x:v>
      </x:c>
      <x:c r="L37" s="11" t="n">
        <x:v>50</x:v>
      </x:c>
    </x:row>
    <x:row r="38" ht="25" customHeight="1">
      <x:c r="A38" s="2" t="str">
        <x:v>2026-10-13_Day</x:v>
      </x:c>
      <x:c r="B38" s="2" t="str">
        <x:v>次10場</x:v>
      </x:c>
      <x:c r="C38" s="6" t="n">
        <x:v>528000</x:v>
      </x:c>
      <x:c r="D38" s="6" t="n">
        <x:v>331000</x:v>
      </x:c>
      <x:c r="E38" s="6" t="n">
        <x:f>C38-D38</x:f>
        <x:v>197000</x:v>
      </x:c>
      <x:c r="F38" s="6" t="n">
        <x:f>F37+E38</x:f>
        <x:v>-10102000</x:v>
      </x:c>
      <x:c r="G38" s="6" t="n">
        <x:v>502000</x:v>
      </x:c>
      <x:c r="H38" s="6" t="n">
        <x:v>-305000</x:v>
      </x:c>
      <x:c r="I38" s="6" t="n">
        <x:v>-307000</x:v>
      </x:c>
      <x:c r="J38" s="6" t="n">
        <x:v>339000</x:v>
      </x:c>
      <x:c r="K38" s="11" t="n">
        <x:v>7</x:v>
      </x:c>
      <x:c r="L38" s="11" t="n">
        <x:v>162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408000</x:v>
      </x:c>
      <x:c r="D39" s="6" t="n">
        <x:v>380000</x:v>
      </x:c>
      <x:c r="E39" s="6" t="n">
        <x:f>C39-D39</x:f>
        <x:v>28000</x:v>
      </x:c>
      <x:c r="F39" s="6" t="n">
        <x:f>F38+E39</x:f>
        <x:v>-10074000</x:v>
      </x:c>
      <x:c r="G39" s="6" t="n">
        <x:v>96000</x:v>
      </x:c>
      <x:c r="H39" s="6" t="n">
        <x:v>-68000</x:v>
      </x:c>
      <x:c r="I39" s="6" t="n">
        <x:v>-103000</x:v>
      </x:c>
      <x:c r="J39" s="6" t="n">
        <x:v>142000</x:v>
      </x:c>
      <x:c r="K39" s="11" t="n">
        <x:v>6</x:v>
      </x:c>
      <x:c r="L39" s="11" t="n">
        <x:v>41</x:v>
      </x:c>
    </x:row>
    <x:row r="40" ht="25" customHeight="1">
      <x:c r="A40" s="2" t="str">
        <x:v>2026-10-14_Day</x:v>
      </x:c>
      <x:c r="B40" s="2" t="str">
        <x:v>次10場</x:v>
      </x:c>
      <x:c r="C40" s="6" t="n">
        <x:v>470000</x:v>
      </x:c>
      <x:c r="D40" s="6" t="n">
        <x:v>801000</x:v>
      </x:c>
      <x:c r="E40" s="6" t="n">
        <x:f>C40-D40</x:f>
        <x:v>-331000</x:v>
      </x:c>
      <x:c r="F40" s="6" t="n">
        <x:f>F39+E40</x:f>
        <x:v>-10405000</x:v>
      </x:c>
      <x:c r="G40" s="6" t="n">
        <x:v>40000</x:v>
      </x:c>
      <x:c r="H40" s="6" t="n">
        <x:v>-371000</x:v>
      </x:c>
      <x:c r="I40" s="6" t="n">
        <x:v>-595000</x:v>
      </x:c>
      <x:c r="J40" s="6" t="n">
        <x:v>774000</x:v>
      </x:c>
      <x:c r="K40" s="11" t="n">
        <x:v>6</x:v>
      </x:c>
      <x:c r="L40" s="11" t="n">
        <x:v>229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1457000</x:v>
      </x:c>
      <x:c r="D41" s="6" t="n">
        <x:v>2254000</x:v>
      </x:c>
      <x:c r="E41" s="6" t="n">
        <x:f>C41-D41</x:f>
        <x:v>-797000</x:v>
      </x:c>
      <x:c r="F41" s="6" t="n">
        <x:f>F40+E41</x:f>
        <x:v>-11202000</x:v>
      </x:c>
      <x:c r="G41" s="6" t="n">
        <x:v>-490000</x:v>
      </x:c>
      <x:c r="H41" s="6" t="n">
        <x:v>-307000</x:v>
      </x:c>
      <x:c r="I41" s="6" t="n">
        <x:v>-827000</x:v>
      </x:c>
      <x:c r="J41" s="6" t="n">
        <x:v>837000</x:v>
      </x:c>
      <x:c r="K41" s="11" t="n">
        <x:v>15</x:v>
      </x:c>
      <x:c r="L41" s="11" t="n">
        <x:v>51</x:v>
      </x:c>
    </x:row>
    <x:row r="42" ht="25" customHeight="1">
      <x:c r="A42" s="2" t="str">
        <x:v>2026-10-15_Day</x:v>
      </x:c>
      <x:c r="B42" s="2" t="str">
        <x:v>次10場</x:v>
      </x:c>
      <x:c r="C42" s="6" t="n">
        <x:v>1170000</x:v>
      </x:c>
      <x:c r="D42" s="6" t="n">
        <x:v>1500000</x:v>
      </x:c>
      <x:c r="E42" s="6" t="n">
        <x:f>C42-D42</x:f>
        <x:v>-330000</x:v>
      </x:c>
      <x:c r="F42" s="6" t="n">
        <x:f>F41+E42</x:f>
        <x:v>-11532000</x:v>
      </x:c>
      <x:c r="G42" s="6" t="n">
        <x:v>-150000</x:v>
      </x:c>
      <x:c r="H42" s="6" t="n">
        <x:v>-180000</x:v>
      </x:c>
      <x:c r="I42" s="6" t="n">
        <x:v>-1240000</x:v>
      </x:c>
      <x:c r="J42" s="6" t="n">
        <x:v>1490000</x:v>
      </x:c>
      <x:c r="K42" s="11" t="n">
        <x:v>12</x:v>
      </x:c>
      <x:c r="L42" s="11" t="n">
        <x:v>140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1605000</x:v>
      </x:c>
      <x:c r="D43" s="6" t="n">
        <x:v>1698000</x:v>
      </x:c>
      <x:c r="E43" s="6" t="n">
        <x:f>C43-D43</x:f>
        <x:v>-93000</x:v>
      </x:c>
      <x:c r="F43" s="6" t="n">
        <x:f>F42+E43</x:f>
        <x:v>-11625000</x:v>
      </x:c>
      <x:c r="G43" s="6" t="n">
        <x:v>249000</x:v>
      </x:c>
      <x:c r="H43" s="6" t="n">
        <x:v>-342000</x:v>
      </x:c>
      <x:c r="I43" s="6" t="n">
        <x:v>-543000</x:v>
      </x:c>
      <x:c r="J43" s="6" t="n">
        <x:v>573000</x:v>
      </x:c>
      <x:c r="K43" s="11" t="n">
        <x:v>22</x:v>
      </x:c>
      <x:c r="L43" s="11" t="n">
        <x:v>151</x:v>
      </x:c>
    </x:row>
    <x:row r="44" ht="25" customHeight="1">
      <x:c r="A44" s="2" t="str">
        <x:v>2026-10-16_Day</x:v>
      </x:c>
      <x:c r="B44" s="2" t="str">
        <x:v>次10場</x:v>
      </x:c>
      <x:c r="C44" s="6" t="n">
        <x:v>1100000</x:v>
      </x:c>
      <x:c r="D44" s="6" t="n">
        <x:v>863000</x:v>
      </x:c>
      <x:c r="E44" s="6" t="n">
        <x:f>C44-D44</x:f>
        <x:v>237000</x:v>
      </x:c>
      <x:c r="F44" s="6" t="n">
        <x:f>F43+E44</x:f>
        <x:v>-11388000</x:v>
      </x:c>
      <x:c r="G44" s="6" t="n">
        <x:v>820000</x:v>
      </x:c>
      <x:c r="H44" s="6" t="n">
        <x:v>-583000</x:v>
      </x:c>
      <x:c r="I44" s="6" t="n">
        <x:v>-60000</x:v>
      </x:c>
      <x:c r="J44" s="6" t="n">
        <x:v>621000</x:v>
      </x:c>
      <x:c r="K44" s="11" t="n">
        <x:v>11</x:v>
      </x:c>
      <x:c r="L44" s="11" t="n">
        <x:v>370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1607000</x:v>
      </x:c>
      <x:c r="D45" s="6" t="n">
        <x:v>2193000</x:v>
      </x:c>
      <x:c r="E45" s="6" t="n">
        <x:f>C45-D45</x:f>
        <x:v>-586000</x:v>
      </x:c>
      <x:c r="F45" s="6" t="n">
        <x:f>F44+E45</x:f>
        <x:v>-11974000</x:v>
      </x:c>
      <x:c r="G45" s="6" t="n">
        <x:v>-480000</x:v>
      </x:c>
      <x:c r="H45" s="6" t="n">
        <x:v>-106000</x:v>
      </x:c>
      <x:c r="I45" s="6" t="n">
        <x:v>-626000</x:v>
      </x:c>
      <x:c r="J45" s="6" t="n">
        <x:v>749000</x:v>
      </x:c>
      <x:c r="K45" s="11" t="n">
        <x:v>24</x:v>
      </x:c>
      <x:c r="L45" s="11" t="n">
        <x:v>75</x:v>
      </x:c>
    </x:row>
    <x:row r="46" ht="25" customHeight="1">
      <x:c r="A46" s="2" t="str">
        <x:v>2026-10-19_Day</x:v>
      </x:c>
      <x:c r="B46" s="2" t="str">
        <x:v>後13場</x:v>
      </x:c>
      <x:c r="C46" s="6" t="n">
        <x:v>609000</x:v>
      </x:c>
      <x:c r="D46" s="6" t="n">
        <x:v>1500000</x:v>
      </x:c>
      <x:c r="E46" s="6" t="n">
        <x:f>C46-D46</x:f>
        <x:v>-891000</x:v>
      </x:c>
      <x:c r="F46" s="6" t="n">
        <x:f>F45+E46</x:f>
        <x:v>-12865000</x:v>
      </x:c>
      <x:c r="G46" s="6" t="n">
        <x:v>-377000</x:v>
      </x:c>
      <x:c r="H46" s="6" t="n">
        <x:v>-514000</x:v>
      </x:c>
      <x:c r="I46" s="6" t="n">
        <x:v>-1111000</x:v>
      </x:c>
      <x:c r="J46" s="6" t="n">
        <x:v>1170000</x:v>
      </x:c>
      <x:c r="K46" s="11" t="n">
        <x:v>12</x:v>
      </x:c>
      <x:c r="L46" s="11" t="n">
        <x:v>342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584000</x:v>
      </x:c>
      <x:c r="D47" s="6" t="n">
        <x:v>631000</x:v>
      </x:c>
      <x:c r="E47" s="6" t="n">
        <x:f>C47-D47</x:f>
        <x:v>-47000</x:v>
      </x:c>
      <x:c r="F47" s="6" t="n">
        <x:f>F46+E47</x:f>
        <x:v>-12912000</x:v>
      </x:c>
      <x:c r="G47" s="6" t="n">
        <x:v>80000</x:v>
      </x:c>
      <x:c r="H47" s="6" t="n">
        <x:v>-127000</x:v>
      </x:c>
      <x:c r="I47" s="6" t="n">
        <x:v>-144000</x:v>
      </x:c>
      <x:c r="J47" s="6" t="n">
        <x:v>226000</x:v>
      </x:c>
      <x:c r="K47" s="11" t="n">
        <x:v>8</x:v>
      </x:c>
      <x:c r="L47" s="11" t="n">
        <x:v>63</x:v>
      </x:c>
    </x:row>
    <x:row r="48" ht="25" customHeight="1">
      <x:c r="A48" s="2" t="str">
        <x:v>2026-10-20_Day</x:v>
      </x:c>
      <x:c r="B48" s="2" t="str">
        <x:v>後13場</x:v>
      </x:c>
      <x:c r="C48" s="6" t="n">
        <x:v>576000</x:v>
      </x:c>
      <x:c r="D48" s="6" t="n">
        <x:v>1099000</x:v>
      </x:c>
      <x:c r="E48" s="6" t="n">
        <x:f>C48-D48</x:f>
        <x:v>-523000</x:v>
      </x:c>
      <x:c r="F48" s="6" t="n">
        <x:f>F47+E48</x:f>
        <x:v>-13435000</x:v>
      </x:c>
      <x:c r="G48" s="6" t="n">
        <x:v>-8000</x:v>
      </x:c>
      <x:c r="H48" s="6" t="n">
        <x:v>-515000</x:v>
      </x:c>
      <x:c r="I48" s="6" t="n">
        <x:v>-916000</x:v>
      </x:c>
      <x:c r="J48" s="6" t="n">
        <x:v>1076000</x:v>
      </x:c>
      <x:c r="K48" s="11" t="n">
        <x:v>7</x:v>
      </x:c>
      <x:c r="L48" s="11" t="n">
        <x:v>377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1055000</x:v>
      </x:c>
      <x:c r="D49" s="6" t="n">
        <x:v>1392000</x:v>
      </x:c>
      <x:c r="E49" s="6" t="n">
        <x:f>C49-D49</x:f>
        <x:v>-337000</x:v>
      </x:c>
      <x:c r="F49" s="6" t="n">
        <x:f>F48+E49</x:f>
        <x:v>-13772000</x:v>
      </x:c>
      <x:c r="G49" s="6" t="n">
        <x:v>-318000</x:v>
      </x:c>
      <x:c r="H49" s="6" t="n">
        <x:v>-19000</x:v>
      </x:c>
      <x:c r="I49" s="6" t="n">
        <x:v>-367000</x:v>
      </x:c>
      <x:c r="J49" s="6" t="n">
        <x:v>467000</x:v>
      </x:c>
      <x:c r="K49" s="11" t="n">
        <x:v>12</x:v>
      </x:c>
      <x:c r="L49" s="11" t="n">
        <x:v>47</x:v>
      </x:c>
    </x:row>
    <x:row r="50" ht="25" customHeight="1">
      <x:c r="A50" s="2" t="str">
        <x:v>2026-10-21_Day</x:v>
      </x:c>
      <x:c r="B50" s="2" t="str">
        <x:v>後13場</x:v>
      </x:c>
      <x:c r="C50" s="6" t="n">
        <x:v>442000</x:v>
      </x:c>
      <x:c r="D50" s="6" t="n">
        <x:v>985000</x:v>
      </x:c>
      <x:c r="E50" s="6" t="n">
        <x:f>C50-D50</x:f>
        <x:v>-543000</x:v>
      </x:c>
      <x:c r="F50" s="6" t="n">
        <x:f>F49+E50</x:f>
        <x:v>-14315000</x:v>
      </x:c>
      <x:c r="G50" s="6" t="n">
        <x:v>-104000</x:v>
      </x:c>
      <x:c r="H50" s="6" t="n">
        <x:v>-439000</x:v>
      </x:c>
      <x:c r="I50" s="6" t="n">
        <x:v>-748000</x:v>
      </x:c>
      <x:c r="J50" s="6" t="n">
        <x:v>798000</x:v>
      </x:c>
      <x:c r="K50" s="11" t="n">
        <x:v>7</x:v>
      </x:c>
      <x:c r="L50" s="11" t="n">
        <x:v>310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706000</x:v>
      </x:c>
      <x:c r="D51" s="6" t="n">
        <x:v>706000</x:v>
      </x:c>
      <x:c r="E51" s="6" t="n">
        <x:f>C51-D51</x:f>
        <x:v>0</x:v>
      </x:c>
      <x:c r="F51" s="6" t="n">
        <x:f>F50+E51</x:f>
        <x:v>-14315000</x:v>
      </x:c>
      <x:c r="G51" s="6" t="n">
        <x:v>27000</x:v>
      </x:c>
      <x:c r="H51" s="6" t="n">
        <x:v>-27000</x:v>
      </x:c>
      <x:c r="I51" s="6" t="n">
        <x:v>-142000</x:v>
      </x:c>
      <x:c r="J51" s="6" t="n">
        <x:v>142000</x:v>
      </x:c>
      <x:c r="K51" s="11" t="n">
        <x:v>11</x:v>
      </x:c>
      <x:c r="L51" s="11" t="n">
        <x:v>34</x:v>
      </x:c>
    </x:row>
    <x:row r="52" ht="25" customHeight="1">
      <x:c r="A52" s="2" t="str">
        <x:v>2026-10-22_Day</x:v>
      </x:c>
      <x:c r="B52" s="2" t="str">
        <x:v>後13場</x:v>
      </x:c>
      <x:c r="C52" s="6" t="n">
        <x:v>633000</x:v>
      </x:c>
      <x:c r="D52" s="6" t="n">
        <x:v>2071000</x:v>
      </x:c>
      <x:c r="E52" s="6" t="n">
        <x:f>C52-D52</x:f>
        <x:v>-1438000</x:v>
      </x:c>
      <x:c r="F52" s="6" t="n">
        <x:f>F51+E52</x:f>
        <x:v>-15753000</x:v>
      </x:c>
      <x:c r="G52" s="6" t="n">
        <x:v>-1170000</x:v>
      </x:c>
      <x:c r="H52" s="6" t="n">
        <x:v>-268000</x:v>
      </x:c>
      <x:c r="I52" s="6" t="n">
        <x:v>-1678000</x:v>
      </x:c>
      <x:c r="J52" s="6" t="n">
        <x:v>1805000</x:v>
      </x:c>
      <x:c r="K52" s="11" t="n">
        <x:v>7</x:v>
      </x:c>
      <x:c r="L52" s="11" t="n">
        <x:v>163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911000</x:v>
      </x:c>
      <x:c r="D53" s="6" t="n">
        <x:v>1292000</x:v>
      </x:c>
      <x:c r="E53" s="6" t="n">
        <x:f>C53-D53</x:f>
        <x:v>-381000</x:v>
      </x:c>
      <x:c r="F53" s="6" t="n">
        <x:f>F52+E53</x:f>
        <x:v>-16134000</x:v>
      </x:c>
      <x:c r="G53" s="6" t="n">
        <x:v>-294000</x:v>
      </x:c>
      <x:c r="H53" s="6" t="n">
        <x:v>-87000</x:v>
      </x:c>
      <x:c r="I53" s="6" t="n">
        <x:v>-391000</x:v>
      </x:c>
      <x:c r="J53" s="6" t="n">
        <x:v>540000</x:v>
      </x:c>
      <x:c r="K53" s="11" t="n">
        <x:v>14</x:v>
      </x:c>
      <x:c r="L53" s="11" t="n">
        <x:v>53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1563000</x:v>
      </x:c>
      <x:c r="D54" s="6" t="n">
        <x:v>2038000</x:v>
      </x:c>
      <x:c r="E54" s="6" t="n">
        <x:f>C54-D54</x:f>
        <x:v>-475000</x:v>
      </x:c>
      <x:c r="F54" s="6" t="n">
        <x:f>F53+E54</x:f>
        <x:v>-16609000</x:v>
      </x:c>
      <x:c r="G54" s="6" t="n">
        <x:v>320000</x:v>
      </x:c>
      <x:c r="H54" s="6" t="n">
        <x:v>-795000</x:v>
      </x:c>
      <x:c r="I54" s="6" t="n">
        <x:v>-975000</x:v>
      </x:c>
      <x:c r="J54" s="6" t="n">
        <x:v>1337000</x:v>
      </x:c>
      <x:c r="K54" s="11" t="n">
        <x:v>17</x:v>
      </x:c>
      <x:c r="L54" s="11" t="n">
        <x:v>450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496000</x:v>
      </x:c>
      <x:c r="D55" s="6" t="n">
        <x:v>686000</x:v>
      </x:c>
      <x:c r="E55" s="6" t="n">
        <x:f>C55-D55</x:f>
        <x:v>-190000</x:v>
      </x:c>
      <x:c r="F55" s="6" t="n">
        <x:f>F54+E55</x:f>
        <x:v>-16799000</x:v>
      </x:c>
      <x:c r="G55" s="6" t="n">
        <x:v>-154000</x:v>
      </x:c>
      <x:c r="H55" s="6" t="n">
        <x:v>-36000</x:v>
      </x:c>
      <x:c r="I55" s="6" t="n">
        <x:v>-210000</x:v>
      </x:c>
      <x:c r="J55" s="6" t="n">
        <x:v>247000</x:v>
      </x:c>
      <x:c r="K55" s="11" t="n">
        <x:v>10</x:v>
      </x:c>
      <x:c r="L55" s="11" t="n">
        <x:v>23</x:v>
      </x:c>
    </x:row>
    <x:row r="56" ht="25" customHeight="1">
      <x:c r="A56" s="2" t="str">
        <x:v>2026-10-26_Day</x:v>
      </x:c>
      <x:c r="B56" s="2" t="str">
        <x:v>後13場</x:v>
      </x:c>
      <x:c r="C56" s="6" t="n">
        <x:v>641000</x:v>
      </x:c>
      <x:c r="D56" s="6" t="n">
        <x:v>1820000</x:v>
      </x:c>
      <x:c r="E56" s="6" t="n">
        <x:f>C56-D56</x:f>
        <x:v>-1179000</x:v>
      </x:c>
      <x:c r="F56" s="6" t="n">
        <x:f>F55+E56</x:f>
        <x:v>-17978000</x:v>
      </x:c>
      <x:c r="G56" s="6" t="n">
        <x:v>-155000</x:v>
      </x:c>
      <x:c r="H56" s="6" t="n">
        <x:v>-1024000</x:v>
      </x:c>
      <x:c r="I56" s="6" t="n">
        <x:v>-1232000</x:v>
      </x:c>
      <x:c r="J56" s="6" t="n">
        <x:v>1232000</x:v>
      </x:c>
      <x:c r="K56" s="11" t="n">
        <x:v>10</x:v>
      </x:c>
      <x:c r="L56" s="11" t="n">
        <x:v>667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729000</x:v>
      </x:c>
      <x:c r="D57" s="6" t="n">
        <x:v>1076000</x:v>
      </x:c>
      <x:c r="E57" s="6" t="n">
        <x:f>C57-D57</x:f>
        <x:v>-347000</x:v>
      </x:c>
      <x:c r="F57" s="6" t="n">
        <x:f>F56+E57</x:f>
        <x:v>-18325000</x:v>
      </x:c>
      <x:c r="G57" s="6" t="n">
        <x:v>-185000</x:v>
      </x:c>
      <x:c r="H57" s="6" t="n">
        <x:v>-162000</x:v>
      </x:c>
      <x:c r="I57" s="6" t="n">
        <x:v>-367000</x:v>
      </x:c>
      <x:c r="J57" s="6" t="n">
        <x:v>427000</x:v>
      </x:c>
      <x:c r="K57" s="11" t="n">
        <x:v>18</x:v>
      </x:c>
      <x:c r="L57" s="11" t="n">
        <x:v>102</x:v>
      </x:c>
    </x:row>
    <x:row r="58" ht="25" customHeight="1">
      <x:c r="A58" s="2" t="str">
        <x:v>2026-10-27_Day</x:v>
      </x:c>
      <x:c r="B58" s="2" t="str">
        <x:v>後13場</x:v>
      </x:c>
      <x:c r="C58" s="6" t="n">
        <x:v>928000</x:v>
      </x:c>
      <x:c r="D58" s="6" t="n">
        <x:v>421000</x:v>
      </x:c>
      <x:c r="E58" s="6" t="n">
        <x:f>C58-D58</x:f>
        <x:v>507000</x:v>
      </x:c>
      <x:c r="F58" s="6" t="n">
        <x:f>F57+E58</x:f>
        <x:v>-17818000</x:v>
      </x:c>
      <x:c r="G58" s="6" t="n">
        <x:v>900000</x:v>
      </x:c>
      <x:c r="H58" s="6" t="n">
        <x:v>-393000</x:v>
      </x:c>
      <x:c r="I58" s="6" t="n">
        <x:v>-112000</x:v>
      </x:c>
      <x:c r="J58" s="6" t="n">
        <x:v>416000</x:v>
      </x:c>
      <x:c r="K58" s="11" t="n">
        <x:v>9</x:v>
      </x:c>
      <x:c r="L58" s="11" t="n">
        <x:v>216</x:v>
      </x:c>
    </x:row>
    <x:row r="59" ht="25" customHeight="1">
      <x:c r="A59" s="15" t="str">
        <x:v>累計／場内最悪値</x:v>
      </x:c>
      <x:c r="B59" s="15"/>
      <x:c r="C59" s="16" t="n">
        <x:f>SUM(C6:C58)</x:f>
        <x:v>33374000</x:v>
      </x:c>
      <x:c r="D59" s="16" t="n">
        <x:f>SUM(D6:D58)</x:f>
        <x:v>51192000</x:v>
      </x:c>
      <x:c r="E59" s="16" t="n">
        <x:f>C59-D59</x:f>
        <x:v>-17818000</x:v>
      </x:c>
      <x:c r="F59" s="16" t="n">
        <x:f>F58</x:f>
        <x:v>-17818000</x:v>
      </x:c>
      <x:c r="G59" s="16" t="n">
        <x:f>SUM(G6:G58)</x:f>
        <x:v>-5545000</x:v>
      </x:c>
      <x:c r="H59" s="16" t="n">
        <x:f>SUM(H6:H58)</x:f>
        <x:v>-12273000</x:v>
      </x:c>
      <x:c r="I59" s="16" t="n">
        <x:f>MIN(I6:I58)</x:f>
        <x:v>-1766000</x:v>
      </x:c>
      <x:c r="J59" s="16" t="n">
        <x:f>MAX(J6:J58)</x:f>
        <x:v>1883000</x:v>
      </x:c>
      <x:c r="K59" s="17" t="n">
        <x:f>SUM(K6:K58)</x:f>
        <x:v>463</x:v>
      </x:c>
      <x:c r="L59" s="17" t="n">
        <x:f>SUM(L6:L58)</x:f>
        <x:v>7615</x:v>
      </x:c>
    </x:row>
  </x:sheetData>
  <x:conditionalFormatting sqref="E6:I58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07b24ee63841e9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H24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段60・即追尾・追尾20・完済後新基準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mini買10・売10枚まで／費用0。利益・損失は各玉の完結損益。場末は直前6分以内のBBO代理精算。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主玉収支（円）</x:v>
      </x:c>
      <x:c r="H5" s="10" t="str">
        <x:v>カバー収支（円）</x:v>
      </x:c>
      <x:c r="I5" s="10" t="str">
        <x:v>場内最悪収支（円）</x:v>
      </x:c>
      <x:c r="J5" s="10" t="str">
        <x:v>最大下落額（円）</x:v>
      </x:c>
      <x:c r="K5" s="10" t="str">
        <x:v>主玉新規回数</x:v>
      </x:c>
      <x:c r="L5" s="10" t="str">
        <x:v>カバー新規回数</x:v>
      </x:c>
    </x:row>
    <x:row r="6" ht="25" customHeight="1">
      <x:c r="A6" s="2" t="str">
        <x:v>2026-09-21_Day</x:v>
      </x:c>
      <x:c r="B6" s="2" t="str">
        <x:v>前30場</x:v>
      </x:c>
      <x:c r="C6" s="6" t="n">
        <x:v>201000</x:v>
      </x:c>
      <x:c r="D6" s="6" t="n">
        <x:v>0</x:v>
      </x:c>
      <x:c r="E6" s="6" t="n">
        <x:f>C6-D6</x:f>
        <x:v>201000</x:v>
      </x:c>
      <x:c r="F6" s="6" t="n">
        <x:f>E6</x:f>
        <x:v>201000</x:v>
      </x:c>
      <x:c r="G6" s="6" t="n">
        <x:v>200000</x:v>
      </x:c>
      <x:c r="H6" s="6" t="n">
        <x:v>1000</x:v>
      </x:c>
      <x:c r="I6" s="6" t="n">
        <x:v>-60000</x:v>
      </x:c>
      <x:c r="J6" s="6" t="n">
        <x:v>127000</x:v>
      </x:c>
      <x:c r="K6" s="11" t="n">
        <x:v>2</x:v>
      </x:c>
      <x:c r="L6" s="11" t="n">
        <x:v>1</x:v>
      </x:c>
    </x:row>
    <x:row r="7" ht="25" customHeight="1">
      <x:c r="A7" s="2" t="str">
        <x:v>2026-09-21_Night</x:v>
      </x:c>
      <x:c r="B7" s="2" t="str">
        <x:v>前30場</x:v>
      </x:c>
      <x:c r="C7" s="6" t="n">
        <x:v>590000</x:v>
      </x:c>
      <x:c r="D7" s="6" t="n">
        <x:v>1036000</x:v>
      </x:c>
      <x:c r="E7" s="6" t="n">
        <x:f>C7-D7</x:f>
        <x:v>-446000</x:v>
      </x:c>
      <x:c r="F7" s="6" t="n">
        <x:f>F6+E7</x:f>
        <x:v>-245000</x:v>
      </x:c>
      <x:c r="G7" s="6" t="n">
        <x:v>-220000</x:v>
      </x:c>
      <x:c r="H7" s="6" t="n">
        <x:v>-226000</x:v>
      </x:c>
      <x:c r="I7" s="6" t="n">
        <x:v>-576000</x:v>
      </x:c>
      <x:c r="J7" s="6" t="n">
        <x:v>732000</x:v>
      </x:c>
      <x:c r="K7" s="11" t="n">
        <x:v>7</x:v>
      </x:c>
      <x:c r="L7" s="11" t="n">
        <x:v>99</x:v>
      </x:c>
    </x:row>
    <x:row r="8" ht="25" customHeight="1">
      <x:c r="A8" s="2" t="str">
        <x:v>2026-09-22_Day</x:v>
      </x:c>
      <x:c r="B8" s="2" t="str">
        <x:v>前30場</x:v>
      </x:c>
      <x:c r="C8" s="6" t="n">
        <x:v>104000</x:v>
      </x:c>
      <x:c r="D8" s="6" t="n">
        <x:v>16000</x:v>
      </x:c>
      <x:c r="E8" s="6" t="n">
        <x:f>C8-D8</x:f>
        <x:v>88000</x:v>
      </x:c>
      <x:c r="F8" s="6" t="n">
        <x:f>F7+E8</x:f>
        <x:v>-157000</x:v>
      </x:c>
      <x:c r="G8" s="6" t="n">
        <x:v>100000</x:v>
      </x:c>
      <x:c r="H8" s="6" t="n">
        <x:v>-12000</x:v>
      </x:c>
      <x:c r="I8" s="6" t="n">
        <x:v>-332000</x:v>
      </x:c>
      <x:c r="J8" s="6" t="n">
        <x:v>412000</x:v>
      </x:c>
      <x:c r="K8" s="11" t="n">
        <x:v>1</x:v>
      </x:c>
      <x:c r="L8" s="11" t="n">
        <x:v>11</x:v>
      </x:c>
    </x:row>
    <x:row r="9" ht="25" customHeight="1">
      <x:c r="A9" s="2" t="str">
        <x:v>2026-09-22_Night</x:v>
      </x:c>
      <x:c r="B9" s="2" t="str">
        <x:v>前30場</x:v>
      </x:c>
      <x:c r="C9" s="6" t="n">
        <x:v>620000</x:v>
      </x:c>
      <x:c r="D9" s="6" t="n">
        <x:v>1047000</x:v>
      </x:c>
      <x:c r="E9" s="6" t="n">
        <x:f>C9-D9</x:f>
        <x:v>-427000</x:v>
      </x:c>
      <x:c r="F9" s="6" t="n">
        <x:f>F8+E9</x:f>
        <x:v>-584000</x:v>
      </x:c>
      <x:c r="G9" s="6" t="n">
        <x:v>-320000</x:v>
      </x:c>
      <x:c r="H9" s="6" t="n">
        <x:v>-107000</x:v>
      </x:c>
      <x:c r="I9" s="6" t="n">
        <x:v>-597000</x:v>
      </x:c>
      <x:c r="J9" s="6" t="n">
        <x:v>727000</x:v>
      </x:c>
      <x:c r="K9" s="11" t="n">
        <x:v>7</x:v>
      </x:c>
      <x:c r="L9" s="11" t="n">
        <x:v>90</x:v>
      </x:c>
    </x:row>
    <x:row r="10" ht="25" customHeight="1">
      <x:c r="A10" s="2" t="str">
        <x:v>2026-09-23_Day</x:v>
      </x:c>
      <x:c r="B10" s="2" t="str">
        <x:v>前30場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-584000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11" t="n">
        <x:v>0</x:v>
      </x:c>
      <x:c r="L10" s="11" t="n">
        <x:v>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600000</x:v>
      </x:c>
      <x:c r="D11" s="6" t="n">
        <x:v>1257000</x:v>
      </x:c>
      <x:c r="E11" s="6" t="n">
        <x:f>C11-D11</x:f>
        <x:v>-657000</x:v>
      </x:c>
      <x:c r="F11" s="6" t="n">
        <x:f>F10+E11</x:f>
        <x:v>-1241000</x:v>
      </x:c>
      <x:c r="G11" s="6" t="n">
        <x:v>-490000</x:v>
      </x:c>
      <x:c r="H11" s="6" t="n">
        <x:v>-167000</x:v>
      </x:c>
      <x:c r="I11" s="6" t="n">
        <x:v>-657000</x:v>
      </x:c>
      <x:c r="J11" s="6" t="n">
        <x:v>717000</x:v>
      </x:c>
      <x:c r="K11" s="11" t="n">
        <x:v>9</x:v>
      </x:c>
      <x:c r="L11" s="11" t="n">
        <x:v>102</x:v>
      </x:c>
    </x:row>
    <x:row r="12" ht="25" customHeight="1">
      <x:c r="A12" s="2" t="str">
        <x:v>2026-09-24_Day</x:v>
      </x:c>
      <x:c r="B12" s="2" t="str">
        <x:v>前30場</x:v>
      </x:c>
      <x:c r="C12" s="6" t="n">
        <x:v>300000</x:v>
      </x:c>
      <x:c r="D12" s="6" t="n">
        <x:v>74000</x:v>
      </x:c>
      <x:c r="E12" s="6" t="n">
        <x:f>C12-D12</x:f>
        <x:v>226000</x:v>
      </x:c>
      <x:c r="F12" s="6" t="n">
        <x:f>F11+E12</x:f>
        <x:v>-1015000</x:v>
      </x:c>
      <x:c r="G12" s="6" t="n">
        <x:v>300000</x:v>
      </x:c>
      <x:c r="H12" s="6" t="n">
        <x:v>-74000</x:v>
      </x:c>
      <x:c r="I12" s="6" t="n">
        <x:v>-494000</x:v>
      </x:c>
      <x:c r="J12" s="6" t="n">
        <x:v>494000</x:v>
      </x:c>
      <x:c r="K12" s="11" t="n">
        <x:v>3</x:v>
      </x:c>
      <x:c r="L12" s="11" t="n">
        <x:v>35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548000</x:v>
      </x:c>
      <x:c r="D13" s="6" t="n">
        <x:v>741000</x:v>
      </x:c>
      <x:c r="E13" s="6" t="n">
        <x:f>C13-D13</x:f>
        <x:v>-193000</x:v>
      </x:c>
      <x:c r="F13" s="6" t="n">
        <x:f>F12+E13</x:f>
        <x:v>-1208000</x:v>
      </x:c>
      <x:c r="G13" s="6" t="n">
        <x:v>-210000</x:v>
      </x:c>
      <x:c r="H13" s="6" t="n">
        <x:v>17000</x:v>
      </x:c>
      <x:c r="I13" s="6" t="n">
        <x:v>-253000</x:v>
      </x:c>
      <x:c r="J13" s="6" t="n">
        <x:v>333000</x:v>
      </x:c>
      <x:c r="K13" s="11" t="n">
        <x:v>7</x:v>
      </x:c>
      <x:c r="L13" s="11" t="n">
        <x:v>36</x:v>
      </x:c>
    </x:row>
    <x:row r="14" ht="25" customHeight="1">
      <x:c r="A14" s="2" t="str">
        <x:v>2026-09-25_Day</x:v>
      </x:c>
      <x:c r="B14" s="2" t="str">
        <x:v>前30場</x:v>
      </x:c>
      <x:c r="C14" s="6" t="n">
        <x:v>136000</x:v>
      </x:c>
      <x:c r="D14" s="6" t="n">
        <x:v>869000</x:v>
      </x:c>
      <x:c r="E14" s="6" t="n">
        <x:f>C14-D14</x:f>
        <x:v>-733000</x:v>
      </x:c>
      <x:c r="F14" s="6" t="n">
        <x:f>F13+E14</x:f>
        <x:v>-1941000</x:v>
      </x:c>
      <x:c r="G14" s="6" t="n">
        <x:v>-610000</x:v>
      </x:c>
      <x:c r="H14" s="6" t="n">
        <x:v>-123000</x:v>
      </x:c>
      <x:c r="I14" s="6" t="n">
        <x:v>-853000</x:v>
      </x:c>
      <x:c r="J14" s="6" t="n">
        <x:v>923000</x:v>
      </x:c>
      <x:c r="K14" s="11" t="n">
        <x:v>2</x:v>
      </x:c>
      <x:c r="L14" s="11" t="n">
        <x:v>87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464000</x:v>
      </x:c>
      <x:c r="D15" s="6" t="n">
        <x:v>724000</x:v>
      </x:c>
      <x:c r="E15" s="6" t="n">
        <x:f>C15-D15</x:f>
        <x:v>-260000</x:v>
      </x:c>
      <x:c r="F15" s="6" t="n">
        <x:f>F14+E15</x:f>
        <x:v>-2201000</x:v>
      </x:c>
      <x:c r="G15" s="6" t="n">
        <x:v>-189000</x:v>
      </x:c>
      <x:c r="H15" s="6" t="n">
        <x:v>-71000</x:v>
      </x:c>
      <x:c r="I15" s="6" t="n">
        <x:v>-280000</x:v>
      </x:c>
      <x:c r="J15" s="6" t="n">
        <x:v>280000</x:v>
      </x:c>
      <x:c r="K15" s="11" t="n">
        <x:v>8</x:v>
      </x:c>
      <x:c r="L15" s="11" t="n">
        <x:v>38</x:v>
      </x:c>
    </x:row>
    <x:row r="16" ht="25" customHeight="1">
      <x:c r="A16" s="2" t="str">
        <x:v>2026-09-28_Day</x:v>
      </x:c>
      <x:c r="B16" s="2" t="str">
        <x:v>前30場</x:v>
      </x:c>
      <x:c r="C16" s="6" t="n">
        <x:v>492000</x:v>
      </x:c>
      <x:c r="D16" s="6" t="n">
        <x:v>59000</x:v>
      </x:c>
      <x:c r="E16" s="6" t="n">
        <x:f>C16-D16</x:f>
        <x:v>433000</x:v>
      </x:c>
      <x:c r="F16" s="6" t="n">
        <x:f>F15+E16</x:f>
        <x:v>-1768000</x:v>
      </x:c>
      <x:c r="G16" s="6" t="n">
        <x:v>480000</x:v>
      </x:c>
      <x:c r="H16" s="6" t="n">
        <x:v>-47000</x:v>
      </x:c>
      <x:c r="I16" s="6" t="n">
        <x:v>-421000</x:v>
      </x:c>
      <x:c r="J16" s="6" t="n">
        <x:v>437000</x:v>
      </x:c>
      <x:c r="K16" s="11" t="n">
        <x:v>5</x:v>
      </x:c>
      <x:c r="L16" s="11" t="n">
        <x:v>29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699000</x:v>
      </x:c>
      <x:c r="D17" s="6" t="n">
        <x:v>541000</x:v>
      </x:c>
      <x:c r="E17" s="6" t="n">
        <x:f>C17-D17</x:f>
        <x:v>158000</x:v>
      </x:c>
      <x:c r="F17" s="6" t="n">
        <x:f>F16+E17</x:f>
        <x:v>-1610000</x:v>
      </x:c>
      <x:c r="G17" s="6" t="n">
        <x:v>230000</x:v>
      </x:c>
      <x:c r="H17" s="6" t="n">
        <x:v>-72000</x:v>
      </x:c>
      <x:c r="I17" s="6" t="n">
        <x:v>-174000</x:v>
      </x:c>
      <x:c r="J17" s="6" t="n">
        <x:v>236000</x:v>
      </x:c>
      <x:c r="K17" s="11" t="n">
        <x:v>9</x:v>
      </x:c>
      <x:c r="L17" s="11" t="n">
        <x:v>54</x:v>
      </x:c>
    </x:row>
    <x:row r="18" ht="25" customHeight="1">
      <x:c r="A18" s="2" t="str">
        <x:v>2026-09-29_Day</x:v>
      </x:c>
      <x:c r="B18" s="2" t="str">
        <x:v>前30場</x:v>
      </x:c>
      <x:c r="C18" s="6" t="n">
        <x:v>381000</x:v>
      </x:c>
      <x:c r="D18" s="6" t="n">
        <x:v>710000</x:v>
      </x:c>
      <x:c r="E18" s="6" t="n">
        <x:f>C18-D18</x:f>
        <x:v>-329000</x:v>
      </x:c>
      <x:c r="F18" s="6" t="n">
        <x:f>F17+E18</x:f>
        <x:v>-1939000</x:v>
      </x:c>
      <x:c r="G18" s="6" t="n">
        <x:v>-70000</x:v>
      </x:c>
      <x:c r="H18" s="6" t="n">
        <x:v>-259000</x:v>
      </x:c>
      <x:c r="I18" s="6" t="n">
        <x:v>-939000</x:v>
      </x:c>
      <x:c r="J18" s="6" t="n">
        <x:v>988000</x:v>
      </x:c>
      <x:c r="K18" s="11" t="n">
        <x:v>5</x:v>
      </x:c>
      <x:c r="L18" s="11" t="n">
        <x:v>124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683000</x:v>
      </x:c>
      <x:c r="D19" s="6" t="n">
        <x:v>805000</x:v>
      </x:c>
      <x:c r="E19" s="6" t="n">
        <x:f>C19-D19</x:f>
        <x:v>-122000</x:v>
      </x:c>
      <x:c r="F19" s="6" t="n">
        <x:f>F18+E19</x:f>
        <x:v>-2061000</x:v>
      </x:c>
      <x:c r="G19" s="6" t="n">
        <x:v>-7000</x:v>
      </x:c>
      <x:c r="H19" s="6" t="n">
        <x:v>-115000</x:v>
      </x:c>
      <x:c r="I19" s="6" t="n">
        <x:v>-152000</x:v>
      </x:c>
      <x:c r="J19" s="6" t="n">
        <x:v>313000</x:v>
      </x:c>
      <x:c r="K19" s="11" t="n">
        <x:v>11</x:v>
      </x:c>
      <x:c r="L19" s="11" t="n">
        <x:v>65</x:v>
      </x:c>
    </x:row>
    <x:row r="20" ht="25" customHeight="1">
      <x:c r="A20" s="2" t="str">
        <x:v>2026-09-30_Day</x:v>
      </x:c>
      <x:c r="B20" s="2" t="str">
        <x:v>前30場</x:v>
      </x:c>
      <x:c r="C20" s="6" t="n">
        <x:v>233000</x:v>
      </x:c>
      <x:c r="D20" s="6" t="n">
        <x:v>685000</x:v>
      </x:c>
      <x:c r="E20" s="6" t="n">
        <x:f>C20-D20</x:f>
        <x:v>-452000</x:v>
      </x:c>
      <x:c r="F20" s="6" t="n">
        <x:f>F19+E20</x:f>
        <x:v>-2513000</x:v>
      </x:c>
      <x:c r="G20" s="6" t="n">
        <x:v>-420000</x:v>
      </x:c>
      <x:c r="H20" s="6" t="n">
        <x:v>-32000</x:v>
      </x:c>
      <x:c r="I20" s="6" t="n">
        <x:v>-452000</x:v>
      </x:c>
      <x:c r="J20" s="6" t="n">
        <x:v>646000</x:v>
      </x:c>
      <x:c r="K20" s="11" t="n">
        <x:v>3</x:v>
      </x:c>
      <x:c r="L20" s="11" t="n">
        <x:v>46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600000</x:v>
      </x:c>
      <x:c r="D21" s="6" t="n">
        <x:v>812000</x:v>
      </x:c>
      <x:c r="E21" s="6" t="n">
        <x:f>C21-D21</x:f>
        <x:v>-212000</x:v>
      </x:c>
      <x:c r="F21" s="6" t="n">
        <x:f>F20+E21</x:f>
        <x:v>-2725000</x:v>
      </x:c>
      <x:c r="G21" s="6" t="n">
        <x:v>-120000</x:v>
      </x:c>
      <x:c r="H21" s="6" t="n">
        <x:v>-92000</x:v>
      </x:c>
      <x:c r="I21" s="6" t="n">
        <x:v>-349000</x:v>
      </x:c>
      <x:c r="J21" s="6" t="n">
        <x:v>350000</x:v>
      </x:c>
      <x:c r="K21" s="11" t="n">
        <x:v>8</x:v>
      </x:c>
      <x:c r="L21" s="11" t="n">
        <x:v>47</x:v>
      </x:c>
    </x:row>
    <x:row r="22" ht="25" customHeight="1">
      <x:c r="A22" s="2" t="str">
        <x:v>2026-10-01_Day</x:v>
      </x:c>
      <x:c r="B22" s="2" t="str">
        <x:v>前30場</x:v>
      </x:c>
      <x:c r="C22" s="6" t="n">
        <x:v>272000</x:v>
      </x:c>
      <x:c r="D22" s="6" t="n">
        <x:v>1917000</x:v>
      </x:c>
      <x:c r="E22" s="6" t="n">
        <x:f>C22-D22</x:f>
        <x:v>-1645000</x:v>
      </x:c>
      <x:c r="F22" s="6" t="n">
        <x:f>F21+E22</x:f>
        <x:v>-4370000</x:v>
      </x:c>
      <x:c r="G22" s="6" t="n">
        <x:v>-1410000</x:v>
      </x:c>
      <x:c r="H22" s="6" t="n">
        <x:v>-235000</x:v>
      </x:c>
      <x:c r="I22" s="6" t="n">
        <x:v>-1835000</x:v>
      </x:c>
      <x:c r="J22" s="6" t="n">
        <x:v>2041000</x:v>
      </x:c>
      <x:c r="K22" s="11" t="n">
        <x:v>3</x:v>
      </x:c>
      <x:c r="L22" s="11" t="n">
        <x:v>237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878000</x:v>
      </x:c>
      <x:c r="D23" s="6" t="n">
        <x:v>995000</x:v>
      </x:c>
      <x:c r="E23" s="6" t="n">
        <x:f>C23-D23</x:f>
        <x:v>-117000</x:v>
      </x:c>
      <x:c r="F23" s="6" t="n">
        <x:f>F22+E23</x:f>
        <x:v>-4487000</x:v>
      </x:c>
      <x:c r="G23" s="6" t="n">
        <x:v>0</x:v>
      </x:c>
      <x:c r="H23" s="6" t="n">
        <x:v>-117000</x:v>
      </x:c>
      <x:c r="I23" s="6" t="n">
        <x:v>-277000</x:v>
      </x:c>
      <x:c r="J23" s="6" t="n">
        <x:v>387000</x:v>
      </x:c>
      <x:c r="K23" s="11" t="n">
        <x:v>11</x:v>
      </x:c>
      <x:c r="L23" s="11" t="n">
        <x:v>81</x:v>
      </x:c>
    </x:row>
    <x:row r="24" ht="25" customHeight="1">
      <x:c r="A24" s="2" t="str">
        <x:v>2026-10-02_Day</x:v>
      </x:c>
      <x:c r="B24" s="2" t="str">
        <x:v>前30場</x:v>
      </x:c>
      <x:c r="C24" s="6" t="n">
        <x:v>302000</x:v>
      </x:c>
      <x:c r="D24" s="6" t="n">
        <x:v>388000</x:v>
      </x:c>
      <x:c r="E24" s="6" t="n">
        <x:f>C24-D24</x:f>
        <x:v>-86000</x:v>
      </x:c>
      <x:c r="F24" s="6" t="n">
        <x:f>F23+E24</x:f>
        <x:v>-4573000</x:v>
      </x:c>
      <x:c r="G24" s="6" t="n">
        <x:v>0</x:v>
      </x:c>
      <x:c r="H24" s="6" t="n">
        <x:v>-86000</x:v>
      </x:c>
      <x:c r="I24" s="6" t="n">
        <x:v>-369000</x:v>
      </x:c>
      <x:c r="J24" s="6" t="n">
        <x:v>478000</x:v>
      </x:c>
      <x:c r="K24" s="11" t="n">
        <x:v>5</x:v>
      </x:c>
      <x:c r="L24" s="11" t="n">
        <x:v>43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1094000</x:v>
      </x:c>
      <x:c r="D25" s="6" t="n">
        <x:v>1403000</x:v>
      </x:c>
      <x:c r="E25" s="6" t="n">
        <x:f>C25-D25</x:f>
        <x:v>-309000</x:v>
      </x:c>
      <x:c r="F25" s="6" t="n">
        <x:f>F24+E25</x:f>
        <x:v>-4882000</x:v>
      </x:c>
      <x:c r="G25" s="6" t="n">
        <x:v>-68000</x:v>
      </x:c>
      <x:c r="H25" s="6" t="n">
        <x:v>-241000</x:v>
      </x:c>
      <x:c r="I25" s="6" t="n">
        <x:v>-564000</x:v>
      </x:c>
      <x:c r="J25" s="6" t="n">
        <x:v>634000</x:v>
      </x:c>
      <x:c r="K25" s="11" t="n">
        <x:v>17</x:v>
      </x:c>
      <x:c r="L25" s="11" t="n">
        <x:v>75</x:v>
      </x:c>
    </x:row>
    <x:row r="26" ht="25" customHeight="1">
      <x:c r="A26" s="2" t="str">
        <x:v>2026-10-05_Day</x:v>
      </x:c>
      <x:c r="B26" s="2" t="str">
        <x:v>前30場</x:v>
      </x:c>
      <x:c r="C26" s="6" t="n">
        <x:v>200000</x:v>
      </x:c>
      <x:c r="D26" s="6" t="n">
        <x:v>659000</x:v>
      </x:c>
      <x:c r="E26" s="6" t="n">
        <x:f>C26-D26</x:f>
        <x:v>-459000</x:v>
      </x:c>
      <x:c r="F26" s="6" t="n">
        <x:f>F25+E26</x:f>
        <x:v>-5341000</x:v>
      </x:c>
      <x:c r="G26" s="6" t="n">
        <x:v>-320000</x:v>
      </x:c>
      <x:c r="H26" s="6" t="n">
        <x:v>-139000</x:v>
      </x:c>
      <x:c r="I26" s="6" t="n">
        <x:v>-519000</x:v>
      </x:c>
      <x:c r="J26" s="6" t="n">
        <x:v>569000</x:v>
      </x:c>
      <x:c r="K26" s="11" t="n">
        <x:v>3</x:v>
      </x:c>
      <x:c r="L26" s="11" t="n">
        <x:v>53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405000</x:v>
      </x:c>
      <x:c r="D27" s="6" t="n">
        <x:v>452000</x:v>
      </x:c>
      <x:c r="E27" s="6" t="n">
        <x:f>C27-D27</x:f>
        <x:v>-47000</x:v>
      </x:c>
      <x:c r="F27" s="6" t="n">
        <x:f>F26+E27</x:f>
        <x:v>-5388000</x:v>
      </x:c>
      <x:c r="G27" s="6" t="n">
        <x:v>-2000</x:v>
      </x:c>
      <x:c r="H27" s="6" t="n">
        <x:v>-45000</x:v>
      </x:c>
      <x:c r="I27" s="6" t="n">
        <x:v>-213000</x:v>
      </x:c>
      <x:c r="J27" s="6" t="n">
        <x:v>290000</x:v>
      </x:c>
      <x:c r="K27" s="11" t="n">
        <x:v>6</x:v>
      </x:c>
      <x:c r="L27" s="11" t="n">
        <x:v>29</x:v>
      </x:c>
    </x:row>
    <x:row r="28" ht="25" customHeight="1">
      <x:c r="A28" s="2" t="str">
        <x:v>2026-10-06_Day</x:v>
      </x:c>
      <x:c r="B28" s="2" t="str">
        <x:v>前30場</x:v>
      </x:c>
      <x:c r="C28" s="6" t="n">
        <x:v>100000</x:v>
      </x:c>
      <x:c r="D28" s="6" t="n">
        <x:v>4000</x:v>
      </x:c>
      <x:c r="E28" s="6" t="n">
        <x:f>C28-D28</x:f>
        <x:v>96000</x:v>
      </x:c>
      <x:c r="F28" s="6" t="n">
        <x:f>F27+E28</x:f>
        <x:v>-5292000</x:v>
      </x:c>
      <x:c r="G28" s="6" t="n">
        <x:v>100000</x:v>
      </x:c>
      <x:c r="H28" s="6" t="n">
        <x:v>-4000</x:v>
      </x:c>
      <x:c r="I28" s="6" t="n">
        <x:v>-164000</x:v>
      </x:c>
      <x:c r="J28" s="6" t="n">
        <x:v>164000</x:v>
      </x:c>
      <x:c r="K28" s="11" t="n">
        <x:v>1</x:v>
      </x:c>
      <x:c r="L28" s="11" t="n">
        <x:v>3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532000</x:v>
      </x:c>
      <x:c r="D29" s="6" t="n">
        <x:v>516000</x:v>
      </x:c>
      <x:c r="E29" s="6" t="n">
        <x:f>C29-D29</x:f>
        <x:v>16000</x:v>
      </x:c>
      <x:c r="F29" s="6" t="n">
        <x:f>F28+E29</x:f>
        <x:v>-5276000</x:v>
      </x:c>
      <x:c r="G29" s="6" t="n">
        <x:v>62000</x:v>
      </x:c>
      <x:c r="H29" s="6" t="n">
        <x:v>-46000</x:v>
      </x:c>
      <x:c r="I29" s="6" t="n">
        <x:v>-134000</x:v>
      </x:c>
      <x:c r="J29" s="6" t="n">
        <x:v>208000</x:v>
      </x:c>
      <x:c r="K29" s="11" t="n">
        <x:v>9</x:v>
      </x:c>
      <x:c r="L29" s="11" t="n">
        <x:v>31</x:v>
      </x:c>
    </x:row>
    <x:row r="30" ht="25" customHeight="1">
      <x:c r="A30" s="2" t="str">
        <x:v>2026-10-07_Day</x:v>
      </x:c>
      <x:c r="B30" s="2" t="str">
        <x:v>前30場</x:v>
      </x:c>
      <x:c r="C30" s="6" t="n">
        <x:v>200000</x:v>
      </x:c>
      <x:c r="D30" s="6" t="n">
        <x:v>5000</x:v>
      </x:c>
      <x:c r="E30" s="6" t="n">
        <x:f>C30-D30</x:f>
        <x:v>195000</x:v>
      </x:c>
      <x:c r="F30" s="6" t="n">
        <x:f>F29+E30</x:f>
        <x:v>-5081000</x:v>
      </x:c>
      <x:c r="G30" s="6" t="n">
        <x:v>200000</x:v>
      </x:c>
      <x:c r="H30" s="6" t="n">
        <x:v>-5000</x:v>
      </x:c>
      <x:c r="I30" s="6" t="n">
        <x:v>-102000</x:v>
      </x:c>
      <x:c r="J30" s="6" t="n">
        <x:v>182000</x:v>
      </x:c>
      <x:c r="K30" s="11" t="n">
        <x:v>2</x:v>
      </x:c>
      <x:c r="L30" s="11" t="n">
        <x:v>2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780000</x:v>
      </x:c>
      <x:c r="D31" s="6" t="n">
        <x:v>1076000</x:v>
      </x:c>
      <x:c r="E31" s="6" t="n">
        <x:f>C31-D31</x:f>
        <x:v>-296000</x:v>
      </x:c>
      <x:c r="F31" s="6" t="n">
        <x:f>F30+E31</x:f>
        <x:v>-5377000</x:v>
      </x:c>
      <x:c r="G31" s="6" t="n">
        <x:v>-150000</x:v>
      </x:c>
      <x:c r="H31" s="6" t="n">
        <x:v>-146000</x:v>
      </x:c>
      <x:c r="I31" s="6" t="n">
        <x:v>-306000</x:v>
      </x:c>
      <x:c r="J31" s="6" t="n">
        <x:v>326000</x:v>
      </x:c>
      <x:c r="K31" s="11" t="n">
        <x:v>10</x:v>
      </x:c>
      <x:c r="L31" s="11" t="n">
        <x:v>65</x:v>
      </x:c>
    </x:row>
    <x:row r="32" ht="25" customHeight="1">
      <x:c r="A32" s="2" t="str">
        <x:v>2026-10-08_Day</x:v>
      </x:c>
      <x:c r="B32" s="2" t="str">
        <x:v>前30場</x:v>
      </x:c>
      <x:c r="C32" s="6" t="n">
        <x:v>318000</x:v>
      </x:c>
      <x:c r="D32" s="6" t="n">
        <x:v>1234000</x:v>
      </x:c>
      <x:c r="E32" s="6" t="n">
        <x:f>C32-D32</x:f>
        <x:v>-916000</x:v>
      </x:c>
      <x:c r="F32" s="6" t="n">
        <x:f>F31+E32</x:f>
        <x:v>-6293000</x:v>
      </x:c>
      <x:c r="G32" s="6" t="n">
        <x:v>-810000</x:v>
      </x:c>
      <x:c r="H32" s="6" t="n">
        <x:v>-106000</x:v>
      </x:c>
      <x:c r="I32" s="6" t="n">
        <x:v>-916000</x:v>
      </x:c>
      <x:c r="J32" s="6" t="n">
        <x:v>1177000</x:v>
      </x:c>
      <x:c r="K32" s="11" t="n">
        <x:v>4</x:v>
      </x:c>
      <x:c r="L32" s="11" t="n">
        <x:v>66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1181000</x:v>
      </x:c>
      <x:c r="D33" s="6" t="n">
        <x:v>1565000</x:v>
      </x:c>
      <x:c r="E33" s="6" t="n">
        <x:f>C33-D33</x:f>
        <x:v>-384000</x:v>
      </x:c>
      <x:c r="F33" s="6" t="n">
        <x:f>F32+E33</x:f>
        <x:v>-6677000</x:v>
      </x:c>
      <x:c r="G33" s="6" t="n">
        <x:v>-178000</x:v>
      </x:c>
      <x:c r="H33" s="6" t="n">
        <x:v>-206000</x:v>
      </x:c>
      <x:c r="I33" s="6" t="n">
        <x:v>-384000</x:v>
      </x:c>
      <x:c r="J33" s="6" t="n">
        <x:v>593000</x:v>
      </x:c>
      <x:c r="K33" s="11" t="n">
        <x:v>18</x:v>
      </x:c>
      <x:c r="L33" s="11" t="n">
        <x:v>107</x:v>
      </x:c>
    </x:row>
    <x:row r="34" ht="25" customHeight="1">
      <x:c r="A34" s="2" t="str">
        <x:v>2026-10-09_Day</x:v>
      </x:c>
      <x:c r="B34" s="2" t="str">
        <x:v>前30場</x:v>
      </x:c>
      <x:c r="C34" s="6" t="n">
        <x:v>541000</x:v>
      </x:c>
      <x:c r="D34" s="6" t="n">
        <x:v>1170000</x:v>
      </x:c>
      <x:c r="E34" s="6" t="n">
        <x:f>C34-D34</x:f>
        <x:v>-629000</x:v>
      </x:c>
      <x:c r="F34" s="6" t="n">
        <x:f>F33+E34</x:f>
        <x:v>-7306000</x:v>
      </x:c>
      <x:c r="G34" s="6" t="n">
        <x:v>-450000</x:v>
      </x:c>
      <x:c r="H34" s="6" t="n">
        <x:v>-179000</x:v>
      </x:c>
      <x:c r="I34" s="6" t="n">
        <x:v>-639000</x:v>
      </x:c>
      <x:c r="J34" s="6" t="n">
        <x:v>1096000</x:v>
      </x:c>
      <x:c r="K34" s="11" t="n">
        <x:v>6</x:v>
      </x:c>
      <x:c r="L34" s="11" t="n">
        <x:v>116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491000</x:v>
      </x:c>
      <x:c r="D35" s="6" t="n">
        <x:v>551000</x:v>
      </x:c>
      <x:c r="E35" s="6" t="n">
        <x:f>C35-D35</x:f>
        <x:v>-60000</x:v>
      </x:c>
      <x:c r="F35" s="6" t="n">
        <x:f>F34+E35</x:f>
        <x:v>-7366000</x:v>
      </x:c>
      <x:c r="G35" s="6" t="n">
        <x:v>20000</x:v>
      </x:c>
      <x:c r="H35" s="6" t="n">
        <x:v>-80000</x:v>
      </x:c>
      <x:c r="I35" s="6" t="n">
        <x:v>-220000</x:v>
      </x:c>
      <x:c r="J35" s="6" t="n">
        <x:v>250000</x:v>
      </x:c>
      <x:c r="K35" s="11" t="n">
        <x:v>7</x:v>
      </x:c>
      <x:c r="L35" s="11" t="n">
        <x:v>38</x:v>
      </x:c>
    </x:row>
    <x:row r="36" ht="25" customHeight="1">
      <x:c r="A36" s="2" t="str">
        <x:v>2026-10-12_Day</x:v>
      </x:c>
      <x:c r="B36" s="2" t="str">
        <x:v>次10場</x:v>
      </x:c>
      <x:c r="C36" s="6" t="n">
        <x:v>0</x:v>
      </x:c>
      <x:c r="D36" s="6" t="n">
        <x:v>0</x:v>
      </x:c>
      <x:c r="E36" s="6" t="n">
        <x:f>C36-D36</x:f>
        <x:v>0</x:v>
      </x:c>
      <x:c r="F36" s="6" t="n">
        <x:f>F35+E36</x:f>
        <x:v>-7366000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11" t="n">
        <x:v>0</x:v>
      </x:c>
      <x:c r="L36" s="11" t="n">
        <x:v>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701000</x:v>
      </x:c>
      <x:c r="D37" s="6" t="n">
        <x:v>995000</x:v>
      </x:c>
      <x:c r="E37" s="6" t="n">
        <x:f>C37-D37</x:f>
        <x:v>-294000</x:v>
      </x:c>
      <x:c r="F37" s="6" t="n">
        <x:f>F36+E37</x:f>
        <x:v>-7660000</x:v>
      </x:c>
      <x:c r="G37" s="6" t="n">
        <x:v>-120000</x:v>
      </x:c>
      <x:c r="H37" s="6" t="n">
        <x:v>-174000</x:v>
      </x:c>
      <x:c r="I37" s="6" t="n">
        <x:v>-324000</x:v>
      </x:c>
      <x:c r="J37" s="6" t="n">
        <x:v>347000</x:v>
      </x:c>
      <x:c r="K37" s="11" t="n">
        <x:v>8</x:v>
      </x:c>
      <x:c r="L37" s="11" t="n">
        <x:v>72</x:v>
      </x:c>
    </x:row>
    <x:row r="38" ht="25" customHeight="1">
      <x:c r="A38" s="2" t="str">
        <x:v>2026-10-13_Day</x:v>
      </x:c>
      <x:c r="B38" s="2" t="str">
        <x:v>次10場</x:v>
      </x:c>
      <x:c r="C38" s="6" t="n">
        <x:v>495000</x:v>
      </x:c>
      <x:c r="D38" s="6" t="n">
        <x:v>38000</x:v>
      </x:c>
      <x:c r="E38" s="6" t="n">
        <x:f>C38-D38</x:f>
        <x:v>457000</x:v>
      </x:c>
      <x:c r="F38" s="6" t="n">
        <x:f>F37+E38</x:f>
        <x:v>-7203000</x:v>
      </x:c>
      <x:c r="G38" s="6" t="n">
        <x:v>490000</x:v>
      </x:c>
      <x:c r="H38" s="6" t="n">
        <x:v>-33000</x:v>
      </x:c>
      <x:c r="I38" s="6" t="n">
        <x:v>-263000</x:v>
      </x:c>
      <x:c r="J38" s="6" t="n">
        <x:v>306000</x:v>
      </x:c>
      <x:c r="K38" s="11" t="n">
        <x:v>5</x:v>
      </x:c>
      <x:c r="L38" s="11" t="n">
        <x:v>25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408000</x:v>
      </x:c>
      <x:c r="D39" s="6" t="n">
        <x:v>349000</x:v>
      </x:c>
      <x:c r="E39" s="6" t="n">
        <x:f>C39-D39</x:f>
        <x:v>59000</x:v>
      </x:c>
      <x:c r="F39" s="6" t="n">
        <x:f>F38+E39</x:f>
        <x:v>-7144000</x:v>
      </x:c>
      <x:c r="G39" s="6" t="n">
        <x:v>96000</x:v>
      </x:c>
      <x:c r="H39" s="6" t="n">
        <x:v>-37000</x:v>
      </x:c>
      <x:c r="I39" s="6" t="n">
        <x:v>-95000</x:v>
      </x:c>
      <x:c r="J39" s="6" t="n">
        <x:v>140000</x:v>
      </x:c>
      <x:c r="K39" s="11" t="n">
        <x:v>6</x:v>
      </x:c>
      <x:c r="L39" s="11" t="n">
        <x:v>27</x:v>
      </x:c>
    </x:row>
    <x:row r="40" ht="25" customHeight="1">
      <x:c r="A40" s="2" t="str">
        <x:v>2026-10-14_Day</x:v>
      </x:c>
      <x:c r="B40" s="2" t="str">
        <x:v>次10場</x:v>
      </x:c>
      <x:c r="C40" s="6" t="n">
        <x:v>420000</x:v>
      </x:c>
      <x:c r="D40" s="6" t="n">
        <x:v>425000</x:v>
      </x:c>
      <x:c r="E40" s="6" t="n">
        <x:f>C40-D40</x:f>
        <x:v>-5000</x:v>
      </x:c>
      <x:c r="F40" s="6" t="n">
        <x:f>F39+E40</x:f>
        <x:v>-7149000</x:v>
      </x:c>
      <x:c r="G40" s="6" t="n">
        <x:v>40000</x:v>
      </x:c>
      <x:c r="H40" s="6" t="n">
        <x:v>-45000</x:v>
      </x:c>
      <x:c r="I40" s="6" t="n">
        <x:v>-375000</x:v>
      </x:c>
      <x:c r="J40" s="6" t="n">
        <x:v>564000</x:v>
      </x:c>
      <x:c r="K40" s="11" t="n">
        <x:v>5</x:v>
      </x:c>
      <x:c r="L40" s="11" t="n">
        <x:v>39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1473000</x:v>
      </x:c>
      <x:c r="D41" s="6" t="n">
        <x:v>2682000</x:v>
      </x:c>
      <x:c r="E41" s="6" t="n">
        <x:f>C41-D41</x:f>
        <x:v>-1209000</x:v>
      </x:c>
      <x:c r="F41" s="6" t="n">
        <x:f>F40+E41</x:f>
        <x:v>-8358000</x:v>
      </x:c>
      <x:c r="G41" s="6" t="n">
        <x:v>-490000</x:v>
      </x:c>
      <x:c r="H41" s="6" t="n">
        <x:v>-719000</x:v>
      </x:c>
      <x:c r="I41" s="6" t="n">
        <x:v>-1229000</x:v>
      </x:c>
      <x:c r="J41" s="6" t="n">
        <x:v>1239000</x:v>
      </x:c>
      <x:c r="K41" s="11" t="n">
        <x:v>14</x:v>
      </x:c>
      <x:c r="L41" s="11" t="n">
        <x:v>246</x:v>
      </x:c>
    </x:row>
    <x:row r="42" ht="25" customHeight="1">
      <x:c r="A42" s="2" t="str">
        <x:v>2026-10-15_Day</x:v>
      </x:c>
      <x:c r="B42" s="2" t="str">
        <x:v>次10場</x:v>
      </x:c>
      <x:c r="C42" s="6" t="n">
        <x:v>1278000</x:v>
      </x:c>
      <x:c r="D42" s="6" t="n">
        <x:v>1644000</x:v>
      </x:c>
      <x:c r="E42" s="6" t="n">
        <x:f>C42-D42</x:f>
        <x:v>-366000</x:v>
      </x:c>
      <x:c r="F42" s="6" t="n">
        <x:f>F41+E42</x:f>
        <x:v>-8724000</x:v>
      </x:c>
      <x:c r="G42" s="6" t="n">
        <x:v>-120000</x:v>
      </x:c>
      <x:c r="H42" s="6" t="n">
        <x:v>-246000</x:v>
      </x:c>
      <x:c r="I42" s="6" t="n">
        <x:v>-1276000</x:v>
      </x:c>
      <x:c r="J42" s="6" t="n">
        <x:v>1526000</x:v>
      </x:c>
      <x:c r="K42" s="11" t="n">
        <x:v>12</x:v>
      </x:c>
      <x:c r="L42" s="11" t="n">
        <x:v>236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1613000</x:v>
      </x:c>
      <x:c r="D43" s="6" t="n">
        <x:v>1774000</x:v>
      </x:c>
      <x:c r="E43" s="6" t="n">
        <x:f>C43-D43</x:f>
        <x:v>-161000</x:v>
      </x:c>
      <x:c r="F43" s="6" t="n">
        <x:f>F42+E43</x:f>
        <x:v>-8885000</x:v>
      </x:c>
      <x:c r="G43" s="6" t="n">
        <x:v>230000</x:v>
      </x:c>
      <x:c r="H43" s="6" t="n">
        <x:v>-391000</x:v>
      </x:c>
      <x:c r="I43" s="6" t="n">
        <x:v>-487000</x:v>
      </x:c>
      <x:c r="J43" s="6" t="n">
        <x:v>664000</x:v>
      </x:c>
      <x:c r="K43" s="11" t="n">
        <x:v>17</x:v>
      </x:c>
      <x:c r="L43" s="11" t="n">
        <x:v>169</x:v>
      </x:c>
    </x:row>
    <x:row r="44" ht="25" customHeight="1">
      <x:c r="A44" s="2" t="str">
        <x:v>2026-10-16_Day</x:v>
      </x:c>
      <x:c r="B44" s="2" t="str">
        <x:v>次10場</x:v>
      </x:c>
      <x:c r="C44" s="6" t="n">
        <x:v>1012000</x:v>
      </x:c>
      <x:c r="D44" s="6" t="n">
        <x:v>250000</x:v>
      </x:c>
      <x:c r="E44" s="6" t="n">
        <x:f>C44-D44</x:f>
        <x:v>762000</x:v>
      </x:c>
      <x:c r="F44" s="6" t="n">
        <x:f>F43+E44</x:f>
        <x:v>-8123000</x:v>
      </x:c>
      <x:c r="G44" s="6" t="n">
        <x:v>820000</x:v>
      </x:c>
      <x:c r="H44" s="6" t="n">
        <x:v>-58000</x:v>
      </x:c>
      <x:c r="I44" s="6" t="n">
        <x:v>-60000</x:v>
      </x:c>
      <x:c r="J44" s="6" t="n">
        <x:v>499000</x:v>
      </x:c>
      <x:c r="K44" s="11" t="n">
        <x:v>11</x:v>
      </x:c>
      <x:c r="L44" s="11" t="n">
        <x:v>44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1762000</x:v>
      </x:c>
      <x:c r="D45" s="6" t="n">
        <x:v>2361000</x:v>
      </x:c>
      <x:c r="E45" s="6" t="n">
        <x:f>C45-D45</x:f>
        <x:v>-599000</x:v>
      </x:c>
      <x:c r="F45" s="6" t="n">
        <x:f>F44+E45</x:f>
        <x:v>-8722000</x:v>
      </x:c>
      <x:c r="G45" s="6" t="n">
        <x:v>-350000</x:v>
      </x:c>
      <x:c r="H45" s="6" t="n">
        <x:v>-249000</x:v>
      </x:c>
      <x:c r="I45" s="6" t="n">
        <x:v>-629000</x:v>
      </x:c>
      <x:c r="J45" s="6" t="n">
        <x:v>787000</x:v>
      </x:c>
      <x:c r="K45" s="11" t="n">
        <x:v>21</x:v>
      </x:c>
      <x:c r="L45" s="11" t="n">
        <x:v>207</x:v>
      </x:c>
    </x:row>
    <x:row r="46" ht="25" customHeight="1">
      <x:c r="A46" s="2" t="str">
        <x:v>2026-10-19_Day</x:v>
      </x:c>
      <x:c r="B46" s="2" t="str">
        <x:v>後13場</x:v>
      </x:c>
      <x:c r="C46" s="6" t="n">
        <x:v>434000</x:v>
      </x:c>
      <x:c r="D46" s="6" t="n">
        <x:v>1188000</x:v>
      </x:c>
      <x:c r="E46" s="6" t="n">
        <x:f>C46-D46</x:f>
        <x:v>-754000</x:v>
      </x:c>
      <x:c r="F46" s="6" t="n">
        <x:f>F45+E46</x:f>
        <x:v>-9476000</x:v>
      </x:c>
      <x:c r="G46" s="6" t="n">
        <x:v>-520000</x:v>
      </x:c>
      <x:c r="H46" s="6" t="n">
        <x:v>-234000</x:v>
      </x:c>
      <x:c r="I46" s="6" t="n">
        <x:v>-964000</x:v>
      </x:c>
      <x:c r="J46" s="6" t="n">
        <x:v>1051000</x:v>
      </x:c>
      <x:c r="K46" s="11" t="n">
        <x:v>5</x:v>
      </x:c>
      <x:c r="L46" s="11" t="n">
        <x:v>140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580000</x:v>
      </x:c>
      <x:c r="D47" s="6" t="n">
        <x:v>568000</x:v>
      </x:c>
      <x:c r="E47" s="6" t="n">
        <x:f>C47-D47</x:f>
        <x:v>12000</x:v>
      </x:c>
      <x:c r="F47" s="6" t="n">
        <x:f>F46+E47</x:f>
        <x:v>-9464000</x:v>
      </x:c>
      <x:c r="G47" s="6" t="n">
        <x:v>80000</x:v>
      </x:c>
      <x:c r="H47" s="6" t="n">
        <x:v>-68000</x:v>
      </x:c>
      <x:c r="I47" s="6" t="n">
        <x:v>-120000</x:v>
      </x:c>
      <x:c r="J47" s="6" t="n">
        <x:v>232000</x:v>
      </x:c>
      <x:c r="K47" s="11" t="n">
        <x:v>8</x:v>
      </x:c>
      <x:c r="L47" s="11" t="n">
        <x:v>34</x:v>
      </x:c>
    </x:row>
    <x:row r="48" ht="25" customHeight="1">
      <x:c r="A48" s="2" t="str">
        <x:v>2026-10-20_Day</x:v>
      </x:c>
      <x:c r="B48" s="2" t="str">
        <x:v>後13場</x:v>
      </x:c>
      <x:c r="C48" s="6" t="n">
        <x:v>576000</x:v>
      </x:c>
      <x:c r="D48" s="6" t="n">
        <x:v>645000</x:v>
      </x:c>
      <x:c r="E48" s="6" t="n">
        <x:f>C48-D48</x:f>
        <x:v>-69000</x:v>
      </x:c>
      <x:c r="F48" s="6" t="n">
        <x:f>F47+E48</x:f>
        <x:v>-9533000</x:v>
      </x:c>
      <x:c r="G48" s="6" t="n">
        <x:v>10000</x:v>
      </x:c>
      <x:c r="H48" s="6" t="n">
        <x:v>-79000</x:v>
      </x:c>
      <x:c r="I48" s="6" t="n">
        <x:v>-489000</x:v>
      </x:c>
      <x:c r="J48" s="6" t="n">
        <x:v>649000</x:v>
      </x:c>
      <x:c r="K48" s="11" t="n">
        <x:v>6</x:v>
      </x:c>
      <x:c r="L48" s="11" t="n">
        <x:v>87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1062000</x:v>
      </x:c>
      <x:c r="D49" s="6" t="n">
        <x:v>1494000</x:v>
      </x:c>
      <x:c r="E49" s="6" t="n">
        <x:f>C49-D49</x:f>
        <x:v>-432000</x:v>
      </x:c>
      <x:c r="F49" s="6" t="n">
        <x:f>F48+E49</x:f>
        <x:v>-9965000</x:v>
      </x:c>
      <x:c r="G49" s="6" t="n">
        <x:v>-317000</x:v>
      </x:c>
      <x:c r="H49" s="6" t="n">
        <x:v>-115000</x:v>
      </x:c>
      <x:c r="I49" s="6" t="n">
        <x:v>-462000</x:v>
      </x:c>
      <x:c r="J49" s="6" t="n">
        <x:v>562000</x:v>
      </x:c>
      <x:c r="K49" s="11" t="n">
        <x:v>12</x:v>
      </x:c>
      <x:c r="L49" s="11" t="n">
        <x:v>98</x:v>
      </x:c>
    </x:row>
    <x:row r="50" ht="25" customHeight="1">
      <x:c r="A50" s="2" t="str">
        <x:v>2026-10-21_Day</x:v>
      </x:c>
      <x:c r="B50" s="2" t="str">
        <x:v>後13場</x:v>
      </x:c>
      <x:c r="C50" s="6" t="n">
        <x:v>342000</x:v>
      </x:c>
      <x:c r="D50" s="6" t="n">
        <x:v>628000</x:v>
      </x:c>
      <x:c r="E50" s="6" t="n">
        <x:f>C50-D50</x:f>
        <x:v>-286000</x:v>
      </x:c>
      <x:c r="F50" s="6" t="n">
        <x:f>F49+E50</x:f>
        <x:v>-10251000</x:v>
      </x:c>
      <x:c r="G50" s="6" t="n">
        <x:v>-170000</x:v>
      </x:c>
      <x:c r="H50" s="6" t="n">
        <x:v>-116000</x:v>
      </x:c>
      <x:c r="I50" s="6" t="n">
        <x:v>-546000</x:v>
      </x:c>
      <x:c r="J50" s="6" t="n">
        <x:v>596000</x:v>
      </x:c>
      <x:c r="K50" s="11" t="n">
        <x:v>4</x:v>
      </x:c>
      <x:c r="L50" s="11" t="n">
        <x:v>76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705000</x:v>
      </x:c>
      <x:c r="D51" s="6" t="n">
        <x:v>741000</x:v>
      </x:c>
      <x:c r="E51" s="6" t="n">
        <x:f>C51-D51</x:f>
        <x:v>-36000</x:v>
      </x:c>
      <x:c r="F51" s="6" t="n">
        <x:f>F50+E51</x:f>
        <x:v>-10287000</x:v>
      </x:c>
      <x:c r="G51" s="6" t="n">
        <x:v>22000</x:v>
      </x:c>
      <x:c r="H51" s="6" t="n">
        <x:v>-58000</x:v>
      </x:c>
      <x:c r="I51" s="6" t="n">
        <x:v>-161000</x:v>
      </x:c>
      <x:c r="J51" s="6" t="n">
        <x:v>161000</x:v>
      </x:c>
      <x:c r="K51" s="11" t="n">
        <x:v>11</x:v>
      </x:c>
      <x:c r="L51" s="11" t="n">
        <x:v>49</x:v>
      </x:c>
    </x:row>
    <x:row r="52" ht="25" customHeight="1">
      <x:c r="A52" s="2" t="str">
        <x:v>2026-10-22_Day</x:v>
      </x:c>
      <x:c r="B52" s="2" t="str">
        <x:v>後13場</x:v>
      </x:c>
      <x:c r="C52" s="6" t="n">
        <x:v>626000</x:v>
      </x:c>
      <x:c r="D52" s="6" t="n">
        <x:v>2266000</x:v>
      </x:c>
      <x:c r="E52" s="6" t="n">
        <x:f>C52-D52</x:f>
        <x:v>-1640000</x:v>
      </x:c>
      <x:c r="F52" s="6" t="n">
        <x:f>F51+E52</x:f>
        <x:v>-11927000</x:v>
      </x:c>
      <x:c r="G52" s="6" t="n">
        <x:v>-1170000</x:v>
      </x:c>
      <x:c r="H52" s="6" t="n">
        <x:v>-470000</x:v>
      </x:c>
      <x:c r="I52" s="6" t="n">
        <x:v>-1880000</x:v>
      </x:c>
      <x:c r="J52" s="6" t="n">
        <x:v>2013000</x:v>
      </x:c>
      <x:c r="K52" s="11" t="n">
        <x:v>7</x:v>
      </x:c>
      <x:c r="L52" s="11" t="n">
        <x:v>268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935000</x:v>
      </x:c>
      <x:c r="D53" s="6" t="n">
        <x:v>1369000</x:v>
      </x:c>
      <x:c r="E53" s="6" t="n">
        <x:f>C53-D53</x:f>
        <x:v>-434000</x:v>
      </x:c>
      <x:c r="F53" s="6" t="n">
        <x:f>F52+E53</x:f>
        <x:v>-12361000</x:v>
      </x:c>
      <x:c r="G53" s="6" t="n">
        <x:v>-295000</x:v>
      </x:c>
      <x:c r="H53" s="6" t="n">
        <x:v>-139000</x:v>
      </x:c>
      <x:c r="I53" s="6" t="n">
        <x:v>-444000</x:v>
      </x:c>
      <x:c r="J53" s="6" t="n">
        <x:v>590000</x:v>
      </x:c>
      <x:c r="K53" s="11" t="n">
        <x:v>15</x:v>
      </x:c>
      <x:c r="L53" s="11" t="n">
        <x:v>116</x:v>
      </x:c>
    </x:row>
    <x:row r="54" ht="25" customHeight="1">
      <x:c r="A54" s="2" t="str">
        <x:v>2026-10-23_Day</x:v>
      </x:c>
      <x:c r="B54" s="2" t="str">
        <x:v>後13場</x:v>
      </x:c>
      <x:c r="C54" s="6" t="n">
        <x:v>1519000</x:v>
      </x:c>
      <x:c r="D54" s="6" t="n">
        <x:v>1832000</x:v>
      </x:c>
      <x:c r="E54" s="6" t="n">
        <x:f>C54-D54</x:f>
        <x:v>-313000</x:v>
      </x:c>
      <x:c r="F54" s="6" t="n">
        <x:f>F53+E54</x:f>
        <x:v>-12674000</x:v>
      </x:c>
      <x:c r="G54" s="6" t="n">
        <x:v>350000</x:v>
      </x:c>
      <x:c r="H54" s="6" t="n">
        <x:v>-663000</x:v>
      </x:c>
      <x:c r="I54" s="6" t="n">
        <x:v>-463000</x:v>
      </x:c>
      <x:c r="J54" s="6" t="n">
        <x:v>1102000</x:v>
      </x:c>
      <x:c r="K54" s="11" t="n">
        <x:v>16</x:v>
      </x:c>
      <x:c r="L54" s="11" t="n">
        <x:v>178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500000</x:v>
      </x:c>
      <x:c r="D55" s="6" t="n">
        <x:v>698000</x:v>
      </x:c>
      <x:c r="E55" s="6" t="n">
        <x:f>C55-D55</x:f>
        <x:v>-198000</x:v>
      </x:c>
      <x:c r="F55" s="6" t="n">
        <x:f>F54+E55</x:f>
        <x:v>-12872000</x:v>
      </x:c>
      <x:c r="G55" s="6" t="n">
        <x:v>-156000</x:v>
      </x:c>
      <x:c r="H55" s="6" t="n">
        <x:v>-42000</x:v>
      </x:c>
      <x:c r="I55" s="6" t="n">
        <x:v>-218000</x:v>
      </x:c>
      <x:c r="J55" s="6" t="n">
        <x:v>255000</x:v>
      </x:c>
      <x:c r="K55" s="11" t="n">
        <x:v>10</x:v>
      </x:c>
      <x:c r="L55" s="11" t="n">
        <x:v>32</x:v>
      </x:c>
    </x:row>
    <x:row r="56" ht="25" customHeight="1">
      <x:c r="A56" s="2" t="str">
        <x:v>2026-10-26_Day</x:v>
      </x:c>
      <x:c r="B56" s="2" t="str">
        <x:v>後13場</x:v>
      </x:c>
      <x:c r="C56" s="6" t="n">
        <x:v>439000</x:v>
      </x:c>
      <x:c r="D56" s="6" t="n">
        <x:v>765000</x:v>
      </x:c>
      <x:c r="E56" s="6" t="n">
        <x:f>C56-D56</x:f>
        <x:v>-326000</x:v>
      </x:c>
      <x:c r="F56" s="6" t="n">
        <x:f>F55+E56</x:f>
        <x:v>-13198000</x:v>
      </x:c>
      <x:c r="G56" s="6" t="n">
        <x:v>-250000</x:v>
      </x:c>
      <x:c r="H56" s="6" t="n">
        <x:v>-76000</x:v>
      </x:c>
      <x:c r="I56" s="6" t="n">
        <x:v>-416000</x:v>
      </x:c>
      <x:c r="J56" s="6" t="n">
        <x:v>416000</x:v>
      </x:c>
      <x:c r="K56" s="11" t="n">
        <x:v>5</x:v>
      </x:c>
      <x:c r="L56" s="11" t="n">
        <x:v>74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699000</x:v>
      </x:c>
      <x:c r="D57" s="6" t="n">
        <x:v>1042000</x:v>
      </x:c>
      <x:c r="E57" s="6" t="n">
        <x:f>C57-D57</x:f>
        <x:v>-343000</x:v>
      </x:c>
      <x:c r="F57" s="6" t="n">
        <x:f>F56+E57</x:f>
        <x:v>-13541000</x:v>
      </x:c>
      <x:c r="G57" s="6" t="n">
        <x:v>-204000</x:v>
      </x:c>
      <x:c r="H57" s="6" t="n">
        <x:v>-139000</x:v>
      </x:c>
      <x:c r="I57" s="6" t="n">
        <x:v>-363000</x:v>
      </x:c>
      <x:c r="J57" s="6" t="n">
        <x:v>442000</x:v>
      </x:c>
      <x:c r="K57" s="11" t="n">
        <x:v>11</x:v>
      </x:c>
      <x:c r="L57" s="11" t="n">
        <x:v>68</x:v>
      </x:c>
    </x:row>
    <x:row r="58" ht="25" customHeight="1">
      <x:c r="A58" s="2" t="str">
        <x:v>2026-10-27_Day</x:v>
      </x:c>
      <x:c r="B58" s="2" t="str">
        <x:v>後13場</x:v>
      </x:c>
      <x:c r="C58" s="6" t="n">
        <x:v>907000</x:v>
      </x:c>
      <x:c r="D58" s="6" t="n">
        <x:v>62000</x:v>
      </x:c>
      <x:c r="E58" s="6" t="n">
        <x:f>C58-D58</x:f>
        <x:v>845000</x:v>
      </x:c>
      <x:c r="F58" s="6" t="n">
        <x:f>F57+E58</x:f>
        <x:v>-12696000</x:v>
      </x:c>
      <x:c r="G58" s="6" t="n">
        <x:v>900000</x:v>
      </x:c>
      <x:c r="H58" s="6" t="n">
        <x:v>-55000</x:v>
      </x:c>
      <x:c r="I58" s="6" t="n">
        <x:v>-118000</x:v>
      </x:c>
      <x:c r="J58" s="6" t="n">
        <x:v>369000</x:v>
      </x:c>
      <x:c r="K58" s="11" t="n">
        <x:v>9</x:v>
      </x:c>
      <x:c r="L58" s="11" t="n">
        <x:v>36</x:v>
      </x:c>
    </x:row>
    <x:row r="59" ht="25" customHeight="1">
      <x:c r="A59" s="15" t="str">
        <x:v>累計／場内最悪値</x:v>
      </x:c>
      <x:c r="B59" s="15"/>
      <x:c r="C59" s="16" t="n">
        <x:f>SUM(C6:C58)</x:f>
        <x:v>32431000</x:v>
      </x:c>
      <x:c r="D59" s="16" t="n">
        <x:f>SUM(D6:D58)</x:f>
        <x:v>45127000</x:v>
      </x:c>
      <x:c r="E59" s="16" t="n">
        <x:f>C59-D59</x:f>
        <x:v>-12696000</x:v>
      </x:c>
      <x:c r="F59" s="16" t="n">
        <x:f>F58</x:f>
        <x:v>-12696000</x:v>
      </x:c>
      <x:c r="G59" s="16" t="n">
        <x:f>SUM(G6:G58)</x:f>
        <x:v>-5476000</x:v>
      </x:c>
      <x:c r="H59" s="16" t="n">
        <x:f>SUM(H6:H58)</x:f>
        <x:v>-7220000</x:v>
      </x:c>
      <x:c r="I59" s="16" t="n">
        <x:f>MIN(I6:I58)</x:f>
        <x:v>-1880000</x:v>
      </x:c>
      <x:c r="J59" s="16" t="n">
        <x:f>MAX(J6:J58)</x:f>
        <x:v>2041000</x:v>
      </x:c>
      <x:c r="K59" s="17" t="n">
        <x:f>SUM(K6:K58)</x:f>
        <x:v>407</x:v>
      </x:c>
      <x:c r="L59" s="17" t="n">
        <x:f>SUM(L6:L58)</x:f>
        <x:v>4131</x:v>
      </x:c>
    </x:row>
  </x:sheetData>
  <x:conditionalFormatting sqref="E6:I58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265cb0f9284cf0"/>
  </x:tableParts>
</x:worksheet>
</file>