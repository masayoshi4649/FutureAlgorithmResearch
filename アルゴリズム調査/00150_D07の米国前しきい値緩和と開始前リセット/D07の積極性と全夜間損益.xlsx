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3081ae7ac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9c0baa2512d34af8"/>
    <x:sheet xmlns:r="http://schemas.openxmlformats.org/officeDocument/2006/relationships" name="日経_C00" sheetId="2" r:id="Rac8dbec0f983450a"/>
    <x:sheet xmlns:r="http://schemas.openxmlformats.org/officeDocument/2006/relationships" name="日経_S04" sheetId="3" r:id="Rdbfa60a8e08e4ec0"/>
    <x:sheet xmlns:r="http://schemas.openxmlformats.org/officeDocument/2006/relationships" name="日経_S02" sheetId="4" r:id="R05dde0938e3142bf"/>
    <x:sheet xmlns:r="http://schemas.openxmlformats.org/officeDocument/2006/relationships" name="日経_A00" sheetId="5" r:id="R5627fcf82ad44145"/>
    <x:sheet xmlns:r="http://schemas.openxmlformats.org/officeDocument/2006/relationships" name="日経_A01" sheetId="6" r:id="Rcf66570c1f1949e1"/>
    <x:sheet xmlns:r="http://schemas.openxmlformats.org/officeDocument/2006/relationships" name="日経_A02" sheetId="7" r:id="Rc2d9f7272d4e4df4"/>
    <x:sheet xmlns:r="http://schemas.openxmlformats.org/officeDocument/2006/relationships" name="日経_A03" sheetId="8" r:id="R69eb981e18ca4891"/>
    <x:sheet xmlns:r="http://schemas.openxmlformats.org/officeDocument/2006/relationships" name="日経_A04" sheetId="9" r:id="R8f761d0d089745ee"/>
    <x:sheet xmlns:r="http://schemas.openxmlformats.org/officeDocument/2006/relationships" name="日経_A05" sheetId="10" r:id="R86a6cecdf507498f"/>
    <x:sheet xmlns:r="http://schemas.openxmlformats.org/officeDocument/2006/relationships" name="日経_A06" sheetId="11" r:id="R3085ced05c234ea8"/>
    <x:sheet xmlns:r="http://schemas.openxmlformats.org/officeDocument/2006/relationships" name="日経_A07" sheetId="12" r:id="R094cffbd80444d7e"/>
    <x:sheet xmlns:r="http://schemas.openxmlformats.org/officeDocument/2006/relationships" name="日経_A08" sheetId="13" r:id="R2a07602d84734a83"/>
    <x:sheet xmlns:r="http://schemas.openxmlformats.org/officeDocument/2006/relationships" name="日経_A09" sheetId="14" r:id="Rbfd9e6a5f6874864"/>
    <x:sheet xmlns:r="http://schemas.openxmlformats.org/officeDocument/2006/relationships" name="日経_A10" sheetId="15" r:id="Rb471834eb825476a"/>
    <x:sheet xmlns:r="http://schemas.openxmlformats.org/officeDocument/2006/relationships" name="日経_A11" sheetId="16" r:id="R44a6177fdc054786"/>
    <x:sheet xmlns:r="http://schemas.openxmlformats.org/officeDocument/2006/relationships" name="日経_A12" sheetId="17" r:id="Rdbc4e99e74ce417e"/>
    <x:sheet xmlns:r="http://schemas.openxmlformats.org/officeDocument/2006/relationships" name="日経_A13" sheetId="18" r:id="R8f8eaecdcb38496c"/>
    <x:sheet xmlns:r="http://schemas.openxmlformats.org/officeDocument/2006/relationships" name="日経_A14" sheetId="19" r:id="R2a8e5705669c49a4"/>
    <x:sheet xmlns:r="http://schemas.openxmlformats.org/officeDocument/2006/relationships" name="日経_A15" sheetId="20" r:id="R7cebfad1348e4296"/>
    <x:sheet xmlns:r="http://schemas.openxmlformats.org/officeDocument/2006/relationships" name="日経_A16" sheetId="21" r:id="R2d23a5dc33b8486a"/>
    <x:sheet xmlns:r="http://schemas.openxmlformats.org/officeDocument/2006/relationships" name="日経_B01" sheetId="22" r:id="Rc8522095fc244732"/>
    <x:sheet xmlns:r="http://schemas.openxmlformats.org/officeDocument/2006/relationships" name="日経_B02" sheetId="23" r:id="R8384e3a40986440d"/>
    <x:sheet xmlns:r="http://schemas.openxmlformats.org/officeDocument/2006/relationships" name="日経_B03" sheetId="24" r:id="Rdd0f160edc354530"/>
    <x:sheet xmlns:r="http://schemas.openxmlformats.org/officeDocument/2006/relationships" name="日経_B04" sheetId="25" r:id="Rccb90e8e82b74174"/>
    <x:sheet xmlns:r="http://schemas.openxmlformats.org/officeDocument/2006/relationships" name="日経_B05" sheetId="26" r:id="Rc5048246f2cf46ea"/>
    <x:sheet xmlns:r="http://schemas.openxmlformats.org/officeDocument/2006/relationships" name="日経_B06" sheetId="27" r:id="Re74338227d6d4a1a"/>
    <x:sheet xmlns:r="http://schemas.openxmlformats.org/officeDocument/2006/relationships" name="当夜途中" sheetId="28" r:id="R649d0ea01e3f4d30"/>
    <x:sheet xmlns:r="http://schemas.openxmlformats.org/officeDocument/2006/relationships" name="時刻観測" sheetId="29" r:id="R83a9911973a7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&quot;—&quot;"/>
    <x:numFmt numFmtId="201" formatCode="#,##0"/>
    <x:numFmt numFmtId="202" formatCode="0.0%"/>
    <x:numFmt numFmtId="203" formatCode="0.00"/>
    <x:numFmt numFmtId="204" formatCode="0.0"/>
    <x:numFmt numFmtId="205" formatCode="#,##0.0"/>
  </x:numFmts>
  <x:fonts count="6">
    <x:font>
      <x:sz val="11"/>
      <x:name val="Carlito"/>
    </x:font>
    <x:font>
      <x:sz val="10"/>
      <x:color rgb="FF1B3048"/>
      <x:name val="Yu Gothic"/>
    </x:font>
    <x:font>
      <x:b/>
      <x:sz val="14"/>
      <x:color rgb="FF1B3048"/>
      <x:name val="Yu Gothic"/>
    </x:font>
    <x:font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1B3048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5B5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A5B5C5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fd10fdbff4432" /><Relationship Type="http://schemas.openxmlformats.org/officeDocument/2006/relationships/theme" Target="/xl/theme/theme1.xml" Id="Rc576331e6f1b4069" /><Relationship Type="http://schemas.openxmlformats.org/officeDocument/2006/relationships/sharedStrings" Target="/xl/sharedStrings.xml" Id="R9b84786bb0d7437e" /><Relationship Type="http://schemas.openxmlformats.org/officeDocument/2006/relationships/worksheet" Target="/xl/worksheets/sheet1.xml" Id="R9c0baa2512d34af8" /><Relationship Type="http://schemas.openxmlformats.org/officeDocument/2006/relationships/worksheet" Target="/xl/worksheets/sheet2.xml" Id="Rac8dbec0f983450a" /><Relationship Type="http://schemas.openxmlformats.org/officeDocument/2006/relationships/worksheet" Target="/xl/worksheets/sheet3.xml" Id="Rdbfa60a8e08e4ec0" /><Relationship Type="http://schemas.openxmlformats.org/officeDocument/2006/relationships/worksheet" Target="/xl/worksheets/sheet4.xml" Id="R05dde0938e3142bf" /><Relationship Type="http://schemas.openxmlformats.org/officeDocument/2006/relationships/worksheet" Target="/xl/worksheets/sheet5.xml" Id="R5627fcf82ad44145" /><Relationship Type="http://schemas.openxmlformats.org/officeDocument/2006/relationships/worksheet" Target="/xl/worksheets/sheet6.xml" Id="Rcf66570c1f1949e1" /><Relationship Type="http://schemas.openxmlformats.org/officeDocument/2006/relationships/worksheet" Target="/xl/worksheets/sheet7.xml" Id="Rc2d9f7272d4e4df4" /><Relationship Type="http://schemas.openxmlformats.org/officeDocument/2006/relationships/worksheet" Target="/xl/worksheets/sheet8.xml" Id="R69eb981e18ca4891" /><Relationship Type="http://schemas.openxmlformats.org/officeDocument/2006/relationships/worksheet" Target="/xl/worksheets/sheet9.xml" Id="R8f761d0d089745ee" /><Relationship Type="http://schemas.openxmlformats.org/officeDocument/2006/relationships/worksheet" Target="/xl/worksheets/sheet10.xml" Id="R86a6cecdf507498f" /><Relationship Type="http://schemas.openxmlformats.org/officeDocument/2006/relationships/worksheet" Target="/xl/worksheets/sheet11.xml" Id="R3085ced05c234ea8" /><Relationship Type="http://schemas.openxmlformats.org/officeDocument/2006/relationships/worksheet" Target="/xl/worksheets/sheet12.xml" Id="R094cffbd80444d7e" /><Relationship Type="http://schemas.openxmlformats.org/officeDocument/2006/relationships/worksheet" Target="/xl/worksheets/sheet13.xml" Id="R2a07602d84734a83" /><Relationship Type="http://schemas.openxmlformats.org/officeDocument/2006/relationships/worksheet" Target="/xl/worksheets/sheet14.xml" Id="Rbfd9e6a5f6874864" /><Relationship Type="http://schemas.openxmlformats.org/officeDocument/2006/relationships/worksheet" Target="/xl/worksheets/sheet15.xml" Id="Rb471834eb825476a" /><Relationship Type="http://schemas.openxmlformats.org/officeDocument/2006/relationships/worksheet" Target="/xl/worksheets/sheet16.xml" Id="R44a6177fdc054786" /><Relationship Type="http://schemas.openxmlformats.org/officeDocument/2006/relationships/worksheet" Target="/xl/worksheets/sheet17.xml" Id="Rdbc4e99e74ce417e" /><Relationship Type="http://schemas.openxmlformats.org/officeDocument/2006/relationships/worksheet" Target="/xl/worksheets/sheet18.xml" Id="R8f8eaecdcb38496c" /><Relationship Type="http://schemas.openxmlformats.org/officeDocument/2006/relationships/worksheet" Target="/xl/worksheets/sheet19.xml" Id="R2a8e5705669c49a4" /><Relationship Type="http://schemas.openxmlformats.org/officeDocument/2006/relationships/worksheet" Target="/xl/worksheets/sheet20.xml" Id="R7cebfad1348e4296" /><Relationship Type="http://schemas.openxmlformats.org/officeDocument/2006/relationships/worksheet" Target="/xl/worksheets/sheet21.xml" Id="R2d23a5dc33b8486a" /><Relationship Type="http://schemas.openxmlformats.org/officeDocument/2006/relationships/worksheet" Target="/xl/worksheets/sheet22.xml" Id="Rc8522095fc244732" /><Relationship Type="http://schemas.openxmlformats.org/officeDocument/2006/relationships/worksheet" Target="/xl/worksheets/sheet23.xml" Id="R8384e3a40986440d" /><Relationship Type="http://schemas.openxmlformats.org/officeDocument/2006/relationships/worksheet" Target="/xl/worksheets/sheet24.xml" Id="Rdd0f160edc354530" /><Relationship Type="http://schemas.openxmlformats.org/officeDocument/2006/relationships/worksheet" Target="/xl/worksheets/sheet25.xml" Id="Rccb90e8e82b74174" /><Relationship Type="http://schemas.openxmlformats.org/officeDocument/2006/relationships/worksheet" Target="/xl/worksheets/sheet26.xml" Id="Rc5048246f2cf46ea" /><Relationship Type="http://schemas.openxmlformats.org/officeDocument/2006/relationships/worksheet" Target="/xl/worksheets/sheet27.xml" Id="Re74338227d6d4a1a" /><Relationship Type="http://schemas.openxmlformats.org/officeDocument/2006/relationships/worksheet" Target="/xl/worksheets/sheet28.xml" Id="R649d0ea01e3f4d30" /><Relationship Type="http://schemas.openxmlformats.org/officeDocument/2006/relationships/worksheet" Target="/xl/worksheets/sheet29.xml" Id="R83a9911973a74f8e" /></Relationships>
</file>

<file path=xl/tables/table1.xml><?xml version="1.0" encoding="utf-8"?>
<x:table xmlns:x="http://schemas.openxmlformats.org/spreadsheetml/2006/main" id="27" name="Comparison150" displayName="Comparison150" ref="A6:Q32" headerRowCount="1" totalsRowCount="0" totalsRowShown="0">
  <x:autoFilter ref="A6:Q32"/>
  <x:tableColumns count="17">
    <x:tableColumn id="1" name="手法ID"/>
    <x:tableColumn id="2" name="前半収支（円）"/>
    <x:tableColumn id="3" name="後半収支（円）"/>
    <x:tableColumn id="4" name="全夜収支（円）"/>
    <x:tableColumn id="5" name="総利益（円）"/>
    <x:tableColumn id="6" name="総損失（円）"/>
    <x:tableColumn id="7" name="利益損失比"/>
    <x:tableColumn id="8" name="黒字場数"/>
    <x:tableColumn id="9" name="赤字場数"/>
    <x:tableColumn id="10" name="最大赤字（円）"/>
    <x:tableColumn id="11" name="上位3黒字除外（円）"/>
    <x:tableColumn id="12" name="前半新規件数"/>
    <x:tableColumn id="13" name="前半参加場数"/>
    <x:tableColumn id="14" name="前半保有率"/>
    <x:tableColumn id="15" name="前半平均保有枚数"/>
    <x:tableColumn id="16" name="全夜新規件数"/>
    <x:tableColumn id="17" name="A00前半差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thod150_C00" displayName="Method150_C00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thod150_S04" displayName="Method150_S04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ethod150_S02" displayName="Method150_S02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ethod150_A00" displayName="Method150_A00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thod150_A01" displayName="Method150_A01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ethod150_A02" displayName="Method150_A02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thod150_A03" displayName="Method150_A03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thod150_A04" displayName="Method150_A04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ethod150_A05" displayName="Method150_A05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Method150_A06" displayName="Method150_A06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Method150_A07" displayName="Method150_A07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Method150_A08" displayName="Method150_A08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Method150_A09" displayName="Method150_A09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ethod150_A10" displayName="Method150_A10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Method150_A11" displayName="Method150_A11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Method150_A12" displayName="Method150_A12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Method150_A13" displayName="Method150_A13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Method150_A14" displayName="Method150_A14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Method150_A15" displayName="Method150_A15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Method150_A16" displayName="Method150_A16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Method150_B01" displayName="Method150_B01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Method150_B02" displayName="Method150_B02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Method150_B03" displayName="Method150_B03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Method150_B04" displayName="Method150_B04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Method150_B05" displayName="Method150_B05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Method150_B06" displayName="Method150_B06" ref="A6:R31" headerRowCount="1" totalsRowCount="0" totalsRowShown="0">
  <x:autoFilter ref="A6:R31"/>
  <x:tableColumns count="18">
    <x:tableColumn id="1" name="セッション"/>
    <x:tableColumn id="2" name="前半利益（円）"/>
    <x:tableColumn id="3" name="前半損失（円）"/>
    <x:tableColumn id="4" name="前半収支（円）"/>
    <x:tableColumn id="5" name="後半利益（円）"/>
    <x:tableColumn id="6" name="後半損失（円）"/>
    <x:tableColumn id="7" name="後半収支（円）"/>
    <x:tableColumn id="8" name="全夜利益（円）"/>
    <x:tableColumn id="9" name="全夜損失（円）"/>
    <x:tableColumn id="10" name="全夜収支（円）"/>
    <x:tableColumn id="11" name="累計（円）"/>
    <x:tableColumn id="12" name="新規件数"/>
    <x:tableColumn id="13" name="前半新規件数"/>
    <x:tableColumn id="14" name="後半新規件数"/>
    <x:tableColumn id="15" name="最大片側保有枚数"/>
    <x:tableColumn id="16" name="前半保有率"/>
    <x:tableColumn id="17" name="前半平均保有枚数"/>
    <x:tableColumn id="18" name="初回新規まで（分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Partial150" displayName="Partial150" ref="A6:F32" headerRowCount="1" totalsRowCount="0" totalsRowShown="0">
  <x:autoFilter ref="A6:F32"/>
  <x:tableColumns count="6">
    <x:tableColumn id="1" name="手法ID"/>
    <x:tableColumn id="2" name="実現収支（円）"/>
    <x:tableColumn id="3" name="含み損益（円）"/>
    <x:tableColumn id="4" name="合計評価（円）"/>
    <x:tableColumn id="5" name="新規件数"/>
    <x:tableColumn id="6" name="最大片側保有枚数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Market150" displayName="Market150" ref="A6:J26" headerRowCount="1" totalsRowCount="0" totalsRowShown="0">
  <x:autoFilter ref="A6:J26"/>
  <x:tableColumns count="10">
    <x:tableColumn id="1" name="観測集団"/>
    <x:tableColumn id="2" name="比較窓"/>
    <x:tableColumn id="3" name="指標"/>
    <x:tableColumn id="4" name="単位"/>
    <x:tableColumn id="5" name="比較場数"/>
    <x:tableColumn id="6" name="対象平均"/>
    <x:tableColumn id="7" name="対照平均"/>
    <x:tableColumn id="8" name="差"/>
    <x:tableColumn id="9" name="差95%下限"/>
    <x:tableColumn id="10" name="差95%上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e19951a82942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ff727534a1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5d4218d2ea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d23109836242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bfe776597941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2857937ad74d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52720c2159340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6c1a750bbdf45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d4fc7130f6848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b79cde7154b48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cbd35c43b7a49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25f139c545f43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be7de4d9ae84a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58c85e00eed4ed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e1aec4b33ae43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8af0a89f149452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74a85dd85ba42d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2a2fed73aa449d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294f34c950f40b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94091f92c9b41d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4d8db422a49491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0d93e968e8c48f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e5829a2cfb1498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36ead1be7d044b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ae94535ff1545f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d8ec2857a1af4dc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8e82ffbb3fb54f0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249c18cb07d4a7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b2c9c0007ef24cb6" /></Relationships>
</file>

<file path=xl/worksheets/sheet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4" t="str">
        <x:v>D07の前半積極性と全夜間損益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6" t="str">
        <x:v>C00・S04・S02は149の保存対照を再会計。A00は17時解禁・前半補完なし。A01以降は前半だけ変更。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6" t="str">
        <x:v>前半保有率は17時〜米国開始15分前に1枚以上持った時間。平均枚数は無保有時間も含む。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2" customHeight="1">
      <x:c r="A6" s="15" t="str">
        <x:v>手法ID</x:v>
      </x:c>
      <x:c r="B6" s="16" t="str">
        <x:v>前半収支（円）</x:v>
      </x:c>
      <x:c r="C6" s="16" t="str">
        <x:v>後半収支（円）</x:v>
      </x:c>
      <x:c r="D6" s="16" t="str">
        <x:v>全夜収支（円）</x:v>
      </x:c>
      <x:c r="E6" s="16" t="str">
        <x:v>総利益（円）</x:v>
      </x:c>
      <x:c r="F6" s="16" t="str">
        <x:v>総損失（円）</x:v>
      </x:c>
      <x:c r="G6" s="16" t="str">
        <x:v>利益損失比</x:v>
      </x:c>
      <x:c r="H6" s="16" t="str">
        <x:v>黒字場数</x:v>
      </x:c>
      <x:c r="I6" s="16" t="str">
        <x:v>赤字場数</x:v>
      </x:c>
      <x:c r="J6" s="16" t="str">
        <x:v>最大赤字（円）</x:v>
      </x:c>
      <x:c r="K6" s="16" t="str">
        <x:v>上位3黒字除外（円）</x:v>
      </x:c>
      <x:c r="L6" s="16" t="str">
        <x:v>前半新規件数</x:v>
      </x:c>
      <x:c r="M6" s="16" t="str">
        <x:v>前半参加場数</x:v>
      </x:c>
      <x:c r="N6" s="16" t="str">
        <x:v>前半保有率</x:v>
      </x:c>
      <x:c r="O6" s="16" t="str">
        <x:v>前半平均保有枚数</x:v>
      </x:c>
      <x:c r="P6" s="16" t="str">
        <x:v>全夜新規件数</x:v>
      </x:c>
      <x:c r="Q6" s="17" t="str">
        <x:v>A00前半差（円）</x:v>
      </x:c>
    </x:row>
    <x:row r="7" ht="23" customHeight="1">
      <x:c r="A7" s="2" t="str">
        <x:v>C00</x:v>
      </x:c>
      <x:c r="B7" s="19" t="n">
        <x:f>'日経_C00'!D32</x:f>
        <x:v>-2000</x:v>
      </x:c>
      <x:c r="C7" s="19" t="n">
        <x:f>'日経_C00'!G32</x:f>
        <x:v>1155000</x:v>
      </x:c>
      <x:c r="D7" s="19" t="n">
        <x:f>'日経_C00'!J32</x:f>
        <x:v>1153000</x:v>
      </x:c>
      <x:c r="E7" s="19" t="n">
        <x:f>'日経_C00'!H32</x:f>
        <x:v>2160000</x:v>
      </x:c>
      <x:c r="F7" s="19" t="n">
        <x:f>'日経_C00'!I32</x:f>
        <x:v>1007000</x:v>
      </x:c>
      <x:c r="G7" s="29" t="n">
        <x:f>IF(F7=0,"損失なし",E7/F7)</x:f>
        <x:v>2.144985104270109</x:v>
      </x:c>
      <x:c r="H7" s="2" t="n">
        <x:f>COUNTIFS('日経_C00'!$J$7:$J$31,"&gt;0")</x:f>
        <x:v>16</x:v>
      </x:c>
      <x:c r="I7" s="2" t="n">
        <x:f>COUNTIFS('日経_C00'!$J$7:$J$31,"&lt;0")</x:f>
        <x:v>9</x:v>
      </x:c>
      <x:c r="J7" s="19" t="n">
        <x:f>MAX(0,-MIN('日経_C00'!$J$7:$J$31))</x:f>
        <x:v>53000</x:v>
      </x:c>
      <x:c r="K7" s="19" t="n">
        <x:f>D7-MAX(0,LARGE('日経_C00'!$J$7:$J$31,1))-MAX(0,LARGE('日経_C00'!$J$7:$J$31,2))-MAX(0,LARGE('日経_C00'!$J$7:$J$31,3))</x:f>
        <x:v>430000</x:v>
      </x:c>
      <x:c r="L7" s="2" t="n">
        <x:f>'日経_C00'!M32</x:f>
        <x:v>16</x:v>
      </x:c>
      <x:c r="M7" s="2" t="n">
        <x:f>COUNT('日経_C00'!$R$7:$R$31)</x:f>
        <x:v>6</x:v>
      </x:c>
      <x:c r="N7" s="27" t="n">
        <x:f>'日経_C00'!P32</x:f>
        <x:v>0.06548359788359788</x:v>
      </x:c>
      <x:c r="O7" s="29" t="n">
        <x:f>'日経_C00'!Q32</x:f>
        <x:v>0.09193015873015874</x:v>
      </x:c>
      <x:c r="P7" s="2" t="n">
        <x:f>'日経_C00'!L32</x:f>
        <x:v>150</x:v>
      </x:c>
      <x:c r="Q7" s="19" t="n">
        <x:f>B7-$B$10</x:f>
        <x:v>271000</x:v>
      </x:c>
    </x:row>
    <x:row r="8" ht="23" customHeight="1">
      <x:c r="A8" s="2" t="str">
        <x:v>S04</x:v>
      </x:c>
      <x:c r="B8" s="19" t="n">
        <x:f>'日経_S04'!D32</x:f>
        <x:v>-2000</x:v>
      </x:c>
      <x:c r="C8" s="19" t="n">
        <x:f>'日経_S04'!G32</x:f>
        <x:v>1143000</x:v>
      </x:c>
      <x:c r="D8" s="19" t="n">
        <x:f>'日経_S04'!J32</x:f>
        <x:v>1141000</x:v>
      </x:c>
      <x:c r="E8" s="19" t="n">
        <x:f>'日経_S04'!H32</x:f>
        <x:v>2160000</x:v>
      </x:c>
      <x:c r="F8" s="19" t="n">
        <x:f>'日経_S04'!I32</x:f>
        <x:v>1019000</x:v>
      </x:c>
      <x:c r="G8" s="29" t="n">
        <x:f>IF(F8=0,"損失なし",E8/F8)</x:f>
        <x:v>2.1197252208047104</x:v>
      </x:c>
      <x:c r="H8" s="2" t="n">
        <x:f>COUNTIFS('日経_S04'!$J$7:$J$31,"&gt;0")</x:f>
        <x:v>16</x:v>
      </x:c>
      <x:c r="I8" s="2" t="n">
        <x:f>COUNTIFS('日経_S04'!$J$7:$J$31,"&lt;0")</x:f>
        <x:v>9</x:v>
      </x:c>
      <x:c r="J8" s="19" t="n">
        <x:f>MAX(0,-MIN('日経_S04'!$J$7:$J$31))</x:f>
        <x:v>53000</x:v>
      </x:c>
      <x:c r="K8" s="19" t="n">
        <x:f>D8-MAX(0,LARGE('日経_S04'!$J$7:$J$31,1))-MAX(0,LARGE('日経_S04'!$J$7:$J$31,2))-MAX(0,LARGE('日経_S04'!$J$7:$J$31,3))</x:f>
        <x:v>418000</x:v>
      </x:c>
      <x:c r="L8" s="2" t="n">
        <x:f>'日経_S04'!M32</x:f>
        <x:v>16</x:v>
      </x:c>
      <x:c r="M8" s="2" t="n">
        <x:f>COUNT('日経_S04'!$R$7:$R$31)</x:f>
        <x:v>6</x:v>
      </x:c>
      <x:c r="N8" s="27" t="n">
        <x:f>'日経_S04'!P32</x:f>
        <x:v>0.06548359788359788</x:v>
      </x:c>
      <x:c r="O8" s="29" t="n">
        <x:f>'日経_S04'!Q32</x:f>
        <x:v>0.09193015873015874</x:v>
      </x:c>
      <x:c r="P8" s="2" t="n">
        <x:f>'日経_S04'!L32</x:f>
        <x:v>150</x:v>
      </x:c>
      <x:c r="Q8" s="19" t="n">
        <x:f>B8-$B$10</x:f>
        <x:v>271000</x:v>
      </x:c>
    </x:row>
    <x:row r="9" ht="23" customHeight="1">
      <x:c r="A9" s="2" t="str">
        <x:v>S02</x:v>
      </x:c>
      <x:c r="B9" s="19" t="n">
        <x:f>'日経_S02'!D32</x:f>
        <x:v>-434000</x:v>
      </x:c>
      <x:c r="C9" s="19" t="n">
        <x:f>'日経_S02'!G32</x:f>
        <x:v>1143000</x:v>
      </x:c>
      <x:c r="D9" s="19" t="n">
        <x:f>'日経_S02'!J32</x:f>
        <x:v>709000</x:v>
      </x:c>
      <x:c r="E9" s="19" t="n">
        <x:f>'日経_S02'!H32</x:f>
        <x:v>2583000</x:v>
      </x:c>
      <x:c r="F9" s="19" t="n">
        <x:f>'日経_S02'!I32</x:f>
        <x:v>1874000</x:v>
      </x:c>
      <x:c r="G9" s="29" t="n">
        <x:f>IF(F9=0,"損失なし",E9/F9)</x:f>
        <x:v>1.378335112059765</x:v>
      </x:c>
      <x:c r="H9" s="2" t="n">
        <x:f>COUNTIFS('日経_S02'!$J$7:$J$31,"&gt;0")</x:f>
        <x:v>15</x:v>
      </x:c>
      <x:c r="I9" s="2" t="n">
        <x:f>COUNTIFS('日経_S02'!$J$7:$J$31,"&lt;0")</x:f>
        <x:v>10</x:v>
      </x:c>
      <x:c r="J9" s="19" t="n">
        <x:f>MAX(0,-MIN('日経_S02'!$J$7:$J$31))</x:f>
        <x:v>106000</x:v>
      </x:c>
      <x:c r="K9" s="19" t="n">
        <x:f>D9-MAX(0,LARGE('日経_S02'!$J$7:$J$31,1))-MAX(0,LARGE('日経_S02'!$J$7:$J$31,2))-MAX(0,LARGE('日経_S02'!$J$7:$J$31,3))</x:f>
        <x:v>75000</x:v>
      </x:c>
      <x:c r="L9" s="2" t="n">
        <x:f>'日経_S02'!M32</x:f>
        <x:v>50</x:v>
      </x:c>
      <x:c r="M9" s="2" t="n">
        <x:f>COUNT('日経_S02'!$R$7:$R$31)</x:f>
        <x:v>25</x:v>
      </x:c>
      <x:c r="N9" s="27" t="n">
        <x:f>'日経_S02'!P32</x:f>
        <x:v>0.2974306878306879</x:v>
      </x:c>
      <x:c r="O9" s="29" t="n">
        <x:f>'日経_S02'!Q32</x:f>
        <x:v>0.7355576719576721</x:v>
      </x:c>
      <x:c r="P9" s="2" t="n">
        <x:f>'日経_S02'!L32</x:f>
        <x:v>184</x:v>
      </x:c>
      <x:c r="Q9" s="19" t="n">
        <x:f>B9-$B$10</x:f>
        <x:v>-161000</x:v>
      </x:c>
    </x:row>
    <x:row r="10" ht="23" customHeight="1">
      <x:c r="A10" s="2" t="str">
        <x:v>A00</x:v>
      </x:c>
      <x:c r="B10" s="19" t="n">
        <x:f>'日経_A00'!D32</x:f>
        <x:v>-273000</x:v>
      </x:c>
      <x:c r="C10" s="19" t="n">
        <x:f>'日経_A00'!G32</x:f>
        <x:v>1143000</x:v>
      </x:c>
      <x:c r="D10" s="19" t="n">
        <x:f>'日経_A00'!J32</x:f>
        <x:v>870000</x:v>
      </x:c>
      <x:c r="E10" s="19" t="n">
        <x:f>'日経_A00'!H32</x:f>
        <x:v>2194000</x:v>
      </x:c>
      <x:c r="F10" s="19" t="n">
        <x:f>'日経_A00'!I32</x:f>
        <x:v>1324000</x:v>
      </x:c>
      <x:c r="G10" s="29" t="n">
        <x:f>IF(F10=0,"損失なし",E10/F10)</x:f>
        <x:v>1.6570996978851964</x:v>
      </x:c>
      <x:c r="H10" s="2" t="n">
        <x:f>COUNTIFS('日経_A00'!$J$7:$J$31,"&gt;0")</x:f>
        <x:v>13</x:v>
      </x:c>
      <x:c r="I10" s="2" t="n">
        <x:f>COUNTIFS('日経_A00'!$J$7:$J$31,"&lt;0")</x:f>
        <x:v>12</x:v>
      </x:c>
      <x:c r="J10" s="19" t="n">
        <x:f>MAX(0,-MIN('日経_A00'!$J$7:$J$31))</x:f>
        <x:v>98000</x:v>
      </x:c>
      <x:c r="K10" s="19" t="n">
        <x:f>D10-MAX(0,LARGE('日経_A00'!$J$7:$J$31,1))-MAX(0,LARGE('日経_A00'!$J$7:$J$31,2))-MAX(0,LARGE('日経_A00'!$J$7:$J$31,3))</x:f>
        <x:v>227000</x:v>
      </x:c>
      <x:c r="L10" s="2" t="n">
        <x:f>'日経_A00'!M32</x:f>
        <x:v>25</x:v>
      </x:c>
      <x:c r="M10" s="2" t="n">
        <x:f>COUNT('日経_A00'!$R$7:$R$31)</x:f>
        <x:v>13</x:v>
      </x:c>
      <x:c r="N10" s="27" t="n">
        <x:f>'日経_A00'!P32</x:f>
        <x:v>0.08733968253968254</x:v>
      </x:c>
      <x:c r="O10" s="29" t="n">
        <x:f>'日経_A00'!Q32</x:f>
        <x:v>0.20148994708994705</x:v>
      </x:c>
      <x:c r="P10" s="2" t="n">
        <x:f>'日経_A00'!L32</x:f>
        <x:v>159</x:v>
      </x:c>
      <x:c r="Q10" s="19" t="n">
        <x:f>B10-$B$10</x:f>
        <x:v>0</x:v>
      </x:c>
    </x:row>
    <x:row r="11" ht="23" customHeight="1">
      <x:c r="A11" s="2" t="str">
        <x:v>A01</x:v>
      </x:c>
      <x:c r="B11" s="19" t="n">
        <x:f>'日経_A01'!D32</x:f>
        <x:v>-102000</x:v>
      </x:c>
      <x:c r="C11" s="19" t="n">
        <x:f>'日経_A01'!G32</x:f>
        <x:v>1143000</x:v>
      </x:c>
      <x:c r="D11" s="19" t="n">
        <x:f>'日経_A01'!J32</x:f>
        <x:v>1041000</x:v>
      </x:c>
      <x:c r="E11" s="19" t="n">
        <x:f>'日経_A01'!H32</x:f>
        <x:v>2340000</x:v>
      </x:c>
      <x:c r="F11" s="19" t="n">
        <x:f>'日経_A01'!I32</x:f>
        <x:v>1299000</x:v>
      </x:c>
      <x:c r="G11" s="29" t="n">
        <x:f>IF(F11=0,"損失なし",E11/F11)</x:f>
        <x:v>1.8013856812933025</x:v>
      </x:c>
      <x:c r="H11" s="2" t="n">
        <x:f>COUNTIFS('日経_A01'!$J$7:$J$31,"&gt;0")</x:f>
        <x:v>15</x:v>
      </x:c>
      <x:c r="I11" s="2" t="n">
        <x:f>COUNTIFS('日経_A01'!$J$7:$J$31,"&lt;0")</x:f>
        <x:v>9</x:v>
      </x:c>
      <x:c r="J11" s="19" t="n">
        <x:f>MAX(0,-MIN('日経_A01'!$J$7:$J$31))</x:f>
        <x:v>143000</x:v>
      </x:c>
      <x:c r="K11" s="19" t="n">
        <x:f>D11-MAX(0,LARGE('日経_A01'!$J$7:$J$31,1))-MAX(0,LARGE('日経_A01'!$J$7:$J$31,2))-MAX(0,LARGE('日経_A01'!$J$7:$J$31,3))</x:f>
        <x:v>338000</x:v>
      </x:c>
      <x:c r="L11" s="2" t="n">
        <x:f>'日経_A01'!M32</x:f>
        <x:v>29</x:v>
      </x:c>
      <x:c r="M11" s="2" t="n">
        <x:f>COUNT('日経_A01'!$R$7:$R$31)</x:f>
        <x:v>14</x:v>
      </x:c>
      <x:c r="N11" s="27" t="n">
        <x:f>'日経_A01'!P32</x:f>
        <x:v>0.12908359788359786</x:v>
      </x:c>
      <x:c r="O11" s="29" t="n">
        <x:f>'日経_A01'!Q32</x:f>
        <x:v>0.3555195767195767</x:v>
      </x:c>
      <x:c r="P11" s="2" t="n">
        <x:f>'日経_A01'!L32</x:f>
        <x:v>163</x:v>
      </x:c>
      <x:c r="Q11" s="19" t="n">
        <x:f>B11-$B$10</x:f>
        <x:v>171000</x:v>
      </x:c>
    </x:row>
    <x:row r="12" ht="23" customHeight="1">
      <x:c r="A12" s="2" t="str">
        <x:v>A02</x:v>
      </x:c>
      <x:c r="B12" s="19" t="n">
        <x:f>'日経_A02'!D32</x:f>
        <x:v>-273000</x:v>
      </x:c>
      <x:c r="C12" s="19" t="n">
        <x:f>'日経_A02'!G32</x:f>
        <x:v>1143000</x:v>
      </x:c>
      <x:c r="D12" s="19" t="n">
        <x:f>'日経_A02'!J32</x:f>
        <x:v>870000</x:v>
      </x:c>
      <x:c r="E12" s="19" t="n">
        <x:f>'日経_A02'!H32</x:f>
        <x:v>2194000</x:v>
      </x:c>
      <x:c r="F12" s="19" t="n">
        <x:f>'日経_A02'!I32</x:f>
        <x:v>1324000</x:v>
      </x:c>
      <x:c r="G12" s="29" t="n">
        <x:f>IF(F12=0,"損失なし",E12/F12)</x:f>
        <x:v>1.6570996978851964</x:v>
      </x:c>
      <x:c r="H12" s="2" t="n">
        <x:f>COUNTIFS('日経_A02'!$J$7:$J$31,"&gt;0")</x:f>
        <x:v>13</x:v>
      </x:c>
      <x:c r="I12" s="2" t="n">
        <x:f>COUNTIFS('日経_A02'!$J$7:$J$31,"&lt;0")</x:f>
        <x:v>12</x:v>
      </x:c>
      <x:c r="J12" s="19" t="n">
        <x:f>MAX(0,-MIN('日経_A02'!$J$7:$J$31))</x:f>
        <x:v>98000</x:v>
      </x:c>
      <x:c r="K12" s="19" t="n">
        <x:f>D12-MAX(0,LARGE('日経_A02'!$J$7:$J$31,1))-MAX(0,LARGE('日経_A02'!$J$7:$J$31,2))-MAX(0,LARGE('日経_A02'!$J$7:$J$31,3))</x:f>
        <x:v>227000</x:v>
      </x:c>
      <x:c r="L12" s="2" t="n">
        <x:f>'日経_A02'!M32</x:f>
        <x:v>25</x:v>
      </x:c>
      <x:c r="M12" s="2" t="n">
        <x:f>COUNT('日経_A02'!$R$7:$R$31)</x:f>
        <x:v>13</x:v>
      </x:c>
      <x:c r="N12" s="27" t="n">
        <x:f>'日経_A02'!P32</x:f>
        <x:v>0.08733968253968254</x:v>
      </x:c>
      <x:c r="O12" s="29" t="n">
        <x:f>'日経_A02'!Q32</x:f>
        <x:v>0.20148994708994705</x:v>
      </x:c>
      <x:c r="P12" s="2" t="n">
        <x:f>'日経_A02'!L32</x:f>
        <x:v>159</x:v>
      </x:c>
      <x:c r="Q12" s="19" t="n">
        <x:f>B12-$B$10</x:f>
        <x:v>0</x:v>
      </x:c>
    </x:row>
    <x:row r="13" ht="23" customHeight="1">
      <x:c r="A13" s="2" t="str">
        <x:v>A03</x:v>
      </x:c>
      <x:c r="B13" s="19" t="n">
        <x:f>'日経_A03'!D32</x:f>
        <x:v>-330000</x:v>
      </x:c>
      <x:c r="C13" s="19" t="n">
        <x:f>'日経_A03'!G32</x:f>
        <x:v>1143000</x:v>
      </x:c>
      <x:c r="D13" s="19" t="n">
        <x:f>'日経_A03'!J32</x:f>
        <x:v>813000</x:v>
      </x:c>
      <x:c r="E13" s="19" t="n">
        <x:f>'日経_A03'!H32</x:f>
        <x:v>2355000</x:v>
      </x:c>
      <x:c r="F13" s="19" t="n">
        <x:f>'日経_A03'!I32</x:f>
        <x:v>1542000</x:v>
      </x:c>
      <x:c r="G13" s="29" t="n">
        <x:f>IF(F13=0,"損失なし",E13/F13)</x:f>
        <x:v>1.527237354085603</x:v>
      </x:c>
      <x:c r="H13" s="2" t="n">
        <x:f>COUNTIFS('日経_A03'!$J$7:$J$31,"&gt;0")</x:f>
        <x:v>14</x:v>
      </x:c>
      <x:c r="I13" s="2" t="n">
        <x:f>COUNTIFS('日経_A03'!$J$7:$J$31,"&lt;0")</x:f>
        <x:v>11</x:v>
      </x:c>
      <x:c r="J13" s="19" t="n">
        <x:f>MAX(0,-MIN('日経_A03'!$J$7:$J$31))</x:f>
        <x:v>98000</x:v>
      </x:c>
      <x:c r="K13" s="19" t="n">
        <x:f>D13-MAX(0,LARGE('日経_A03'!$J$7:$J$31,1))-MAX(0,LARGE('日経_A03'!$J$7:$J$31,2))-MAX(0,LARGE('日経_A03'!$J$7:$J$31,3))</x:f>
        <x:v>225000</x:v>
      </x:c>
      <x:c r="L13" s="2" t="n">
        <x:f>'日経_A03'!M32</x:f>
        <x:v>36</x:v>
      </x:c>
      <x:c r="M13" s="2" t="n">
        <x:f>COUNT('日経_A03'!$R$7:$R$31)</x:f>
        <x:v>16</x:v>
      </x:c>
      <x:c r="N13" s="27" t="n">
        <x:f>'日経_A03'!P32</x:f>
        <x:v>0.12350687830687831</x:v>
      </x:c>
      <x:c r="O13" s="29" t="n">
        <x:f>'日経_A03'!Q32</x:f>
        <x:v>0.35055026455026456</x:v>
      </x:c>
      <x:c r="P13" s="2" t="n">
        <x:f>'日経_A03'!L32</x:f>
        <x:v>170</x:v>
      </x:c>
      <x:c r="Q13" s="19" t="n">
        <x:f>B13-$B$10</x:f>
        <x:v>-57000</x:v>
      </x:c>
    </x:row>
    <x:row r="14" ht="23" customHeight="1">
      <x:c r="A14" s="2" t="str">
        <x:v>A04</x:v>
      </x:c>
      <x:c r="B14" s="19" t="n">
        <x:f>'日経_A04'!D32</x:f>
        <x:v>-208000</x:v>
      </x:c>
      <x:c r="C14" s="19" t="n">
        <x:f>'日経_A04'!G32</x:f>
        <x:v>1143000</x:v>
      </x:c>
      <x:c r="D14" s="19" t="n">
        <x:f>'日経_A04'!J32</x:f>
        <x:v>935000</x:v>
      </x:c>
      <x:c r="E14" s="19" t="n">
        <x:f>'日経_A04'!H32</x:f>
        <x:v>2289000</x:v>
      </x:c>
      <x:c r="F14" s="19" t="n">
        <x:f>'日経_A04'!I32</x:f>
        <x:v>1354000</x:v>
      </x:c>
      <x:c r="G14" s="29" t="n">
        <x:f>IF(F14=0,"損失なし",E14/F14)</x:f>
        <x:v>1.690546528803545</x:v>
      </x:c>
      <x:c r="H14" s="2" t="n">
        <x:f>COUNTIFS('日経_A04'!$J$7:$J$31,"&gt;0")</x:f>
        <x:v>15</x:v>
      </x:c>
      <x:c r="I14" s="2" t="n">
        <x:f>COUNTIFS('日経_A04'!$J$7:$J$31,"&lt;0")</x:f>
        <x:v>10</x:v>
      </x:c>
      <x:c r="J14" s="19" t="n">
        <x:f>MAX(0,-MIN('日経_A04'!$J$7:$J$31))</x:f>
        <x:v>98000</x:v>
      </x:c>
      <x:c r="K14" s="19" t="n">
        <x:f>D14-MAX(0,LARGE('日経_A04'!$J$7:$J$31,1))-MAX(0,LARGE('日経_A04'!$J$7:$J$31,2))-MAX(0,LARGE('日経_A04'!$J$7:$J$31,3))</x:f>
        <x:v>292000</x:v>
      </x:c>
      <x:c r="L14" s="2" t="n">
        <x:f>'日経_A04'!M32</x:f>
        <x:v>30</x:v>
      </x:c>
      <x:c r="M14" s="2" t="n">
        <x:f>COUNT('日経_A04'!$R$7:$R$31)</x:f>
        <x:v>16</x:v>
      </x:c>
      <x:c r="N14" s="27" t="n">
        <x:f>'日経_A04'!P32</x:f>
        <x:v>0.1018941798941799</x:v>
      </x:c>
      <x:c r="O14" s="29" t="n">
        <x:f>'日経_A04'!Q32</x:f>
        <x:v>0.25939047619047617</x:v>
      </x:c>
      <x:c r="P14" s="2" t="n">
        <x:f>'日経_A04'!L32</x:f>
        <x:v>164</x:v>
      </x:c>
      <x:c r="Q14" s="19" t="n">
        <x:f>B14-$B$10</x:f>
        <x:v>65000</x:v>
      </x:c>
    </x:row>
    <x:row r="15" ht="23" customHeight="1">
      <x:c r="A15" s="2" t="str">
        <x:v>A05</x:v>
      </x:c>
      <x:c r="B15" s="19" t="n">
        <x:f>'日経_A05'!D32</x:f>
        <x:v>-233000</x:v>
      </x:c>
      <x:c r="C15" s="19" t="n">
        <x:f>'日経_A05'!G32</x:f>
        <x:v>1143000</x:v>
      </x:c>
      <x:c r="D15" s="19" t="n">
        <x:f>'日経_A05'!J32</x:f>
        <x:v>910000</x:v>
      </x:c>
      <x:c r="E15" s="19" t="n">
        <x:f>'日経_A05'!H32</x:f>
        <x:v>2194000</x:v>
      </x:c>
      <x:c r="F15" s="19" t="n">
        <x:f>'日経_A05'!I32</x:f>
        <x:v>1284000</x:v>
      </x:c>
      <x:c r="G15" s="29" t="n">
        <x:f>IF(F15=0,"損失なし",E15/F15)</x:f>
        <x:v>1.7087227414330217</x:v>
      </x:c>
      <x:c r="H15" s="2" t="n">
        <x:f>COUNTIFS('日経_A05'!$J$7:$J$31,"&gt;0")</x:f>
        <x:v>13</x:v>
      </x:c>
      <x:c r="I15" s="2" t="n">
        <x:f>COUNTIFS('日経_A05'!$J$7:$J$31,"&lt;0")</x:f>
        <x:v>12</x:v>
      </x:c>
      <x:c r="J15" s="19" t="n">
        <x:f>MAX(0,-MIN('日経_A05'!$J$7:$J$31))</x:f>
        <x:v>93000</x:v>
      </x:c>
      <x:c r="K15" s="19" t="n">
        <x:f>D15-MAX(0,LARGE('日経_A05'!$J$7:$J$31,1))-MAX(0,LARGE('日経_A05'!$J$7:$J$31,2))-MAX(0,LARGE('日経_A05'!$J$7:$J$31,3))</x:f>
        <x:v>232000</x:v>
      </x:c>
      <x:c r="L15" s="2" t="n">
        <x:f>'日経_A05'!M32</x:f>
        <x:v>24</x:v>
      </x:c>
      <x:c r="M15" s="2" t="n">
        <x:f>COUNT('日経_A05'!$R$7:$R$31)</x:f>
        <x:v>12</x:v>
      </x:c>
      <x:c r="N15" s="27" t="n">
        <x:f>'日経_A05'!P32</x:f>
        <x:v>0.08614603174603175</x:v>
      </x:c>
      <x:c r="O15" s="29" t="n">
        <x:f>'日経_A05'!Q32</x:f>
        <x:v>0.1955216931216931</x:v>
      </x:c>
      <x:c r="P15" s="2" t="n">
        <x:f>'日経_A05'!L32</x:f>
        <x:v>158</x:v>
      </x:c>
      <x:c r="Q15" s="19" t="n">
        <x:f>B15-$B$10</x:f>
        <x:v>40000</x:v>
      </x:c>
    </x:row>
    <x:row r="16" ht="23" customHeight="1">
      <x:c r="A16" s="2" t="str">
        <x:v>A06</x:v>
      </x:c>
      <x:c r="B16" s="19" t="n">
        <x:f>'日経_A06'!D32</x:f>
        <x:v>-332000</x:v>
      </x:c>
      <x:c r="C16" s="19" t="n">
        <x:f>'日経_A06'!G32</x:f>
        <x:v>1143000</x:v>
      </x:c>
      <x:c r="D16" s="19" t="n">
        <x:f>'日経_A06'!J32</x:f>
        <x:v>811000</x:v>
      </x:c>
      <x:c r="E16" s="19" t="n">
        <x:f>'日経_A06'!H32</x:f>
        <x:v>2194000</x:v>
      </x:c>
      <x:c r="F16" s="19" t="n">
        <x:f>'日経_A06'!I32</x:f>
        <x:v>1383000</x:v>
      </x:c>
      <x:c r="G16" s="29" t="n">
        <x:f>IF(F16=0,"損失なし",E16/F16)</x:f>
        <x:v>1.586406362979031</x:v>
      </x:c>
      <x:c r="H16" s="2" t="n">
        <x:f>COUNTIFS('日経_A06'!$J$7:$J$31,"&gt;0")</x:f>
        <x:v>13</x:v>
      </x:c>
      <x:c r="I16" s="2" t="n">
        <x:f>COUNTIFS('日経_A06'!$J$7:$J$31,"&lt;0")</x:f>
        <x:v>12</x:v>
      </x:c>
      <x:c r="J16" s="19" t="n">
        <x:f>MAX(0,-MIN('日経_A06'!$J$7:$J$31))</x:f>
        <x:v>98000</x:v>
      </x:c>
      <x:c r="K16" s="19" t="n">
        <x:f>D16-MAX(0,LARGE('日経_A06'!$J$7:$J$31,1))-MAX(0,LARGE('日経_A06'!$J$7:$J$31,2))-MAX(0,LARGE('日経_A06'!$J$7:$J$31,3))</x:f>
        <x:v>192000</x:v>
      </x:c>
      <x:c r="L16" s="2" t="n">
        <x:f>'日経_A06'!M32</x:f>
        <x:v>28</x:v>
      </x:c>
      <x:c r="M16" s="2" t="n">
        <x:f>COUNT('日経_A06'!$R$7:$R$31)</x:f>
        <x:v>14</x:v>
      </x:c>
      <x:c r="N16" s="27" t="n">
        <x:f>'日経_A06'!P32</x:f>
        <x:v>0.0912042328042328</x:v>
      </x:c>
      <x:c r="O16" s="29" t="n">
        <x:f>'日経_A06'!Q32</x:f>
        <x:v>0.21664126984126983</x:v>
      </x:c>
      <x:c r="P16" s="2" t="n">
        <x:f>'日経_A06'!L32</x:f>
        <x:v>162</x:v>
      </x:c>
      <x:c r="Q16" s="19" t="n">
        <x:f>B16-$B$10</x:f>
        <x:v>-59000</x:v>
      </x:c>
    </x:row>
    <x:row r="17" ht="23" customHeight="1">
      <x:c r="A17" s="2" t="str">
        <x:v>A07</x:v>
      </x:c>
      <x:c r="B17" s="19" t="n">
        <x:f>'日経_A07'!D32</x:f>
        <x:v>-366000</x:v>
      </x:c>
      <x:c r="C17" s="19" t="n">
        <x:f>'日経_A07'!G32</x:f>
        <x:v>1143000</x:v>
      </x:c>
      <x:c r="D17" s="19" t="n">
        <x:f>'日経_A07'!J32</x:f>
        <x:v>777000</x:v>
      </x:c>
      <x:c r="E17" s="19" t="n">
        <x:f>'日経_A07'!H32</x:f>
        <x:v>2239000</x:v>
      </x:c>
      <x:c r="F17" s="19" t="n">
        <x:f>'日経_A07'!I32</x:f>
        <x:v>1462000</x:v>
      </x:c>
      <x:c r="G17" s="29" t="n">
        <x:f>IF(F17=0,"損失なし",E17/F17)</x:f>
        <x:v>1.5314637482900137</x:v>
      </x:c>
      <x:c r="H17" s="2" t="n">
        <x:f>COUNTIFS('日経_A07'!$J$7:$J$31,"&gt;0")</x:f>
        <x:v>13</x:v>
      </x:c>
      <x:c r="I17" s="2" t="n">
        <x:f>COUNTIFS('日経_A07'!$J$7:$J$31,"&lt;0")</x:f>
        <x:v>12</x:v>
      </x:c>
      <x:c r="J17" s="19" t="n">
        <x:f>MAX(0,-MIN('日経_A07'!$J$7:$J$31))</x:f>
        <x:v>98000</x:v>
      </x:c>
      <x:c r="K17" s="19" t="n">
        <x:f>D17-MAX(0,LARGE('日経_A07'!$J$7:$J$31,1))-MAX(0,LARGE('日経_A07'!$J$7:$J$31,2))-MAX(0,LARGE('日経_A07'!$J$7:$J$31,3))</x:f>
        <x:v>244000</x:v>
      </x:c>
      <x:c r="L17" s="2" t="n">
        <x:f>'日経_A07'!M32</x:f>
        <x:v>36</x:v>
      </x:c>
      <x:c r="M17" s="2" t="n">
        <x:f>COUNT('日経_A07'!$R$7:$R$31)</x:f>
        <x:v>14</x:v>
      </x:c>
      <x:c r="N17" s="27" t="n">
        <x:f>'日経_A07'!P32</x:f>
        <x:v>0.09814603174603174</x:v>
      </x:c>
      <x:c r="O17" s="29" t="n">
        <x:f>'日経_A07'!Q32</x:f>
        <x:v>0.23871111111111112</x:v>
      </x:c>
      <x:c r="P17" s="2" t="n">
        <x:f>'日経_A07'!L32</x:f>
        <x:v>170</x:v>
      </x:c>
      <x:c r="Q17" s="19" t="n">
        <x:f>B17-$B$10</x:f>
        <x:v>-93000</x:v>
      </x:c>
    </x:row>
    <x:row r="18" ht="23" customHeight="1">
      <x:c r="A18" s="2" t="str">
        <x:v>A08</x:v>
      </x:c>
      <x:c r="B18" s="19" t="n">
        <x:f>'日経_A08'!D32</x:f>
        <x:v>-273000</x:v>
      </x:c>
      <x:c r="C18" s="19" t="n">
        <x:f>'日経_A08'!G32</x:f>
        <x:v>1143000</x:v>
      </x:c>
      <x:c r="D18" s="19" t="n">
        <x:f>'日経_A08'!J32</x:f>
        <x:v>870000</x:v>
      </x:c>
      <x:c r="E18" s="19" t="n">
        <x:f>'日経_A08'!H32</x:f>
        <x:v>2194000</x:v>
      </x:c>
      <x:c r="F18" s="19" t="n">
        <x:f>'日経_A08'!I32</x:f>
        <x:v>1324000</x:v>
      </x:c>
      <x:c r="G18" s="29" t="n">
        <x:f>IF(F18=0,"損失なし",E18/F18)</x:f>
        <x:v>1.6570996978851964</x:v>
      </x:c>
      <x:c r="H18" s="2" t="n">
        <x:f>COUNTIFS('日経_A08'!$J$7:$J$31,"&gt;0")</x:f>
        <x:v>13</x:v>
      </x:c>
      <x:c r="I18" s="2" t="n">
        <x:f>COUNTIFS('日経_A08'!$J$7:$J$31,"&lt;0")</x:f>
        <x:v>12</x:v>
      </x:c>
      <x:c r="J18" s="19" t="n">
        <x:f>MAX(0,-MIN('日経_A08'!$J$7:$J$31))</x:f>
        <x:v>98000</x:v>
      </x:c>
      <x:c r="K18" s="19" t="n">
        <x:f>D18-MAX(0,LARGE('日経_A08'!$J$7:$J$31,1))-MAX(0,LARGE('日経_A08'!$J$7:$J$31,2))-MAX(0,LARGE('日経_A08'!$J$7:$J$31,3))</x:f>
        <x:v>227000</x:v>
      </x:c>
      <x:c r="L18" s="2" t="n">
        <x:f>'日経_A08'!M32</x:f>
        <x:v>25</x:v>
      </x:c>
      <x:c r="M18" s="2" t="n">
        <x:f>COUNT('日経_A08'!$R$7:$R$31)</x:f>
        <x:v>13</x:v>
      </x:c>
      <x:c r="N18" s="27" t="n">
        <x:f>'日経_A08'!P32</x:f>
        <x:v>0.08733968253968254</x:v>
      </x:c>
      <x:c r="O18" s="29" t="n">
        <x:f>'日経_A08'!Q32</x:f>
        <x:v>0.20148994708994705</x:v>
      </x:c>
      <x:c r="P18" s="2" t="n">
        <x:f>'日経_A08'!L32</x:f>
        <x:v>159</x:v>
      </x:c>
      <x:c r="Q18" s="19" t="n">
        <x:f>B18-$B$10</x:f>
        <x:v>0</x:v>
      </x:c>
    </x:row>
    <x:row r="19" ht="23" customHeight="1">
      <x:c r="A19" s="2" t="str">
        <x:v>A09</x:v>
      </x:c>
      <x:c r="B19" s="19" t="n">
        <x:f>'日経_A09'!D32</x:f>
        <x:v>-273000</x:v>
      </x:c>
      <x:c r="C19" s="19" t="n">
        <x:f>'日経_A09'!G32</x:f>
        <x:v>1143000</x:v>
      </x:c>
      <x:c r="D19" s="19" t="n">
        <x:f>'日経_A09'!J32</x:f>
        <x:v>870000</x:v>
      </x:c>
      <x:c r="E19" s="19" t="n">
        <x:f>'日経_A09'!H32</x:f>
        <x:v>2194000</x:v>
      </x:c>
      <x:c r="F19" s="19" t="n">
        <x:f>'日経_A09'!I32</x:f>
        <x:v>1324000</x:v>
      </x:c>
      <x:c r="G19" s="29" t="n">
        <x:f>IF(F19=0,"損失なし",E19/F19)</x:f>
        <x:v>1.6570996978851964</x:v>
      </x:c>
      <x:c r="H19" s="2" t="n">
        <x:f>COUNTIFS('日経_A09'!$J$7:$J$31,"&gt;0")</x:f>
        <x:v>13</x:v>
      </x:c>
      <x:c r="I19" s="2" t="n">
        <x:f>COUNTIFS('日経_A09'!$J$7:$J$31,"&lt;0")</x:f>
        <x:v>12</x:v>
      </x:c>
      <x:c r="J19" s="19" t="n">
        <x:f>MAX(0,-MIN('日経_A09'!$J$7:$J$31))</x:f>
        <x:v>98000</x:v>
      </x:c>
      <x:c r="K19" s="19" t="n">
        <x:f>D19-MAX(0,LARGE('日経_A09'!$J$7:$J$31,1))-MAX(0,LARGE('日経_A09'!$J$7:$J$31,2))-MAX(0,LARGE('日経_A09'!$J$7:$J$31,3))</x:f>
        <x:v>227000</x:v>
      </x:c>
      <x:c r="L19" s="2" t="n">
        <x:f>'日経_A09'!M32</x:f>
        <x:v>25</x:v>
      </x:c>
      <x:c r="M19" s="2" t="n">
        <x:f>COUNT('日経_A09'!$R$7:$R$31)</x:f>
        <x:v>13</x:v>
      </x:c>
      <x:c r="N19" s="27" t="n">
        <x:f>'日経_A09'!P32</x:f>
        <x:v>0.08733968253968254</x:v>
      </x:c>
      <x:c r="O19" s="29" t="n">
        <x:f>'日経_A09'!Q32</x:f>
        <x:v>0.20148994708994705</x:v>
      </x:c>
      <x:c r="P19" s="2" t="n">
        <x:f>'日経_A09'!L32</x:f>
        <x:v>159</x:v>
      </x:c>
      <x:c r="Q19" s="19" t="n">
        <x:f>B19-$B$10</x:f>
        <x:v>0</x:v>
      </x:c>
    </x:row>
    <x:row r="20" ht="23" customHeight="1">
      <x:c r="A20" s="2" t="str">
        <x:v>A10</x:v>
      </x:c>
      <x:c r="B20" s="19" t="n">
        <x:f>'日経_A10'!D32</x:f>
        <x:v>-282000</x:v>
      </x:c>
      <x:c r="C20" s="19" t="n">
        <x:f>'日経_A10'!G32</x:f>
        <x:v>1143000</x:v>
      </x:c>
      <x:c r="D20" s="19" t="n">
        <x:f>'日経_A10'!J32</x:f>
        <x:v>861000</x:v>
      </x:c>
      <x:c r="E20" s="19" t="n">
        <x:f>'日経_A10'!H32</x:f>
        <x:v>2232000</x:v>
      </x:c>
      <x:c r="F20" s="19" t="n">
        <x:f>'日経_A10'!I32</x:f>
        <x:v>1371000</x:v>
      </x:c>
      <x:c r="G20" s="29" t="n">
        <x:f>IF(F20=0,"損失なし",E20/F20)</x:f>
        <x:v>1.6280087527352298</x:v>
      </x:c>
      <x:c r="H20" s="2" t="n">
        <x:f>COUNTIFS('日経_A10'!$J$7:$J$31,"&gt;0")</x:f>
        <x:v>13</x:v>
      </x:c>
      <x:c r="I20" s="2" t="n">
        <x:f>COUNTIFS('日経_A10'!$J$7:$J$31,"&lt;0")</x:f>
        <x:v>12</x:v>
      </x:c>
      <x:c r="J20" s="19" t="n">
        <x:f>MAX(0,-MIN('日経_A10'!$J$7:$J$31))</x:f>
        <x:v>98000</x:v>
      </x:c>
      <x:c r="K20" s="19" t="n">
        <x:f>D20-MAX(0,LARGE('日経_A10'!$J$7:$J$31,1))-MAX(0,LARGE('日経_A10'!$J$7:$J$31,2))-MAX(0,LARGE('日経_A10'!$J$7:$J$31,3))</x:f>
        <x:v>207000</x:v>
      </x:c>
      <x:c r="L20" s="2" t="n">
        <x:f>'日経_A10'!M32</x:f>
        <x:v>34</x:v>
      </x:c>
      <x:c r="M20" s="2" t="n">
        <x:f>COUNT('日経_A10'!$R$7:$R$31)</x:f>
        <x:v>14</x:v>
      </x:c>
      <x:c r="N20" s="27" t="n">
        <x:f>'日経_A10'!P32</x:f>
        <x:v>0.09925714285714285</x:v>
      </x:c>
      <x:c r="O20" s="29" t="n">
        <x:f>'日経_A10'!Q32</x:f>
        <x:v>0.2267301587301587</x:v>
      </x:c>
      <x:c r="P20" s="2" t="n">
        <x:f>'日経_A10'!L32</x:f>
        <x:v>168</x:v>
      </x:c>
      <x:c r="Q20" s="19" t="n">
        <x:f>B20-$B$10</x:f>
        <x:v>-9000</x:v>
      </x:c>
    </x:row>
    <x:row r="21" ht="23" customHeight="1">
      <x:c r="A21" s="2" t="str">
        <x:v>A11</x:v>
      </x:c>
      <x:c r="B21" s="19" t="n">
        <x:f>'日経_A11'!D32</x:f>
        <x:v>-273000</x:v>
      </x:c>
      <x:c r="C21" s="19" t="n">
        <x:f>'日経_A11'!G32</x:f>
        <x:v>1143000</x:v>
      </x:c>
      <x:c r="D21" s="19" t="n">
        <x:f>'日経_A11'!J32</x:f>
        <x:v>870000</x:v>
      </x:c>
      <x:c r="E21" s="19" t="n">
        <x:f>'日経_A11'!H32</x:f>
        <x:v>2194000</x:v>
      </x:c>
      <x:c r="F21" s="19" t="n">
        <x:f>'日経_A11'!I32</x:f>
        <x:v>1324000</x:v>
      </x:c>
      <x:c r="G21" s="29" t="n">
        <x:f>IF(F21=0,"損失なし",E21/F21)</x:f>
        <x:v>1.6570996978851964</x:v>
      </x:c>
      <x:c r="H21" s="2" t="n">
        <x:f>COUNTIFS('日経_A11'!$J$7:$J$31,"&gt;0")</x:f>
        <x:v>13</x:v>
      </x:c>
      <x:c r="I21" s="2" t="n">
        <x:f>COUNTIFS('日経_A11'!$J$7:$J$31,"&lt;0")</x:f>
        <x:v>12</x:v>
      </x:c>
      <x:c r="J21" s="19" t="n">
        <x:f>MAX(0,-MIN('日経_A11'!$J$7:$J$31))</x:f>
        <x:v>98000</x:v>
      </x:c>
      <x:c r="K21" s="19" t="n">
        <x:f>D21-MAX(0,LARGE('日経_A11'!$J$7:$J$31,1))-MAX(0,LARGE('日経_A11'!$J$7:$J$31,2))-MAX(0,LARGE('日経_A11'!$J$7:$J$31,3))</x:f>
        <x:v>227000</x:v>
      </x:c>
      <x:c r="L21" s="2" t="n">
        <x:f>'日経_A11'!M32</x:f>
        <x:v>25</x:v>
      </x:c>
      <x:c r="M21" s="2" t="n">
        <x:f>COUNT('日経_A11'!$R$7:$R$31)</x:f>
        <x:v>13</x:v>
      </x:c>
      <x:c r="N21" s="27" t="n">
        <x:f>'日経_A11'!P32</x:f>
        <x:v>0.08735238095238096</x:v>
      </x:c>
      <x:c r="O21" s="29" t="n">
        <x:f>'日経_A11'!Q32</x:f>
        <x:v>0.2015153439153439</x:v>
      </x:c>
      <x:c r="P21" s="2" t="n">
        <x:f>'日経_A11'!L32</x:f>
        <x:v>159</x:v>
      </x:c>
      <x:c r="Q21" s="19" t="n">
        <x:f>B21-$B$10</x:f>
        <x:v>0</x:v>
      </x:c>
    </x:row>
    <x:row r="22" ht="23" customHeight="1">
      <x:c r="A22" s="2" t="str">
        <x:v>A12</x:v>
      </x:c>
      <x:c r="B22" s="19" t="n">
        <x:f>'日経_A12'!D32</x:f>
        <x:v>-273000</x:v>
      </x:c>
      <x:c r="C22" s="19" t="n">
        <x:f>'日経_A12'!G32</x:f>
        <x:v>1143000</x:v>
      </x:c>
      <x:c r="D22" s="19" t="n">
        <x:f>'日経_A12'!J32</x:f>
        <x:v>870000</x:v>
      </x:c>
      <x:c r="E22" s="19" t="n">
        <x:f>'日経_A12'!H32</x:f>
        <x:v>2194000</x:v>
      </x:c>
      <x:c r="F22" s="19" t="n">
        <x:f>'日経_A12'!I32</x:f>
        <x:v>1324000</x:v>
      </x:c>
      <x:c r="G22" s="29" t="n">
        <x:f>IF(F22=0,"損失なし",E22/F22)</x:f>
        <x:v>1.6570996978851964</x:v>
      </x:c>
      <x:c r="H22" s="2" t="n">
        <x:f>COUNTIFS('日経_A12'!$J$7:$J$31,"&gt;0")</x:f>
        <x:v>13</x:v>
      </x:c>
      <x:c r="I22" s="2" t="n">
        <x:f>COUNTIFS('日経_A12'!$J$7:$J$31,"&lt;0")</x:f>
        <x:v>12</x:v>
      </x:c>
      <x:c r="J22" s="19" t="n">
        <x:f>MAX(0,-MIN('日経_A12'!$J$7:$J$31))</x:f>
        <x:v>98000</x:v>
      </x:c>
      <x:c r="K22" s="19" t="n">
        <x:f>D22-MAX(0,LARGE('日経_A12'!$J$7:$J$31,1))-MAX(0,LARGE('日経_A12'!$J$7:$J$31,2))-MAX(0,LARGE('日経_A12'!$J$7:$J$31,3))</x:f>
        <x:v>227000</x:v>
      </x:c>
      <x:c r="L22" s="2" t="n">
        <x:f>'日経_A12'!M32</x:f>
        <x:v>25</x:v>
      </x:c>
      <x:c r="M22" s="2" t="n">
        <x:f>COUNT('日経_A12'!$R$7:$R$31)</x:f>
        <x:v>13</x:v>
      </x:c>
      <x:c r="N22" s="27" t="n">
        <x:f>'日経_A12'!P32</x:f>
        <x:v>0.08733968253968254</x:v>
      </x:c>
      <x:c r="O22" s="29" t="n">
        <x:f>'日経_A12'!Q32</x:f>
        <x:v>0.20148994708994705</x:v>
      </x:c>
      <x:c r="P22" s="2" t="n">
        <x:f>'日経_A12'!L32</x:f>
        <x:v>159</x:v>
      </x:c>
      <x:c r="Q22" s="19" t="n">
        <x:f>B22-$B$10</x:f>
        <x:v>0</x:v>
      </x:c>
    </x:row>
    <x:row r="23" ht="23" customHeight="1">
      <x:c r="A23" s="2" t="str">
        <x:v>A13</x:v>
      </x:c>
      <x:c r="B23" s="19" t="n">
        <x:f>'日経_A13'!D32</x:f>
        <x:v>-272000</x:v>
      </x:c>
      <x:c r="C23" s="19" t="n">
        <x:f>'日経_A13'!G32</x:f>
        <x:v>1143000</x:v>
      </x:c>
      <x:c r="D23" s="19" t="n">
        <x:f>'日経_A13'!J32</x:f>
        <x:v>871000</x:v>
      </x:c>
      <x:c r="E23" s="19" t="n">
        <x:f>'日経_A13'!H32</x:f>
        <x:v>2177000</x:v>
      </x:c>
      <x:c r="F23" s="19" t="n">
        <x:f>'日経_A13'!I32</x:f>
        <x:v>1306000</x:v>
      </x:c>
      <x:c r="G23" s="29" t="n">
        <x:f>IF(F23=0,"損失なし",E23/F23)</x:f>
        <x:v>1.6669218989280246</x:v>
      </x:c>
      <x:c r="H23" s="2" t="n">
        <x:f>COUNTIFS('日経_A13'!$J$7:$J$31,"&gt;0")</x:f>
        <x:v>13</x:v>
      </x:c>
      <x:c r="I23" s="2" t="n">
        <x:f>COUNTIFS('日経_A13'!$J$7:$J$31,"&lt;0")</x:f>
        <x:v>12</x:v>
      </x:c>
      <x:c r="J23" s="19" t="n">
        <x:f>MAX(0,-MIN('日経_A13'!$J$7:$J$31))</x:f>
        <x:v>98000</x:v>
      </x:c>
      <x:c r="K23" s="19" t="n">
        <x:f>D23-MAX(0,LARGE('日経_A13'!$J$7:$J$31,1))-MAX(0,LARGE('日経_A13'!$J$7:$J$31,2))-MAX(0,LARGE('日経_A13'!$J$7:$J$31,3))</x:f>
        <x:v>228000</x:v>
      </x:c>
      <x:c r="L23" s="2" t="n">
        <x:f>'日経_A13'!M32</x:f>
        <x:v>25</x:v>
      </x:c>
      <x:c r="M23" s="2" t="n">
        <x:f>COUNT('日経_A13'!$R$7:$R$31)</x:f>
        <x:v>13</x:v>
      </x:c>
      <x:c r="N23" s="27" t="n">
        <x:f>'日経_A13'!P32</x:f>
        <x:v>0.08443174603174602</x:v>
      </x:c>
      <x:c r="O23" s="29" t="n">
        <x:f>'日経_A13'!Q32</x:f>
        <x:v>0.19424126984126983</x:v>
      </x:c>
      <x:c r="P23" s="2" t="n">
        <x:f>'日経_A13'!L32</x:f>
        <x:v>159</x:v>
      </x:c>
      <x:c r="Q23" s="19" t="n">
        <x:f>B23-$B$10</x:f>
        <x:v>1000</x:v>
      </x:c>
    </x:row>
    <x:row r="24" ht="23" customHeight="1">
      <x:c r="A24" s="2" t="str">
        <x:v>A14</x:v>
      </x:c>
      <x:c r="B24" s="19" t="n">
        <x:f>'日経_A14'!D32</x:f>
        <x:v>-267000</x:v>
      </x:c>
      <x:c r="C24" s="19" t="n">
        <x:f>'日経_A14'!G32</x:f>
        <x:v>1143000</x:v>
      </x:c>
      <x:c r="D24" s="19" t="n">
        <x:f>'日経_A14'!J32</x:f>
        <x:v>876000</x:v>
      </x:c>
      <x:c r="E24" s="19" t="n">
        <x:f>'日経_A14'!H32</x:f>
        <x:v>2200000</x:v>
      </x:c>
      <x:c r="F24" s="19" t="n">
        <x:f>'日経_A14'!I32</x:f>
        <x:v>1324000</x:v>
      </x:c>
      <x:c r="G24" s="29" t="n">
        <x:f>IF(F24=0,"損失なし",E24/F24)</x:f>
        <x:v>1.661631419939577</x:v>
      </x:c>
      <x:c r="H24" s="2" t="n">
        <x:f>COUNTIFS('日経_A14'!$J$7:$J$31,"&gt;0")</x:f>
        <x:v>13</x:v>
      </x:c>
      <x:c r="I24" s="2" t="n">
        <x:f>COUNTIFS('日経_A14'!$J$7:$J$31,"&lt;0")</x:f>
        <x:v>12</x:v>
      </x:c>
      <x:c r="J24" s="19" t="n">
        <x:f>MAX(0,-MIN('日経_A14'!$J$7:$J$31))</x:f>
        <x:v>98000</x:v>
      </x:c>
      <x:c r="K24" s="19" t="n">
        <x:f>D24-MAX(0,LARGE('日経_A14'!$J$7:$J$31,1))-MAX(0,LARGE('日経_A14'!$J$7:$J$31,2))-MAX(0,LARGE('日経_A14'!$J$7:$J$31,3))</x:f>
        <x:v>233000</x:v>
      </x:c>
      <x:c r="L24" s="2" t="n">
        <x:f>'日経_A14'!M32</x:f>
        <x:v>25</x:v>
      </x:c>
      <x:c r="M24" s="2" t="n">
        <x:f>COUNT('日経_A14'!$R$7:$R$31)</x:f>
        <x:v>13</x:v>
      </x:c>
      <x:c r="N24" s="27" t="n">
        <x:f>'日経_A14'!P32</x:f>
        <x:v>0.08733968253968254</x:v>
      </x:c>
      <x:c r="O24" s="29" t="n">
        <x:f>'日経_A14'!Q32</x:f>
        <x:v>0.20137566137566135</x:v>
      </x:c>
      <x:c r="P24" s="2" t="n">
        <x:f>'日経_A14'!L32</x:f>
        <x:v>159</x:v>
      </x:c>
      <x:c r="Q24" s="19" t="n">
        <x:f>B24-$B$10</x:f>
        <x:v>6000</x:v>
      </x:c>
    </x:row>
    <x:row r="25" ht="23" customHeight="1">
      <x:c r="A25" s="2" t="str">
        <x:v>A15</x:v>
      </x:c>
      <x:c r="B25" s="19" t="n">
        <x:f>'日経_A15'!D32</x:f>
        <x:v>-294000</x:v>
      </x:c>
      <x:c r="C25" s="19" t="n">
        <x:f>'日経_A15'!G32</x:f>
        <x:v>1143000</x:v>
      </x:c>
      <x:c r="D25" s="19" t="n">
        <x:f>'日経_A15'!J32</x:f>
        <x:v>849000</x:v>
      </x:c>
      <x:c r="E25" s="19" t="n">
        <x:f>'日経_A15'!H32</x:f>
        <x:v>2487000</x:v>
      </x:c>
      <x:c r="F25" s="19" t="n">
        <x:f>'日経_A15'!I32</x:f>
        <x:v>1638000</x:v>
      </x:c>
      <x:c r="G25" s="29" t="n">
        <x:f>IF(F25=0,"損失なし",E25/F25)</x:f>
        <x:v>1.5183150183150182</x:v>
      </x:c>
      <x:c r="H25" s="2" t="n">
        <x:f>COUNTIFS('日経_A15'!$J$7:$J$31,"&gt;0")</x:f>
        <x:v>16</x:v>
      </x:c>
      <x:c r="I25" s="2" t="n">
        <x:f>COUNTIFS('日経_A15'!$J$7:$J$31,"&lt;0")</x:f>
        <x:v>9</x:v>
      </x:c>
      <x:c r="J25" s="19" t="n">
        <x:f>MAX(0,-MIN('日経_A15'!$J$7:$J$31))</x:f>
        <x:v>104000</x:v>
      </x:c>
      <x:c r="K25" s="19" t="n">
        <x:f>D25-MAX(0,LARGE('日経_A15'!$J$7:$J$31,1))-MAX(0,LARGE('日経_A15'!$J$7:$J$31,2))-MAX(0,LARGE('日経_A15'!$J$7:$J$31,3))</x:f>
        <x:v>382000</x:v>
      </x:c>
      <x:c r="L25" s="2" t="n">
        <x:f>'日経_A15'!M32</x:f>
        <x:v>51</x:v>
      </x:c>
      <x:c r="M25" s="2" t="n">
        <x:f>COUNT('日経_A15'!$R$7:$R$31)</x:f>
        <x:v>15</x:v>
      </x:c>
      <x:c r="N25" s="27" t="n">
        <x:f>'日経_A15'!P32</x:f>
        <x:v>0.18022645502645504</x:v>
      </x:c>
      <x:c r="O25" s="29" t="n">
        <x:f>'日経_A15'!Q32</x:f>
        <x:v>0.5465269841269841</x:v>
      </x:c>
      <x:c r="P25" s="2" t="n">
        <x:f>'日経_A15'!L32</x:f>
        <x:v>185</x:v>
      </x:c>
      <x:c r="Q25" s="19" t="n">
        <x:f>B25-$B$10</x:f>
        <x:v>-21000</x:v>
      </x:c>
    </x:row>
    <x:row r="26" ht="23" customHeight="1">
      <x:c r="A26" s="2" t="str">
        <x:v>A16</x:v>
      </x:c>
      <x:c r="B26" s="19" t="n">
        <x:f>'日経_A16'!D32</x:f>
        <x:v>-241000</x:v>
      </x:c>
      <x:c r="C26" s="19" t="n">
        <x:f>'日経_A16'!G32</x:f>
        <x:v>1143000</x:v>
      </x:c>
      <x:c r="D26" s="19" t="n">
        <x:f>'日経_A16'!J32</x:f>
        <x:v>902000</x:v>
      </x:c>
      <x:c r="E26" s="19" t="n">
        <x:f>'日経_A16'!H32</x:f>
        <x:v>2543000</x:v>
      </x:c>
      <x:c r="F26" s="19" t="n">
        <x:f>'日経_A16'!I32</x:f>
        <x:v>1641000</x:v>
      </x:c>
      <x:c r="G26" s="29" t="n">
        <x:f>IF(F26=0,"損失なし",E26/F26)</x:f>
        <x:v>1.5496648385131018</x:v>
      </x:c>
      <x:c r="H26" s="2" t="n">
        <x:f>COUNTIFS('日経_A16'!$J$7:$J$31,"&gt;0")</x:f>
        <x:v>17</x:v>
      </x:c>
      <x:c r="I26" s="2" t="n">
        <x:f>COUNTIFS('日経_A16'!$J$7:$J$31,"&lt;0")</x:f>
        <x:v>8</x:v>
      </x:c>
      <x:c r="J26" s="19" t="n">
        <x:f>MAX(0,-MIN('日経_A16'!$J$7:$J$31))</x:f>
        <x:v>104000</x:v>
      </x:c>
      <x:c r="K26" s="19" t="n">
        <x:f>D26-MAX(0,LARGE('日経_A16'!$J$7:$J$31,1))-MAX(0,LARGE('日経_A16'!$J$7:$J$31,2))-MAX(0,LARGE('日経_A16'!$J$7:$J$31,3))</x:f>
        <x:v>414000</x:v>
      </x:c>
      <x:c r="L26" s="2" t="n">
        <x:f>'日経_A16'!M32</x:f>
        <x:v>59</x:v>
      </x:c>
      <x:c r="M26" s="2" t="n">
        <x:f>COUNT('日経_A16'!$R$7:$R$31)</x:f>
        <x:v>15</x:v>
      </x:c>
      <x:c r="N26" s="27" t="n">
        <x:f>'日経_A16'!P32</x:f>
        <x:v>0.18294179894179893</x:v>
      </x:c>
      <x:c r="O26" s="29" t="n">
        <x:f>'日経_A16'!Q32</x:f>
        <x:v>0.5587724867724867</x:v>
      </x:c>
      <x:c r="P26" s="2" t="n">
        <x:f>'日経_A16'!L32</x:f>
        <x:v>193</x:v>
      </x:c>
      <x:c r="Q26" s="19" t="n">
        <x:f>B26-$B$10</x:f>
        <x:v>32000</x:v>
      </x:c>
    </x:row>
    <x:row r="27" ht="23" customHeight="1">
      <x:c r="A27" s="2" t="str">
        <x:v>B01</x:v>
      </x:c>
      <x:c r="B27" s="19" t="n">
        <x:f>'日経_B01'!D32</x:f>
        <x:v>-172000</x:v>
      </x:c>
      <x:c r="C27" s="19" t="n">
        <x:f>'日経_B01'!G32</x:f>
        <x:v>1143000</x:v>
      </x:c>
      <x:c r="D27" s="19" t="n">
        <x:f>'日経_B01'!J32</x:f>
        <x:v>971000</x:v>
      </x:c>
      <x:c r="E27" s="19" t="n">
        <x:f>'日経_B01'!H32</x:f>
        <x:v>2350000</x:v>
      </x:c>
      <x:c r="F27" s="19" t="n">
        <x:f>'日経_B01'!I32</x:f>
        <x:v>1379000</x:v>
      </x:c>
      <x:c r="G27" s="29" t="n">
        <x:f>IF(F27=0,"損失なし",E27/F27)</x:f>
        <x:v>1.704133430021755</x:v>
      </x:c>
      <x:c r="H27" s="2" t="n">
        <x:f>COUNTIFS('日経_B01'!$J$7:$J$31,"&gt;0")</x:f>
        <x:v>15</x:v>
      </x:c>
      <x:c r="I27" s="2" t="n">
        <x:f>COUNTIFS('日経_B01'!$J$7:$J$31,"&lt;0")</x:f>
        <x:v>9</x:v>
      </x:c>
      <x:c r="J27" s="19" t="n">
        <x:f>MAX(0,-MIN('日経_B01'!$J$7:$J$31))</x:f>
        <x:v>143000</x:v>
      </x:c>
      <x:c r="K27" s="19" t="n">
        <x:f>D27-MAX(0,LARGE('日経_B01'!$J$7:$J$31,1))-MAX(0,LARGE('日経_B01'!$J$7:$J$31,2))-MAX(0,LARGE('日経_B01'!$J$7:$J$31,3))</x:f>
        <x:v>268000</x:v>
      </x:c>
      <x:c r="L27" s="2" t="n">
        <x:f>'日経_B01'!M32</x:f>
        <x:v>31</x:v>
      </x:c>
      <x:c r="M27" s="2" t="n">
        <x:f>COUNT('日経_B01'!$R$7:$R$31)</x:f>
        <x:v>14</x:v>
      </x:c>
      <x:c r="N27" s="27" t="n">
        <x:f>'日経_B01'!P32</x:f>
        <x:v>0.12996825396825396</x:v>
      </x:c>
      <x:c r="O27" s="29" t="n">
        <x:f>'日経_B01'!Q32</x:f>
        <x:v>0.3614031746031746</x:v>
      </x:c>
      <x:c r="P27" s="2" t="n">
        <x:f>'日経_B01'!L32</x:f>
        <x:v>165</x:v>
      </x:c>
      <x:c r="Q27" s="19" t="n">
        <x:f>B27-$B$10</x:f>
        <x:v>101000</x:v>
      </x:c>
    </x:row>
    <x:row r="28" ht="23" customHeight="1">
      <x:c r="A28" s="2" t="str">
        <x:v>B02</x:v>
      </x:c>
      <x:c r="B28" s="19" t="n">
        <x:f>'日経_B02'!D32</x:f>
        <x:v>-177000</x:v>
      </x:c>
      <x:c r="C28" s="19" t="n">
        <x:f>'日経_B02'!G32</x:f>
        <x:v>1143000</x:v>
      </x:c>
      <x:c r="D28" s="19" t="n">
        <x:f>'日経_B02'!J32</x:f>
        <x:v>966000</x:v>
      </x:c>
      <x:c r="E28" s="19" t="n">
        <x:f>'日経_B02'!H32</x:f>
        <x:v>2285000</x:v>
      </x:c>
      <x:c r="F28" s="19" t="n">
        <x:f>'日経_B02'!I32</x:f>
        <x:v>1319000</x:v>
      </x:c>
      <x:c r="G28" s="29" t="n">
        <x:f>IF(F28=0,"損失なし",E28/F28)</x:f>
        <x:v>1.7323730098559516</x:v>
      </x:c>
      <x:c r="H28" s="2" t="n">
        <x:f>COUNTIFS('日経_B02'!$J$7:$J$31,"&gt;0")</x:f>
        <x:v>15</x:v>
      </x:c>
      <x:c r="I28" s="2" t="n">
        <x:f>COUNTIFS('日経_B02'!$J$7:$J$31,"&lt;0")</x:f>
        <x:v>10</x:v>
      </x:c>
      <x:c r="J28" s="19" t="n">
        <x:f>MAX(0,-MIN('日経_B02'!$J$7:$J$31))</x:f>
        <x:v>98000</x:v>
      </x:c>
      <x:c r="K28" s="19" t="n">
        <x:f>D28-MAX(0,LARGE('日経_B02'!$J$7:$J$31,1))-MAX(0,LARGE('日経_B02'!$J$7:$J$31,2))-MAX(0,LARGE('日経_B02'!$J$7:$J$31,3))</x:f>
        <x:v>323000</x:v>
      </x:c>
      <x:c r="L28" s="2" t="n">
        <x:f>'日経_B02'!M32</x:f>
        <x:v>28</x:v>
      </x:c>
      <x:c r="M28" s="2" t="n">
        <x:f>COUNT('日経_B02'!$R$7:$R$31)</x:f>
        <x:v>14</x:v>
      </x:c>
      <x:c r="N28" s="27" t="n">
        <x:f>'日経_B02'!P32</x:f>
        <x:v>0.10677037037037039</x:v>
      </x:c>
      <x:c r="O28" s="29" t="n">
        <x:f>'日経_B02'!Q32</x:f>
        <x:v>0.2798412698412699</x:v>
      </x:c>
      <x:c r="P28" s="2" t="n">
        <x:f>'日経_B02'!L32</x:f>
        <x:v>162</x:v>
      </x:c>
      <x:c r="Q28" s="19" t="n">
        <x:f>B28-$B$10</x:f>
        <x:v>96000</x:v>
      </x:c>
    </x:row>
    <x:row r="29" ht="23" customHeight="1">
      <x:c r="A29" s="2" t="str">
        <x:v>B03</x:v>
      </x:c>
      <x:c r="B29" s="19" t="n">
        <x:f>'日経_B03'!D32</x:f>
        <x:v>-208000</x:v>
      </x:c>
      <x:c r="C29" s="19" t="n">
        <x:f>'日経_B03'!G32</x:f>
        <x:v>1143000</x:v>
      </x:c>
      <x:c r="D29" s="19" t="n">
        <x:f>'日経_B03'!J32</x:f>
        <x:v>935000</x:v>
      </x:c>
      <x:c r="E29" s="19" t="n">
        <x:f>'日経_B03'!H32</x:f>
        <x:v>2499000</x:v>
      </x:c>
      <x:c r="F29" s="19" t="n">
        <x:f>'日経_B03'!I32</x:f>
        <x:v>1564000</x:v>
      </x:c>
      <x:c r="G29" s="29" t="n">
        <x:f>IF(F29=0,"損失なし",E29/F29)</x:f>
        <x:v>1.5978260869565217</x:v>
      </x:c>
      <x:c r="H29" s="2" t="n">
        <x:f>COUNTIFS('日経_B03'!$J$7:$J$31,"&gt;0")</x:f>
        <x:v>15</x:v>
      </x:c>
      <x:c r="I29" s="2" t="n">
        <x:f>COUNTIFS('日経_B03'!$J$7:$J$31,"&lt;0")</x:f>
        <x:v>9</x:v>
      </x:c>
      <x:c r="J29" s="19" t="n">
        <x:f>MAX(0,-MIN('日経_B03'!$J$7:$J$31))</x:f>
        <x:v>143000</x:v>
      </x:c>
      <x:c r="K29" s="19" t="n">
        <x:f>D29-MAX(0,LARGE('日経_B03'!$J$7:$J$31,1))-MAX(0,LARGE('日経_B03'!$J$7:$J$31,2))-MAX(0,LARGE('日経_B03'!$J$7:$J$31,3))</x:f>
        <x:v>247000</x:v>
      </x:c>
      <x:c r="L29" s="2" t="n">
        <x:f>'日経_B03'!M32</x:f>
        <x:v>40</x:v>
      </x:c>
      <x:c r="M29" s="2" t="n">
        <x:f>COUNT('日経_B03'!$R$7:$R$31)</x:f>
        <x:v>17</x:v>
      </x:c>
      <x:c r="N29" s="27" t="n">
        <x:f>'日経_B03'!P32</x:f>
        <x:v>0.17505185185185185</x:v>
      </x:c>
      <x:c r="O29" s="29" t="n">
        <x:f>'日経_B03'!Q32</x:f>
        <x:v>0.5513989417989418</x:v>
      </x:c>
      <x:c r="P29" s="2" t="n">
        <x:f>'日経_B03'!L32</x:f>
        <x:v>174</x:v>
      </x:c>
      <x:c r="Q29" s="19" t="n">
        <x:f>B29-$B$10</x:f>
        <x:v>65000</x:v>
      </x:c>
    </x:row>
    <x:row r="30" ht="23" customHeight="1">
      <x:c r="A30" s="2" t="str">
        <x:v>B04</x:v>
      </x:c>
      <x:c r="B30" s="19" t="n">
        <x:f>'日経_B04'!D32</x:f>
        <x:v>-113000</x:v>
      </x:c>
      <x:c r="C30" s="19" t="n">
        <x:f>'日経_B04'!G32</x:f>
        <x:v>1143000</x:v>
      </x:c>
      <x:c r="D30" s="19" t="n">
        <x:f>'日経_B04'!J32</x:f>
        <x:v>1030000</x:v>
      </x:c>
      <x:c r="E30" s="19" t="n">
        <x:f>'日経_B04'!H32</x:f>
        <x:v>2504000</x:v>
      </x:c>
      <x:c r="F30" s="19" t="n">
        <x:f>'日経_B04'!I32</x:f>
        <x:v>1474000</x:v>
      </x:c>
      <x:c r="G30" s="29" t="n">
        <x:f>IF(F30=0,"損失なし",E30/F30)</x:f>
        <x:v>1.6987788331071914</x:v>
      </x:c>
      <x:c r="H30" s="2" t="n">
        <x:f>COUNTIFS('日経_B04'!$J$7:$J$31,"&gt;0")</x:f>
        <x:v>17</x:v>
      </x:c>
      <x:c r="I30" s="2" t="n">
        <x:f>COUNTIFS('日経_B04'!$J$7:$J$31,"&lt;0")</x:f>
        <x:v>8</x:v>
      </x:c>
      <x:c r="J30" s="19" t="n">
        <x:f>MAX(0,-MIN('日経_B04'!$J$7:$J$31))</x:f>
        <x:v>93000</x:v>
      </x:c>
      <x:c r="K30" s="19" t="n">
        <x:f>D30-MAX(0,LARGE('日経_B04'!$J$7:$J$31,1))-MAX(0,LARGE('日経_B04'!$J$7:$J$31,2))-MAX(0,LARGE('日経_B04'!$J$7:$J$31,3))</x:f>
        <x:v>307000</x:v>
      </x:c>
      <x:c r="L30" s="2" t="n">
        <x:f>'日経_B04'!M32</x:f>
        <x:v>38</x:v>
      </x:c>
      <x:c r="M30" s="2" t="n">
        <x:f>COUNT('日経_B04'!$R$7:$R$31)</x:f>
        <x:v>16</x:v>
      </x:c>
      <x:c r="N30" s="27" t="n">
        <x:f>'日経_B04'!P32</x:f>
        <x:v>0.1727597883597884</x:v>
      </x:c>
      <x:c r="O30" s="29" t="n">
        <x:f>'日経_B04'!Q32</x:f>
        <x:v>0.5408698412698412</x:v>
      </x:c>
      <x:c r="P30" s="2" t="n">
        <x:f>'日経_B04'!L32</x:f>
        <x:v>172</x:v>
      </x:c>
      <x:c r="Q30" s="19" t="n">
        <x:f>B30-$B$10</x:f>
        <x:v>160000</x:v>
      </x:c>
    </x:row>
    <x:row r="31" ht="23" customHeight="1">
      <x:c r="A31" s="2" t="str">
        <x:v>B05</x:v>
      </x:c>
      <x:c r="B31" s="19" t="n">
        <x:f>'日経_B05'!D32</x:f>
        <x:v>-141000</x:v>
      </x:c>
      <x:c r="C31" s="19" t="n">
        <x:f>'日経_B05'!G32</x:f>
        <x:v>1143000</x:v>
      </x:c>
      <x:c r="D31" s="19" t="n">
        <x:f>'日経_B05'!J32</x:f>
        <x:v>1002000</x:v>
      </x:c>
      <x:c r="E31" s="19" t="n">
        <x:f>'日経_B05'!H32</x:f>
        <x:v>2261000</x:v>
      </x:c>
      <x:c r="F31" s="19" t="n">
        <x:f>'日経_B05'!I32</x:f>
        <x:v>1259000</x:v>
      </x:c>
      <x:c r="G31" s="29" t="n">
        <x:f>IF(F31=0,"損失なし",E31/F31)</x:f>
        <x:v>1.7958697378872122</x:v>
      </x:c>
      <x:c r="H31" s="2" t="n">
        <x:f>COUNTIFS('日経_B05'!$J$7:$J$31,"&gt;0")</x:f>
        <x:v>14</x:v>
      </x:c>
      <x:c r="I31" s="2" t="n">
        <x:f>COUNTIFS('日経_B05'!$J$7:$J$31,"&lt;0")</x:f>
        <x:v>10</x:v>
      </x:c>
      <x:c r="J31" s="19" t="n">
        <x:f>MAX(0,-MIN('日経_B05'!$J$7:$J$31))</x:f>
        <x:v>143000</x:v>
      </x:c>
      <x:c r="K31" s="19" t="n">
        <x:f>D31-MAX(0,LARGE('日経_B05'!$J$7:$J$31,1))-MAX(0,LARGE('日経_B05'!$J$7:$J$31,2))-MAX(0,LARGE('日経_B05'!$J$7:$J$31,3))</x:f>
        <x:v>299000</x:v>
      </x:c>
      <x:c r="L31" s="2" t="n">
        <x:f>'日経_B05'!M32</x:f>
        <x:v>26</x:v>
      </x:c>
      <x:c r="M31" s="2" t="n">
        <x:f>COUNT('日経_B05'!$R$7:$R$31)</x:f>
        <x:v>13</x:v>
      </x:c>
      <x:c r="N31" s="27" t="n">
        <x:f>'日経_B05'!P32</x:f>
        <x:v>0.10107936507936507</x:v>
      </x:c>
      <x:c r="O31" s="29" t="n">
        <x:f>'日経_B05'!Q32</x:f>
        <x:v>0.2690645502645503</x:v>
      </x:c>
      <x:c r="P31" s="2" t="n">
        <x:f>'日経_B05'!L32</x:f>
        <x:v>160</x:v>
      </x:c>
      <x:c r="Q31" s="19" t="n">
        <x:f>B31-$B$10</x:f>
        <x:v>132000</x:v>
      </x:c>
    </x:row>
    <x:row r="32" ht="23" customHeight="1">
      <x:c r="A32" s="2" t="str">
        <x:v>B06</x:v>
      </x:c>
      <x:c r="B32" s="19" t="n">
        <x:f>'日経_B06'!D32</x:f>
        <x:v>-284000</x:v>
      </x:c>
      <x:c r="C32" s="19" t="n">
        <x:f>'日経_B06'!G32</x:f>
        <x:v>1143000</x:v>
      </x:c>
      <x:c r="D32" s="19" t="n">
        <x:f>'日経_B06'!J32</x:f>
        <x:v>859000</x:v>
      </x:c>
      <x:c r="E32" s="19" t="n">
        <x:f>'日経_B06'!H32</x:f>
        <x:v>2383000</x:v>
      </x:c>
      <x:c r="F32" s="19" t="n">
        <x:f>'日経_B06'!I32</x:f>
        <x:v>1524000</x:v>
      </x:c>
      <x:c r="G32" s="29" t="n">
        <x:f>IF(F32=0,"損失なし",E32/F32)</x:f>
        <x:v>1.5636482939632546</x:v>
      </x:c>
      <x:c r="H32" s="2" t="n">
        <x:f>COUNTIFS('日経_B06'!$J$7:$J$31,"&gt;0")</x:f>
        <x:v>14</x:v>
      </x:c>
      <x:c r="I32" s="2" t="n">
        <x:f>COUNTIFS('日経_B06'!$J$7:$J$31,"&lt;0")</x:f>
        <x:v>10</x:v>
      </x:c>
      <x:c r="J32" s="19" t="n">
        <x:f>MAX(0,-MIN('日経_B06'!$J$7:$J$31))</x:f>
        <x:v>143000</x:v>
      </x:c>
      <x:c r="K32" s="19" t="n">
        <x:f>D32-MAX(0,LARGE('日経_B06'!$J$7:$J$31,1))-MAX(0,LARGE('日経_B06'!$J$7:$J$31,2))-MAX(0,LARGE('日経_B06'!$J$7:$J$31,3))</x:f>
        <x:v>171000</x:v>
      </x:c>
      <x:c r="L32" s="2" t="n">
        <x:f>'日経_B06'!M32</x:f>
        <x:v>36</x:v>
      </x:c>
      <x:c r="M32" s="2" t="n">
        <x:f>COUNT('日経_B06'!$R$7:$R$31)</x:f>
        <x:v>16</x:v>
      </x:c>
      <x:c r="N32" s="27" t="n">
        <x:f>'日経_B06'!P32</x:f>
        <x:v>0.12711111111111112</x:v>
      </x:c>
      <x:c r="O32" s="29" t="n">
        <x:f>'日経_B06'!Q32</x:f>
        <x:v>0.3800592592592593</x:v>
      </x:c>
      <x:c r="P32" s="2" t="n">
        <x:f>'日経_B06'!L32</x:f>
        <x:v>170</x:v>
      </x:c>
      <x:c r="Q32" s="19" t="n">
        <x:f>B32-$B$10</x:f>
        <x:v>-11000</x:v>
      </x:c>
    </x:row>
  </x:sheetData>
  <x:conditionalFormatting sqref="B7:F32">
    <x:cfRule type="cellIs" dxfId="26" priority="1" operator="lessThan">
      <x:formula>0</x:formula>
    </x:cfRule>
  </x:conditionalFormatting>
  <x:conditionalFormatting sqref="J7:K32">
    <x:cfRule type="cellIs" dxfId="27" priority="2" operator="lessThan">
      <x:formula>0</x:formula>
    </x:cfRule>
  </x:conditionalFormatting>
  <x:conditionalFormatting sqref="Q7:Q32">
    <x:cfRule type="cellIs" dxfId="28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e19951a829427c"/>
  </x:tableParts>
</x:worksheet>
</file>

<file path=xl/worksheets/sheet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C00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現Go D07をそのまま再生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  <x:c r="P8" s="27" t="n">
        <x:v>0</x:v>
      </x:c>
      <x:c r="Q8" s="29" t="n">
        <x:v>0</x:v>
      </x:c>
      <x:c r="R8" s="31"/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-37000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  <x:c r="P10" s="27" t="n">
        <x:v>0</x:v>
      </x:c>
      <x:c r="Q10" s="29" t="n">
        <x:v>0</x:v>
      </x:c>
      <x:c r="R10" s="31"/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-36000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-56000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9000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52000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80000</x:v>
      </x:c>
      <x:c r="G15" s="19" t="n">
        <x:f>E15-F15</x:f>
        <x:v>110000</x:v>
      </x:c>
      <x:c r="H15" s="19" t="n">
        <x:f>B15+E15</x:f>
        <x:v>207000</x:v>
      </x:c>
      <x:c r="I15" s="19" t="n">
        <x:f>C15+F15</x:f>
        <x:v>98000</x:v>
      </x:c>
      <x:c r="J15" s="19" t="n">
        <x:f>H15-I15</x:f>
        <x:v>109000</x:v>
      </x:c>
      <x:c r="K15" s="19" t="n">
        <x:f>K14+J15</x:f>
        <x:v>161000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  <x:c r="P15" s="27" t="n">
        <x:v>0.1961904761904762</x:v>
      </x:c>
      <x:c r="Q15" s="29" t="n">
        <x:v>0.40825396825396826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417000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451000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441000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398000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709000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0</x:v>
      </x:c>
      <x:c r="J21" s="19" t="n">
        <x:f>H21-I21</x:f>
        <x:v>14000</x:v>
      </x:c>
      <x:c r="K21" s="19" t="n">
        <x:f>K20+J21</x:f>
        <x:v>723000</x:v>
      </x:c>
      <x:c r="L21" s="20" t="n">
        <x:v>1</x:v>
      </x:c>
      <x:c r="M21" s="20" t="n">
        <x:v>0</x:v>
      </x:c>
      <x:c r="N21" s="20" t="n">
        <x:v>1</x:v>
      </x:c>
      <x:c r="O21" s="20" t="n">
        <x:v>5</x:v>
      </x:c>
      <x:c r="P21" s="27" t="n">
        <x:v>0</x:v>
      </x:c>
      <x:c r="Q21" s="29" t="n">
        <x:v>0</x:v>
      </x:c>
      <x:c r="R21" s="31"/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805000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752000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  <x:c r="P23" s="27" t="n">
        <x:v>0</x:v>
      </x:c>
      <x:c r="Q23" s="29" t="n">
        <x:v>0</x:v>
      </x:c>
      <x:c r="R23" s="31"/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888000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910000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942000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  <x:c r="P26" s="27" t="n">
        <x:v>0</x:v>
      </x:c>
      <x:c r="Q26" s="29" t="n">
        <x:v>0</x:v>
      </x:c>
      <x:c r="R26" s="31"/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934000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1034000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1010000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1166000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1153000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70000</x:v>
      </x:c>
      <x:c r="D32" s="25" t="n">
        <x:f>B32-C32</x:f>
        <x:v>-2000</x:v>
      </x:c>
      <x:c r="E32" s="25" t="n">
        <x:f>SUM(E7:E31)</x:f>
        <x:v>2092000</x:v>
      </x:c>
      <x:c r="F32" s="25" t="n">
        <x:f>SUM(F7:F31)</x:f>
        <x:v>937000</x:v>
      </x:c>
      <x:c r="G32" s="25" t="n">
        <x:f>E32-F32</x:f>
        <x:v>1155000</x:v>
      </x:c>
      <x:c r="H32" s="25" t="n">
        <x:f>B32+E32</x:f>
        <x:v>2160000</x:v>
      </x:c>
      <x:c r="I32" s="25" t="n">
        <x:f>C32+F32</x:f>
        <x:v>1007000</x:v>
      </x:c>
      <x:c r="J32" s="25" t="n">
        <x:f>H32-I32</x:f>
        <x:v>1153000</x:v>
      </x:c>
      <x:c r="K32" s="25" t="n">
        <x:f>K31</x:f>
        <x:v>1153000</x:v>
      </x:c>
      <x:c r="L32" s="26" t="n">
        <x:f>SUM(L7:L31)</x:f>
        <x:v>150</x:v>
      </x:c>
      <x:c r="M32" s="26" t="n">
        <x:f>SUM(M7:M31)</x:f>
        <x:v>16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0.06548359788359788</x:v>
      </x:c>
      <x:c r="Q32" s="30" t="n">
        <x:f>AVERAGE(Q7:Q31)</x:f>
        <x:v>0.09193015873015874</x:v>
      </x:c>
      <x:c r="R32" s="32" t="n">
        <x:f>IF(COUNT(R7:R31)=0,"未参加",MEDIAN(R7:R31))</x:f>
        <x:v>122.56666666666666</x:v>
      </x:c>
    </x:row>
  </x:sheetData>
  <x:conditionalFormatting sqref="B7:K3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ff727534a1473f"/>
  </x:tableParts>
</x:worksheet>
</file>

<file path=xl/worksheets/sheet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S04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前半D07のまま全返済・後半新規状態、特徴継続・元の22/30分時計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  <x:c r="P8" s="27" t="n">
        <x:v>0</x:v>
      </x:c>
      <x:c r="Q8" s="29" t="n">
        <x:v>0</x:v>
      </x:c>
      <x:c r="R8" s="31"/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0</x:v>
      </x:c>
      <x:c r="D10" s="19" t="n">
        <x:f>B10-C10</x:f>
        <x:v>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0</x:v>
      </x:c>
      <x:c r="J10" s="19" t="n">
        <x:f>H10-I10</x:f>
        <x:v>20000</x:v>
      </x:c>
      <x:c r="K10" s="19" t="n">
        <x:f>K9+J10</x:f>
        <x:v>-37000</x:v>
      </x:c>
      <x:c r="L10" s="20" t="n">
        <x:v>2</x:v>
      </x:c>
      <x:c r="M10" s="20" t="n">
        <x:v>0</x:v>
      </x:c>
      <x:c r="N10" s="20" t="n">
        <x:v>2</x:v>
      </x:c>
      <x:c r="O10" s="20" t="n">
        <x:v>2</x:v>
      </x:c>
      <x:c r="P10" s="27" t="n">
        <x:v>0</x:v>
      </x:c>
      <x:c r="Q10" s="29" t="n">
        <x:v>0</x:v>
      </x:c>
      <x:c r="R10" s="31"/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-36000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-56000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9000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52000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110000</x:v>
      </x:c>
      <x:c r="J15" s="19" t="n">
        <x:f>H15-I15</x:f>
        <x:v>97000</x:v>
      </x:c>
      <x:c r="K15" s="19" t="n">
        <x:f>K14+J15</x:f>
        <x:v>149000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  <x:c r="P15" s="27" t="n">
        <x:v>0.1961904761904762</x:v>
      </x:c>
      <x:c r="Q15" s="29" t="n">
        <x:v>0.40825396825396826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405000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439000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429000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386000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697000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0</x:v>
      </x:c>
      <x:c r="D21" s="19" t="n">
        <x:f>B21-C21</x:f>
        <x:v>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0</x:v>
      </x:c>
      <x:c r="J21" s="19" t="n">
        <x:f>H21-I21</x:f>
        <x:v>14000</x:v>
      </x:c>
      <x:c r="K21" s="19" t="n">
        <x:f>K20+J21</x:f>
        <x:v>711000</x:v>
      </x:c>
      <x:c r="L21" s="20" t="n">
        <x:v>1</x:v>
      </x:c>
      <x:c r="M21" s="20" t="n">
        <x:v>0</x:v>
      </x:c>
      <x:c r="N21" s="20" t="n">
        <x:v>1</x:v>
      </x:c>
      <x:c r="O21" s="20" t="n">
        <x:v>5</x:v>
      </x:c>
      <x:c r="P21" s="27" t="n">
        <x:v>0</x:v>
      </x:c>
      <x:c r="Q21" s="29" t="n">
        <x:v>0</x:v>
      </x:c>
      <x:c r="R21" s="31"/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793000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0</x:v>
      </x:c>
      <x:c r="D23" s="19" t="n">
        <x:f>B23-C23</x:f>
        <x:v>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53000</x:v>
      </x:c>
      <x:c r="J23" s="19" t="n">
        <x:f>H23-I23</x:f>
        <x:v>-53000</x:v>
      </x:c>
      <x:c r="K23" s="19" t="n">
        <x:f>K22+J23</x:f>
        <x:v>740000</x:v>
      </x:c>
      <x:c r="L23" s="20" t="n">
        <x:v>2</x:v>
      </x:c>
      <x:c r="M23" s="20" t="n">
        <x:v>0</x:v>
      </x:c>
      <x:c r="N23" s="20" t="n">
        <x:v>2</x:v>
      </x:c>
      <x:c r="O23" s="20" t="n">
        <x:v>5</x:v>
      </x:c>
      <x:c r="P23" s="27" t="n">
        <x:v>0</x:v>
      </x:c>
      <x:c r="Q23" s="29" t="n">
        <x:v>0</x:v>
      </x:c>
      <x:c r="R23" s="31"/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876000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898000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930000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  <x:c r="P26" s="27" t="n">
        <x:v>0</x:v>
      </x:c>
      <x:c r="Q26" s="29" t="n">
        <x:v>0</x:v>
      </x:c>
      <x:c r="R26" s="31"/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922000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1022000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998000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1154000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1141000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68000</x:v>
      </x:c>
      <x:c r="C32" s="25" t="n">
        <x:f>SUM(C7:C31)</x:f>
        <x:v>70000</x:v>
      </x:c>
      <x:c r="D32" s="25" t="n">
        <x:f>B32-C32</x:f>
        <x:v>-2000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2160000</x:v>
      </x:c>
      <x:c r="I32" s="25" t="n">
        <x:f>C32+F32</x:f>
        <x:v>1019000</x:v>
      </x:c>
      <x:c r="J32" s="25" t="n">
        <x:f>H32-I32</x:f>
        <x:v>1141000</x:v>
      </x:c>
      <x:c r="K32" s="25" t="n">
        <x:f>K31</x:f>
        <x:v>1141000</x:v>
      </x:c>
      <x:c r="L32" s="26" t="n">
        <x:f>SUM(L7:L31)</x:f>
        <x:v>150</x:v>
      </x:c>
      <x:c r="M32" s="26" t="n">
        <x:f>SUM(M7:M31)</x:f>
        <x:v>16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0.06548359788359788</x:v>
      </x:c>
      <x:c r="Q32" s="30" t="n">
        <x:f>AVERAGE(Q7:Q31)</x:f>
        <x:v>0.09193015873015874</x:v>
      </x:c>
      <x:c r="R32" s="32" t="n">
        <x:f>IF(COUNT(R7:R31)=0,"未参加",MEDIAN(R7:R31))</x:f>
        <x:v>122.56666666666666</x:v>
      </x:c>
    </x:row>
  </x:sheetData>
  <x:conditionalFormatting sqref="B7:K32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5d4218d2ea4db0"/>
  </x:tableParts>
</x:worksheet>
</file>

<file path=xl/worksheets/sheet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S02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S01の主担当22分・補完30分を元の時計に戻す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52000</x:v>
      </x:c>
      <x:c r="C7" s="19" t="n">
        <x:v>0</x:v>
      </x:c>
      <x:c r="D7" s="19" t="n">
        <x:f>B7-C7</x:f>
        <x:v>52000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52000</x:v>
      </x:c>
      <x:c r="I7" s="19" t="n">
        <x:f>C7+F7</x:f>
        <x:v>45000</x:v>
      </x:c>
      <x:c r="J7" s="19" t="n">
        <x:f>H7-I7</x:f>
        <x:v>7000</x:v>
      </x:c>
      <x:c r="K7" s="19" t="n">
        <x:f>J7</x:f>
        <x:v>7000</x:v>
      </x:c>
      <x:c r="L7" s="20" t="n">
        <x:v>2</x:v>
      </x:c>
      <x:c r="M7" s="20" t="n">
        <x:v>1</x:v>
      </x:c>
      <x:c r="N7" s="20" t="n">
        <x:v>1</x:v>
      </x:c>
      <x:c r="O7" s="20" t="n">
        <x:v>5</x:v>
      </x:c>
      <x:c r="P7" s="27" t="n">
        <x:v>0.8283068783068783</x:v>
      </x:c>
      <x:c r="Q7" s="29" t="n">
        <x:v>2.4795238095238097</x:v>
      </x:c>
      <x:c r="R7" s="31" t="n">
        <x:v>39.1</x:v>
      </x:c>
    </x:row>
    <x:row r="8" ht="23" customHeight="1">
      <x:c r="A8" s="2" t="str">
        <x:v>2026-09-22_Night</x:v>
      </x:c>
      <x:c r="B8" s="19" t="n">
        <x:v>51000</x:v>
      </x:c>
      <x:c r="C8" s="19" t="n">
        <x:v>0</x:v>
      </x:c>
      <x:c r="D8" s="19" t="n">
        <x:f>B8-C8</x:f>
        <x:v>51000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75000</x:v>
      </x:c>
      <x:c r="I8" s="19" t="n">
        <x:f>C8+F8</x:f>
        <x:v>0</x:v>
      </x:c>
      <x:c r="J8" s="19" t="n">
        <x:f>H8-I8</x:f>
        <x:v>75000</x:v>
      </x:c>
      <x:c r="K8" s="19" t="n">
        <x:f>K7+J8</x:f>
        <x:v>82000</x:v>
      </x:c>
      <x:c r="L8" s="20" t="n">
        <x:v>3</x:v>
      </x:c>
      <x:c r="M8" s="20" t="n">
        <x:v>2</x:v>
      </x:c>
      <x:c r="N8" s="20" t="n">
        <x:v>1</x:v>
      </x:c>
      <x:c r="O8" s="20" t="n">
        <x:v>5</x:v>
      </x:c>
      <x:c r="P8" s="27" t="n">
        <x:v>0.19264550264550265</x:v>
      </x:c>
      <x:c r="Q8" s="29" t="n">
        <x:v>0.8254497354497354</x:v>
      </x:c>
      <x:c r="R8" s="31" t="n">
        <x:v>24.116666666666667</x:v>
      </x:c>
    </x:row>
    <x:row r="9" ht="23" customHeight="1">
      <x:c r="A9" s="2" t="str">
        <x:v>2026-09-23_Night</x:v>
      </x:c>
      <x:c r="B9" s="19" t="n">
        <x:v>0</x:v>
      </x:c>
      <x:c r="C9" s="19" t="n">
        <x:v>40000</x:v>
      </x:c>
      <x:c r="D9" s="19" t="n">
        <x:f>B9-C9</x:f>
        <x:v>-40000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80000</x:v>
      </x:c>
      <x:c r="J9" s="19" t="n">
        <x:f>H9-I9</x:f>
        <x:v>-76000</x:v>
      </x:c>
      <x:c r="K9" s="19" t="n">
        <x:f>K8+J9</x:f>
        <x:v>6000</x:v>
      </x:c>
      <x:c r="L9" s="20" t="n">
        <x:v>4</x:v>
      </x:c>
      <x:c r="M9" s="20" t="n">
        <x:v>1</x:v>
      </x:c>
      <x:c r="N9" s="20" t="n">
        <x:v>3</x:v>
      </x:c>
      <x:c r="O9" s="20" t="n">
        <x:v>5</x:v>
      </x:c>
      <x:c r="P9" s="27" t="n">
        <x:v>0.004338624338624339</x:v>
      </x:c>
      <x:c r="Q9" s="29" t="n">
        <x:v>0.021693121693121695</x:v>
      </x:c>
      <x:c r="R9" s="31" t="n">
        <x:v>69.08333333333333</x:v>
      </x:c>
    </x:row>
    <x:row r="10" ht="23" customHeight="1">
      <x:c r="A10" s="2" t="str">
        <x:v>2026-09-24_Night</x:v>
      </x:c>
      <x:c r="B10" s="19" t="n">
        <x:v>0</x:v>
      </x:c>
      <x:c r="C10" s="19" t="n">
        <x:v>79000</x:v>
      </x:c>
      <x:c r="D10" s="19" t="n">
        <x:f>B10-C10</x:f>
        <x:v>-79000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79000</x:v>
      </x:c>
      <x:c r="J10" s="19" t="n">
        <x:f>H10-I10</x:f>
        <x:v>-59000</x:v>
      </x:c>
      <x:c r="K10" s="19" t="n">
        <x:f>K9+J10</x:f>
        <x:v>-53000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0.15507936507936507</x:v>
      </x:c>
      <x:c r="Q10" s="29" t="n">
        <x:v>0.4893650793650794</x:v>
      </x:c>
      <x:c r="R10" s="31" t="n">
        <x:v>23.333333333333332</x:v>
      </x:c>
    </x:row>
    <x:row r="11" ht="23" customHeight="1">
      <x:c r="A11" s="2" t="str">
        <x:v>2026-09-25_Night</x:v>
      </x:c>
      <x:c r="B11" s="19" t="n">
        <x:v>26000</x:v>
      </x:c>
      <x:c r="C11" s="19" t="n">
        <x:v>0</x:v>
      </x:c>
      <x:c r="D11" s="19" t="n">
        <x:f>B11-C11</x:f>
        <x:v>26000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43000</x:v>
      </x:c>
      <x:c r="I11" s="19" t="n">
        <x:f>C11+F11</x:f>
        <x:v>16000</x:v>
      </x:c>
      <x:c r="J11" s="19" t="n">
        <x:f>H11-I11</x:f>
        <x:v>27000</x:v>
      </x:c>
      <x:c r="K11" s="19" t="n">
        <x:f>K10+J11</x:f>
        <x:v>-26000</x:v>
      </x:c>
      <x:c r="L11" s="20" t="n">
        <x:v>3</x:v>
      </x:c>
      <x:c r="M11" s="20" t="n">
        <x:v>1</x:v>
      </x:c>
      <x:c r="N11" s="20" t="n">
        <x:v>2</x:v>
      </x:c>
      <x:c r="O11" s="20" t="n">
        <x:v>5</x:v>
      </x:c>
      <x:c r="P11" s="27" t="n">
        <x:v>0.4053968253968254</x:v>
      </x:c>
      <x:c r="Q11" s="29" t="n">
        <x:v>0.6020634920634921</x:v>
      </x:c>
      <x:c r="R11" s="31" t="n">
        <x:v>23.366666666666667</x:v>
      </x:c>
    </x:row>
    <x:row r="12" ht="23" customHeight="1">
      <x:c r="A12" s="2" t="str">
        <x:v>2026-09-28_Night</x:v>
      </x:c>
      <x:c r="B12" s="19" t="n">
        <x:v>9000</x:v>
      </x:c>
      <x:c r="C12" s="19" t="n">
        <x:v>21000</x:v>
      </x:c>
      <x:c r="D12" s="19" t="n">
        <x:f>B12-C12</x:f>
        <x:v>-12000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51000</x:v>
      </x:c>
      <x:c r="J12" s="19" t="n">
        <x:f>H12-I12</x:f>
        <x:v>-41000</x:v>
      </x:c>
      <x:c r="K12" s="19" t="n">
        <x:f>K11+J12</x:f>
        <x:v>-67000</x:v>
      </x:c>
      <x:c r="L12" s="20" t="n">
        <x:v>6</x:v>
      </x:c>
      <x:c r="M12" s="20" t="n">
        <x:v>2</x:v>
      </x:c>
      <x:c r="N12" s="20" t="n">
        <x:v>4</x:v>
      </x:c>
      <x:c r="O12" s="20" t="n">
        <x:v>3</x:v>
      </x:c>
      <x:c r="P12" s="27" t="n">
        <x:v>0.24544973544973545</x:v>
      </x:c>
      <x:c r="Q12" s="29" t="n">
        <x:v>0.48523809523809525</x:v>
      </x:c>
      <x:c r="R12" s="31" t="n">
        <x:v>23</x:v>
      </x:c>
    </x:row>
    <x:row r="13" ht="23" customHeight="1">
      <x:c r="A13" s="2" t="str">
        <x:v>2026-09-29_Night</x:v>
      </x:c>
      <x:c r="B13" s="19" t="n">
        <x:v>0</x:v>
      </x:c>
      <x:c r="C13" s="19" t="n">
        <x:v>50000</x:v>
      </x:c>
      <x:c r="D13" s="19" t="n">
        <x:f>B13-C13</x:f>
        <x:v>-50000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72000</x:v>
      </x:c>
      <x:c r="J13" s="19" t="n">
        <x:f>H13-I13</x:f>
        <x:v>15000</x:v>
      </x:c>
      <x:c r="K13" s="19" t="n">
        <x:f>K12+J13</x:f>
        <x:v>-52000</x:v>
      </x:c>
      <x:c r="L13" s="20" t="n">
        <x:v>7</x:v>
      </x:c>
      <x:c r="M13" s="20" t="n">
        <x:v>1</x:v>
      </x:c>
      <x:c r="N13" s="20" t="n">
        <x:v>6</x:v>
      </x:c>
      <x:c r="O13" s="20" t="n">
        <x:v>5</x:v>
      </x:c>
      <x:c r="P13" s="27" t="n">
        <x:v>0.101005291005291</x:v>
      </x:c>
      <x:c r="Q13" s="29" t="n">
        <x:v>0.505026455026455</x:v>
      </x:c>
      <x:c r="R13" s="31" t="n">
        <x:v>23.15</x:v>
      </x:c>
    </x:row>
    <x:row r="14" ht="23" customHeight="1">
      <x:c r="A14" s="2" t="str">
        <x:v>2026-09-30_Night</x:v>
      </x:c>
      <x:c r="B14" s="19" t="n">
        <x:v>32000</x:v>
      </x:c>
      <x:c r="C14" s="19" t="n">
        <x:v>0</x:v>
      </x:c>
      <x:c r="D14" s="19" t="n">
        <x:f>B14-C14</x:f>
        <x:v>32000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75000</x:v>
      </x:c>
      <x:c r="I14" s="19" t="n">
        <x:f>C14+F14</x:f>
        <x:v>0</x:v>
      </x:c>
      <x:c r="J14" s="19" t="n">
        <x:f>H14-I14</x:f>
        <x:v>75000</x:v>
      </x:c>
      <x:c r="K14" s="19" t="n">
        <x:f>K13+J14</x:f>
        <x:v>23000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0.43052910052910054</x:v>
      </x:c>
      <x:c r="Q14" s="29" t="n">
        <x:v>1.1806878306878308</x:v>
      </x:c>
      <x:c r="R14" s="31" t="n">
        <x:v>23.466666666666665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80000</x:v>
      </x:c>
      <x:c r="L15" s="20" t="n">
        <x:v>15</x:v>
      </x:c>
      <x:c r="M15" s="20" t="n">
        <x:v>7</x:v>
      </x:c>
      <x:c r="N15" s="20" t="n">
        <x:v>8</x:v>
      </x:c>
      <x:c r="O15" s="20" t="n">
        <x:v>5</x:v>
      </x:c>
      <x:c r="P15" s="27" t="n">
        <x:v>0.32814814814814813</x:v>
      </x:c>
      <x:c r="Q15" s="29" t="n">
        <x:v>0.7628571428571429</x:v>
      </x:c>
      <x:c r="R15" s="31" t="n">
        <x:v>23</x:v>
      </x:c>
    </x:row>
    <x:row r="16" ht="23" customHeight="1">
      <x:c r="A16" s="2" t="str">
        <x:v>2026-10-02_Night</x:v>
      </x:c>
      <x:c r="B16" s="19" t="n">
        <x:v>0</x:v>
      </x:c>
      <x:c r="C16" s="19" t="n">
        <x:v>48000</x:v>
      </x:c>
      <x:c r="D16" s="19" t="n">
        <x:f>B16-C16</x:f>
        <x:v>-48000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86000</x:v>
      </x:c>
      <x:c r="J16" s="19" t="n">
        <x:f>H16-I16</x:f>
        <x:v>208000</x:v>
      </x:c>
      <x:c r="K16" s="19" t="n">
        <x:f>K15+J16</x:f>
        <x:v>288000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  <x:c r="P16" s="27" t="n">
        <x:v>0.14005291005291004</x:v>
      </x:c>
      <x:c r="Q16" s="29" t="n">
        <x:v>0.4201587301587302</x:v>
      </x:c>
      <x:c r="R16" s="31" t="n">
        <x:v>23</x:v>
      </x:c>
    </x:row>
    <x:row r="17" ht="23" customHeight="1">
      <x:c r="A17" s="2" t="str">
        <x:v>2026-10-05_Night</x:v>
      </x:c>
      <x:c r="B17" s="19" t="n">
        <x:v>53000</x:v>
      </x:c>
      <x:c r="C17" s="19" t="n">
        <x:v>0</x:v>
      </x:c>
      <x:c r="D17" s="19" t="n">
        <x:f>B17-C17</x:f>
        <x:v>53000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151000</x:v>
      </x:c>
      <x:c r="I17" s="19" t="n">
        <x:f>C17+F17</x:f>
        <x:v>64000</x:v>
      </x:c>
      <x:c r="J17" s="19" t="n">
        <x:f>H17-I17</x:f>
        <x:v>87000</x:v>
      </x:c>
      <x:c r="K17" s="19" t="n">
        <x:f>K16+J17</x:f>
        <x:v>375000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0.48164021164021165</x:v>
      </x:c>
      <x:c r="Q17" s="29" t="n">
        <x:v>0.6466137566137566</x:v>
      </x:c>
      <x:c r="R17" s="31" t="n">
        <x:v>23.016666666666666</x:v>
      </x:c>
    </x:row>
    <x:row r="18" ht="23" customHeight="1">
      <x:c r="A18" s="2" t="str">
        <x:v>2026-10-06_Night</x:v>
      </x:c>
      <x:c r="B18" s="19" t="n">
        <x:v>87000</x:v>
      </x:c>
      <x:c r="C18" s="19" t="n">
        <x:v>0</x:v>
      </x:c>
      <x:c r="D18" s="19" t="n">
        <x:f>B18-C18</x:f>
        <x:v>87000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120000</x:v>
      </x:c>
      <x:c r="I18" s="19" t="n">
        <x:f>C18+F18</x:f>
        <x:v>43000</x:v>
      </x:c>
      <x:c r="J18" s="19" t="n">
        <x:f>H18-I18</x:f>
        <x:v>77000</x:v>
      </x:c>
      <x:c r="K18" s="19" t="n">
        <x:f>K17+J18</x:f>
        <x:v>452000</x:v>
      </x:c>
      <x:c r="L18" s="20" t="n">
        <x:v>5</x:v>
      </x:c>
      <x:c r="M18" s="20" t="n">
        <x:v>1</x:v>
      </x:c>
      <x:c r="N18" s="20" t="n">
        <x:v>4</x:v>
      </x:c>
      <x:c r="O18" s="20" t="n">
        <x:v>7</x:v>
      </x:c>
      <x:c r="P18" s="27" t="n">
        <x:v>0.7798412698412699</x:v>
      </x:c>
      <x:c r="Q18" s="29" t="n">
        <x:v>1.9835449735449735</x:v>
      </x:c>
      <x:c r="R18" s="31" t="n">
        <x:v>23.15</x:v>
      </x:c>
    </x:row>
    <x:row r="19" ht="23" customHeight="1">
      <x:c r="A19" s="2" t="str">
        <x:v>2026-10-07_Night</x:v>
      </x:c>
      <x:c r="B19" s="19" t="n">
        <x:v>0</x:v>
      </x:c>
      <x:c r="C19" s="19" t="n">
        <x:v>76000</x:v>
      </x:c>
      <x:c r="D19" s="19" t="n">
        <x:f>B19-C19</x:f>
        <x:v>-76000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98000</x:v>
      </x:c>
      <x:c r="J19" s="19" t="n">
        <x:f>H19-I19</x:f>
        <x:v>-98000</x:v>
      </x:c>
      <x:c r="K19" s="19" t="n">
        <x:f>K18+J19</x:f>
        <x:v>354000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  <x:c r="P19" s="27" t="n">
        <x:v>0.09439153439153439</x:v>
      </x:c>
      <x:c r="Q19" s="29" t="n">
        <x:v>0.24481481481481482</x:v>
      </x:c>
      <x:c r="R19" s="31" t="n">
        <x:v>23.233333333333334</x:v>
      </x:c>
    </x:row>
    <x:row r="20" ht="23" customHeight="1">
      <x:c r="A20" s="2" t="str">
        <x:v>2026-10-08_Night</x:v>
      </x:c>
      <x:c r="B20" s="19" t="n">
        <x:v>19000</x:v>
      </x:c>
      <x:c r="C20" s="19" t="n">
        <x:v>45000</x:v>
      </x:c>
      <x:c r="D20" s="19" t="n">
        <x:f>B20-C20</x:f>
        <x:v>-26000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345000</x:v>
      </x:c>
      <x:c r="I20" s="19" t="n">
        <x:f>C20+F20</x:f>
        <x:v>65000</x:v>
      </x:c>
      <x:c r="J20" s="19" t="n">
        <x:f>H20-I20</x:f>
        <x:v>280000</x:v>
      </x:c>
      <x:c r="K20" s="19" t="n">
        <x:f>K19+J20</x:f>
        <x:v>634000</x:v>
      </x:c>
      <x:c r="L20" s="20" t="n">
        <x:v>19</x:v>
      </x:c>
      <x:c r="M20" s="20" t="n">
        <x:v>4</x:v>
      </x:c>
      <x:c r="N20" s="20" t="n">
        <x:v>15</x:v>
      </x:c>
      <x:c r="O20" s="20" t="n">
        <x:v>8</x:v>
      </x:c>
      <x:c r="P20" s="27" t="n">
        <x:v>0.8984656084656084</x:v>
      </x:c>
      <x:c r="Q20" s="29" t="n">
        <x:v>1.158095238095238</x:v>
      </x:c>
      <x:c r="R20" s="31" t="n">
        <x:v>23</x:v>
      </x:c>
    </x:row>
    <x:row r="21" ht="23" customHeight="1">
      <x:c r="A21" s="2" t="str">
        <x:v>2026-10-09_Night</x:v>
      </x:c>
      <x:c r="B21" s="19" t="n">
        <x:v>0</x:v>
      </x:c>
      <x:c r="C21" s="19" t="n">
        <x:v>46000</x:v>
      </x:c>
      <x:c r="D21" s="19" t="n">
        <x:f>B21-C21</x:f>
        <x:v>-46000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46000</x:v>
      </x:c>
      <x:c r="J21" s="19" t="n">
        <x:f>H21-I21</x:f>
        <x:v>-32000</x:v>
      </x:c>
      <x:c r="K21" s="19" t="n">
        <x:f>K20+J21</x:f>
        <x:v>602000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0.0647089947089947</x:v>
      </x:c>
      <x:c r="Q21" s="29" t="n">
        <x:v>0.2808994708994709</x:v>
      </x:c>
      <x:c r="R21" s="31" t="n">
        <x:v>23.3</x:v>
      </x:c>
    </x:row>
    <x:row r="22" ht="23" customHeight="1">
      <x:c r="A22" s="2" t="str">
        <x:v>2026-10-12_Night</x:v>
      </x:c>
      <x:c r="B22" s="19" t="n">
        <x:v>11000</x:v>
      </x:c>
      <x:c r="C22" s="19" t="n">
        <x:v>0</x:v>
      </x:c>
      <x:c r="D22" s="19" t="n">
        <x:f>B22-C22</x:f>
        <x:v>11000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93000</x:v>
      </x:c>
      <x:c r="I22" s="19" t="n">
        <x:f>C22+F22</x:f>
        <x:v>0</x:v>
      </x:c>
      <x:c r="J22" s="19" t="n">
        <x:f>H22-I22</x:f>
        <x:v>93000</x:v>
      </x:c>
      <x:c r="K22" s="19" t="n">
        <x:f>K21+J22</x:f>
        <x:v>695000</x:v>
      </x:c>
      <x:c r="L22" s="20" t="n">
        <x:v>2</x:v>
      </x:c>
      <x:c r="M22" s="20" t="n">
        <x:v>1</x:v>
      </x:c>
      <x:c r="N22" s="20" t="n">
        <x:v>1</x:v>
      </x:c>
      <x:c r="O22" s="20" t="n">
        <x:v>5</x:v>
      </x:c>
      <x:c r="P22" s="27" t="n">
        <x:v>0.5916931216931217</x:v>
      </x:c>
      <x:c r="Q22" s="29" t="n">
        <x:v>1.058994708994709</x:v>
      </x:c>
      <x:c r="R22" s="31" t="n">
        <x:v>67.2</x:v>
      </x:c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106000</x:v>
      </x:c>
      <x:c r="J23" s="19" t="n">
        <x:f>H23-I23</x:f>
        <x:v>-106000</x:v>
      </x:c>
      <x:c r="K23" s="19" t="n">
        <x:f>K22+J23</x:f>
        <x:v>589000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0.31682539682539684</x:v>
      </x:c>
      <x:c r="Q23" s="29" t="n">
        <x:v>1.5101587301587303</x:v>
      </x:c>
      <x:c r="R23" s="31" t="n">
        <x:v>23.483333333333334</x:v>
      </x:c>
    </x:row>
    <x:row r="24" ht="23" customHeight="1">
      <x:c r="A24" s="2" t="str">
        <x:v>2026-10-14_Night</x:v>
      </x:c>
      <x:c r="B24" s="19" t="n">
        <x:v>0</x:v>
      </x:c>
      <x:c r="C24" s="19" t="n">
        <x:v>80000</x:v>
      </x:c>
      <x:c r="D24" s="19" t="n">
        <x:f>B24-C24</x:f>
        <x:v>-80000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141000</x:v>
      </x:c>
      <x:c r="J24" s="19" t="n">
        <x:f>H24-I24</x:f>
        <x:v>56000</x:v>
      </x:c>
      <x:c r="K24" s="19" t="n">
        <x:f>K23+J24</x:f>
        <x:v>645000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  <x:c r="P24" s="27" t="n">
        <x:v>0.07666666666666666</x:v>
      </x:c>
      <x:c r="Q24" s="29" t="n">
        <x:v>0.38333333333333336</x:v>
      </x:c>
      <x:c r="R24" s="31" t="n">
        <x:v>23</x:v>
      </x:c>
    </x:row>
    <x:row r="25" ht="23" customHeight="1">
      <x:c r="A25" s="2" t="str">
        <x:v>2026-10-15_Night</x:v>
      </x:c>
      <x:c r="B25" s="19" t="n">
        <x:v>0</x:v>
      </x:c>
      <x:c r="C25" s="19" t="n">
        <x:v>50000</x:v>
      </x:c>
      <x:c r="D25" s="19" t="n">
        <x:f>B25-C25</x:f>
        <x:v>-50000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103000</x:v>
      </x:c>
      <x:c r="J25" s="19" t="n">
        <x:f>H25-I25</x:f>
        <x:v>-28000</x:v>
      </x:c>
      <x:c r="K25" s="19" t="n">
        <x:f>K24+J25</x:f>
        <x:v>617000</x:v>
      </x:c>
      <x:c r="L25" s="20" t="n">
        <x:v>8</x:v>
      </x:c>
      <x:c r="M25" s="20" t="n">
        <x:v>1</x:v>
      </x:c>
      <x:c r="N25" s="20" t="n">
        <x:v>7</x:v>
      </x:c>
      <x:c r="O25" s="20" t="n">
        <x:v>3</x:v>
      </x:c>
      <x:c r="P25" s="27" t="n">
        <x:v>0.09978835978835979</x:v>
      </x:c>
      <x:c r="Q25" s="29" t="n">
        <x:v>0.19957671957671957</x:v>
      </x:c>
      <x:c r="R25" s="31" t="n">
        <x:v>23.033333333333335</x:v>
      </x:c>
    </x:row>
    <x:row r="26" ht="23" customHeight="1">
      <x:c r="A26" s="2" t="str">
        <x:v>2026-10-16_Night</x:v>
      </x:c>
      <x:c r="B26" s="19" t="n">
        <x:v>0</x:v>
      </x:c>
      <x:c r="C26" s="19" t="n">
        <x:v>100000</x:v>
      </x:c>
      <x:c r="D26" s="19" t="n">
        <x:f>B26-C26</x:f>
        <x:v>-100000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226000</x:v>
      </x:c>
      <x:c r="J26" s="19" t="n">
        <x:f>H26-I26</x:f>
        <x:v>-68000</x:v>
      </x:c>
      <x:c r="K26" s="19" t="n">
        <x:f>K25+J26</x:f>
        <x:v>549000</x:v>
      </x:c>
      <x:c r="L26" s="20" t="n">
        <x:v>15</x:v>
      </x:c>
      <x:c r="M26" s="20" t="n">
        <x:v>2</x:v>
      </x:c>
      <x:c r="N26" s="20" t="n">
        <x:v>13</x:v>
      </x:c>
      <x:c r="O26" s="20" t="n">
        <x:v>7</x:v>
      </x:c>
      <x:c r="P26" s="27" t="n">
        <x:v>0.17312169312169312</x:v>
      </x:c>
      <x:c r="Q26" s="29" t="n">
        <x:v>0.8656084656084656</x:v>
      </x:c>
      <x:c r="R26" s="31" t="n">
        <x:v>23.266666666666666</x:v>
      </x:c>
    </x:row>
    <x:row r="27" ht="23" customHeight="1">
      <x:c r="A27" s="2" t="str">
        <x:v>2026-10-19_Night</x:v>
      </x:c>
      <x:c r="B27" s="19" t="n">
        <x:v>0</x:v>
      </x:c>
      <x:c r="C27" s="19" t="n">
        <x:v>20000</x:v>
      </x:c>
      <x:c r="D27" s="19" t="n">
        <x:f>B27-C27</x:f>
        <x:v>-20000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113000</x:v>
      </x:c>
      <x:c r="J27" s="19" t="n">
        <x:f>H27-I27</x:f>
        <x:v>-28000</x:v>
      </x:c>
      <x:c r="K27" s="19" t="n">
        <x:f>K26+J27</x:f>
        <x:v>521000</x:v>
      </x:c>
      <x:c r="L27" s="20" t="n">
        <x:v>13</x:v>
      </x:c>
      <x:c r="M27" s="20" t="n">
        <x:v>1</x:v>
      </x:c>
      <x:c r="N27" s="20" t="n">
        <x:v>12</x:v>
      </x:c>
      <x:c r="O27" s="20" t="n">
        <x:v>5</x:v>
      </x:c>
      <x:c r="P27" s="27" t="n">
        <x:v>0.007566137566137566</x:v>
      </x:c>
      <x:c r="Q27" s="29" t="n">
        <x:v>0.03783068783068783</x:v>
      </x:c>
      <x:c r="R27" s="31" t="n">
        <x:v>23</x:v>
      </x:c>
    </x:row>
    <x:row r="28" ht="23" customHeight="1">
      <x:c r="A28" s="2" t="str">
        <x:v>2026-10-20_Night</x:v>
      </x:c>
      <x:c r="B28" s="19" t="n">
        <x:v>80000</x:v>
      </x:c>
      <x:c r="C28" s="19" t="n">
        <x:v>0</x:v>
      </x:c>
      <x:c r="D28" s="19" t="n">
        <x:f>B28-C28</x:f>
        <x:v>80000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170000</x:v>
      </x:c>
      <x:c r="I28" s="19" t="n">
        <x:f>C28+F28</x:f>
        <x:v>24000</x:v>
      </x:c>
      <x:c r="J28" s="19" t="n">
        <x:f>H28-I28</x:f>
        <x:v>146000</x:v>
      </x:c>
      <x:c r="K28" s="19" t="n">
        <x:f>K27+J28</x:f>
        <x:v>667000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  <x:c r="P28" s="27" t="n">
        <x:v>0.21095238095238095</x:v>
      </x:c>
      <x:c r="Q28" s="29" t="n">
        <x:v>0.43232804232804234</x:v>
      </x:c>
      <x:c r="R28" s="31" t="n">
        <x:v>23</x:v>
      </x:c>
    </x:row>
    <x:row r="29" ht="23" customHeight="1">
      <x:c r="A29" s="2" t="str">
        <x:v>2026-10-21_Night</x:v>
      </x:c>
      <x:c r="B29" s="19" t="n">
        <x:v>51000</x:v>
      </x:c>
      <x:c r="C29" s="19" t="n">
        <x:v>0</x:v>
      </x:c>
      <x:c r="D29" s="19" t="n">
        <x:f>B29-C29</x:f>
        <x:v>51000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112000</x:v>
      </x:c>
      <x:c r="I29" s="19" t="n">
        <x:f>C29+F29</x:f>
        <x:v>85000</x:v>
      </x:c>
      <x:c r="J29" s="19" t="n">
        <x:f>H29-I29</x:f>
        <x:v>27000</x:v>
      </x:c>
      <x:c r="K29" s="19" t="n">
        <x:f>K28+J29</x:f>
        <x:v>694000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0.1653968253968254</x:v>
      </x:c>
      <x:c r="Q29" s="29" t="n">
        <x:v>0.41253968253968254</x:v>
      </x:c>
      <x:c r="R29" s="31" t="n">
        <x:v>23</x:v>
      </x:c>
    </x:row>
    <x:row r="30" ht="23" customHeight="1">
      <x:c r="A30" s="2" t="str">
        <x:v>2026-10-22_Night</x:v>
      </x:c>
      <x:c r="B30" s="19" t="n">
        <x:v>0</x:v>
      </x:c>
      <x:c r="C30" s="19" t="n">
        <x:v>83000</x:v>
      </x:c>
      <x:c r="D30" s="19" t="n">
        <x:f>B30-C30</x:f>
        <x:v>-83000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83000</x:v>
      </x:c>
      <x:c r="J30" s="19" t="n">
        <x:f>H30-I30</x:f>
        <x:v>73000</x:v>
      </x:c>
      <x:c r="K30" s="19" t="n">
        <x:f>K29+J30</x:f>
        <x:v>767000</x:v>
      </x:c>
      <x:c r="L30" s="20" t="n">
        <x:v>5</x:v>
      </x:c>
      <x:c r="M30" s="20" t="n">
        <x:v>2</x:v>
      </x:c>
      <x:c r="N30" s="20" t="n">
        <x:v>3</x:v>
      </x:c>
      <x:c r="O30" s="20" t="n">
        <x:v>6</x:v>
      </x:c>
      <x:c r="P30" s="27" t="n">
        <x:v>0.1352910052910053</x:v>
      </x:c>
      <x:c r="Q30" s="29" t="n">
        <x:v>0.46555555555555556</x:v>
      </x:c>
      <x:c r="R30" s="31" t="n">
        <x:v>23</x:v>
      </x:c>
    </x:row>
    <x:row r="31" ht="23" customHeight="1">
      <x:c r="A31" s="2" t="str">
        <x:v>2026-10-23_Night</x:v>
      </x:c>
      <x:c r="B31" s="19" t="n">
        <x:v>3000</x:v>
      </x:c>
      <x:c r="C31" s="19" t="n">
        <x:v>76000</x:v>
      </x:c>
      <x:c r="D31" s="19" t="n">
        <x:f>B31-C31</x:f>
        <x:v>-73000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98000</x:v>
      </x:c>
      <x:c r="J31" s="19" t="n">
        <x:f>H31-I31</x:f>
        <x:v>-58000</x:v>
      </x:c>
      <x:c r="K31" s="19" t="n">
        <x:f>K30+J31</x:f>
        <x:v>709000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  <x:c r="P31" s="27" t="n">
        <x:v>0.5084656084656085</x:v>
      </x:c>
      <x:c r="Q31" s="29" t="n">
        <x:v>0.936984126984127</x:v>
      </x:c>
      <x:c r="R31" s="31" t="n">
        <x:v>23.016666666666666</x:v>
      </x:c>
    </x:row>
    <x:row r="32" ht="23" customHeight="1">
      <x:c r="A32" s="24" t="str">
        <x:v>25夜累計</x:v>
      </x:c>
      <x:c r="B32" s="25" t="n">
        <x:f>SUM(B7:B31)</x:f>
        <x:v>491000</x:v>
      </x:c>
      <x:c r="C32" s="25" t="n">
        <x:f>SUM(C7:C31)</x:f>
        <x:v>925000</x:v>
      </x:c>
      <x:c r="D32" s="25" t="n">
        <x:f>B32-C32</x:f>
        <x:v>-434000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2583000</x:v>
      </x:c>
      <x:c r="I32" s="25" t="n">
        <x:f>C32+F32</x:f>
        <x:v>1874000</x:v>
      </x:c>
      <x:c r="J32" s="25" t="n">
        <x:f>H32-I32</x:f>
        <x:v>709000</x:v>
      </x:c>
      <x:c r="K32" s="25" t="n">
        <x:f>K31</x:f>
        <x:v>709000</x:v>
      </x:c>
      <x:c r="L32" s="26" t="n">
        <x:f>SUM(L7:L31)</x:f>
        <x:v>184</x:v>
      </x:c>
      <x:c r="M32" s="26" t="n">
        <x:f>SUM(M7:M31)</x:f>
        <x:v>50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0.2974306878306879</x:v>
      </x:c>
      <x:c r="Q32" s="30" t="n">
        <x:f>AVERAGE(Q7:Q31)</x:f>
        <x:v>0.7355576719576721</x:v>
      </x:c>
      <x:c r="R32" s="32" t="n">
        <x:f>IF(COUNT(R7:R31)=0,"未参加",MEDIAN(R7:R31))</x:f>
        <x:v>23.15</x:v>
      </x:c>
    </x:row>
  </x:sheetData>
  <x:conditionalFormatting sqref="B7:K32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d231098362428d"/>
  </x:tableParts>
</x:worksheet>
</file>

<file path=xl/worksheets/sheet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A00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主担当通常入口だけ17時解禁、前半補完なし、米国前15分全返済、後半D07固定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0.20148994708994705</x:v>
      </x:c>
      <x:c r="R32" s="32" t="n">
        <x:f>IF(COUNT(R7:R31)=0,"未参加",MEDIAN(R7:R31))</x:f>
        <x:v>135.46666666666667</x:v>
      </x:c>
    </x:row>
  </x:sheetData>
  <x:conditionalFormatting sqref="B7:K32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bfe77659794130"/>
  </x:tableParts>
</x:worksheet>
</file>

<file path=xl/worksheets/sheet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主担当の20分方向効率を0.35から0.25へ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20000</x:v>
      </x:c>
      <x:c r="C10" s="19" t="n">
        <x:v>40000</x:v>
      </x:c>
      <x:c r="D10" s="19" t="n">
        <x:f>B10-C10</x:f>
        <x:v>-20000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40000</x:v>
      </x:c>
      <x:c r="I10" s="19" t="n">
        <x:f>C10+F10</x:f>
        <x:v>40000</x:v>
      </x:c>
      <x:c r="J10" s="19" t="n">
        <x:f>H10-I10</x:f>
        <x:v>0</x:v>
      </x:c>
      <x:c r="K10" s="19" t="n">
        <x:f>K9+J10</x:f>
        <x:v>-23000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0.0682010582010582</x:v>
      </x:c>
      <x:c r="Q10" s="29" t="n">
        <x:v>0.341005291005291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-22000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-42000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23000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77000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134000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390000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424000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414000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45000</x:v>
      </x:c>
      <x:c r="C19" s="19" t="n">
        <x:v>21000</x:v>
      </x:c>
      <x:c r="D19" s="19" t="n">
        <x:f>B19-C19</x:f>
        <x:v>24000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45000</x:v>
      </x:c>
      <x:c r="I19" s="19" t="n">
        <x:f>C19+F19</x:f>
        <x:v>43000</x:v>
      </x:c>
      <x:c r="J19" s="19" t="n">
        <x:f>H19-I19</x:f>
        <x:v>2000</x:v>
      </x:c>
      <x:c r="K19" s="19" t="n">
        <x:f>K18+J19</x:f>
        <x:v>416000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  <x:c r="P19" s="27" t="n">
        <x:v>0.5764550264550264</x:v>
      </x:c>
      <x:c r="Q19" s="29" t="n">
        <x:v>1.3555555555555556</x:v>
      </x:c>
      <x:c r="R19" s="31" t="n">
        <x:v>95.45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727000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0</x:v>
      </x:c>
      <x:c r="J21" s="19" t="n">
        <x:f>H21-I21</x:f>
        <x:v>74000</x:v>
      </x:c>
      <x:c r="K21" s="19" t="n">
        <x:f>K20+J21</x:f>
        <x:v>801000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0.4150793650793651</x:v>
      </x:c>
      <x:c r="Q21" s="29" t="n">
        <x:v>1.778042328042328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883000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90000</x:v>
      </x:c>
      <x:c r="D23" s="19" t="n">
        <x:f>B23-C23</x:f>
        <x:v>-90000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143000</x:v>
      </x:c>
      <x:c r="J23" s="19" t="n">
        <x:f>H23-I23</x:f>
        <x:v>-143000</x:v>
      </x:c>
      <x:c r="K23" s="19" t="n">
        <x:f>K22+J23</x:f>
        <x:v>740000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0.2794179894179894</x:v>
      </x:c>
      <x:c r="Q23" s="29" t="n">
        <x:v>1.3970899470899472</x:v>
      </x:c>
      <x:c r="R23" s="31" t="n">
        <x:v>55.13333333333333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876000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898000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895000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0.034074074074074076</x:v>
      </x:c>
      <x:c r="Q26" s="29" t="n">
        <x:v>0.17037037037037037</x:v>
      </x:c>
      <x:c r="R26" s="31" t="n">
        <x:v>300.21666666666664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887000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44000</x:v>
      </x:c>
      <x:c r="C28" s="19" t="n">
        <x:v>0</x:v>
      </x:c>
      <x:c r="D28" s="19" t="n">
        <x:f>B28-C28</x:f>
        <x:v>44000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134000</x:v>
      </x:c>
      <x:c r="I28" s="19" t="n">
        <x:f>C28+F28</x:f>
        <x:v>24000</x:v>
      </x:c>
      <x:c r="J28" s="19" t="n">
        <x:f>H28-I28</x:f>
        <x:v>110000</x:v>
      </x:c>
      <x:c r="K28" s="19" t="n">
        <x:f>K27+J28</x:f>
        <x:v>997000</x:v>
      </x:c>
      <x:c r="L28" s="20" t="n">
        <x:v>10</x:v>
      </x:c>
      <x:c r="M28" s="20" t="n">
        <x:v>3</x:v>
      </x:c>
      <x:c r="N28" s="20" t="n">
        <x:v>7</x:v>
      </x:c>
      <x:c r="O28" s="20" t="n">
        <x:v>6</x:v>
      </x:c>
      <x:c r="P28" s="27" t="n">
        <x:v>0.13544973544973546</x:v>
      </x:c>
      <x:c r="Q28" s="29" t="n">
        <x:v>0.5992063492063492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933000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0.0326984126984127</x:v>
      </x:c>
      <x:c r="Q29" s="29" t="n">
        <x:v>0.1634920634920635</x:v>
      </x:c>
      <x:c r="R29" s="31" t="n">
        <x:v>133.31666666666666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1054000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1041000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248000</x:v>
      </x:c>
      <x:c r="C32" s="25" t="n">
        <x:f>SUM(C7:C31)</x:f>
        <x:v>350000</x:v>
      </x:c>
      <x:c r="D32" s="25" t="n">
        <x:f>B32-C32</x:f>
        <x:v>-102000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2340000</x:v>
      </x:c>
      <x:c r="I32" s="25" t="n">
        <x:f>C32+F32</x:f>
        <x:v>1299000</x:v>
      </x:c>
      <x:c r="J32" s="25" t="n">
        <x:f>H32-I32</x:f>
        <x:v>1041000</x:v>
      </x:c>
      <x:c r="K32" s="25" t="n">
        <x:f>K31</x:f>
        <x:v>1041000</x:v>
      </x:c>
      <x:c r="L32" s="26" t="n">
        <x:f>SUM(L7:L31)</x:f>
        <x:v>163</x:v>
      </x:c>
      <x:c r="M32" s="26" t="n">
        <x:f>SUM(M7:M31)</x:f>
        <x:v>29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0.12908359788359786</x:v>
      </x:c>
      <x:c r="Q32" s="30" t="n">
        <x:f>AVERAGE(Q7:Q31)</x:f>
        <x:v>0.3555195767195767</x:v>
      </x:c>
      <x:c r="R32" s="32" t="n">
        <x:f>IF(COUNT(R7:R31)=0,"未参加",MEDIAN(R7:R31))</x:f>
        <x:v>121.49166666666667</x:v>
      </x:c>
    </x:row>
  </x:sheetData>
  <x:conditionalFormatting sqref="B7:K32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2857937ad74d88"/>
  </x:tableParts>
</x:worksheet>
</file>

<file path=xl/worksheets/sheet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主担当の準備開始後最低経過を60秒から20秒へ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0.20148994708994705</x:v>
      </x:c>
      <x:c r="R32" s="32" t="n">
        <x:f>IF(COUNT(R7:R31)=0,"未参加",MEDIAN(R7:R31))</x:f>
        <x:v>135.46666666666667</x:v>
      </x:c>
    </x:row>
  </x:sheetData>
  <x:conditionalFormatting sqref="B7:K32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2720c215934072"/>
  </x:tableParts>
</x:worksheet>
</file>

<file path=xl/worksheets/sheet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主担当の突破後順行を0.75Rから0.50Rへ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90000</x:v>
      </x:c>
      <x:c r="D10" s="19" t="n">
        <x:f>B10-C10</x:f>
        <x:v>-90000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90000</x:v>
      </x:c>
      <x:c r="J10" s="19" t="n">
        <x:f>H10-I10</x:f>
        <x:v>-70000</x:v>
      </x:c>
      <x:c r="K10" s="19" t="n">
        <x:f>K9+J10</x:f>
        <x:v>-93000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0.030052910052910053</x:v>
      </x:c>
      <x:c r="Q10" s="29" t="n">
        <x:v>0.15026455026455027</x:v>
      </x:c>
      <x:c r="R10" s="31" t="n">
        <x:v>103.38333333333334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-92000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-112000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-47000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7000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53000</x:v>
      </x:c>
      <x:c r="C15" s="19" t="n">
        <x:v>158000</x:v>
      </x:c>
      <x:c r="D15" s="19" t="n">
        <x:f>B15-C15</x:f>
        <x:v>-105000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243000</x:v>
      </x:c>
      <x:c r="I15" s="19" t="n">
        <x:f>C15+F15</x:f>
        <x:v>250000</x:v>
      </x:c>
      <x:c r="J15" s="19" t="n">
        <x:f>H15-I15</x:f>
        <x:v>-7000</x:v>
      </x:c>
      <x:c r="K15" s="19" t="n">
        <x:f>K14+J15</x:f>
        <x:v>0</x:v>
      </x:c>
      <x:c r="L15" s="20" t="n">
        <x:v>18</x:v>
      </x:c>
      <x:c r="M15" s="20" t="n">
        <x:v>10</x:v>
      </x:c>
      <x:c r="N15" s="20" t="n">
        <x:v>8</x:v>
      </x:c>
      <x:c r="O15" s="20" t="n">
        <x:v>7</x:v>
      </x:c>
      <x:c r="P15" s="27" t="n">
        <x:v>0.36137566137566135</x:v>
      </x:c>
      <x:c r="Q15" s="29" t="n">
        <x:v>1.3944973544973545</x:v>
      </x:c>
      <x:c r="R15" s="31" t="n">
        <x:v>36.06666666666667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40000</x:v>
      </x:c>
      <x:c r="D16" s="19" t="n">
        <x:f>B16-C16</x:f>
        <x:v>-40000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78000</x:v>
      </x:c>
      <x:c r="J16" s="19" t="n">
        <x:f>H16-I16</x:f>
        <x:v>216000</x:v>
      </x:c>
      <x:c r="K16" s="19" t="n">
        <x:f>K15+J16</x:f>
        <x:v>216000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  <x:c r="P16" s="27" t="n">
        <x:v>0.03428571428571429</x:v>
      </x:c>
      <x:c r="Q16" s="29" t="n">
        <x:v>0.17142857142857143</x:v>
      </x:c>
      <x:c r="R16" s="31" t="n">
        <x:v>139.2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250000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240000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197000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60000</x:v>
      </x:c>
      <x:c r="D20" s="19" t="n">
        <x:f>B20-C20</x:f>
        <x:v>-55000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80000</x:v>
      </x:c>
      <x:c r="J20" s="19" t="n">
        <x:f>H20-I20</x:f>
        <x:v>251000</x:v>
      </x:c>
      <x:c r="K20" s="19" t="n">
        <x:f>K19+J20</x:f>
        <x:v>448000</x:v>
      </x:c>
      <x:c r="L20" s="20" t="n">
        <x:v>19</x:v>
      </x:c>
      <x:c r="M20" s="20" t="n">
        <x:v>4</x:v>
      </x:c>
      <x:c r="N20" s="20" t="n">
        <x:v>15</x:v>
      </x:c>
      <x:c r="O20" s="20" t="n">
        <x:v>8</x:v>
      </x:c>
      <x:c r="P20" s="27" t="n">
        <x:v>0.6565608465608466</x:v>
      </x:c>
      <x:c r="Q20" s="29" t="n">
        <x:v>0.7933862433862434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30000</x:v>
      </x:c>
      <x:c r="D21" s="19" t="n">
        <x:f>B21-C21</x:f>
        <x:v>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30000</x:v>
      </x:c>
      <x:c r="J21" s="19" t="n">
        <x:f>H21-I21</x:f>
        <x:v>44000</x:v>
      </x:c>
      <x:c r="K21" s="19" t="n">
        <x:f>K20+J21</x:f>
        <x:v>492000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0.43714285714285717</x:v>
      </x:c>
      <x:c r="Q21" s="29" t="n">
        <x:v>1.8883597883597885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574000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476000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38000</x:v>
      </x:c>
      <x:c r="D24" s="19" t="n">
        <x:f>B24-C24</x:f>
        <x:v>-38000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99000</x:v>
      </x:c>
      <x:c r="J24" s="19" t="n">
        <x:f>H24-I24</x:f>
        <x:v>98000</x:v>
      </x:c>
      <x:c r="K24" s="19" t="n">
        <x:f>K23+J24</x:f>
        <x:v>574000</x:v>
      </x:c>
      <x:c r="L24" s="20" t="n">
        <x:v>6</x:v>
      </x:c>
      <x:c r="M24" s="20" t="n">
        <x:v>2</x:v>
      </x:c>
      <x:c r="N24" s="20" t="n">
        <x:v>4</x:v>
      </x:c>
      <x:c r="O24" s="20" t="n">
        <x:v>5</x:v>
      </x:c>
      <x:c r="P24" s="27" t="n">
        <x:v>0.0946031746031746</x:v>
      </x:c>
      <x:c r="Q24" s="29" t="n">
        <x:v>0.2237037037037037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596000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583000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575000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675000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54000</x:v>
      </x:c>
      <x:c r="C29" s="19" t="n">
        <x:v>0</x:v>
      </x:c>
      <x:c r="D29" s="19" t="n">
        <x:f>B29-C29</x:f>
        <x:v>54000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115000</x:v>
      </x:c>
      <x:c r="I29" s="19" t="n">
        <x:f>C29+F29</x:f>
        <x:v>85000</x:v>
      </x:c>
      <x:c r="J29" s="19" t="n">
        <x:f>H29-I29</x:f>
        <x:v>30000</x:v>
      </x:c>
      <x:c r="K29" s="19" t="n">
        <x:f>K28+J29</x:f>
        <x:v>705000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0.15841269841269842</x:v>
      </x:c>
      <x:c r="Q29" s="29" t="n">
        <x:v>0.5567195767195767</x:v>
      </x:c>
      <x:c r="R29" s="31" t="n">
        <x:v>37.65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826000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813000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263000</x:v>
      </x:c>
      <x:c r="C32" s="25" t="n">
        <x:f>SUM(C7:C31)</x:f>
        <x:v>593000</x:v>
      </x:c>
      <x:c r="D32" s="25" t="n">
        <x:f>B32-C32</x:f>
        <x:v>-330000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2355000</x:v>
      </x:c>
      <x:c r="I32" s="25" t="n">
        <x:f>C32+F32</x:f>
        <x:v>1542000</x:v>
      </x:c>
      <x:c r="J32" s="25" t="n">
        <x:f>H32-I32</x:f>
        <x:v>813000</x:v>
      </x:c>
      <x:c r="K32" s="25" t="n">
        <x:f>K31</x:f>
        <x:v>813000</x:v>
      </x:c>
      <x:c r="L32" s="26" t="n">
        <x:f>SUM(L7:L31)</x:f>
        <x:v>170</x:v>
      </x:c>
      <x:c r="M32" s="26" t="n">
        <x:f>SUM(M7:M31)</x:f>
        <x:v>36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0.12350687830687831</x:v>
      </x:c>
      <x:c r="Q32" s="30" t="n">
        <x:f>AVERAGE(Q7:Q31)</x:f>
        <x:v>0.35055026455026456</x:v>
      </x:c>
      <x:c r="R32" s="32" t="n">
        <x:f>IF(COUNT(R7:R31)=0,"未参加",MEDIAN(R7:R31))</x:f>
        <x:v>112.825</x:v>
      </x:c>
    </x:row>
  </x:sheetData>
  <x:conditionalFormatting sqref="B7:K32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c1a750bbdf45d5"/>
  </x:tableParts>
</x:worksheet>
</file>

<file path=xl/worksheets/sheet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主担当の戻り許容を0.25Rから0.40Rへ広げ浅い押戻りを許す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0.23624338624338626</x:v>
      </x:c>
      <x:c r="Q15" s="29" t="n">
        <x:v>0.6085185185185186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  <x:c r="P16" s="27" t="n">
        <x:v>0.0026984126984126986</x:v>
      </x:c>
      <x:c r="Q16" s="29" t="n">
        <x:v>0.008624338624338625</x:v>
      </x:c>
      <x:c r="R16" s="31" t="n">
        <x:v>271.05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30000</x:v>
      </x:c>
      <x:c r="D27" s="19" t="n">
        <x:f>B27-C27</x:f>
        <x:v>-30000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123000</x:v>
      </x:c>
      <x:c r="J27" s="19" t="n">
        <x:f>H27-I27</x:f>
        <x:v>-38000</x:v>
      </x:c>
      <x:c r="K27" s="19" t="n">
        <x:f>K26+J27</x:f>
        <x:v>656000</x:v>
      </x:c>
      <x:c r="L27" s="20" t="n">
        <x:v>13</x:v>
      </x:c>
      <x:c r="M27" s="20" t="n">
        <x:v>1</x:v>
      </x:c>
      <x:c r="N27" s="20" t="n">
        <x:v>12</x:v>
      </x:c>
      <x:c r="O27" s="20" t="n">
        <x:v>5</x:v>
      </x:c>
      <x:c r="P27" s="27" t="n">
        <x:v>0.016084656084656083</x:v>
      </x:c>
      <x:c r="Q27" s="29" t="n">
        <x:v>0.08042328042328042</x:v>
      </x:c>
      <x:c r="R27" s="31" t="n">
        <x:v>274.6666666666667</x:v>
      </x:c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756000</x:v>
      </x:c>
      <x:c r="L28" s="20" t="n">
        <x:v>10</x:v>
      </x:c>
      <x:c r="M28" s="20" t="n">
        <x:v>3</x:v>
      </x:c>
      <x:c r="N28" s="20" t="n">
        <x:v>7</x:v>
      </x:c>
      <x:c r="O28" s="20" t="n">
        <x:v>5</x:v>
      </x:c>
      <x:c r="P28" s="27" t="n">
        <x:v>0.18486772486772488</x:v>
      </x:c>
      <x:c r="Q28" s="29" t="n">
        <x:v>0.33111111111111113</x:v>
      </x:c>
      <x:c r="R28" s="31" t="n">
        <x:v>67.08333333333333</x:v>
      </x:c>
    </x:row>
    <x:row r="29" ht="23" customHeight="1">
      <x:c r="A29" s="2" t="str">
        <x:v>2026-10-21_Night</x:v>
      </x:c>
      <x:c r="B29" s="19" t="n">
        <x:v>44000</x:v>
      </x:c>
      <x:c r="C29" s="19" t="n">
        <x:v>0</x:v>
      </x:c>
      <x:c r="D29" s="19" t="n">
        <x:f>B29-C29</x:f>
        <x:v>44000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105000</x:v>
      </x:c>
      <x:c r="I29" s="19" t="n">
        <x:f>C29+F29</x:f>
        <x:v>85000</x:v>
      </x:c>
      <x:c r="J29" s="19" t="n">
        <x:f>H29-I29</x:f>
        <x:v>20000</x:v>
      </x:c>
      <x:c r="K29" s="19" t="n">
        <x:f>K28+J29</x:f>
        <x:v>776000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0.14888888888888888</x:v>
      </x:c>
      <x:c r="Q29" s="29" t="n">
        <x:v>0.509100529100529</x:v>
      </x:c>
      <x:c r="R29" s="31" t="n">
        <x:v>40.65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897000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54000</x:v>
      </x:c>
      <x:c r="C31" s="19" t="n">
        <x:v>31000</x:v>
      </x:c>
      <x:c r="D31" s="19" t="n">
        <x:f>B31-C31</x:f>
        <x:v>23000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91000</x:v>
      </x:c>
      <x:c r="I31" s="19" t="n">
        <x:f>C31+F31</x:f>
        <x:v>53000</x:v>
      </x:c>
      <x:c r="J31" s="19" t="n">
        <x:f>H31-I31</x:f>
        <x:v>38000</x:v>
      </x:c>
      <x:c r="K31" s="19" t="n">
        <x:f>K30+J31</x:f>
        <x:v>935000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  <x:c r="P31" s="27" t="n">
        <x:v>0.607037037037037</x:v>
      </x:c>
      <x:c r="Q31" s="29" t="n">
        <x:v>1.4476719576719577</x:v>
      </x:c>
      <x:c r="R31" s="31" t="n">
        <x:v>59.36666666666667</x:v>
      </x:c>
    </x:row>
    <x:row r="32" ht="23" customHeight="1">
      <x:c r="A32" s="24" t="str">
        <x:v>25夜累計</x:v>
      </x:c>
      <x:c r="B32" s="25" t="n">
        <x:f>SUM(B7:B31)</x:f>
        <x:v>197000</x:v>
      </x:c>
      <x:c r="C32" s="25" t="n">
        <x:f>SUM(C7:C31)</x:f>
        <x:v>405000</x:v>
      </x:c>
      <x:c r="D32" s="25" t="n">
        <x:f>B32-C32</x:f>
        <x:v>-208000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2289000</x:v>
      </x:c>
      <x:c r="I32" s="25" t="n">
        <x:f>C32+F32</x:f>
        <x:v>1354000</x:v>
      </x:c>
      <x:c r="J32" s="25" t="n">
        <x:f>H32-I32</x:f>
        <x:v>935000</x:v>
      </x:c>
      <x:c r="K32" s="25" t="n">
        <x:f>K31</x:f>
        <x:v>935000</x:v>
      </x:c>
      <x:c r="L32" s="26" t="n">
        <x:f>SUM(L7:L31)</x:f>
        <x:v>164</x:v>
      </x:c>
      <x:c r="M32" s="26" t="n">
        <x:f>SUM(M7:M31)</x:f>
        <x:v>30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0.1018941798941799</x:v>
      </x:c>
      <x:c r="Q32" s="30" t="n">
        <x:f>AVERAGE(Q7:Q31)</x:f>
        <x:v>0.25939047619047617</x:v>
      </x:c>
      <x:c r="R32" s="32" t="n">
        <x:f>IF(COUNT(R7:R31)=0,"未参加",MEDIAN(R7:R31))</x:f>
        <x:v>128.56666666666666</x:v>
      </x:c>
    </x:row>
  </x:sheetData>
  <x:conditionalFormatting sqref="B7:K32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4fc7130f68483b"/>
  </x:tableParts>
</x:worksheet>
</file>

<file path=xl/worksheets/sheet1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A05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主担当の押戻り後反発を0.25Rから0.125Rへ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40000</x:v>
      </x:c>
      <x:c r="D23" s="19" t="n">
        <x:f>B23-C23</x:f>
        <x:v>-40000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93000</x:v>
      </x:c>
      <x:c r="J23" s="19" t="n">
        <x:f>H23-I23</x:f>
        <x:v>-93000</x:v>
      </x:c>
      <x:c r="K23" s="19" t="n">
        <x:f>K22+J23</x:f>
        <x:v>579000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690000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712000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699000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691000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791000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767000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923000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910000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335000</x:v>
      </x:c>
      <x:c r="D32" s="25" t="n">
        <x:f>B32-C32</x:f>
        <x:v>-233000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1284000</x:v>
      </x:c>
      <x:c r="J32" s="25" t="n">
        <x:f>H32-I32</x:f>
        <x:v>910000</x:v>
      </x:c>
      <x:c r="K32" s="25" t="n">
        <x:f>K31</x:f>
        <x:v>910000</x:v>
      </x:c>
      <x:c r="L32" s="26" t="n">
        <x:f>SUM(L7:L31)</x:f>
        <x:v>158</x:v>
      </x:c>
      <x:c r="M32" s="26" t="n">
        <x:f>SUM(M7:M31)</x:f>
        <x:v>24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0.08614603174603175</x:v>
      </x:c>
      <x:c r="Q32" s="30" t="n">
        <x:f>AVERAGE(Q7:Q31)</x:f>
        <x:v>0.1955216931216931</x:v>
      </x:c>
      <x:c r="R32" s="32" t="n">
        <x:f>IF(COUNT(R7:R31)=0,"未参加",MEDIAN(R7:R31))</x:f>
        <x:v>128.56666666666666</x:v>
      </x:c>
    </x:row>
  </x:sheetData>
  <x:conditionalFormatting sqref="B7:K32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79cde7154b48cb"/>
  </x:tableParts>
</x:worksheet>
</file>

<file path=xl/worksheets/sheet1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A06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追加の40分効率区分を突破0.35/往復0.20から0.30/0.25へ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24000</x:v>
      </x:c>
      <x:c r="D16" s="19" t="n">
        <x:f>B16-C16</x:f>
        <x:v>-24000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62000</x:v>
      </x:c>
      <x:c r="J16" s="19" t="n">
        <x:f>H16-I16</x:f>
        <x:v>232000</x:v>
      </x:c>
      <x:c r="K16" s="19" t="n">
        <x:f>K15+J16</x:f>
        <x:v>335000</x:v>
      </x:c>
      <x:c r="L16" s="20" t="n">
        <x:v>16</x:v>
      </x:c>
      <x:c r="M16" s="20" t="n">
        <x:v>1</x:v>
      </x:c>
      <x:c r="N16" s="20" t="n">
        <x:v>15</x:v>
      </x:c>
      <x:c r="O16" s="20" t="n">
        <x:v>10</x:v>
      </x:c>
      <x:c r="P16" s="27" t="n">
        <x:v>0.017883597883597883</x:v>
      </x:c>
      <x:c r="Q16" s="29" t="n">
        <x:v>0.03576719576719577</x:v>
      </x:c>
      <x:c r="R16" s="31" t="n">
        <x:v>274.78333333333336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369000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359000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316000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582000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566000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648000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550000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661000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683000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670000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662000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762000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738000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859000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66000</x:v>
      </x:c>
      <x:c r="D31" s="19" t="n">
        <x:f>B31-C31</x:f>
        <x:v>-63000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88000</x:v>
      </x:c>
      <x:c r="J31" s="19" t="n">
        <x:f>H31-I31</x:f>
        <x:v>-48000</x:v>
      </x:c>
      <x:c r="K31" s="19" t="n">
        <x:f>K30+J31</x:f>
        <x:v>811000</x:v>
      </x:c>
      <x:c r="L31" s="20" t="n">
        <x:v>12</x:v>
      </x:c>
      <x:c r="M31" s="20" t="n">
        <x:v>6</x:v>
      </x:c>
      <x:c r="N31" s="20" t="n">
        <x:v>6</x:v>
      </x:c>
      <x:c r="O31" s="20" t="n">
        <x:v>5</x:v>
      </x:c>
      <x:c r="P31" s="27" t="n">
        <x:v>0.5456084656084657</x:v>
      </x:c>
      <x:c r="Q31" s="29" t="n">
        <x:v>1.1552380952380952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434000</x:v>
      </x:c>
      <x:c r="D32" s="25" t="n">
        <x:f>B32-C32</x:f>
        <x:v>-332000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1383000</x:v>
      </x:c>
      <x:c r="J32" s="25" t="n">
        <x:f>H32-I32</x:f>
        <x:v>811000</x:v>
      </x:c>
      <x:c r="K32" s="25" t="n">
        <x:f>K31</x:f>
        <x:v>811000</x:v>
      </x:c>
      <x:c r="L32" s="26" t="n">
        <x:f>SUM(L7:L31)</x:f>
        <x:v>162</x:v>
      </x:c>
      <x:c r="M32" s="26" t="n">
        <x:f>SUM(M7:M31)</x:f>
        <x:v>28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0.0912042328042328</x:v>
      </x:c>
      <x:c r="Q32" s="30" t="n">
        <x:f>AVERAGE(Q7:Q31)</x:f>
        <x:v>0.21664126984126983</x:v>
      </x:c>
      <x:c r="R32" s="32" t="n">
        <x:f>IF(COUNT(R7:R31)=0,"未参加",MEDIAN(R7:R31))</x:f>
        <x:v>153.29166666666669</x:v>
      </x:c>
    </x:row>
  </x:sheetData>
  <x:conditionalFormatting sqref="B7:K32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bd35c43b7a490e"/>
  </x:tableParts>
</x:worksheet>
</file>

<file path=xl/worksheets/sheet1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A07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追加の通常入口連続確認を30秒から10秒へ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25000</x:v>
      </x:c>
      <x:c r="C12" s="19" t="n">
        <x:v>0</x:v>
      </x:c>
      <x:c r="D12" s="19" t="n">
        <x:f>B12-C12</x:f>
        <x:v>25000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26000</x:v>
      </x:c>
      <x:c r="I12" s="19" t="n">
        <x:f>C12+F12</x:f>
        <x:v>30000</x:v>
      </x:c>
      <x:c r="J12" s="19" t="n">
        <x:f>H12-I12</x:f>
        <x:v>-4000</x:v>
      </x:c>
      <x:c r="K12" s="19" t="n">
        <x:f>K11+J12</x:f>
        <x:v>-46000</x:v>
      </x:c>
      <x:c r="L12" s="20" t="n">
        <x:v>6</x:v>
      </x:c>
      <x:c r="M12" s="20" t="n">
        <x:v>2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0.3755026455026455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19000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62000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119000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0.5773544973544974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102000</x:v>
      </x:c>
      <x:c r="D16" s="19" t="n">
        <x:f>B16-C16</x:f>
        <x:v>-102000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140000</x:v>
      </x:c>
      <x:c r="J16" s="19" t="n">
        <x:f>H16-I16</x:f>
        <x:v>154000</x:v>
      </x:c>
      <x:c r="K16" s="19" t="n">
        <x:f>K15+J16</x:f>
        <x:v>273000</x:v>
      </x:c>
      <x:c r="L16" s="20" t="n">
        <x:v>20</x:v>
      </x:c>
      <x:c r="M16" s="20" t="n">
        <x:v>5</x:v>
      </x:c>
      <x:c r="N16" s="20" t="n">
        <x:v>15</x:v>
      </x:c>
      <x:c r="O16" s="20" t="n">
        <x:v>10</x:v>
      </x:c>
      <x:c r="P16" s="27" t="n">
        <x:v>0.17513227513227514</x:v>
      </x:c>
      <x:c r="Q16" s="29" t="n">
        <x:v>0.3502645502645503</x:v>
      </x:c>
      <x:c r="R16" s="31" t="n">
        <x:v>81.96666666666667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307000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297000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41000</x:v>
      </x:c>
      <x:c r="D19" s="19" t="n">
        <x:f>B19-C19</x:f>
        <x:v>-41000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63000</x:v>
      </x:c>
      <x:c r="J19" s="19" t="n">
        <x:f>H19-I19</x:f>
        <x:v>-63000</x:v>
      </x:c>
      <x:c r="K19" s="19" t="n">
        <x:f>K18+J19</x:f>
        <x:v>234000</x:v>
      </x:c>
      <x:c r="L19" s="20" t="n">
        <x:v>6</x:v>
      </x:c>
      <x:c r="M19" s="20" t="n">
        <x:v>4</x:v>
      </x:c>
      <x:c r="N19" s="20" t="n">
        <x:v>2</x:v>
      </x:c>
      <x:c r="O19" s="20" t="n">
        <x:v>4</x:v>
      </x:c>
      <x:c r="P19" s="27" t="n">
        <x:v>0.16592592592592592</x:v>
      </x:c>
      <x:c r="Q19" s="29" t="n">
        <x:v>0.39291005291005293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61000</x:v>
      </x:c>
      <x:c r="D20" s="19" t="n">
        <x:f>B20-C20</x:f>
        <x:v>-56000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81000</x:v>
      </x:c>
      <x:c r="J20" s="19" t="n">
        <x:f>H20-I20</x:f>
        <x:v>250000</x:v>
      </x:c>
      <x:c r="K20" s="19" t="n">
        <x:f>K19+J20</x:f>
        <x:v>484000</x:v>
      </x:c>
      <x:c r="L20" s="20" t="n">
        <x:v>19</x:v>
      </x:c>
      <x:c r="M20" s="20" t="n">
        <x:v>4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0.724021164021164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468000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550000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452000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563000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585000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572000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564000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63000</x:v>
      </x:c>
      <x:c r="C28" s="19" t="n">
        <x:v>0</x:v>
      </x:c>
      <x:c r="D28" s="19" t="n">
        <x:f>B28-C28</x:f>
        <x:v>63000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153000</x:v>
      </x:c>
      <x:c r="I28" s="19" t="n">
        <x:f>C28+F28</x:f>
        <x:v>24000</x:v>
      </x:c>
      <x:c r="J28" s="19" t="n">
        <x:f>H28-I28</x:f>
        <x:v>129000</x:v>
      </x:c>
      <x:c r="K28" s="19" t="n">
        <x:f>K27+J28</x:f>
        <x:v>693000</x:v>
      </x:c>
      <x:c r="L28" s="20" t="n">
        <x:v>11</x:v>
      </x:c>
      <x:c r="M28" s="20" t="n">
        <x:v>4</x:v>
      </x:c>
      <x:c r="N28" s="20" t="n">
        <x:v>7</x:v>
      </x:c>
      <x:c r="O28" s="20" t="n">
        <x:v>5</x:v>
      </x:c>
      <x:c r="P28" s="27" t="n">
        <x:v>0.1361904761904762</x:v>
      </x:c>
      <x:c r="Q28" s="29" t="n">
        <x:v>0.21026455026455027</x:v>
      </x:c>
      <x:c r="R28" s="31" t="n">
        <x:v>272.1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669000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790000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777000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147000</x:v>
      </x:c>
      <x:c r="C32" s="25" t="n">
        <x:f>SUM(C7:C31)</x:f>
        <x:v>513000</x:v>
      </x:c>
      <x:c r="D32" s="25" t="n">
        <x:f>B32-C32</x:f>
        <x:v>-366000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2239000</x:v>
      </x:c>
      <x:c r="I32" s="25" t="n">
        <x:f>C32+F32</x:f>
        <x:v>1462000</x:v>
      </x:c>
      <x:c r="J32" s="25" t="n">
        <x:f>H32-I32</x:f>
        <x:v>777000</x:v>
      </x:c>
      <x:c r="K32" s="25" t="n">
        <x:f>K31</x:f>
        <x:v>777000</x:v>
      </x:c>
      <x:c r="L32" s="26" t="n">
        <x:f>SUM(L7:L31)</x:f>
        <x:v>170</x:v>
      </x:c>
      <x:c r="M32" s="26" t="n">
        <x:f>SUM(M7:M31)</x:f>
        <x:v>36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0.09814603174603174</x:v>
      </x:c>
      <x:c r="Q32" s="30" t="n">
        <x:f>AVERAGE(Q7:Q31)</x:f>
        <x:v>0.23871111111111112</x:v>
      </x:c>
      <x:c r="R32" s="32" t="n">
        <x:f>IF(COUNT(R7:R31)=0,"未参加",MEDIAN(R7:R31))</x:f>
        <x:v>128.56666666666666</x:v>
      </x:c>
    </x:row>
  </x:sheetData>
  <x:conditionalFormatting sqref="B7:K32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5f139c545f43d5"/>
  </x:tableParts>
</x:worksheet>
</file>

<file path=xl/worksheets/sheet1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A08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追加の突破後/往復第一反発を0.25Rから0.125Rへ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0.20148994708994705</x:v>
      </x:c>
      <x:c r="R32" s="32" t="n">
        <x:f>IF(COUNT(R7:R31)=0,"未参加",MEDIAN(R7:R31))</x:f>
        <x:v>135.46666666666667</x:v>
      </x:c>
    </x:row>
  </x:sheetData>
  <x:conditionalFormatting sqref="B7:K32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e7de4d9ae84a07"/>
  </x:tableParts>
</x:worksheet>
</file>

<file path=xl/worksheets/sheet1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A09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追加の往復第二反発を0.125Rから0.0625Rへ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0.20148994708994705</x:v>
      </x:c>
      <x:c r="R32" s="32" t="n">
        <x:f>IF(COUNT(R7:R31)=0,"未参加",MEDIAN(R7:R31))</x:f>
        <x:v>135.46666666666667</x:v>
      </x:c>
    </x:row>
  </x:sheetData>
  <x:conditionalFormatting sqref="B7:K32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8c85e00eed4edc"/>
  </x:tableParts>
</x:worksheet>
</file>

<file path=xl/worksheets/sheet1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A10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追加の範囲端距離を0.10Rからmin(0.20R,幅45%)へ、買売帯の重複は禁止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38000</x:v>
      </x:c>
      <x:c r="C16" s="19" t="n">
        <x:v>27000</x:v>
      </x:c>
      <x:c r="D16" s="19" t="n">
        <x:f>B16-C16</x:f>
        <x:v>11000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332000</x:v>
      </x:c>
      <x:c r="I16" s="19" t="n">
        <x:f>C16+F16</x:f>
        <x:v>65000</x:v>
      </x:c>
      <x:c r="J16" s="19" t="n">
        <x:f>H16-I16</x:f>
        <x:v>267000</x:v>
      </x:c>
      <x:c r="K16" s="19" t="n">
        <x:f>K15+J16</x:f>
        <x:v>370000</x:v>
      </x:c>
      <x:c r="L16" s="20" t="n">
        <x:v>20</x:v>
      </x:c>
      <x:c r="M16" s="20" t="n">
        <x:v>5</x:v>
      </x:c>
      <x:c r="N16" s="20" t="n">
        <x:v>15</x:v>
      </x:c>
      <x:c r="O16" s="20" t="n">
        <x:v>10</x:v>
      </x:c>
      <x:c r="P16" s="27" t="n">
        <x:v>0.13153439153439153</x:v>
      </x:c>
      <x:c r="Q16" s="29" t="n">
        <x:v>0.29375661375661377</x:v>
      </x:c>
      <x:c r="R16" s="31" t="n">
        <x:v>72.9</x:v>
      </x:c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404000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394000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41000</x:v>
      </x:c>
      <x:c r="D19" s="19" t="n">
        <x:f>B19-C19</x:f>
        <x:v>-41000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63000</x:v>
      </x:c>
      <x:c r="J19" s="19" t="n">
        <x:f>H19-I19</x:f>
        <x:v>-63000</x:v>
      </x:c>
      <x:c r="K19" s="19" t="n">
        <x:f>K18+J19</x:f>
        <x:v>331000</x:v>
      </x:c>
      <x:c r="L19" s="20" t="n">
        <x:v>6</x:v>
      </x:c>
      <x:c r="M19" s="20" t="n">
        <x:v>4</x:v>
      </x:c>
      <x:c r="N19" s="20" t="n">
        <x:v>2</x:v>
      </x:c>
      <x:c r="O19" s="20" t="n">
        <x:v>4</x:v>
      </x:c>
      <x:c r="P19" s="27" t="n">
        <x:v>0.16592592592592592</x:v>
      </x:c>
      <x:c r="Q19" s="29" t="n">
        <x:v>0.3183068783068783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597000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581000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663000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565000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676000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698000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685000</x:v>
      </x:c>
      <x:c r="L26" s="20" t="n">
        <x:v>16</x:v>
      </x:c>
      <x:c r="M26" s="20" t="n">
        <x:v>3</x:v>
      </x:c>
      <x:c r="N26" s="20" t="n">
        <x:v>13</x:v>
      </x:c>
      <x:c r="O26" s="20" t="n">
        <x:v>7</x:v>
      </x:c>
      <x:c r="P26" s="27" t="n">
        <x:v>0.1226984126984127</x:v>
      </x:c>
      <x:c r="Q26" s="29" t="n">
        <x:v>0.4029100529100529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677000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777000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753000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874000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861000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140000</x:v>
      </x:c>
      <x:c r="C32" s="25" t="n">
        <x:f>SUM(C7:C31)</x:f>
        <x:v>422000</x:v>
      </x:c>
      <x:c r="D32" s="25" t="n">
        <x:f>B32-C32</x:f>
        <x:v>-282000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2232000</x:v>
      </x:c>
      <x:c r="I32" s="25" t="n">
        <x:f>C32+F32</x:f>
        <x:v>1371000</x:v>
      </x:c>
      <x:c r="J32" s="25" t="n">
        <x:f>H32-I32</x:f>
        <x:v>861000</x:v>
      </x:c>
      <x:c r="K32" s="25" t="n">
        <x:f>K31</x:f>
        <x:v>861000</x:v>
      </x:c>
      <x:c r="L32" s="26" t="n">
        <x:f>SUM(L7:L31)</x:f>
        <x:v>168</x:v>
      </x:c>
      <x:c r="M32" s="26" t="n">
        <x:f>SUM(M7:M31)</x:f>
        <x:v>34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0.09925714285714285</x:v>
      </x:c>
      <x:c r="Q32" s="30" t="n">
        <x:f>AVERAGE(Q7:Q31)</x:f>
        <x:v>0.2267301587301587</x:v>
      </x:c>
      <x:c r="R32" s="32" t="n">
        <x:f>IF(COUNT(R7:R31)=0,"未参加",MEDIAN(R7:R31))</x:f>
        <x:v>128.56666666666666</x:v>
      </x:c>
    </x:row>
  </x:sheetData>
  <x:conditionalFormatting sqref="B7:K32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1aec4b33ae430b"/>
  </x:tableParts>
</x:worksheet>
</file>

<file path=xl/worksheets/sheet1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追加の再参加/ドテン連続確認を15秒から5秒へ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0.22994708994708996</x:v>
      </x:c>
      <x:c r="Q15" s="29" t="n">
        <x:v>0.5760846560846561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0.08735238095238096</x:v>
      </x:c>
      <x:c r="Q32" s="30" t="n">
        <x:f>AVERAGE(Q7:Q31)</x:f>
        <x:v>0.2015153439153439</x:v>
      </x:c>
      <x:c r="R32" s="32" t="n">
        <x:f>IF(COUNT(R7:R31)=0,"未参加",MEDIAN(R7:R31))</x:f>
        <x:v>135.46666666666667</x:v>
      </x:c>
    </x:row>
  </x:sheetData>
  <x:conditionalFormatting sqref="B7:K32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af0a89f1494522"/>
  </x:tableParts>
</x:worksheet>
</file>

<file path=xl/worksheets/sheet1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追加追撃の進行係数を段数ごと0.50Rから0.35Rへ、損失予算と30秒待機は維持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103000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359000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393000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383000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340000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606000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590000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574000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686000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786000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762000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883000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870000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102000</x:v>
      </x:c>
      <x:c r="C32" s="25" t="n">
        <x:f>SUM(C7:C31)</x:f>
        <x:v>375000</x:v>
      </x:c>
      <x:c r="D32" s="25" t="n">
        <x:f>B32-C32</x:f>
        <x:v>-273000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2194000</x:v>
      </x:c>
      <x:c r="I32" s="25" t="n">
        <x:f>C32+F32</x:f>
        <x:v>1324000</x:v>
      </x:c>
      <x:c r="J32" s="25" t="n">
        <x:f>H32-I32</x:f>
        <x:v>870000</x:v>
      </x:c>
      <x:c r="K32" s="25" t="n">
        <x:f>K31</x:f>
        <x:v>870000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0.20148994708994705</x:v>
      </x:c>
      <x:c r="R32" s="32" t="n">
        <x:f>IF(COUNT(R7:R31)=0,"未参加",MEDIAN(R7:R31))</x:f>
        <x:v>135.46666666666667</x:v>
      </x:c>
    </x:row>
  </x:sheetData>
  <x:conditionalFormatting sqref="B7:K32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4a85dd85ba42d2"/>
  </x:tableParts>
</x:worksheet>
</file>

<file path=xl/worksheets/sheet1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追加初回を2枚から1枚へ、担当上限3枚は維持する数量対照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0</x:v>
      </x:c>
      <x:c r="C15" s="19" t="n">
        <x:v>40000</x:v>
      </x:c>
      <x:c r="D15" s="19" t="n">
        <x:f>B15-C15</x:f>
        <x:v>-40000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190000</x:v>
      </x:c>
      <x:c r="I15" s="19" t="n">
        <x:f>C15+F15</x:f>
        <x:v>132000</x:v>
      </x:c>
      <x:c r="J15" s="19" t="n">
        <x:f>H15-I15</x:f>
        <x:v>58000</x:v>
      </x:c>
      <x:c r="K15" s="19" t="n">
        <x:f>K14+J15</x:f>
        <x:v>104000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0.15693121693121692</x:v>
      </x:c>
      <x:c r="Q15" s="29" t="n">
        <x:v>0.3942328042328042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360000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341000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607000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591000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575000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686000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708000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695000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687000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787000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763000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884000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85000</x:v>
      </x:c>
      <x:c r="C32" s="25" t="n">
        <x:f>SUM(C7:C31)</x:f>
        <x:v>357000</x:v>
      </x:c>
      <x:c r="D32" s="25" t="n">
        <x:f>B32-C32</x:f>
        <x:v>-272000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2177000</x:v>
      </x:c>
      <x:c r="I32" s="25" t="n">
        <x:f>C32+F32</x:f>
        <x:v>1306000</x:v>
      </x:c>
      <x:c r="J32" s="25" t="n">
        <x:f>H32-I32</x:f>
        <x:v>871000</x:v>
      </x:c>
      <x:c r="K32" s="25" t="n">
        <x:f>K31</x:f>
        <x:v>871000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0.08443174603174602</x:v>
      </x:c>
      <x:c r="Q32" s="30" t="n">
        <x:f>AVERAGE(Q7:Q31)</x:f>
        <x:v>0.19424126984126983</x:v>
      </x:c>
      <x:c r="R32" s="32" t="n">
        <x:f>IF(COUNT(R7:R31)=0,"未参加",MEDIAN(R7:R31))</x:f>
        <x:v>135.46666666666667</x:v>
      </x:c>
    </x:row>
  </x:sheetData>
  <x:conditionalFormatting sqref="B7:K32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a2fed73aa449d1"/>
  </x:tableParts>
</x:worksheet>
</file>

<file path=xl/worksheets/sheet1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追加の利益トレール幅を0.75Uから0.50Uへ、開始1Uは維持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0</x:v>
      </x:c>
      <x:c r="C14" s="19" t="n">
        <x:v>0</x:v>
      </x:c>
      <x:c r="D14" s="19" t="n">
        <x:f>B14-C14</x:f>
        <x:v>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43000</x:v>
      </x:c>
      <x:c r="I14" s="19" t="n">
        <x:f>C14+F14</x:f>
        <x:v>0</x:v>
      </x:c>
      <x:c r="J14" s="19" t="n">
        <x:f>H14-I14</x:f>
        <x:v>43000</x:v>
      </x:c>
      <x:c r="K14" s="19" t="n">
        <x:f>K13+J14</x:f>
        <x:v>46000</x:v>
      </x:c>
      <x:c r="L14" s="20" t="n">
        <x:v>3</x:v>
      </x:c>
      <x:c r="M14" s="20" t="n">
        <x:v>0</x:v>
      </x:c>
      <x:c r="N14" s="20" t="n">
        <x:v>3</x:v>
      </x:c>
      <x:c r="O14" s="20" t="n">
        <x:v>7</x:v>
      </x:c>
      <x:c r="P14" s="27" t="n">
        <x:v>0</x:v>
      </x:c>
      <x:c r="Q14" s="29" t="n">
        <x:v>0</x:v>
      </x:c>
      <x:c r="R14" s="31"/>
    </x:row>
    <x:row r="15" ht="23" customHeight="1">
      <x:c r="A15" s="2" t="str">
        <x:v>2026-10-01_Night</x:v>
      </x:c>
      <x:c r="B15" s="19" t="n">
        <x:v>23000</x:v>
      </x:c>
      <x:c r="C15" s="19" t="n">
        <x:v>58000</x:v>
      </x:c>
      <x:c r="D15" s="19" t="n">
        <x:f>B15-C15</x:f>
        <x:v>-35000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213000</x:v>
      </x:c>
      <x:c r="I15" s="19" t="n">
        <x:f>C15+F15</x:f>
        <x:v>150000</x:v>
      </x:c>
      <x:c r="J15" s="19" t="n">
        <x:f>H15-I15</x:f>
        <x:v>63000</x:v>
      </x:c>
      <x:c r="K15" s="19" t="n">
        <x:f>K14+J15</x:f>
        <x:v>109000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0.5725925925925925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365000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399000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389000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346000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612000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0</x:v>
      </x:c>
      <x:c r="C21" s="19" t="n">
        <x:v>30000</x:v>
      </x:c>
      <x:c r="D21" s="19" t="n">
        <x:f>B21-C21</x:f>
        <x:v>-30000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14000</x:v>
      </x:c>
      <x:c r="I21" s="19" t="n">
        <x:f>C21+F21</x:f>
        <x:v>30000</x:v>
      </x:c>
      <x:c r="J21" s="19" t="n">
        <x:f>H21-I21</x:f>
        <x:v>-16000</x:v>
      </x:c>
      <x:c r="K21" s="19" t="n">
        <x:f>K20+J21</x:f>
        <x:v>596000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0.022063492063492063</x:v>
      </x:c>
      <x:c r="Q21" s="29" t="n">
        <x:v>0.11031746031746031</x:v>
      </x:c>
      <x:c r="R21" s="31" t="n">
        <x:v>290.53333333333336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580000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691000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713000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45000</x:v>
      </x:c>
      <x:c r="D26" s="19" t="n">
        <x:f>B26-C26</x:f>
        <x:v>-45000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171000</x:v>
      </x:c>
      <x:c r="J26" s="19" t="n">
        <x:f>H26-I26</x:f>
        <x:v>-13000</x:v>
      </x:c>
      <x:c r="K26" s="19" t="n">
        <x:f>K25+J26</x:f>
        <x:v>700000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0.05058201058201058</x:v>
      </x:c>
      <x:c r="Q26" s="29" t="n">
        <x:v>0.2529100529100529</x:v>
      </x:c>
      <x:c r="R26" s="31" t="n">
        <x:v>121.66666666666667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692000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792000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0</x:v>
      </x:c>
      <x:c r="D29" s="19" t="n">
        <x:f>B29-C29</x:f>
        <x:v>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85000</x:v>
      </x:c>
      <x:c r="J29" s="19" t="n">
        <x:f>H29-I29</x:f>
        <x:v>-24000</x:v>
      </x:c>
      <x:c r="K29" s="19" t="n">
        <x:f>K28+J29</x:f>
        <x:v>768000</x:v>
      </x:c>
      <x:c r="L29" s="20" t="n">
        <x:v>5</x:v>
      </x:c>
      <x:c r="M29" s="20" t="n">
        <x:v>0</x:v>
      </x:c>
      <x:c r="N29" s="20" t="n">
        <x:v>5</x:v>
      </x:c>
      <x:c r="O29" s="20" t="n">
        <x:v>7</x:v>
      </x:c>
      <x:c r="P29" s="27" t="n">
        <x:v>0</x:v>
      </x:c>
      <x:c r="Q29" s="29" t="n">
        <x:v>0</x:v>
      </x:c>
      <x:c r="R29" s="31"/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889000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876000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108000</x:v>
      </x:c>
      <x:c r="C32" s="25" t="n">
        <x:f>SUM(C7:C31)</x:f>
        <x:v>375000</x:v>
      </x:c>
      <x:c r="D32" s="25" t="n">
        <x:f>B32-C32</x:f>
        <x:v>-267000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2200000</x:v>
      </x:c>
      <x:c r="I32" s="25" t="n">
        <x:f>C32+F32</x:f>
        <x:v>1324000</x:v>
      </x:c>
      <x:c r="J32" s="25" t="n">
        <x:f>H32-I32</x:f>
        <x:v>876000</x:v>
      </x:c>
      <x:c r="K32" s="25" t="n">
        <x:f>K31</x:f>
        <x:v>876000</x:v>
      </x:c>
      <x:c r="L32" s="26" t="n">
        <x:f>SUM(L7:L31)</x:f>
        <x:v>159</x:v>
      </x:c>
      <x:c r="M32" s="26" t="n">
        <x:f>SUM(M7:M31)</x:f>
        <x:v>25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0.08733968253968254</x:v>
      </x:c>
      <x:c r="Q32" s="30" t="n">
        <x:f>AVERAGE(Q7:Q31)</x:f>
        <x:v>0.20137566137566135</x:v>
      </x:c>
      <x:c r="R32" s="32" t="n">
        <x:f>IF(COUNT(R7:R31)=0,"未参加",MEDIAN(R7:R31))</x:f>
        <x:v>135.46666666666667</x:v>
      </x:c>
    </x:row>
  </x:sheetData>
  <x:conditionalFormatting sqref="B7:K32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94f34c950f40b9"/>
  </x:tableParts>
</x:worksheet>
</file>

<file path=xl/worksheets/sheet2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A15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主担当と追加の入口緩和を事前固定で組合せ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25000</x:v>
      </x:c>
      <x:c r="C10" s="19" t="n">
        <x:v>40000</x:v>
      </x:c>
      <x:c r="D10" s="19" t="n">
        <x:f>B10-C10</x:f>
        <x:v>-15000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45000</x:v>
      </x:c>
      <x:c r="I10" s="19" t="n">
        <x:f>C10+F10</x:f>
        <x:v>40000</x:v>
      </x:c>
      <x:c r="J10" s="19" t="n">
        <x:f>H10-I10</x:f>
        <x:v>5000</x:v>
      </x:c>
      <x:c r="K10" s="19" t="n">
        <x:f>K9+J10</x:f>
        <x:v>-18000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0.06878306878306878</x:v>
      </x:c>
      <x:c r="Q10" s="29" t="n">
        <x:v>0.3439153439153439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-17000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61000</x:v>
      </x:c>
      <x:c r="C12" s="19" t="n">
        <x:v>0</x:v>
      </x:c>
      <x:c r="D12" s="19" t="n">
        <x:f>B12-C12</x:f>
        <x:v>61000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62000</x:v>
      </x:c>
      <x:c r="I12" s="19" t="n">
        <x:f>C12+F12</x:f>
        <x:v>30000</x:v>
      </x:c>
      <x:c r="J12" s="19" t="n">
        <x:f>H12-I12</x:f>
        <x:v>32000</x:v>
      </x:c>
      <x:c r="K12" s="19" t="n">
        <x:f>K11+J12</x:f>
        <x:v>15000</x:v>
      </x:c>
      <x:c r="L12" s="20" t="n">
        <x:v>7</x:v>
      </x:c>
      <x:c r="M12" s="20" t="n">
        <x:v>3</x:v>
      </x:c>
      <x:c r="N12" s="20" t="n">
        <x:v>4</x:v>
      </x:c>
      <x:c r="O12" s="20" t="n">
        <x:v>5</x:v>
      </x:c>
      <x:c r="P12" s="27" t="n">
        <x:v>0.2642328042328042</x:v>
      </x:c>
      <x:c r="Q12" s="29" t="n">
        <x:v>0.8765079365079365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80000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134000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19000</x:v>
      </x:c>
      <x:c r="C15" s="19" t="n">
        <x:v>58000</x:v>
      </x:c>
      <x:c r="D15" s="19" t="n">
        <x:f>B15-C15</x:f>
        <x:v>-39000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209000</x:v>
      </x:c>
      <x:c r="I15" s="19" t="n">
        <x:f>C15+F15</x:f>
        <x:v>150000</x:v>
      </x:c>
      <x:c r="J15" s="19" t="n">
        <x:f>H15-I15</x:f>
        <x:v>59000</x:v>
      </x:c>
      <x:c r="K15" s="19" t="n">
        <x:f>K14+J15</x:f>
        <x:v>193000</x:v>
      </x:c>
      <x:c r="L15" s="20" t="n">
        <x:v>15</x:v>
      </x:c>
      <x:c r="M15" s="20" t="n">
        <x:v>7</x:v>
      </x:c>
      <x:c r="N15" s="20" t="n">
        <x:v>8</x:v>
      </x:c>
      <x:c r="O15" s="20" t="n">
        <x:v>5</x:v>
      </x:c>
      <x:c r="P15" s="27" t="n">
        <x:v>0.3504761904761905</x:v>
      </x:c>
      <x:c r="Q15" s="29" t="n">
        <x:v>1.0506349206349206</x:v>
      </x:c>
      <x:c r="R15" s="31" t="n">
        <x:v>71.6</x:v>
      </x:c>
    </x:row>
    <x:row r="16" ht="23" customHeight="1">
      <x:c r="A16" s="2" t="str">
        <x:v>2026-10-02_Night</x:v>
      </x:c>
      <x:c r="B16" s="19" t="n">
        <x:v>0</x:v>
      </x:c>
      <x:c r="C16" s="19" t="n">
        <x:v>167000</x:v>
      </x:c>
      <x:c r="D16" s="19" t="n">
        <x:f>B16-C16</x:f>
        <x:v>-167000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205000</x:v>
      </x:c>
      <x:c r="J16" s="19" t="n">
        <x:f>H16-I16</x:f>
        <x:v>89000</x:v>
      </x:c>
      <x:c r="K16" s="19" t="n">
        <x:f>K15+J16</x:f>
        <x:v>282000</x:v>
      </x:c>
      <x:c r="L16" s="20" t="n">
        <x:v>22</x:v>
      </x:c>
      <x:c r="M16" s="20" t="n">
        <x:v>7</x:v>
      </x:c>
      <x:c r="N16" s="20" t="n">
        <x:v>15</x:v>
      </x:c>
      <x:c r="O16" s="20" t="n">
        <x:v>10</x:v>
      </x:c>
      <x:c r="P16" s="27" t="n">
        <x:v>0.19703703703703704</x:v>
      </x:c>
      <x:c r="Q16" s="29" t="n">
        <x:v>0.5595238095238095</x:v>
      </x:c>
      <x:c r="R16" s="31" t="n">
        <x:v>81.96666666666667</x:v>
      </x:c>
    </x:row>
    <x:row r="17" ht="23" customHeight="1">
      <x:c r="A17" s="2" t="str">
        <x:v>2026-10-05_Night</x:v>
      </x:c>
      <x:c r="B17" s="19" t="n">
        <x:v>59000</x:v>
      </x:c>
      <x:c r="C17" s="19" t="n">
        <x:v>0</x:v>
      </x:c>
      <x:c r="D17" s="19" t="n">
        <x:f>B17-C17</x:f>
        <x:v>59000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157000</x:v>
      </x:c>
      <x:c r="I17" s="19" t="n">
        <x:f>C17+F17</x:f>
        <x:v>64000</x:v>
      </x:c>
      <x:c r="J17" s="19" t="n">
        <x:f>H17-I17</x:f>
        <x:v>93000</x:v>
      </x:c>
      <x:c r="K17" s="19" t="n">
        <x:f>K16+J17</x:f>
        <x:v>375000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0.42957671957671956</x:v>
      </x:c>
      <x:c r="Q17" s="29" t="n">
        <x:v>0.5516931216931217</x:v>
      </x:c>
      <x:c r="R17" s="31" t="n">
        <x:v>39.416666666666664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365000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45000</x:v>
      </x:c>
      <x:c r="C19" s="19" t="n">
        <x:v>41000</x:v>
      </x:c>
      <x:c r="D19" s="19" t="n">
        <x:f>B19-C19</x:f>
        <x:v>4000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45000</x:v>
      </x:c>
      <x:c r="I19" s="19" t="n">
        <x:f>C19+F19</x:f>
        <x:v>63000</x:v>
      </x:c>
      <x:c r="J19" s="19" t="n">
        <x:f>H19-I19</x:f>
        <x:v>-18000</x:v>
      </x:c>
      <x:c r="K19" s="19" t="n">
        <x:f>K18+J19</x:f>
        <x:v>347000</x:v>
      </x:c>
      <x:c r="L19" s="20" t="n">
        <x:v>7</x:v>
      </x:c>
      <x:c r="M19" s="20" t="n">
        <x:v>5</x:v>
      </x:c>
      <x:c r="N19" s="20" t="n">
        <x:v>2</x:v>
      </x:c>
      <x:c r="O19" s="20" t="n">
        <x:v>5</x:v>
      </x:c>
      <x:c r="P19" s="27" t="n">
        <x:v>0.6707407407407407</x:v>
      </x:c>
      <x:c r="Q19" s="29" t="n">
        <x:v>1.6174074074074074</x:v>
      </x:c>
      <x:c r="R19" s="31" t="n">
        <x:v>95.45</x:v>
      </x:c>
    </x:row>
    <x:row r="20" ht="23" customHeight="1">
      <x:c r="A20" s="2" t="str">
        <x:v>2026-10-08_Night</x:v>
      </x:c>
      <x:c r="B20" s="19" t="n">
        <x:v>5000</x:v>
      </x:c>
      <x:c r="C20" s="19" t="n">
        <x:v>136000</x:v>
      </x:c>
      <x:c r="D20" s="19" t="n">
        <x:f>B20-C20</x:f>
        <x:v>-131000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156000</x:v>
      </x:c>
      <x:c r="J20" s="19" t="n">
        <x:f>H20-I20</x:f>
        <x:v>175000</x:v>
      </x:c>
      <x:c r="K20" s="19" t="n">
        <x:f>K19+J20</x:f>
        <x:v>522000</x:v>
      </x:c>
      <x:c r="L20" s="20" t="n">
        <x:v>21</x:v>
      </x:c>
      <x:c r="M20" s="20" t="n">
        <x:v>6</x:v>
      </x:c>
      <x:c r="N20" s="20" t="n">
        <x:v>15</x:v>
      </x:c>
      <x:c r="O20" s="20" t="n">
        <x:v>8</x:v>
      </x:c>
      <x:c r="P20" s="27" t="n">
        <x:v>0.8874074074074074</x:v>
      </x:c>
      <x:c r="Q20" s="29" t="n">
        <x:v>2.609206349206349</x:v>
      </x:c>
      <x:c r="R20" s="31" t="n">
        <x:v>31.266666666666666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0</x:v>
      </x:c>
      <x:c r="J21" s="19" t="n">
        <x:f>H21-I21</x:f>
        <x:v>74000</x:v>
      </x:c>
      <x:c r="K21" s="19" t="n">
        <x:f>K20+J21</x:f>
        <x:v>596000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0.4150793650793651</x:v>
      </x:c>
      <x:c r="Q21" s="29" t="n">
        <x:v>1.778042328042328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678000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40000</x:v>
      </x:c>
      <x:c r="D23" s="19" t="n">
        <x:f>B23-C23</x:f>
        <x:v>-40000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93000</x:v>
      </x:c>
      <x:c r="J23" s="19" t="n">
        <x:f>H23-I23</x:f>
        <x:v>-93000</x:v>
      </x:c>
      <x:c r="K23" s="19" t="n">
        <x:f>K22+J23</x:f>
        <x:v>585000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721000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743000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740000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0.05201058201058201</x:v>
      </x:c>
      <x:c r="Q26" s="29" t="n">
        <x:v>0.26005291005291004</x:v>
      </x:c>
      <x:c r="R26" s="31" t="n">
        <x:v>294.56666666666666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732000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73000</x:v>
      </x:c>
      <x:c r="C28" s="19" t="n">
        <x:v>40000</x:v>
      </x:c>
      <x:c r="D28" s="19" t="n">
        <x:f>B28-C28</x:f>
        <x:v>33000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163000</x:v>
      </x:c>
      <x:c r="I28" s="19" t="n">
        <x:f>C28+F28</x:f>
        <x:v>64000</x:v>
      </x:c>
      <x:c r="J28" s="19" t="n">
        <x:f>H28-I28</x:f>
        <x:v>99000</x:v>
      </x:c>
      <x:c r="K28" s="19" t="n">
        <x:f>K27+J28</x:f>
        <x:v>831000</x:v>
      </x:c>
      <x:c r="L28" s="20" t="n">
        <x:v>13</x:v>
      </x:c>
      <x:c r="M28" s="20" t="n">
        <x:v>6</x:v>
      </x:c>
      <x:c r="N28" s="20" t="n">
        <x:v>7</x:v>
      </x:c>
      <x:c r="O28" s="20" t="n">
        <x:v>6</x:v>
      </x:c>
      <x:c r="P28" s="27" t="n">
        <x:v>0.14465608465608465</x:v>
      </x:c>
      <x:c r="Q28" s="29" t="n">
        <x:v>0.7015343915343916</x:v>
      </x:c>
      <x:c r="R28" s="31" t="n">
        <x:v>230.88333333333333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80000</x:v>
      </x:c>
      <x:c r="D29" s="19" t="n">
        <x:f>B29-C29</x:f>
        <x:v>-80000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165000</x:v>
      </x:c>
      <x:c r="J29" s="19" t="n">
        <x:f>H29-I29</x:f>
        <x:v>-104000</x:v>
      </x:c>
      <x:c r="K29" s="19" t="n">
        <x:f>K28+J29</x:f>
        <x:v>727000</x:v>
      </x:c>
      <x:c r="L29" s="20" t="n">
        <x:v>7</x:v>
      </x:c>
      <x:c r="M29" s="20" t="n">
        <x:v>2</x:v>
      </x:c>
      <x:c r="N29" s="20" t="n">
        <x:v>5</x:v>
      </x:c>
      <x:c r="O29" s="20" t="n">
        <x:v>7</x:v>
      </x:c>
      <x:c r="P29" s="27" t="n">
        <x:v>0.04476190476190476</x:v>
      </x:c>
      <x:c r="Q29" s="29" t="n">
        <x:v>0.22380952380952382</x:v>
      </x:c>
      <x:c r="R29" s="31" t="n">
        <x:v>66.18333333333334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883000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3000</x:v>
      </x:c>
      <x:c r="C31" s="19" t="n">
        <x:v>52000</x:v>
      </x:c>
      <x:c r="D31" s="19" t="n">
        <x:f>B31-C31</x:f>
        <x:v>-49000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74000</x:v>
      </x:c>
      <x:c r="J31" s="19" t="n">
        <x:f>H31-I31</x:f>
        <x:v>-34000</x:v>
      </x:c>
      <x:c r="K31" s="19" t="n">
        <x:f>K30+J31</x:f>
        <x:v>849000</x:v>
      </x:c>
      <x:c r="L31" s="20" t="n">
        <x:v>13</x:v>
      </x:c>
      <x:c r="M31" s="20" t="n">
        <x:v>7</x:v>
      </x:c>
      <x:c r="N31" s="20" t="n">
        <x:v>6</x:v>
      </x:c>
      <x:c r="O31" s="20" t="n">
        <x:v>5</x:v>
      </x:c>
      <x:c r="P31" s="27" t="n">
        <x:v>0.5456084656084657</x:v>
      </x:c>
      <x:c r="Q31" s="29" t="n">
        <x:v>1.1266666666666667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395000</x:v>
      </x:c>
      <x:c r="C32" s="25" t="n">
        <x:f>SUM(C7:C31)</x:f>
        <x:v>689000</x:v>
      </x:c>
      <x:c r="D32" s="25" t="n">
        <x:f>B32-C32</x:f>
        <x:v>-294000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2487000</x:v>
      </x:c>
      <x:c r="I32" s="25" t="n">
        <x:f>C32+F32</x:f>
        <x:v>1638000</x:v>
      </x:c>
      <x:c r="J32" s="25" t="n">
        <x:f>H32-I32</x:f>
        <x:v>849000</x:v>
      </x:c>
      <x:c r="K32" s="25" t="n">
        <x:f>K31</x:f>
        <x:v>849000</x:v>
      </x:c>
      <x:c r="L32" s="26" t="n">
        <x:f>SUM(L7:L31)</x:f>
        <x:v>185</x:v>
      </x:c>
      <x:c r="M32" s="26" t="n">
        <x:f>SUM(M7:M31)</x:f>
        <x:v>51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0.18022645502645504</x:v>
      </x:c>
      <x:c r="Q32" s="30" t="n">
        <x:f>AVERAGE(Q7:Q31)</x:f>
        <x:v>0.5465269841269841</x:v>
      </x:c>
      <x:c r="R32" s="32" t="n">
        <x:f>IF(COUNT(R7:R31)=0,"未参加",MEDIAN(R7:R31))</x:f>
        <x:v>81.96666666666667</x:v>
      </x:c>
    </x:row>
  </x:sheetData>
  <x:conditionalFormatting sqref="B7:K32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4091f92c9b41d1"/>
  </x:tableParts>
</x:worksheet>
</file>

<file path=xl/worksheets/sheet2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A16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入口緩和に再参加短縮・早期追撃・利益回収幅縮小を組合せ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25000</x:v>
      </x:c>
      <x:c r="C10" s="19" t="n">
        <x:v>40000</x:v>
      </x:c>
      <x:c r="D10" s="19" t="n">
        <x:f>B10-C10</x:f>
        <x:v>-15000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45000</x:v>
      </x:c>
      <x:c r="I10" s="19" t="n">
        <x:f>C10+F10</x:f>
        <x:v>40000</x:v>
      </x:c>
      <x:c r="J10" s="19" t="n">
        <x:f>H10-I10</x:f>
        <x:v>5000</x:v>
      </x:c>
      <x:c r="K10" s="19" t="n">
        <x:f>K9+J10</x:f>
        <x:v>-18000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0.06878306878306878</x:v>
      </x:c>
      <x:c r="Q10" s="29" t="n">
        <x:v>0.3439153439153439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-17000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65000</x:v>
      </x:c>
      <x:c r="C12" s="19" t="n">
        <x:v>6000</x:v>
      </x:c>
      <x:c r="D12" s="19" t="n">
        <x:f>B12-C12</x:f>
        <x:v>59000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66000</x:v>
      </x:c>
      <x:c r="I12" s="19" t="n">
        <x:f>C12+F12</x:f>
        <x:v>36000</x:v>
      </x:c>
      <x:c r="J12" s="19" t="n">
        <x:f>H12-I12</x:f>
        <x:v>30000</x:v>
      </x:c>
      <x:c r="K12" s="19" t="n">
        <x:f>K11+J12</x:f>
        <x:v>13000</x:v>
      </x:c>
      <x:c r="L12" s="20" t="n">
        <x:v>8</x:v>
      </x:c>
      <x:c r="M12" s="20" t="n">
        <x:v>4</x:v>
      </x:c>
      <x:c r="N12" s="20" t="n">
        <x:v>4</x:v>
      </x:c>
      <x:c r="O12" s="20" t="n">
        <x:v>5</x:v>
      </x:c>
      <x:c r="P12" s="27" t="n">
        <x:v>0.3048148148148148</x:v>
      </x:c>
      <x:c r="Q12" s="29" t="n">
        <x:v>0.9457142857142857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78000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132000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25000</x:v>
      </x:c>
      <x:c r="C15" s="19" t="n">
        <x:v>58000</x:v>
      </x:c>
      <x:c r="D15" s="19" t="n">
        <x:f>B15-C15</x:f>
        <x:v>-33000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215000</x:v>
      </x:c>
      <x:c r="I15" s="19" t="n">
        <x:f>C15+F15</x:f>
        <x:v>150000</x:v>
      </x:c>
      <x:c r="J15" s="19" t="n">
        <x:f>H15-I15</x:f>
        <x:v>65000</x:v>
      </x:c>
      <x:c r="K15" s="19" t="n">
        <x:f>K14+J15</x:f>
        <x:v>197000</x:v>
      </x:c>
      <x:c r="L15" s="20" t="n">
        <x:v>15</x:v>
      </x:c>
      <x:c r="M15" s="20" t="n">
        <x:v>7</x:v>
      </x:c>
      <x:c r="N15" s="20" t="n">
        <x:v>8</x:v>
      </x:c>
      <x:c r="O15" s="20" t="n">
        <x:v>5</x:v>
      </x:c>
      <x:c r="P15" s="27" t="n">
        <x:v>0.35079365079365077</x:v>
      </x:c>
      <x:c r="Q15" s="29" t="n">
        <x:v>1.0484126984126985</x:v>
      </x:c>
      <x:c r="R15" s="31" t="n">
        <x:v>71.6</x:v>
      </x:c>
    </x:row>
    <x:row r="16" ht="23" customHeight="1">
      <x:c r="A16" s="2" t="str">
        <x:v>2026-10-02_Night</x:v>
      </x:c>
      <x:c r="B16" s="19" t="n">
        <x:v>0</x:v>
      </x:c>
      <x:c r="C16" s="19" t="n">
        <x:v>159000</x:v>
      </x:c>
      <x:c r="D16" s="19" t="n">
        <x:f>B16-C16</x:f>
        <x:v>-159000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197000</x:v>
      </x:c>
      <x:c r="J16" s="19" t="n">
        <x:f>H16-I16</x:f>
        <x:v>97000</x:v>
      </x:c>
      <x:c r="K16" s="19" t="n">
        <x:f>K15+J16</x:f>
        <x:v>294000</x:v>
      </x:c>
      <x:c r="L16" s="20" t="n">
        <x:v>22</x:v>
      </x:c>
      <x:c r="M16" s="20" t="n">
        <x:v>7</x:v>
      </x:c>
      <x:c r="N16" s="20" t="n">
        <x:v>15</x:v>
      </x:c>
      <x:c r="O16" s="20" t="n">
        <x:v>10</x:v>
      </x:c>
      <x:c r="P16" s="27" t="n">
        <x:v>0.2642857142857143</x:v>
      </x:c>
      <x:c r="Q16" s="29" t="n">
        <x:v>0.6958201058201058</x:v>
      </x:c>
      <x:c r="R16" s="31" t="n">
        <x:v>81.96666666666667</x:v>
      </x:c>
    </x:row>
    <x:row r="17" ht="23" customHeight="1">
      <x:c r="A17" s="2" t="str">
        <x:v>2026-10-05_Night</x:v>
      </x:c>
      <x:c r="B17" s="19" t="n">
        <x:v>59000</x:v>
      </x:c>
      <x:c r="C17" s="19" t="n">
        <x:v>0</x:v>
      </x:c>
      <x:c r="D17" s="19" t="n">
        <x:f>B17-C17</x:f>
        <x:v>59000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157000</x:v>
      </x:c>
      <x:c r="I17" s="19" t="n">
        <x:f>C17+F17</x:f>
        <x:v>64000</x:v>
      </x:c>
      <x:c r="J17" s="19" t="n">
        <x:f>H17-I17</x:f>
        <x:v>93000</x:v>
      </x:c>
      <x:c r="K17" s="19" t="n">
        <x:f>K16+J17</x:f>
        <x:v>387000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0.42957671957671956</x:v>
      </x:c>
      <x:c r="Q17" s="29" t="n">
        <x:v>0.5516931216931217</x:v>
      </x:c>
      <x:c r="R17" s="31" t="n">
        <x:v>39.416666666666664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377000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68000</x:v>
      </x:c>
      <x:c r="C19" s="19" t="n">
        <x:v>37000</x:v>
      </x:c>
      <x:c r="D19" s="19" t="n">
        <x:f>B19-C19</x:f>
        <x:v>31000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68000</x:v>
      </x:c>
      <x:c r="I19" s="19" t="n">
        <x:f>C19+F19</x:f>
        <x:v>59000</x:v>
      </x:c>
      <x:c r="J19" s="19" t="n">
        <x:f>H19-I19</x:f>
        <x:v>9000</x:v>
      </x:c>
      <x:c r="K19" s="19" t="n">
        <x:f>K18+J19</x:f>
        <x:v>386000</x:v>
      </x:c>
      <x:c r="L19" s="20" t="n">
        <x:v>9</x:v>
      </x:c>
      <x:c r="M19" s="20" t="n">
        <x:v>7</x:v>
      </x:c>
      <x:c r="N19" s="20" t="n">
        <x:v>2</x:v>
      </x:c>
      <x:c r="O19" s="20" t="n">
        <x:v>5</x:v>
      </x:c>
      <x:c r="P19" s="27" t="n">
        <x:v>0.6917989417989417</x:v>
      </x:c>
      <x:c r="Q19" s="29" t="n">
        <x:v>1.717089947089947</x:v>
      </x:c>
      <x:c r="R19" s="31" t="n">
        <x:v>95.45</x:v>
      </x:c>
    </x:row>
    <x:row r="20" ht="23" customHeight="1">
      <x:c r="A20" s="2" t="str">
        <x:v>2026-10-08_Night</x:v>
      </x:c>
      <x:c r="B20" s="19" t="n">
        <x:v>26000</x:v>
      </x:c>
      <x:c r="C20" s="19" t="n">
        <x:v>136000</x:v>
      </x:c>
      <x:c r="D20" s="19" t="n">
        <x:f>B20-C20</x:f>
        <x:v>-110000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352000</x:v>
      </x:c>
      <x:c r="I20" s="19" t="n">
        <x:f>C20+F20</x:f>
        <x:v>156000</x:v>
      </x:c>
      <x:c r="J20" s="19" t="n">
        <x:f>H20-I20</x:f>
        <x:v>196000</x:v>
      </x:c>
      <x:c r="K20" s="19" t="n">
        <x:f>K19+J20</x:f>
        <x:v>582000</x:v>
      </x:c>
      <x:c r="L20" s="20" t="n">
        <x:v>23</x:v>
      </x:c>
      <x:c r="M20" s="20" t="n">
        <x:v>8</x:v>
      </x:c>
      <x:c r="N20" s="20" t="n">
        <x:v>15</x:v>
      </x:c>
      <x:c r="O20" s="20" t="n">
        <x:v>8</x:v>
      </x:c>
      <x:c r="P20" s="27" t="n">
        <x:v>0.8978835978835978</x:v>
      </x:c>
      <x:c r="Q20" s="29" t="n">
        <x:v>2.6935449735449737</x:v>
      </x:c>
      <x:c r="R20" s="31" t="n">
        <x:v>31.266666666666666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0</x:v>
      </x:c>
      <x:c r="J21" s="19" t="n">
        <x:f>H21-I21</x:f>
        <x:v>74000</x:v>
      </x:c>
      <x:c r="K21" s="19" t="n">
        <x:f>K20+J21</x:f>
        <x:v>656000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0.4150793650793651</x:v>
      </x:c>
      <x:c r="Q21" s="29" t="n">
        <x:v>1.778042328042328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738000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40000</x:v>
      </x:c>
      <x:c r="D23" s="19" t="n">
        <x:f>B23-C23</x:f>
        <x:v>-40000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93000</x:v>
      </x:c>
      <x:c r="J23" s="19" t="n">
        <x:f>H23-I23</x:f>
        <x:v>-93000</x:v>
      </x:c>
      <x:c r="K23" s="19" t="n">
        <x:f>K22+J23</x:f>
        <x:v>645000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781000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803000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800000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0.05201058201058201</x:v>
      </x:c>
      <x:c r="Q26" s="29" t="n">
        <x:v>0.26005291005291004</x:v>
      </x:c>
      <x:c r="R26" s="31" t="n">
        <x:v>294.56666666666666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792000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61000</x:v>
      </x:c>
      <x:c r="C28" s="19" t="n">
        <x:v>40000</x:v>
      </x:c>
      <x:c r="D28" s="19" t="n">
        <x:f>B28-C28</x:f>
        <x:v>21000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151000</x:v>
      </x:c>
      <x:c r="I28" s="19" t="n">
        <x:f>C28+F28</x:f>
        <x:v>64000</x:v>
      </x:c>
      <x:c r="J28" s="19" t="n">
        <x:f>H28-I28</x:f>
        <x:v>87000</x:v>
      </x:c>
      <x:c r="K28" s="19" t="n">
        <x:f>K27+J28</x:f>
        <x:v>879000</x:v>
      </x:c>
      <x:c r="L28" s="20" t="n">
        <x:v>13</x:v>
      </x:c>
      <x:c r="M28" s="20" t="n">
        <x:v>6</x:v>
      </x:c>
      <x:c r="N28" s="20" t="n">
        <x:v>7</x:v>
      </x:c>
      <x:c r="O28" s="20" t="n">
        <x:v>6</x:v>
      </x:c>
      <x:c r="P28" s="27" t="n">
        <x:v>0.14465608465608465</x:v>
      </x:c>
      <x:c r="Q28" s="29" t="n">
        <x:v>0.6923280423280423</x:v>
      </x:c>
      <x:c r="R28" s="31" t="n">
        <x:v>230.88333333333333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80000</x:v>
      </x:c>
      <x:c r="D29" s="19" t="n">
        <x:f>B29-C29</x:f>
        <x:v>-80000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165000</x:v>
      </x:c>
      <x:c r="J29" s="19" t="n">
        <x:f>H29-I29</x:f>
        <x:v>-104000</x:v>
      </x:c>
      <x:c r="K29" s="19" t="n">
        <x:f>K28+J29</x:f>
        <x:v>775000</x:v>
      </x:c>
      <x:c r="L29" s="20" t="n">
        <x:v>7</x:v>
      </x:c>
      <x:c r="M29" s="20" t="n">
        <x:v>2</x:v>
      </x:c>
      <x:c r="N29" s="20" t="n">
        <x:v>5</x:v>
      </x:c>
      <x:c r="O29" s="20" t="n">
        <x:v>7</x:v>
      </x:c>
      <x:c r="P29" s="27" t="n">
        <x:v>0.04476190476190476</x:v>
      </x:c>
      <x:c r="Q29" s="29" t="n">
        <x:v>0.22380952380952382</x:v>
      </x:c>
      <x:c r="R29" s="31" t="n">
        <x:v>66.18333333333334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931000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17000</x:v>
      </x:c>
      <x:c r="C31" s="19" t="n">
        <x:v>61000</x:v>
      </x:c>
      <x:c r="D31" s="19" t="n">
        <x:f>B31-C31</x:f>
        <x:v>-44000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54000</x:v>
      </x:c>
      <x:c r="I31" s="19" t="n">
        <x:f>C31+F31</x:f>
        <x:v>83000</x:v>
      </x:c>
      <x:c r="J31" s="19" t="n">
        <x:f>H31-I31</x:f>
        <x:v>-29000</x:v>
      </x:c>
      <x:c r="K31" s="19" t="n">
        <x:f>K30+J31</x:f>
        <x:v>902000</x:v>
      </x:c>
      <x:c r="L31" s="20" t="n">
        <x:v>16</x:v>
      </x:c>
      <x:c r="M31" s="20" t="n">
        <x:v>10</x:v>
      </x:c>
      <x:c r="N31" s="20" t="n">
        <x:v>6</x:v>
      </x:c>
      <x:c r="O31" s="20" t="n">
        <x:v>5</x:v>
      </x:c>
      <x:c r="P31" s="27" t="n">
        <x:v>0.4738095238095238</x:v>
      </x:c>
      <x:c r="Q31" s="29" t="n">
        <x:v>1.0547089947089947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451000</x:v>
      </x:c>
      <x:c r="C32" s="25" t="n">
        <x:f>SUM(C7:C31)</x:f>
        <x:v>692000</x:v>
      </x:c>
      <x:c r="D32" s="25" t="n">
        <x:f>B32-C32</x:f>
        <x:v>-241000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2543000</x:v>
      </x:c>
      <x:c r="I32" s="25" t="n">
        <x:f>C32+F32</x:f>
        <x:v>1641000</x:v>
      </x:c>
      <x:c r="J32" s="25" t="n">
        <x:f>H32-I32</x:f>
        <x:v>902000</x:v>
      </x:c>
      <x:c r="K32" s="25" t="n">
        <x:f>K31</x:f>
        <x:v>902000</x:v>
      </x:c>
      <x:c r="L32" s="26" t="n">
        <x:f>SUM(L7:L31)</x:f>
        <x:v>193</x:v>
      </x:c>
      <x:c r="M32" s="26" t="n">
        <x:f>SUM(M7:M31)</x:f>
        <x:v>59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0.18294179894179893</x:v>
      </x:c>
      <x:c r="Q32" s="30" t="n">
        <x:f>AVERAGE(Q7:Q31)</x:f>
        <x:v>0.5587724867724867</x:v>
      </x:c>
      <x:c r="R32" s="32" t="n">
        <x:f>IF(COUNT(R7:R31)=0,"未参加",MEDIAN(R7:R31))</x:f>
        <x:v>81.96666666666667</x:v>
      </x:c>
    </x:row>
  </x:sheetData>
  <x:conditionalFormatting sqref="B7:K32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d8db422a494911"/>
  </x:tableParts>
</x:worksheet>
</file>

<file path=xl/worksheets/sheet2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B01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主担当効率0.2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20000</x:v>
      </x:c>
      <x:c r="C10" s="19" t="n">
        <x:v>40000</x:v>
      </x:c>
      <x:c r="D10" s="19" t="n">
        <x:f>B10-C10</x:f>
        <x:v>-20000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40000</x:v>
      </x:c>
      <x:c r="I10" s="19" t="n">
        <x:f>C10+F10</x:f>
        <x:v>40000</x:v>
      </x:c>
      <x:c r="J10" s="19" t="n">
        <x:f>H10-I10</x:f>
        <x:v>0</x:v>
      </x:c>
      <x:c r="K10" s="19" t="n">
        <x:f>K9+J10</x:f>
        <x:v>-23000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0.0682010582010582</x:v>
      </x:c>
      <x:c r="Q10" s="29" t="n">
        <x:v>0.341005291005291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-22000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35000</x:v>
      </x:c>
      <x:c r="D12" s="19" t="n">
        <x:f>B12-C12</x:f>
        <x:v>-26000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65000</x:v>
      </x:c>
      <x:c r="J12" s="19" t="n">
        <x:f>H12-I12</x:f>
        <x:v>-55000</x:v>
      </x:c>
      <x:c r="K12" s="19" t="n">
        <x:f>K11+J12</x:f>
        <x:v>-77000</x:v>
      </x:c>
      <x:c r="L12" s="20" t="n">
        <x:v>6</x:v>
      </x:c>
      <x:c r="M12" s="20" t="n">
        <x:v>2</x:v>
      </x:c>
      <x:c r="N12" s="20" t="n">
        <x:v>4</x:v>
      </x:c>
      <x:c r="O12" s="20" t="n">
        <x:v>5</x:v>
      </x:c>
      <x:c r="P12" s="27" t="n">
        <x:v>0.13174603174603175</x:v>
      </x:c>
      <x:c r="Q12" s="29" t="n">
        <x:v>0.1565079365079365</x:v>
      </x:c>
      <x:c r="R12" s="31" t="n">
        <x:v>133.23333333333332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-12000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42000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17000</x:v>
      </x:c>
      <x:c r="C15" s="19" t="n">
        <x:v>58000</x:v>
      </x:c>
      <x:c r="D15" s="19" t="n">
        <x:f>B15-C15</x:f>
        <x:v>-41000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150000</x:v>
      </x:c>
      <x:c r="J15" s="19" t="n">
        <x:f>H15-I15</x:f>
        <x:v>57000</x:v>
      </x:c>
      <x:c r="K15" s="19" t="n">
        <x:f>K14+J15</x:f>
        <x:v>99000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0.22962962962962963</x:v>
      </x:c>
      <x:c r="Q15" s="29" t="n">
        <x:v>0.5754497354497354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355000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389000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379000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45000</x:v>
      </x:c>
      <x:c r="C19" s="19" t="n">
        <x:v>21000</x:v>
      </x:c>
      <x:c r="D19" s="19" t="n">
        <x:f>B19-C19</x:f>
        <x:v>24000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45000</x:v>
      </x:c>
      <x:c r="I19" s="19" t="n">
        <x:f>C19+F19</x:f>
        <x:v>43000</x:v>
      </x:c>
      <x:c r="J19" s="19" t="n">
        <x:f>H19-I19</x:f>
        <x:v>2000</x:v>
      </x:c>
      <x:c r="K19" s="19" t="n">
        <x:f>K18+J19</x:f>
        <x:v>381000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  <x:c r="P19" s="27" t="n">
        <x:v>0.5764550264550264</x:v>
      </x:c>
      <x:c r="Q19" s="29" t="n">
        <x:v>1.3555555555555556</x:v>
      </x:c>
      <x:c r="R19" s="31" t="n">
        <x:v>95.45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692000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0</x:v>
      </x:c>
      <x:c r="J21" s="19" t="n">
        <x:f>H21-I21</x:f>
        <x:v>74000</x:v>
      </x:c>
      <x:c r="K21" s="19" t="n">
        <x:f>K20+J21</x:f>
        <x:v>766000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0.4150793650793651</x:v>
      </x:c>
      <x:c r="Q21" s="29" t="n">
        <x:v>1.778042328042328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848000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90000</x:v>
      </x:c>
      <x:c r="D23" s="19" t="n">
        <x:f>B23-C23</x:f>
        <x:v>-90000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143000</x:v>
      </x:c>
      <x:c r="J23" s="19" t="n">
        <x:f>H23-I23</x:f>
        <x:v>-143000</x:v>
      </x:c>
      <x:c r="K23" s="19" t="n">
        <x:f>K22+J23</x:f>
        <x:v>705000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0.2794179894179894</x:v>
      </x:c>
      <x:c r="Q23" s="29" t="n">
        <x:v>1.3970899470899472</x:v>
      </x:c>
      <x:c r="R23" s="31" t="n">
        <x:v>55.13333333333333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841000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863000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860000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0.034074074074074076</x:v>
      </x:c>
      <x:c r="Q26" s="29" t="n">
        <x:v>0.17037037037037037</x:v>
      </x:c>
      <x:c r="R26" s="31" t="n">
        <x:v>300.21666666666664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852000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54000</x:v>
      </x:c>
      <x:c r="C28" s="19" t="n">
        <x:v>0</x:v>
      </x:c>
      <x:c r="D28" s="19" t="n">
        <x:f>B28-C28</x:f>
        <x:v>54000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144000</x:v>
      </x:c>
      <x:c r="I28" s="19" t="n">
        <x:f>C28+F28</x:f>
        <x:v>24000</x:v>
      </x:c>
      <x:c r="J28" s="19" t="n">
        <x:f>H28-I28</x:f>
        <x:v>120000</x:v>
      </x:c>
      <x:c r="K28" s="19" t="n">
        <x:f>K27+J28</x:f>
        <x:v>972000</x:v>
      </x:c>
      <x:c r="L28" s="20" t="n">
        <x:v>10</x:v>
      </x:c>
      <x:c r="M28" s="20" t="n">
        <x:v>3</x:v>
      </x:c>
      <x:c r="N28" s="20" t="n">
        <x:v>7</x:v>
      </x:c>
      <x:c r="O28" s="20" t="n">
        <x:v>6</x:v>
      </x:c>
      <x:c r="P28" s="27" t="n">
        <x:v>0.13544973544973546</x:v>
      </x:c>
      <x:c r="Q28" s="29" t="n">
        <x:v>0.6357142857142857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908000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0.0326984126984127</x:v>
      </x:c>
      <x:c r="Q29" s="29" t="n">
        <x:v>0.1634920634920635</x:v>
      </x:c>
      <x:c r="R29" s="31" t="n">
        <x:v>133.31666666666666</x:v>
      </x:c>
    </x:row>
    <x:row r="30" ht="23" customHeight="1">
      <x:c r="A30" s="2" t="str">
        <x:v>2026-10-22_Night</x:v>
      </x:c>
      <x:c r="B30" s="19" t="n">
        <x:v>0</x:v>
      </x:c>
      <x:c r="C30" s="19" t="n">
        <x:v>80000</x:v>
      </x:c>
      <x:c r="D30" s="19" t="n">
        <x:f>B30-C30</x:f>
        <x:v>-80000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80000</x:v>
      </x:c>
      <x:c r="J30" s="19" t="n">
        <x:f>H30-I30</x:f>
        <x:v>76000</x:v>
      </x:c>
      <x:c r="K30" s="19" t="n">
        <x:f>K29+J30</x:f>
        <x:v>984000</x:v>
      </x:c>
      <x:c r="L30" s="20" t="n">
        <x:v>5</x:v>
      </x:c>
      <x:c r="M30" s="20" t="n">
        <x:v>2</x:v>
      </x:c>
      <x:c r="N30" s="20" t="n">
        <x:v>3</x:v>
      </x:c>
      <x:c r="O30" s="20" t="n">
        <x:v>6</x:v>
      </x:c>
      <x:c r="P30" s="27" t="n">
        <x:v>0.04576719576719577</x:v>
      </x:c>
      <x:c r="Q30" s="29" t="n">
        <x:v>0.22883597883597884</x:v>
      </x:c>
      <x:c r="R30" s="31" t="n">
        <x:v>129.78333333333333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971000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258000</x:v>
      </x:c>
      <x:c r="C32" s="25" t="n">
        <x:f>SUM(C7:C31)</x:f>
        <x:v>430000</x:v>
      </x:c>
      <x:c r="D32" s="25" t="n">
        <x:f>B32-C32</x:f>
        <x:v>-172000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2350000</x:v>
      </x:c>
      <x:c r="I32" s="25" t="n">
        <x:f>C32+F32</x:f>
        <x:v>1379000</x:v>
      </x:c>
      <x:c r="J32" s="25" t="n">
        <x:f>H32-I32</x:f>
        <x:v>971000</x:v>
      </x:c>
      <x:c r="K32" s="25" t="n">
        <x:f>K31</x:f>
        <x:v>971000</x:v>
      </x:c>
      <x:c r="L32" s="26" t="n">
        <x:f>SUM(L7:L31)</x:f>
        <x:v>165</x:v>
      </x:c>
      <x:c r="M32" s="26" t="n">
        <x:f>SUM(M7:M31)</x:f>
        <x:v>31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0.12996825396825396</x:v>
      </x:c>
      <x:c r="Q32" s="30" t="n">
        <x:f>AVERAGE(Q7:Q31)</x:f>
        <x:v>0.3614031746031746</x:v>
      </x:c>
      <x:c r="R32" s="32" t="n">
        <x:f>IF(COUNT(R7:R31)=0,"未参加",MEDIAN(R7:R31))</x:f>
        <x:v>119.725</x:v>
      </x:c>
    </x:row>
  </x:sheetData>
  <x:conditionalFormatting sqref="B7:K32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d93e968e8c48f2"/>
  </x:tableParts>
</x:worksheet>
</file>

<file path=xl/worksheets/sheet2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B02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主担当効率0.3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0</x:v>
      </x:c>
      <x:c r="C10" s="19" t="n">
        <x:v>40000</x:v>
      </x:c>
      <x:c r="D10" s="19" t="n">
        <x:f>B10-C10</x:f>
        <x:v>-40000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20000</x:v>
      </x:c>
      <x:c r="I10" s="19" t="n">
        <x:f>C10+F10</x:f>
        <x:v>40000</x:v>
      </x:c>
      <x:c r="J10" s="19" t="n">
        <x:f>H10-I10</x:f>
        <x:v>-20000</x:v>
      </x:c>
      <x:c r="K10" s="19" t="n">
        <x:f>K9+J10</x:f>
        <x:v>-43000</x:v>
      </x:c>
      <x:c r="L10" s="20" t="n">
        <x:v>3</x:v>
      </x:c>
      <x:c r="M10" s="20" t="n">
        <x:v>1</x:v>
      </x:c>
      <x:c r="N10" s="20" t="n">
        <x:v>2</x:v>
      </x:c>
      <x:c r="O10" s="20" t="n">
        <x:v>5</x:v>
      </x:c>
      <x:c r="P10" s="27" t="n">
        <x:v>0.012063492063492064</x:v>
      </x:c>
      <x:c r="Q10" s="29" t="n">
        <x:v>0.06031746031746032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-42000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-62000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57000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37000</x:v>
      </x:c>
      <x:c r="C15" s="19" t="n">
        <x:v>58000</x:v>
      </x:c>
      <x:c r="D15" s="19" t="n">
        <x:f>B15-C15</x:f>
        <x:v>-21000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227000</x:v>
      </x:c>
      <x:c r="I15" s="19" t="n">
        <x:f>C15+F15</x:f>
        <x:v>150000</x:v>
      </x:c>
      <x:c r="J15" s="19" t="n">
        <x:f>H15-I15</x:f>
        <x:v>77000</x:v>
      </x:c>
      <x:c r="K15" s="19" t="n">
        <x:f>K14+J15</x:f>
        <x:v>134000</x:v>
      </x:c>
      <x:c r="L15" s="20" t="n">
        <x:v>15</x:v>
      </x:c>
      <x:c r="M15" s="20" t="n">
        <x:v>7</x:v>
      </x:c>
      <x:c r="N15" s="20" t="n">
        <x:v>8</x:v>
      </x:c>
      <x:c r="O15" s="20" t="n">
        <x:v>5</x:v>
      </x:c>
      <x:c r="P15" s="27" t="n">
        <x:v>0.2686243386243386</x:v>
      </x:c>
      <x:c r="Q15" s="29" t="n">
        <x:v>0.7704232804232805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390000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424000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414000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371000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45000</x:v>
      </x:c>
      <x:c r="D20" s="19" t="n">
        <x:f>B20-C20</x:f>
        <x:v>-40000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65000</x:v>
      </x:c>
      <x:c r="J20" s="19" t="n">
        <x:f>H20-I20</x:f>
        <x:v>266000</x:v>
      </x:c>
      <x:c r="K20" s="19" t="n">
        <x:f>K19+J20</x:f>
        <x:v>637000</x:v>
      </x:c>
      <x:c r="L20" s="20" t="n">
        <x:v>18</x:v>
      </x:c>
      <x:c r="M20" s="20" t="n">
        <x:v>3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0.7174603174603175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30000</x:v>
      </x:c>
      <x:c r="D21" s="19" t="n">
        <x:f>B21-C21</x:f>
        <x:v>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30000</x:v>
      </x:c>
      <x:c r="J21" s="19" t="n">
        <x:f>H21-I21</x:f>
        <x:v>44000</x:v>
      </x:c>
      <x:c r="K21" s="19" t="n">
        <x:f>K20+J21</x:f>
        <x:v>681000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0.43714285714285717</x:v>
      </x:c>
      <x:c r="Q21" s="29" t="n">
        <x:v>1.8883597883597885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763000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45000</x:v>
      </x:c>
      <x:c r="D23" s="19" t="n">
        <x:f>B23-C23</x:f>
        <x:v>-45000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98000</x:v>
      </x:c>
      <x:c r="J23" s="19" t="n">
        <x:f>H23-I23</x:f>
        <x:v>-98000</x:v>
      </x:c>
      <x:c r="K23" s="19" t="n">
        <x:f>K22+J23</x:f>
        <x:v>665000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25000</x:v>
      </x:c>
      <x:c r="D24" s="19" t="n">
        <x:f>B24-C24</x:f>
        <x:v>-25000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86000</x:v>
      </x:c>
      <x:c r="J24" s="19" t="n">
        <x:f>H24-I24</x:f>
        <x:v>111000</x:v>
      </x:c>
      <x:c r="K24" s="19" t="n">
        <x:f>K23+J24</x:f>
        <x:v>776000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0.012698412698412698</x:v>
      </x:c>
      <x:c r="Q24" s="29" t="n">
        <x:v>0.06349206349206349</x:v>
      </x:c>
      <x:c r="R24" s="31" t="n">
        <x:v>174.05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798000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0</x:v>
      </x:c>
      <x:c r="D26" s="19" t="n">
        <x:f>B26-C26</x:f>
        <x:v>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126000</x:v>
      </x:c>
      <x:c r="J26" s="19" t="n">
        <x:f>H26-I26</x:f>
        <x:v>32000</x:v>
      </x:c>
      <x:c r="K26" s="19" t="n">
        <x:f>K25+J26</x:f>
        <x:v>830000</x:v>
      </x:c>
      <x:c r="L26" s="20" t="n">
        <x:v>13</x:v>
      </x:c>
      <x:c r="M26" s="20" t="n">
        <x:v>0</x:v>
      </x:c>
      <x:c r="N26" s="20" t="n">
        <x:v>13</x:v>
      </x:c>
      <x:c r="O26" s="20" t="n">
        <x:v>7</x:v>
      </x:c>
      <x:c r="P26" s="27" t="n">
        <x:v>0</x:v>
      </x:c>
      <x:c r="Q26" s="29" t="n">
        <x:v>0</x:v>
      </x:c>
      <x:c r="R26" s="31"/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822000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34000</x:v>
      </x:c>
      <x:c r="C28" s="19" t="n">
        <x:v>0</x:v>
      </x:c>
      <x:c r="D28" s="19" t="n">
        <x:f>B28-C28</x:f>
        <x:v>34000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124000</x:v>
      </x:c>
      <x:c r="I28" s="19" t="n">
        <x:f>C28+F28</x:f>
        <x:v>24000</x:v>
      </x:c>
      <x:c r="J28" s="19" t="n">
        <x:f>H28-I28</x:f>
        <x:v>100000</x:v>
      </x:c>
      <x:c r="K28" s="19" t="n">
        <x:f>K27+J28</x:f>
        <x:v>922000</x:v>
      </x:c>
      <x:c r="L28" s="20" t="n">
        <x:v>9</x:v>
      </x:c>
      <x:c r="M28" s="20" t="n">
        <x:v>2</x:v>
      </x:c>
      <x:c r="N28" s="20" t="n">
        <x:v>7</x:v>
      </x:c>
      <x:c r="O28" s="20" t="n">
        <x:v>5</x:v>
      </x:c>
      <x:c r="P28" s="27" t="n">
        <x:v>0.13544973544973546</x:v>
      </x:c>
      <x:c r="Q28" s="29" t="n">
        <x:v>0.15026455026455027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858000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0.0326984126984127</x:v>
      </x:c>
      <x:c r="Q29" s="29" t="n">
        <x:v>0.1634920634920635</x:v>
      </x:c>
      <x:c r="R29" s="31" t="n">
        <x:v>133.31666666666666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979000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966000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193000</x:v>
      </x:c>
      <x:c r="C32" s="25" t="n">
        <x:f>SUM(C7:C31)</x:f>
        <x:v>370000</x:v>
      </x:c>
      <x:c r="D32" s="25" t="n">
        <x:f>B32-C32</x:f>
        <x:v>-177000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2285000</x:v>
      </x:c>
      <x:c r="I32" s="25" t="n">
        <x:f>C32+F32</x:f>
        <x:v>1319000</x:v>
      </x:c>
      <x:c r="J32" s="25" t="n">
        <x:f>H32-I32</x:f>
        <x:v>966000</x:v>
      </x:c>
      <x:c r="K32" s="25" t="n">
        <x:f>K31</x:f>
        <x:v>966000</x:v>
      </x:c>
      <x:c r="L32" s="26" t="n">
        <x:f>SUM(L7:L31)</x:f>
        <x:v>162</x:v>
      </x:c>
      <x:c r="M32" s="26" t="n">
        <x:f>SUM(M7:M31)</x:f>
        <x:v>28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0.10677037037037039</x:v>
      </x:c>
      <x:c r="Q32" s="30" t="n">
        <x:f>AVERAGE(Q7:Q31)</x:f>
        <x:v>0.2798412698412699</x:v>
      </x:c>
      <x:c r="R32" s="32" t="n">
        <x:f>IF(COUNT(R7:R31)=0,"未参加",MEDIAN(R7:R31))</x:f>
        <x:v>134.39166666666665</x:v>
      </x:c>
    </x:row>
  </x:sheetData>
  <x:conditionalFormatting sqref="B7:K32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5829a2cfb1498b"/>
  </x:tableParts>
</x:worksheet>
</file>

<file path=xl/worksheets/sheet2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B03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主担当効率0.25、戻り0.4R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20000</x:v>
      </x:c>
      <x:c r="C10" s="19" t="n">
        <x:v>40000</x:v>
      </x:c>
      <x:c r="D10" s="19" t="n">
        <x:f>B10-C10</x:f>
        <x:v>-20000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40000</x:v>
      </x:c>
      <x:c r="I10" s="19" t="n">
        <x:f>C10+F10</x:f>
        <x:v>40000</x:v>
      </x:c>
      <x:c r="J10" s="19" t="n">
        <x:f>H10-I10</x:f>
        <x:v>0</x:v>
      </x:c>
      <x:c r="K10" s="19" t="n">
        <x:f>K9+J10</x:f>
        <x:v>-23000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0.0682010582010582</x:v>
      </x:c>
      <x:c r="Q10" s="29" t="n">
        <x:v>0.341005291005291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-22000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-42000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23000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84000</x:v>
      </x:c>
      <x:c r="C14" s="19" t="n">
        <x:v>40000</x:v>
      </x:c>
      <x:c r="D14" s="19" t="n">
        <x:f>B14-C14</x:f>
        <x:v>44000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127000</x:v>
      </x:c>
      <x:c r="I14" s="19" t="n">
        <x:f>C14+F14</x:f>
        <x:v>40000</x:v>
      </x:c>
      <x:c r="J14" s="19" t="n">
        <x:f>H14-I14</x:f>
        <x:v>87000</x:v>
      </x:c>
      <x:c r="K14" s="19" t="n">
        <x:f>K13+J14</x:f>
        <x:v>110000</x:v>
      </x:c>
      <x:c r="L14" s="20" t="n">
        <x:v>6</x:v>
      </x:c>
      <x:c r="M14" s="20" t="n">
        <x:v>3</x:v>
      </x:c>
      <x:c r="N14" s="20" t="n">
        <x:v>3</x:v>
      </x:c>
      <x:c r="O14" s="20" t="n">
        <x:v>7</x:v>
      </x:c>
      <x:c r="P14" s="27" t="n">
        <x:v>0.08984126984126985</x:v>
      </x:c>
      <x:c r="Q14" s="29" t="n">
        <x:v>0.21682539682539684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32000</x:v>
      </x:c>
      <x:c r="C15" s="19" t="n">
        <x:v>113000</x:v>
      </x:c>
      <x:c r="D15" s="19" t="n">
        <x:f>B15-C15</x:f>
        <x:v>-81000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222000</x:v>
      </x:c>
      <x:c r="I15" s="19" t="n">
        <x:f>C15+F15</x:f>
        <x:v>205000</x:v>
      </x:c>
      <x:c r="J15" s="19" t="n">
        <x:f>H15-I15</x:f>
        <x:v>17000</x:v>
      </x:c>
      <x:c r="K15" s="19" t="n">
        <x:f>K14+J15</x:f>
        <x:v>127000</x:v>
      </x:c>
      <x:c r="L15" s="20" t="n">
        <x:v>16</x:v>
      </x:c>
      <x:c r="M15" s="20" t="n">
        <x:v>8</x:v>
      </x:c>
      <x:c r="N15" s="20" t="n">
        <x:v>8</x:v>
      </x:c>
      <x:c r="O15" s="20" t="n">
        <x:v>5</x:v>
      </x:c>
      <x:c r="P15" s="27" t="n">
        <x:v>0.34703703703703703</x:v>
      </x:c>
      <x:c r="Q15" s="29" t="n">
        <x:v>1.3360317460317461</x:v>
      </x:c>
      <x:c r="R15" s="31" t="n">
        <x:v>80.26666666666667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383000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80000</x:v>
      </x:c>
      <x:c r="D17" s="19" t="n">
        <x:f>B17-C17</x:f>
        <x:v>-80000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144000</x:v>
      </x:c>
      <x:c r="J17" s="19" t="n">
        <x:f>H17-I17</x:f>
        <x:v>-46000</x:v>
      </x:c>
      <x:c r="K17" s="19" t="n">
        <x:f>K16+J17</x:f>
        <x:v>337000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0.41253968253968254</x:v>
      </x:c>
      <x:c r="Q17" s="29" t="n">
        <x:v>2.062698412698413</x:v>
      </x:c>
      <x:c r="R17" s="31" t="n">
        <x:v>45.31666666666667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327000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57000</x:v>
      </x:c>
      <x:c r="C19" s="19" t="n">
        <x:v>21000</x:v>
      </x:c>
      <x:c r="D19" s="19" t="n">
        <x:f>B19-C19</x:f>
        <x:v>36000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57000</x:v>
      </x:c>
      <x:c r="I19" s="19" t="n">
        <x:f>C19+F19</x:f>
        <x:v>43000</x:v>
      </x:c>
      <x:c r="J19" s="19" t="n">
        <x:f>H19-I19</x:f>
        <x:v>14000</x:v>
      </x:c>
      <x:c r="K19" s="19" t="n">
        <x:f>K18+J19</x:f>
        <x:v>341000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  <x:c r="P19" s="27" t="n">
        <x:v>0.6515873015873016</x:v>
      </x:c>
      <x:c r="Q19" s="29" t="n">
        <x:v>1.3612698412698412</x:v>
      </x:c>
      <x:c r="R19" s="31" t="n">
        <x:v>71.78333333333333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652000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30000</x:v>
      </x:c>
      <x:c r="D21" s="19" t="n">
        <x:f>B21-C21</x:f>
        <x:v>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30000</x:v>
      </x:c>
      <x:c r="J21" s="19" t="n">
        <x:f>H21-I21</x:f>
        <x:v>44000</x:v>
      </x:c>
      <x:c r="K21" s="19" t="n">
        <x:f>K20+J21</x:f>
        <x:v>696000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0.44724867724867723</x:v>
      </x:c>
      <x:c r="Q21" s="29" t="n">
        <x:v>1.9388888888888889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778000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90000</x:v>
      </x:c>
      <x:c r="D23" s="19" t="n">
        <x:f>B23-C23</x:f>
        <x:v>-90000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143000</x:v>
      </x:c>
      <x:c r="J23" s="19" t="n">
        <x:f>H23-I23</x:f>
        <x:v>-143000</x:v>
      </x:c>
      <x:c r="K23" s="19" t="n">
        <x:f>K22+J23</x:f>
        <x:v>635000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0.2794179894179894</x:v>
      </x:c>
      <x:c r="Q23" s="29" t="n">
        <x:v>1.3970899470899472</x:v>
      </x:c>
      <x:c r="R23" s="31" t="n">
        <x:v>55.13333333333333</x:v>
      </x:c>
    </x:row>
    <x:row r="24" ht="23" customHeight="1">
      <x:c r="A24" s="2" t="str">
        <x:v>2026-10-14_Night</x:v>
      </x:c>
      <x:c r="B24" s="19" t="n">
        <x:v>0</x:v>
      </x:c>
      <x:c r="C24" s="19" t="n">
        <x:v>30000</x:v>
      </x:c>
      <x:c r="D24" s="19" t="n">
        <x:f>B24-C24</x:f>
        <x:v>-30000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91000</x:v>
      </x:c>
      <x:c r="J24" s="19" t="n">
        <x:f>H24-I24</x:f>
        <x:v>106000</x:v>
      </x:c>
      <x:c r="K24" s="19" t="n">
        <x:f>K23+J24</x:f>
        <x:v>741000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0.05534391534391534</x:v>
      </x:c>
      <x:c r="Q24" s="29" t="n">
        <x:v>0.2767195767195767</x:v>
      </x:c>
      <x:c r="R24" s="31" t="n">
        <x:v>45.86666666666667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763000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760000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0.034074074074074076</x:v>
      </x:c>
      <x:c r="Q26" s="29" t="n">
        <x:v>0.17037037037037037</x:v>
      </x:c>
      <x:c r="R26" s="31" t="n">
        <x:v>300.21666666666664</x:v>
      </x:c>
    </x:row>
    <x:row r="27" ht="23" customHeight="1">
      <x:c r="A27" s="2" t="str">
        <x:v>2026-10-19_Night</x:v>
      </x:c>
      <x:c r="B27" s="19" t="n">
        <x:v>8000</x:v>
      </x:c>
      <x:c r="C27" s="19" t="n">
        <x:v>30000</x:v>
      </x:c>
      <x:c r="D27" s="19" t="n">
        <x:f>B27-C27</x:f>
        <x:v>-22000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93000</x:v>
      </x:c>
      <x:c r="I27" s="19" t="n">
        <x:f>C27+F27</x:f>
        <x:v>123000</x:v>
      </x:c>
      <x:c r="J27" s="19" t="n">
        <x:f>H27-I27</x:f>
        <x:v>-30000</x:v>
      </x:c>
      <x:c r="K27" s="19" t="n">
        <x:f>K26+J27</x:f>
        <x:v>730000</x:v>
      </x:c>
      <x:c r="L27" s="20" t="n">
        <x:v>14</x:v>
      </x:c>
      <x:c r="M27" s="20" t="n">
        <x:v>2</x:v>
      </x:c>
      <x:c r="N27" s="20" t="n">
        <x:v>12</x:v>
      </x:c>
      <x:c r="O27" s="20" t="n">
        <x:v>5</x:v>
      </x:c>
      <x:c r="P27" s="27" t="n">
        <x:v>0.22677248677248676</x:v>
      </x:c>
      <x:c r="Q27" s="29" t="n">
        <x:v>0.6724867724867725</x:v>
      </x:c>
      <x:c r="R27" s="31" t="n">
        <x:v>188.55</x:v>
      </x:c>
    </x:row>
    <x:row r="28" ht="23" customHeight="1">
      <x:c r="A28" s="2" t="str">
        <x:v>2026-10-20_Night</x:v>
      </x:c>
      <x:c r="B28" s="19" t="n">
        <x:v>44000</x:v>
      </x:c>
      <x:c r="C28" s="19" t="n">
        <x:v>0</x:v>
      </x:c>
      <x:c r="D28" s="19" t="n">
        <x:f>B28-C28</x:f>
        <x:v>44000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134000</x:v>
      </x:c>
      <x:c r="I28" s="19" t="n">
        <x:f>C28+F28</x:f>
        <x:v>24000</x:v>
      </x:c>
      <x:c r="J28" s="19" t="n">
        <x:f>H28-I28</x:f>
        <x:v>110000</x:v>
      </x:c>
      <x:c r="K28" s="19" t="n">
        <x:f>K27+J28</x:f>
        <x:v>840000</x:v>
      </x:c>
      <x:c r="L28" s="20" t="n">
        <x:v>11</x:v>
      </x:c>
      <x:c r="M28" s="20" t="n">
        <x:v>4</x:v>
      </x:c>
      <x:c r="N28" s="20" t="n">
        <x:v>7</x:v>
      </x:c>
      <x:c r="O28" s="20" t="n">
        <x:v>6</x:v>
      </x:c>
      <x:c r="P28" s="27" t="n">
        <x:v>0.18486772486772488</x:v>
      </x:c>
      <x:c r="Q28" s="29" t="n">
        <x:v>0.78005291005291</x:v>
      </x:c>
      <x:c r="R28" s="31" t="n">
        <x:v>67.08333333333333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776000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0.0326984126984127</x:v>
      </x:c>
      <x:c r="Q29" s="29" t="n">
        <x:v>0.1634920634920635</x:v>
      </x:c>
      <x:c r="R29" s="31" t="n">
        <x:v>133.31666666666666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897000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54000</x:v>
      </x:c>
      <x:c r="C31" s="19" t="n">
        <x:v>31000</x:v>
      </x:c>
      <x:c r="D31" s="19" t="n">
        <x:f>B31-C31</x:f>
        <x:v>23000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91000</x:v>
      </x:c>
      <x:c r="I31" s="19" t="n">
        <x:f>C31+F31</x:f>
        <x:v>53000</x:v>
      </x:c>
      <x:c r="J31" s="19" t="n">
        <x:f>H31-I31</x:f>
        <x:v>38000</x:v>
      </x:c>
      <x:c r="K31" s="19" t="n">
        <x:f>K30+J31</x:f>
        <x:v>935000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  <x:c r="P31" s="27" t="n">
        <x:v>0.607037037037037</x:v>
      </x:c>
      <x:c r="Q31" s="29" t="n">
        <x:v>1.4476719576719577</x:v>
      </x:c>
      <x:c r="R31" s="31" t="n">
        <x:v>59.36666666666667</x:v>
      </x:c>
    </x:row>
    <x:row r="32" ht="23" customHeight="1">
      <x:c r="A32" s="24" t="str">
        <x:v>25夜累計</x:v>
      </x:c>
      <x:c r="B32" s="25" t="n">
        <x:f>SUM(B7:B31)</x:f>
        <x:v>407000</x:v>
      </x:c>
      <x:c r="C32" s="25" t="n">
        <x:f>SUM(C7:C31)</x:f>
        <x:v>615000</x:v>
      </x:c>
      <x:c r="D32" s="25" t="n">
        <x:f>B32-C32</x:f>
        <x:v>-208000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2499000</x:v>
      </x:c>
      <x:c r="I32" s="25" t="n">
        <x:f>C32+F32</x:f>
        <x:v>1564000</x:v>
      </x:c>
      <x:c r="J32" s="25" t="n">
        <x:f>H32-I32</x:f>
        <x:v>935000</x:v>
      </x:c>
      <x:c r="K32" s="25" t="n">
        <x:f>K31</x:f>
        <x:v>935000</x:v>
      </x:c>
      <x:c r="L32" s="26" t="n">
        <x:f>SUM(L7:L31)</x:f>
        <x:v>174</x:v>
      </x:c>
      <x:c r="M32" s="26" t="n">
        <x:f>SUM(M7:M31)</x:f>
        <x:v>40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0.17505185185185185</x:v>
      </x:c>
      <x:c r="Q32" s="30" t="n">
        <x:f>AVERAGE(Q7:Q31)</x:f>
        <x:v>0.5513989417989418</x:v>
      </x:c>
      <x:c r="R32" s="32" t="n">
        <x:f>IF(COUNT(R7:R31)=0,"未参加",MEDIAN(R7:R31))</x:f>
        <x:v>80.26666666666667</x:v>
      </x:c>
    </x:row>
  </x:sheetData>
  <x:conditionalFormatting sqref="B7:K32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6ead1be7d044be"/>
  </x:tableParts>
</x:worksheet>
</file>

<file path=xl/worksheets/sheet2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B04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主担当効率0.25、戻り0.4R、反発0.125R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34000</x:v>
      </x:c>
      <x:c r="C8" s="19" t="n">
        <x:v>0</x:v>
      </x:c>
      <x:c r="D8" s="19" t="n">
        <x:f>B8-C8</x:f>
        <x:v>34000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58000</x:v>
      </x:c>
      <x:c r="I8" s="19" t="n">
        <x:f>C8+F8</x:f>
        <x:v>0</x:v>
      </x:c>
      <x:c r="J8" s="19" t="n">
        <x:f>H8-I8</x:f>
        <x:v>58000</x:v>
      </x:c>
      <x:c r="K8" s="19" t="n">
        <x:f>K7+J8</x:f>
        <x:v>13000</x:v>
      </x:c>
      <x:c r="L8" s="20" t="n">
        <x:v>2</x:v>
      </x:c>
      <x:c r="M8" s="20" t="n">
        <x:v>1</x:v>
      </x:c>
      <x:c r="N8" s="20" t="n">
        <x:v>1</x:v>
      </x:c>
      <x:c r="O8" s="20" t="n">
        <x:v>5</x:v>
      </x:c>
      <x:c r="P8" s="27" t="n">
        <x:v>0.14285714285714285</x:v>
      </x:c>
      <x:c r="Q8" s="29" t="n">
        <x:v>0.6747089947089947</x:v>
      </x:c>
      <x:c r="R8" s="31" t="n">
        <x:v>71.13333333333334</x:v>
      </x:c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-23000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25000</x:v>
      </x:c>
      <x:c r="C10" s="19" t="n">
        <x:v>40000</x:v>
      </x:c>
      <x:c r="D10" s="19" t="n">
        <x:f>B10-C10</x:f>
        <x:v>-15000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45000</x:v>
      </x:c>
      <x:c r="I10" s="19" t="n">
        <x:f>C10+F10</x:f>
        <x:v>40000</x:v>
      </x:c>
      <x:c r="J10" s="19" t="n">
        <x:f>H10-I10</x:f>
        <x:v>5000</x:v>
      </x:c>
      <x:c r="K10" s="19" t="n">
        <x:f>K9+J10</x:f>
        <x:v>-18000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0.06878306878306878</x:v>
      </x:c>
      <x:c r="Q10" s="29" t="n">
        <x:v>0.3439153439153439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-17000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-37000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28000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84000</x:v>
      </x:c>
      <x:c r="C14" s="19" t="n">
        <x:v>40000</x:v>
      </x:c>
      <x:c r="D14" s="19" t="n">
        <x:f>B14-C14</x:f>
        <x:v>44000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127000</x:v>
      </x:c>
      <x:c r="I14" s="19" t="n">
        <x:f>C14+F14</x:f>
        <x:v>40000</x:v>
      </x:c>
      <x:c r="J14" s="19" t="n">
        <x:f>H14-I14</x:f>
        <x:v>87000</x:v>
      </x:c>
      <x:c r="K14" s="19" t="n">
        <x:f>K13+J14</x:f>
        <x:v>115000</x:v>
      </x:c>
      <x:c r="L14" s="20" t="n">
        <x:v>6</x:v>
      </x:c>
      <x:c r="M14" s="20" t="n">
        <x:v>3</x:v>
      </x:c>
      <x:c r="N14" s="20" t="n">
        <x:v>3</x:v>
      </x:c>
      <x:c r="O14" s="20" t="n">
        <x:v>7</x:v>
      </x:c>
      <x:c r="P14" s="27" t="n">
        <x:v>0.08984126984126985</x:v>
      </x:c>
      <x:c r="Q14" s="29" t="n">
        <x:v>0.21682539682539684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32000</x:v>
      </x:c>
      <x:c r="C15" s="19" t="n">
        <x:v>113000</x:v>
      </x:c>
      <x:c r="D15" s="19" t="n">
        <x:f>B15-C15</x:f>
        <x:v>-81000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222000</x:v>
      </x:c>
      <x:c r="I15" s="19" t="n">
        <x:f>C15+F15</x:f>
        <x:v>205000</x:v>
      </x:c>
      <x:c r="J15" s="19" t="n">
        <x:f>H15-I15</x:f>
        <x:v>17000</x:v>
      </x:c>
      <x:c r="K15" s="19" t="n">
        <x:f>K14+J15</x:f>
        <x:v>132000</x:v>
      </x:c>
      <x:c r="L15" s="20" t="n">
        <x:v>16</x:v>
      </x:c>
      <x:c r="M15" s="20" t="n">
        <x:v>8</x:v>
      </x:c>
      <x:c r="N15" s="20" t="n">
        <x:v>8</x:v>
      </x:c>
      <x:c r="O15" s="20" t="n">
        <x:v>5</x:v>
      </x:c>
      <x:c r="P15" s="27" t="n">
        <x:v>0.3541269841269841</x:v>
      </x:c>
      <x:c r="Q15" s="29" t="n">
        <x:v>1.3947619047619049</x:v>
      </x:c>
      <x:c r="R15" s="31" t="n">
        <x:v>78.03333333333333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388000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80000</x:v>
      </x:c>
      <x:c r="D17" s="19" t="n">
        <x:f>B17-C17</x:f>
        <x:v>-80000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144000</x:v>
      </x:c>
      <x:c r="J17" s="19" t="n">
        <x:f>H17-I17</x:f>
        <x:v>-46000</x:v>
      </x:c>
      <x:c r="K17" s="19" t="n">
        <x:f>K16+J17</x:f>
        <x:v>342000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0.41253968253968254</x:v>
      </x:c>
      <x:c r="Q17" s="29" t="n">
        <x:v>2.062698412698413</x:v>
      </x:c>
      <x:c r="R17" s="31" t="n">
        <x:v>45.31666666666667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332000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57000</x:v>
      </x:c>
      <x:c r="C19" s="19" t="n">
        <x:v>21000</x:v>
      </x:c>
      <x:c r="D19" s="19" t="n">
        <x:f>B19-C19</x:f>
        <x:v>36000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57000</x:v>
      </x:c>
      <x:c r="I19" s="19" t="n">
        <x:f>C19+F19</x:f>
        <x:v>43000</x:v>
      </x:c>
      <x:c r="J19" s="19" t="n">
        <x:f>H19-I19</x:f>
        <x:v>14000</x:v>
      </x:c>
      <x:c r="K19" s="19" t="n">
        <x:f>K18+J19</x:f>
        <x:v>346000</x:v>
      </x:c>
      <x:c r="L19" s="20" t="n">
        <x:v>5</x:v>
      </x:c>
      <x:c r="M19" s="20" t="n">
        <x:v>3</x:v>
      </x:c>
      <x:c r="N19" s="20" t="n">
        <x:v>2</x:v>
      </x:c>
      <x:c r="O19" s="20" t="n">
        <x:v>5</x:v>
      </x:c>
      <x:c r="P19" s="27" t="n">
        <x:v>0.6515873015873016</x:v>
      </x:c>
      <x:c r="Q19" s="29" t="n">
        <x:v>1.3612698412698412</x:v>
      </x:c>
      <x:c r="R19" s="31" t="n">
        <x:v>71.78333333333333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657000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30000</x:v>
      </x:c>
      <x:c r="D21" s="19" t="n">
        <x:f>B21-C21</x:f>
        <x:v>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30000</x:v>
      </x:c>
      <x:c r="J21" s="19" t="n">
        <x:f>H21-I21</x:f>
        <x:v>44000</x:v>
      </x:c>
      <x:c r="K21" s="19" t="n">
        <x:f>K20+J21</x:f>
        <x:v>701000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0.44724867724867723</x:v>
      </x:c>
      <x:c r="Q21" s="29" t="n">
        <x:v>1.9388888888888889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783000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40000</x:v>
      </x:c>
      <x:c r="D23" s="19" t="n">
        <x:f>B23-C23</x:f>
        <x:v>-40000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93000</x:v>
      </x:c>
      <x:c r="J23" s="19" t="n">
        <x:f>H23-I23</x:f>
        <x:v>-93000</x:v>
      </x:c>
      <x:c r="K23" s="19" t="n">
        <x:f>K22+J23</x:f>
        <x:v>690000</x:v>
      </x:c>
      <x:c r="L23" s="20" t="n">
        <x:v>3</x:v>
      </x:c>
      <x:c r="M23" s="20" t="n">
        <x:v>1</x:v>
      </x:c>
      <x:c r="N23" s="20" t="n">
        <x:v>2</x:v>
      </x:c>
      <x:c r="O23" s="20" t="n">
        <x:v>5</x:v>
      </x:c>
      <x:c r="P23" s="27" t="n">
        <x:v>0.24285714285714285</x:v>
      </x:c>
      <x:c r="Q23" s="29" t="n">
        <x:v>1.2142857142857142</x:v>
      </x:c>
      <x:c r="R23" s="31" t="n">
        <x:v>79.86666666666666</x:v>
      </x:c>
    </x:row>
    <x:row r="24" ht="23" customHeight="1">
      <x:c r="A24" s="2" t="str">
        <x:v>2026-10-14_Night</x:v>
      </x:c>
      <x:c r="B24" s="19" t="n">
        <x:v>0</x:v>
      </x:c>
      <x:c r="C24" s="19" t="n">
        <x:v>30000</x:v>
      </x:c>
      <x:c r="D24" s="19" t="n">
        <x:f>B24-C24</x:f>
        <x:v>-30000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91000</x:v>
      </x:c>
      <x:c r="J24" s="19" t="n">
        <x:f>H24-I24</x:f>
        <x:v>106000</x:v>
      </x:c>
      <x:c r="K24" s="19" t="n">
        <x:f>K23+J24</x:f>
        <x:v>796000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0.05534391534391534</x:v>
      </x:c>
      <x:c r="Q24" s="29" t="n">
        <x:v>0.2767195767195767</x:v>
      </x:c>
      <x:c r="R24" s="31" t="n">
        <x:v>45.86666666666667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818000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30000</x:v>
      </x:c>
      <x:c r="D26" s="19" t="n">
        <x:f>B26-C26</x:f>
        <x:v>-30000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156000</x:v>
      </x:c>
      <x:c r="J26" s="19" t="n">
        <x:f>H26-I26</x:f>
        <x:v>2000</x:v>
      </x:c>
      <x:c r="K26" s="19" t="n">
        <x:f>K25+J26</x:f>
        <x:v>820000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0.0355026455026455</x:v>
      </x:c>
      <x:c r="Q26" s="29" t="n">
        <x:v>0.1775132275132275</x:v>
      </x:c>
      <x:c r="R26" s="31" t="n">
        <x:v>300.01666666666665</x:v>
      </x:c>
    </x:row>
    <x:row r="27" ht="23" customHeight="1">
      <x:c r="A27" s="2" t="str">
        <x:v>2026-10-19_Night</x:v>
      </x:c>
      <x:c r="B27" s="19" t="n">
        <x:v>8000</x:v>
      </x:c>
      <x:c r="C27" s="19" t="n">
        <x:v>30000</x:v>
      </x:c>
      <x:c r="D27" s="19" t="n">
        <x:f>B27-C27</x:f>
        <x:v>-22000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93000</x:v>
      </x:c>
      <x:c r="I27" s="19" t="n">
        <x:f>C27+F27</x:f>
        <x:v>123000</x:v>
      </x:c>
      <x:c r="J27" s="19" t="n">
        <x:f>H27-I27</x:f>
        <x:v>-30000</x:v>
      </x:c>
      <x:c r="K27" s="19" t="n">
        <x:f>K26+J27</x:f>
        <x:v>790000</x:v>
      </x:c>
      <x:c r="L27" s="20" t="n">
        <x:v>14</x:v>
      </x:c>
      <x:c r="M27" s="20" t="n">
        <x:v>2</x:v>
      </x:c>
      <x:c r="N27" s="20" t="n">
        <x:v>12</x:v>
      </x:c>
      <x:c r="O27" s="20" t="n">
        <x:v>5</x:v>
      </x:c>
      <x:c r="P27" s="27" t="n">
        <x:v>0.22677248677248676</x:v>
      </x:c>
      <x:c r="Q27" s="29" t="n">
        <x:v>0.6724867724867725</x:v>
      </x:c>
      <x:c r="R27" s="31" t="n">
        <x:v>188.55</x:v>
      </x:c>
    </x:row>
    <x:row r="28" ht="23" customHeight="1">
      <x:c r="A28" s="2" t="str">
        <x:v>2026-10-20_Night</x:v>
      </x:c>
      <x:c r="B28" s="19" t="n">
        <x:v>44000</x:v>
      </x:c>
      <x:c r="C28" s="19" t="n">
        <x:v>0</x:v>
      </x:c>
      <x:c r="D28" s="19" t="n">
        <x:f>B28-C28</x:f>
        <x:v>44000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134000</x:v>
      </x:c>
      <x:c r="I28" s="19" t="n">
        <x:f>C28+F28</x:f>
        <x:v>24000</x:v>
      </x:c>
      <x:c r="J28" s="19" t="n">
        <x:f>H28-I28</x:f>
        <x:v>110000</x:v>
      </x:c>
      <x:c r="K28" s="19" t="n">
        <x:f>K27+J28</x:f>
        <x:v>900000</x:v>
      </x:c>
      <x:c r="L28" s="20" t="n">
        <x:v>11</x:v>
      </x:c>
      <x:c r="M28" s="20" t="n">
        <x:v>4</x:v>
      </x:c>
      <x:c r="N28" s="20" t="n">
        <x:v>7</x:v>
      </x:c>
      <x:c r="O28" s="20" t="n">
        <x:v>6</x:v>
      </x:c>
      <x:c r="P28" s="27" t="n">
        <x:v>0.18486772486772488</x:v>
      </x:c>
      <x:c r="Q28" s="29" t="n">
        <x:v>0.78005291005291</x:v>
      </x:c>
      <x:c r="R28" s="31" t="n">
        <x:v>67.08333333333333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836000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0.0326984126984127</x:v>
      </x:c>
      <x:c r="Q29" s="29" t="n">
        <x:v>0.1634920634920635</x:v>
      </x:c>
      <x:c r="R29" s="31" t="n">
        <x:v>133.31666666666666</x:v>
      </x:c>
    </x:row>
    <x:row r="30" ht="23" customHeight="1">
      <x:c r="A30" s="2" t="str">
        <x:v>2026-10-22_Night</x:v>
      </x:c>
      <x:c r="B30" s="19" t="n">
        <x:v>0</x:v>
      </x:c>
      <x:c r="C30" s="19" t="n">
        <x:v>0</x:v>
      </x:c>
      <x:c r="D30" s="19" t="n">
        <x:f>B30-C30</x:f>
        <x:v>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0</x:v>
      </x:c>
      <x:c r="J30" s="19" t="n">
        <x:f>H30-I30</x:f>
        <x:v>156000</x:v>
      </x:c>
      <x:c r="K30" s="19" t="n">
        <x:f>K29+J30</x:f>
        <x:v>992000</x:v>
      </x:c>
      <x:c r="L30" s="20" t="n">
        <x:v>3</x:v>
      </x:c>
      <x:c r="M30" s="20" t="n">
        <x:v>0</x:v>
      </x:c>
      <x:c r="N30" s="20" t="n">
        <x:v>3</x:v>
      </x:c>
      <x:c r="O30" s="20" t="n">
        <x:v>6</x:v>
      </x:c>
      <x:c r="P30" s="27" t="n">
        <x:v>0</x:v>
      </x:c>
      <x:c r="Q30" s="29" t="n">
        <x:v>0</x:v>
      </x:c>
      <x:c r="R30" s="31"/>
    </x:row>
    <x:row r="31" ht="23" customHeight="1">
      <x:c r="A31" s="2" t="str">
        <x:v>2026-10-23_Night</x:v>
      </x:c>
      <x:c r="B31" s="19" t="n">
        <x:v>54000</x:v>
      </x:c>
      <x:c r="C31" s="19" t="n">
        <x:v>31000</x:v>
      </x:c>
      <x:c r="D31" s="19" t="n">
        <x:f>B31-C31</x:f>
        <x:v>23000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91000</x:v>
      </x:c>
      <x:c r="I31" s="19" t="n">
        <x:f>C31+F31</x:f>
        <x:v>53000</x:v>
      </x:c>
      <x:c r="J31" s="19" t="n">
        <x:f>H31-I31</x:f>
        <x:v>38000</x:v>
      </x:c>
      <x:c r="K31" s="19" t="n">
        <x:f>K30+J31</x:f>
        <x:v>1030000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  <x:c r="P31" s="27" t="n">
        <x:v>0.607037037037037</x:v>
      </x:c>
      <x:c r="Q31" s="29" t="n">
        <x:v>1.4476719576719577</x:v>
      </x:c>
      <x:c r="R31" s="31" t="n">
        <x:v>59.36666666666667</x:v>
      </x:c>
    </x:row>
    <x:row r="32" ht="23" customHeight="1">
      <x:c r="A32" s="24" t="str">
        <x:v>25夜累計</x:v>
      </x:c>
      <x:c r="B32" s="25" t="n">
        <x:f>SUM(B7:B31)</x:f>
        <x:v>412000</x:v>
      </x:c>
      <x:c r="C32" s="25" t="n">
        <x:f>SUM(C7:C31)</x:f>
        <x:v>525000</x:v>
      </x:c>
      <x:c r="D32" s="25" t="n">
        <x:f>B32-C32</x:f>
        <x:v>-113000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2504000</x:v>
      </x:c>
      <x:c r="I32" s="25" t="n">
        <x:f>C32+F32</x:f>
        <x:v>1474000</x:v>
      </x:c>
      <x:c r="J32" s="25" t="n">
        <x:f>H32-I32</x:f>
        <x:v>1030000</x:v>
      </x:c>
      <x:c r="K32" s="25" t="n">
        <x:f>K31</x:f>
        <x:v>1030000</x:v>
      </x:c>
      <x:c r="L32" s="26" t="n">
        <x:f>SUM(L7:L31)</x:f>
        <x:v>172</x:v>
      </x:c>
      <x:c r="M32" s="26" t="n">
        <x:f>SUM(M7:M31)</x:f>
        <x:v>38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0.1727597883597884</x:v>
      </x:c>
      <x:c r="Q32" s="30" t="n">
        <x:f>AVERAGE(Q7:Q31)</x:f>
        <x:v>0.5408698412698412</x:v>
      </x:c>
      <x:c r="R32" s="32" t="n">
        <x:f>IF(COUNT(R7:R31)=0,"未参加",MEDIAN(R7:R31))</x:f>
        <x:v>78.94999999999999</x:v>
      </x:c>
    </x:row>
  </x:sheetData>
  <x:conditionalFormatting sqref="B7:K32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e94535ff1545f1"/>
  </x:tableParts>
</x:worksheet>
</file>

<file path=xl/worksheets/sheet2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B05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主担当効率0.25、実入口でも効率再確認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  <x:c r="P8" s="27" t="n">
        <x:v>0</x:v>
      </x:c>
      <x:c r="Q8" s="29" t="n">
        <x:v>0</x:v>
      </x:c>
      <x:c r="R8" s="31"/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20000</x:v>
      </x:c>
      <x:c r="C10" s="19" t="n">
        <x:v>40000</x:v>
      </x:c>
      <x:c r="D10" s="19" t="n">
        <x:f>B10-C10</x:f>
        <x:v>-20000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40000</x:v>
      </x:c>
      <x:c r="I10" s="19" t="n">
        <x:f>C10+F10</x:f>
        <x:v>40000</x:v>
      </x:c>
      <x:c r="J10" s="19" t="n">
        <x:f>H10-I10</x:f>
        <x:v>0</x:v>
      </x:c>
      <x:c r="K10" s="19" t="n">
        <x:f>K9+J10</x:f>
        <x:v>-57000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0.0682010582010582</x:v>
      </x:c>
      <x:c r="Q10" s="29" t="n">
        <x:v>0.341005291005291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-56000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-76000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-11000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11000</x:v>
      </x:c>
      <x:c r="C14" s="19" t="n">
        <x:v>0</x:v>
      </x:c>
      <x:c r="D14" s="19" t="n">
        <x:f>B14-C14</x:f>
        <x:v>11000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54000</x:v>
      </x:c>
      <x:c r="I14" s="19" t="n">
        <x:f>C14+F14</x:f>
        <x:v>0</x:v>
      </x:c>
      <x:c r="J14" s="19" t="n">
        <x:f>H14-I14</x:f>
        <x:v>54000</x:v>
      </x:c>
      <x:c r="K14" s="19" t="n">
        <x:f>K13+J14</x:f>
        <x:v>43000</x:v>
      </x:c>
      <x:c r="L14" s="20" t="n">
        <x:v>4</x:v>
      </x:c>
      <x:c r="M14" s="20" t="n">
        <x:v>1</x:v>
      </x:c>
      <x:c r="N14" s="20" t="n">
        <x:v>3</x:v>
      </x:c>
      <x:c r="O14" s="20" t="n">
        <x:v>7</x:v>
      </x:c>
      <x:c r="P14" s="27" t="n">
        <x:v>0.04957671957671958</x:v>
      </x:c>
      <x:c r="Q14" s="29" t="n">
        <x:v>0.07518518518518519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17000</x:v>
      </x:c>
      <x:c r="C15" s="19" t="n">
        <x:v>18000</x:v>
      </x:c>
      <x:c r="D15" s="19" t="n">
        <x:f>B15-C15</x:f>
        <x:v>-1000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110000</x:v>
      </x:c>
      <x:c r="J15" s="19" t="n">
        <x:f>H15-I15</x:f>
        <x:v>97000</x:v>
      </x:c>
      <x:c r="K15" s="19" t="n">
        <x:f>K14+J15</x:f>
        <x:v>140000</x:v>
      </x:c>
      <x:c r="L15" s="20" t="n">
        <x:v>13</x:v>
      </x:c>
      <x:c r="M15" s="20" t="n">
        <x:v>5</x:v>
      </x:c>
      <x:c r="N15" s="20" t="n">
        <x:v>8</x:v>
      </x:c>
      <x:c r="O15" s="20" t="n">
        <x:v>5</x:v>
      </x:c>
      <x:c r="P15" s="27" t="n">
        <x:v>0.1961904761904762</x:v>
      </x:c>
      <x:c r="Q15" s="29" t="n">
        <x:v>0.40825396825396826</x:v>
      </x:c>
      <x:c r="R15" s="31" t="n">
        <x:v>109.66666666666667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396000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0</x:v>
      </x:c>
      <x:c r="D17" s="19" t="n">
        <x:f>B17-C17</x:f>
        <x:v>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64000</x:v>
      </x:c>
      <x:c r="J17" s="19" t="n">
        <x:f>H17-I17</x:f>
        <x:v>34000</x:v>
      </x:c>
      <x:c r="K17" s="19" t="n">
        <x:f>K16+J17</x:f>
        <x:v>430000</x:v>
      </x:c>
      <x:c r="L17" s="20" t="n">
        <x:v>7</x:v>
      </x:c>
      <x:c r="M17" s="20" t="n">
        <x:v>0</x:v>
      </x:c>
      <x:c r="N17" s="20" t="n">
        <x:v>7</x:v>
      </x:c>
      <x:c r="O17" s="20" t="n">
        <x:v>5</x:v>
      </x:c>
      <x:c r="P17" s="27" t="n">
        <x:v>0</x:v>
      </x:c>
      <x:c r="Q17" s="29" t="n">
        <x:v>0</x:v>
      </x:c>
      <x:c r="R17" s="31"/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420000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377000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688000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0</x:v>
      </x:c>
      <x:c r="J21" s="19" t="n">
        <x:f>H21-I21</x:f>
        <x:v>74000</x:v>
      </x:c>
      <x:c r="K21" s="19" t="n">
        <x:f>K20+J21</x:f>
        <x:v>762000</x:v>
      </x:c>
      <x:c r="L21" s="20" t="n">
        <x:v>2</x:v>
      </x:c>
      <x:c r="M21" s="20" t="n">
        <x:v>1</x:v>
      </x:c>
      <x:c r="N21" s="20" t="n">
        <x:v>1</x:v>
      </x:c>
      <x:c r="O21" s="20" t="n">
        <x:v>5</x:v>
      </x:c>
      <x:c r="P21" s="27" t="n">
        <x:v>0.4150793650793651</x:v>
      </x:c>
      <x:c r="Q21" s="29" t="n">
        <x:v>1.778042328042328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844000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90000</x:v>
      </x:c>
      <x:c r="D23" s="19" t="n">
        <x:f>B23-C23</x:f>
        <x:v>-90000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143000</x:v>
      </x:c>
      <x:c r="J23" s="19" t="n">
        <x:f>H23-I23</x:f>
        <x:v>-143000</x:v>
      </x:c>
      <x:c r="K23" s="19" t="n">
        <x:f>K22+J23</x:f>
        <x:v>701000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0.2794179894179894</x:v>
      </x:c>
      <x:c r="Q23" s="29" t="n">
        <x:v>1.3970899470899472</x:v>
      </x:c>
      <x:c r="R23" s="31" t="n">
        <x:v>55.13333333333333</x:v>
      </x:c>
    </x:row>
    <x:row r="24" ht="23" customHeight="1">
      <x:c r="A24" s="2" t="str">
        <x:v>2026-10-14_Night</x:v>
      </x:c>
      <x:c r="B24" s="19" t="n">
        <x:v>0</x:v>
      </x:c>
      <x:c r="C24" s="19" t="n">
        <x:v>0</x:v>
      </x:c>
      <x:c r="D24" s="19" t="n">
        <x:f>B24-C24</x:f>
        <x:v>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61000</x:v>
      </x:c>
      <x:c r="J24" s="19" t="n">
        <x:f>H24-I24</x:f>
        <x:v>136000</x:v>
      </x:c>
      <x:c r="K24" s="19" t="n">
        <x:f>K23+J24</x:f>
        <x:v>837000</x:v>
      </x:c>
      <x:c r="L24" s="20" t="n">
        <x:v>4</x:v>
      </x:c>
      <x:c r="M24" s="20" t="n">
        <x:v>0</x:v>
      </x:c>
      <x:c r="N24" s="20" t="n">
        <x:v>4</x:v>
      </x:c>
      <x:c r="O24" s="20" t="n">
        <x:v>5</x:v>
      </x:c>
      <x:c r="P24" s="27" t="n">
        <x:v>0</x:v>
      </x:c>
      <x:c r="Q24" s="29" t="n">
        <x:v>0</x:v>
      </x:c>
      <x:c r="R24" s="31"/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859000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856000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0.034074074074074076</x:v>
      </x:c>
      <x:c r="Q26" s="29" t="n">
        <x:v>0.17037037037037037</x:v>
      </x:c>
      <x:c r="R26" s="31" t="n">
        <x:v>300.21666666666664</x:v>
      </x:c>
    </x:row>
    <x:row r="27" ht="23" customHeight="1">
      <x:c r="A27" s="2" t="str">
        <x:v>2026-10-19_Night</x:v>
      </x:c>
      <x:c r="B27" s="19" t="n">
        <x:v>0</x:v>
      </x:c>
      <x:c r="C27" s="19" t="n">
        <x:v>0</x:v>
      </x:c>
      <x:c r="D27" s="19" t="n">
        <x:f>B27-C27</x:f>
        <x:v>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85000</x:v>
      </x:c>
      <x:c r="I27" s="19" t="n">
        <x:f>C27+F27</x:f>
        <x:v>93000</x:v>
      </x:c>
      <x:c r="J27" s="19" t="n">
        <x:f>H27-I27</x:f>
        <x:v>-8000</x:v>
      </x:c>
      <x:c r="K27" s="19" t="n">
        <x:f>K26+J27</x:f>
        <x:v>848000</x:v>
      </x:c>
      <x:c r="L27" s="20" t="n">
        <x:v>12</x:v>
      </x:c>
      <x:c r="M27" s="20" t="n">
        <x:v>0</x:v>
      </x:c>
      <x:c r="N27" s="20" t="n">
        <x:v>12</x:v>
      </x:c>
      <x:c r="O27" s="20" t="n">
        <x:v>5</x:v>
      </x:c>
      <x:c r="P27" s="27" t="n">
        <x:v>0</x:v>
      </x:c>
      <x:c r="Q27" s="29" t="n">
        <x:v>0</x:v>
      </x:c>
      <x:c r="R27" s="31"/>
    </x:row>
    <x:row r="28" ht="23" customHeight="1">
      <x:c r="A28" s="2" t="str">
        <x:v>2026-10-20_Night</x:v>
      </x:c>
      <x:c r="B28" s="19" t="n">
        <x:v>44000</x:v>
      </x:c>
      <x:c r="C28" s="19" t="n">
        <x:v>0</x:v>
      </x:c>
      <x:c r="D28" s="19" t="n">
        <x:f>B28-C28</x:f>
        <x:v>44000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134000</x:v>
      </x:c>
      <x:c r="I28" s="19" t="n">
        <x:f>C28+F28</x:f>
        <x:v>24000</x:v>
      </x:c>
      <x:c r="J28" s="19" t="n">
        <x:f>H28-I28</x:f>
        <x:v>110000</x:v>
      </x:c>
      <x:c r="K28" s="19" t="n">
        <x:f>K27+J28</x:f>
        <x:v>958000</x:v>
      </x:c>
      <x:c r="L28" s="20" t="n">
        <x:v>10</x:v>
      </x:c>
      <x:c r="M28" s="20" t="n">
        <x:v>3</x:v>
      </x:c>
      <x:c r="N28" s="20" t="n">
        <x:v>7</x:v>
      </x:c>
      <x:c r="O28" s="20" t="n">
        <x:v>6</x:v>
      </x:c>
      <x:c r="P28" s="27" t="n">
        <x:v>0.13544973544973546</x:v>
      </x:c>
      <x:c r="Q28" s="29" t="n">
        <x:v>0.5992063492063492</x:v>
      </x:c>
      <x:c r="R28" s="31" t="n">
        <x:v>272.3333333333333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894000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0.013703703703703704</x:v>
      </x:c>
      <x:c r="Q29" s="29" t="n">
        <x:v>0.06851851851851852</x:v>
      </x:c>
      <x:c r="R29" s="31" t="n">
        <x:v>135.1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1015000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3000</x:v>
      </x:c>
      <x:c r="C31" s="19" t="n">
        <x:v>31000</x:v>
      </x:c>
      <x:c r="D31" s="19" t="n">
        <x:f>B31-C31</x:f>
        <x:v>-28000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40000</x:v>
      </x:c>
      <x:c r="I31" s="19" t="n">
        <x:f>C31+F31</x:f>
        <x:v>53000</x:v>
      </x:c>
      <x:c r="J31" s="19" t="n">
        <x:f>H31-I31</x:f>
        <x:v>-13000</x:v>
      </x:c>
      <x:c r="K31" s="19" t="n">
        <x:f>K30+J31</x:f>
        <x:v>1002000</x:v>
      </x:c>
      <x:c r="L31" s="20" t="n">
        <x:v>10</x:v>
      </x:c>
      <x:c r="M31" s="20" t="n">
        <x:v>4</x:v>
      </x:c>
      <x:c r="N31" s="20" t="n">
        <x:v>6</x:v>
      </x:c>
      <x:c r="O31" s="20" t="n">
        <x:v>5</x:v>
      </x:c>
      <x:c r="P31" s="27" t="n">
        <x:v>0.4668783068783069</x:v>
      </x:c>
      <x:c r="Q31" s="29" t="n">
        <x:v>0.8122222222222222</x:v>
      </x:c>
      <x:c r="R31" s="31" t="n">
        <x:v>103.51666666666667</x:v>
      </x:c>
    </x:row>
    <x:row r="32" ht="23" customHeight="1">
      <x:c r="A32" s="24" t="str">
        <x:v>25夜累計</x:v>
      </x:c>
      <x:c r="B32" s="25" t="n">
        <x:f>SUM(B7:B31)</x:f>
        <x:v>169000</x:v>
      </x:c>
      <x:c r="C32" s="25" t="n">
        <x:f>SUM(C7:C31)</x:f>
        <x:v>310000</x:v>
      </x:c>
      <x:c r="D32" s="25" t="n">
        <x:f>B32-C32</x:f>
        <x:v>-141000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2261000</x:v>
      </x:c>
      <x:c r="I32" s="25" t="n">
        <x:f>C32+F32</x:f>
        <x:v>1259000</x:v>
      </x:c>
      <x:c r="J32" s="25" t="n">
        <x:f>H32-I32</x:f>
        <x:v>1002000</x:v>
      </x:c>
      <x:c r="K32" s="25" t="n">
        <x:f>K31</x:f>
        <x:v>1002000</x:v>
      </x:c>
      <x:c r="L32" s="26" t="n">
        <x:f>SUM(L7:L31)</x:f>
        <x:v>160</x:v>
      </x:c>
      <x:c r="M32" s="26" t="n">
        <x:f>SUM(M7:M31)</x:f>
        <x:v>26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0.10107936507936507</x:v>
      </x:c>
      <x:c r="Q32" s="30" t="n">
        <x:f>AVERAGE(Q7:Q31)</x:f>
        <x:v>0.2690645502645503</x:v>
      </x:c>
      <x:c r="R32" s="32" t="n">
        <x:f>IF(COUNT(R7:R31)=0,"未参加",MEDIAN(R7:R31))</x:f>
        <x:v>135.46666666666667</x:v>
      </x:c>
    </x:row>
  </x:sheetData>
  <x:conditionalFormatting sqref="B7:K32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ec2857a1af4dc5"/>
  </x:tableParts>
</x:worksheet>
</file>

<file path=xl/worksheets/sheet2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4" t="str">
        <x:v>B06　全夜間の損益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3" customHeight="1">
      <x:c r="A3" s="6" t="str">
        <x:v>日経mini・片方向上限10枚・手数料0円・気配差込み。2026/09/21〜10/23の既知25夜。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6" t="str">
        <x:v>利益・損失は完結親単位。前後は初回新規時刻で区分。最下行の保有率・枚数は平均、初回新規までの分数は中央値。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6" t="str">
        <x:v>主担当効率0.25、戻り0.4R、実入口でも効率再確認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2" customHeight="1">
      <x:c r="A6" s="15" t="str">
        <x:v>セッション</x:v>
      </x:c>
      <x:c r="B6" s="16" t="str">
        <x:v>前半利益（円）</x:v>
      </x:c>
      <x:c r="C6" s="16" t="str">
        <x:v>前半損失（円）</x:v>
      </x:c>
      <x:c r="D6" s="16" t="str">
        <x:v>前半収支（円）</x:v>
      </x:c>
      <x:c r="E6" s="16" t="str">
        <x:v>後半利益（円）</x:v>
      </x:c>
      <x:c r="F6" s="16" t="str">
        <x:v>後半損失（円）</x:v>
      </x:c>
      <x:c r="G6" s="16" t="str">
        <x:v>後半収支（円）</x:v>
      </x:c>
      <x:c r="H6" s="16" t="str">
        <x:v>全夜利益（円）</x:v>
      </x:c>
      <x:c r="I6" s="16" t="str">
        <x:v>全夜損失（円）</x:v>
      </x:c>
      <x:c r="J6" s="16" t="str">
        <x:v>全夜収支（円）</x:v>
      </x:c>
      <x:c r="K6" s="16" t="str">
        <x:v>累計（円）</x:v>
      </x:c>
      <x:c r="L6" s="16" t="str">
        <x:v>新規件数</x:v>
      </x:c>
      <x:c r="M6" s="16" t="str">
        <x:v>前半新規件数</x:v>
      </x:c>
      <x:c r="N6" s="16" t="str">
        <x:v>後半新規件数</x:v>
      </x:c>
      <x:c r="O6" s="16" t="str">
        <x:v>最大片側保有枚数</x:v>
      </x:c>
      <x:c r="P6" s="16" t="str">
        <x:v>前半保有率</x:v>
      </x:c>
      <x:c r="Q6" s="16" t="str">
        <x:v>前半平均保有枚数</x:v>
      </x:c>
      <x:c r="R6" s="17" t="str">
        <x:v>初回新規まで（分）</x:v>
      </x:c>
    </x:row>
    <x:row r="7" ht="23" customHeight="1">
      <x:c r="A7" s="2" t="str">
        <x:v>2026-09-21_Night</x:v>
      </x:c>
      <x:c r="B7" s="19" t="n">
        <x:v>0</x:v>
      </x:c>
      <x:c r="C7" s="19" t="n">
        <x:v>0</x:v>
      </x:c>
      <x:c r="D7" s="19" t="n">
        <x:f>B7-C7</x:f>
        <x:v>0</x:v>
      </x:c>
      <x:c r="E7" s="19" t="n">
        <x:v>0</x:v>
      </x:c>
      <x:c r="F7" s="19" t="n">
        <x:v>45000</x:v>
      </x:c>
      <x:c r="G7" s="19" t="n">
        <x:f>E7-F7</x:f>
        <x:v>-45000</x:v>
      </x:c>
      <x:c r="H7" s="19" t="n">
        <x:f>B7+E7</x:f>
        <x:v>0</x:v>
      </x:c>
      <x:c r="I7" s="19" t="n">
        <x:f>C7+F7</x:f>
        <x:v>45000</x:v>
      </x:c>
      <x:c r="J7" s="19" t="n">
        <x:f>H7-I7</x:f>
        <x:v>-45000</x:v>
      </x:c>
      <x:c r="K7" s="19" t="n">
        <x:f>J7</x:f>
        <x:v>-45000</x:v>
      </x:c>
      <x:c r="L7" s="20" t="n">
        <x:v>1</x:v>
      </x:c>
      <x:c r="M7" s="20" t="n">
        <x:v>0</x:v>
      </x:c>
      <x:c r="N7" s="20" t="n">
        <x:v>1</x:v>
      </x:c>
      <x:c r="O7" s="20" t="n">
        <x:v>5</x:v>
      </x:c>
      <x:c r="P7" s="27" t="n">
        <x:v>0</x:v>
      </x:c>
      <x:c r="Q7" s="29" t="n">
        <x:v>0</x:v>
      </x:c>
      <x:c r="R7" s="31"/>
    </x:row>
    <x:row r="8" ht="23" customHeight="1">
      <x:c r="A8" s="2" t="str">
        <x:v>2026-09-22_Night</x:v>
      </x:c>
      <x:c r="B8" s="19" t="n">
        <x:v>0</x:v>
      </x:c>
      <x:c r="C8" s="19" t="n">
        <x:v>0</x:v>
      </x:c>
      <x:c r="D8" s="19" t="n">
        <x:f>B8-C8</x:f>
        <x:v>0</x:v>
      </x:c>
      <x:c r="E8" s="19" t="n">
        <x:v>24000</x:v>
      </x:c>
      <x:c r="F8" s="19" t="n">
        <x:v>0</x:v>
      </x:c>
      <x:c r="G8" s="19" t="n">
        <x:f>E8-F8</x:f>
        <x:v>24000</x:v>
      </x:c>
      <x:c r="H8" s="19" t="n">
        <x:f>B8+E8</x:f>
        <x:v>24000</x:v>
      </x:c>
      <x:c r="I8" s="19" t="n">
        <x:f>C8+F8</x:f>
        <x:v>0</x:v>
      </x:c>
      <x:c r="J8" s="19" t="n">
        <x:f>H8-I8</x:f>
        <x:v>24000</x:v>
      </x:c>
      <x:c r="K8" s="19" t="n">
        <x:f>K7+J8</x:f>
        <x:v>-21000</x:v>
      </x:c>
      <x:c r="L8" s="20" t="n">
        <x:v>1</x:v>
      </x:c>
      <x:c r="M8" s="20" t="n">
        <x:v>0</x:v>
      </x:c>
      <x:c r="N8" s="20" t="n">
        <x:v>1</x:v>
      </x:c>
      <x:c r="O8" s="20" t="n">
        <x:v>5</x:v>
      </x:c>
      <x:c r="P8" s="27" t="n">
        <x:v>0</x:v>
      </x:c>
      <x:c r="Q8" s="29" t="n">
        <x:v>0</x:v>
      </x:c>
      <x:c r="R8" s="31"/>
    </x:row>
    <x:row r="9" ht="23" customHeight="1">
      <x:c r="A9" s="2" t="str">
        <x:v>2026-09-23_Night</x:v>
      </x:c>
      <x:c r="B9" s="19" t="n">
        <x:v>0</x:v>
      </x:c>
      <x:c r="C9" s="19" t="n">
        <x:v>0</x:v>
      </x:c>
      <x:c r="D9" s="19" t="n">
        <x:f>B9-C9</x:f>
        <x:v>0</x:v>
      </x:c>
      <x:c r="E9" s="19" t="n">
        <x:v>4000</x:v>
      </x:c>
      <x:c r="F9" s="19" t="n">
        <x:v>40000</x:v>
      </x:c>
      <x:c r="G9" s="19" t="n">
        <x:f>E9-F9</x:f>
        <x:v>-36000</x:v>
      </x:c>
      <x:c r="H9" s="19" t="n">
        <x:f>B9+E9</x:f>
        <x:v>4000</x:v>
      </x:c>
      <x:c r="I9" s="19" t="n">
        <x:f>C9+F9</x:f>
        <x:v>40000</x:v>
      </x:c>
      <x:c r="J9" s="19" t="n">
        <x:f>H9-I9</x:f>
        <x:v>-36000</x:v>
      </x:c>
      <x:c r="K9" s="19" t="n">
        <x:f>K8+J9</x:f>
        <x:v>-57000</x:v>
      </x:c>
      <x:c r="L9" s="20" t="n">
        <x:v>3</x:v>
      </x:c>
      <x:c r="M9" s="20" t="n">
        <x:v>0</x:v>
      </x:c>
      <x:c r="N9" s="20" t="n">
        <x:v>3</x:v>
      </x:c>
      <x:c r="O9" s="20" t="n">
        <x:v>5</x:v>
      </x:c>
      <x:c r="P9" s="27" t="n">
        <x:v>0</x:v>
      </x:c>
      <x:c r="Q9" s="29" t="n">
        <x:v>0</x:v>
      </x:c>
      <x:c r="R9" s="31"/>
    </x:row>
    <x:row r="10" ht="23" customHeight="1">
      <x:c r="A10" s="2" t="str">
        <x:v>2026-09-24_Night</x:v>
      </x:c>
      <x:c r="B10" s="19" t="n">
        <x:v>20000</x:v>
      </x:c>
      <x:c r="C10" s="19" t="n">
        <x:v>40000</x:v>
      </x:c>
      <x:c r="D10" s="19" t="n">
        <x:f>B10-C10</x:f>
        <x:v>-20000</x:v>
      </x:c>
      <x:c r="E10" s="19" t="n">
        <x:v>20000</x:v>
      </x:c>
      <x:c r="F10" s="19" t="n">
        <x:v>0</x:v>
      </x:c>
      <x:c r="G10" s="19" t="n">
        <x:f>E10-F10</x:f>
        <x:v>20000</x:v>
      </x:c>
      <x:c r="H10" s="19" t="n">
        <x:f>B10+E10</x:f>
        <x:v>40000</x:v>
      </x:c>
      <x:c r="I10" s="19" t="n">
        <x:f>C10+F10</x:f>
        <x:v>40000</x:v>
      </x:c>
      <x:c r="J10" s="19" t="n">
        <x:f>H10-I10</x:f>
        <x:v>0</x:v>
      </x:c>
      <x:c r="K10" s="19" t="n">
        <x:f>K9+J10</x:f>
        <x:v>-57000</x:v>
      </x:c>
      <x:c r="L10" s="20" t="n">
        <x:v>4</x:v>
      </x:c>
      <x:c r="M10" s="20" t="n">
        <x:v>2</x:v>
      </x:c>
      <x:c r="N10" s="20" t="n">
        <x:v>2</x:v>
      </x:c>
      <x:c r="O10" s="20" t="n">
        <x:v>5</x:v>
      </x:c>
      <x:c r="P10" s="27" t="n">
        <x:v>0.0682010582010582</x:v>
      </x:c>
      <x:c r="Q10" s="29" t="n">
        <x:v>0.341005291005291</x:v>
      </x:c>
      <x:c r="R10" s="31" t="n">
        <x:v>171.11666666666667</x:v>
      </x:c>
    </x:row>
    <x:row r="11" ht="23" customHeight="1">
      <x:c r="A11" s="2" t="str">
        <x:v>2026-09-25_Night</x:v>
      </x:c>
      <x:c r="B11" s="19" t="n">
        <x:v>0</x:v>
      </x:c>
      <x:c r="C11" s="19" t="n">
        <x:v>0</x:v>
      </x:c>
      <x:c r="D11" s="19" t="n">
        <x:f>B11-C11</x:f>
        <x:v>0</x:v>
      </x:c>
      <x:c r="E11" s="19" t="n">
        <x:v>17000</x:v>
      </x:c>
      <x:c r="F11" s="19" t="n">
        <x:v>16000</x:v>
      </x:c>
      <x:c r="G11" s="19" t="n">
        <x:f>E11-F11</x:f>
        <x:v>1000</x:v>
      </x:c>
      <x:c r="H11" s="19" t="n">
        <x:f>B11+E11</x:f>
        <x:v>17000</x:v>
      </x:c>
      <x:c r="I11" s="19" t="n">
        <x:f>C11+F11</x:f>
        <x:v>16000</x:v>
      </x:c>
      <x:c r="J11" s="19" t="n">
        <x:f>H11-I11</x:f>
        <x:v>1000</x:v>
      </x:c>
      <x:c r="K11" s="19" t="n">
        <x:f>K10+J11</x:f>
        <x:v>-56000</x:v>
      </x:c>
      <x:c r="L11" s="20" t="n">
        <x:v>2</x:v>
      </x:c>
      <x:c r="M11" s="20" t="n">
        <x:v>0</x:v>
      </x:c>
      <x:c r="N11" s="20" t="n">
        <x:v>2</x:v>
      </x:c>
      <x:c r="O11" s="20" t="n">
        <x:v>5</x:v>
      </x:c>
      <x:c r="P11" s="27" t="n">
        <x:v>0</x:v>
      </x:c>
      <x:c r="Q11" s="29" t="n">
        <x:v>0</x:v>
      </x:c>
      <x:c r="R11" s="31"/>
    </x:row>
    <x:row r="12" ht="23" customHeight="1">
      <x:c r="A12" s="2" t="str">
        <x:v>2026-09-28_Night</x:v>
      </x:c>
      <x:c r="B12" s="19" t="n">
        <x:v>9000</x:v>
      </x:c>
      <x:c r="C12" s="19" t="n">
        <x:v>0</x:v>
      </x:c>
      <x:c r="D12" s="19" t="n">
        <x:f>B12-C12</x:f>
        <x:v>9000</x:v>
      </x:c>
      <x:c r="E12" s="19" t="n">
        <x:v>1000</x:v>
      </x:c>
      <x:c r="F12" s="19" t="n">
        <x:v>30000</x:v>
      </x:c>
      <x:c r="G12" s="19" t="n">
        <x:f>E12-F12</x:f>
        <x:v>-29000</x:v>
      </x:c>
      <x:c r="H12" s="19" t="n">
        <x:f>B12+E12</x:f>
        <x:v>10000</x:v>
      </x:c>
      <x:c r="I12" s="19" t="n">
        <x:f>C12+F12</x:f>
        <x:v>30000</x:v>
      </x:c>
      <x:c r="J12" s="19" t="n">
        <x:f>H12-I12</x:f>
        <x:v>-20000</x:v>
      </x:c>
      <x:c r="K12" s="19" t="n">
        <x:f>K11+J12</x:f>
        <x:v>-76000</x:v>
      </x:c>
      <x:c r="L12" s="20" t="n">
        <x:v>5</x:v>
      </x:c>
      <x:c r="M12" s="20" t="n">
        <x:v>1</x:v>
      </x:c>
      <x:c r="N12" s="20" t="n">
        <x:v>4</x:v>
      </x:c>
      <x:c r="O12" s="20" t="n">
        <x:v>3</x:v>
      </x:c>
      <x:c r="P12" s="27" t="n">
        <x:v>0.12555555555555556</x:v>
      </x:c>
      <x:c r="Q12" s="29" t="n">
        <x:v>0.12555555555555556</x:v>
      </x:c>
      <x:c r="R12" s="31" t="n">
        <x:v>135.46666666666667</x:v>
      </x:c>
    </x:row>
    <x:row r="13" ht="23" customHeight="1">
      <x:c r="A13" s="2" t="str">
        <x:v>2026-09-29_Night</x:v>
      </x:c>
      <x:c r="B13" s="19" t="n">
        <x:v>0</x:v>
      </x:c>
      <x:c r="C13" s="19" t="n">
        <x:v>0</x:v>
      </x:c>
      <x:c r="D13" s="19" t="n">
        <x:f>B13-C13</x:f>
        <x:v>0</x:v>
      </x:c>
      <x:c r="E13" s="19" t="n">
        <x:v>87000</x:v>
      </x:c>
      <x:c r="F13" s="19" t="n">
        <x:v>22000</x:v>
      </x:c>
      <x:c r="G13" s="19" t="n">
        <x:f>E13-F13</x:f>
        <x:v>65000</x:v>
      </x:c>
      <x:c r="H13" s="19" t="n">
        <x:f>B13+E13</x:f>
        <x:v>87000</x:v>
      </x:c>
      <x:c r="I13" s="19" t="n">
        <x:f>C13+F13</x:f>
        <x:v>22000</x:v>
      </x:c>
      <x:c r="J13" s="19" t="n">
        <x:f>H13-I13</x:f>
        <x:v>65000</x:v>
      </x:c>
      <x:c r="K13" s="19" t="n">
        <x:f>K12+J13</x:f>
        <x:v>-11000</x:v>
      </x:c>
      <x:c r="L13" s="20" t="n">
        <x:v>6</x:v>
      </x:c>
      <x:c r="M13" s="20" t="n">
        <x:v>0</x:v>
      </x:c>
      <x:c r="N13" s="20" t="n">
        <x:v>6</x:v>
      </x:c>
      <x:c r="O13" s="20" t="n">
        <x:v>5</x:v>
      </x:c>
      <x:c r="P13" s="27" t="n">
        <x:v>0</x:v>
      </x:c>
      <x:c r="Q13" s="29" t="n">
        <x:v>0</x:v>
      </x:c>
      <x:c r="R13" s="31"/>
    </x:row>
    <x:row r="14" ht="23" customHeight="1">
      <x:c r="A14" s="2" t="str">
        <x:v>2026-09-30_Night</x:v>
      </x:c>
      <x:c r="B14" s="19" t="n">
        <x:v>84000</x:v>
      </x:c>
      <x:c r="C14" s="19" t="n">
        <x:v>40000</x:v>
      </x:c>
      <x:c r="D14" s="19" t="n">
        <x:f>B14-C14</x:f>
        <x:v>44000</x:v>
      </x:c>
      <x:c r="E14" s="19" t="n">
        <x:v>43000</x:v>
      </x:c>
      <x:c r="F14" s="19" t="n">
        <x:v>0</x:v>
      </x:c>
      <x:c r="G14" s="19" t="n">
        <x:f>E14-F14</x:f>
        <x:v>43000</x:v>
      </x:c>
      <x:c r="H14" s="19" t="n">
        <x:f>B14+E14</x:f>
        <x:v>127000</x:v>
      </x:c>
      <x:c r="I14" s="19" t="n">
        <x:f>C14+F14</x:f>
        <x:v>40000</x:v>
      </x:c>
      <x:c r="J14" s="19" t="n">
        <x:f>H14-I14</x:f>
        <x:v>87000</x:v>
      </x:c>
      <x:c r="K14" s="19" t="n">
        <x:f>K13+J14</x:f>
        <x:v>76000</x:v>
      </x:c>
      <x:c r="L14" s="20" t="n">
        <x:v>6</x:v>
      </x:c>
      <x:c r="M14" s="20" t="n">
        <x:v>3</x:v>
      </x:c>
      <x:c r="N14" s="20" t="n">
        <x:v>3</x:v>
      </x:c>
      <x:c r="O14" s="20" t="n">
        <x:v>7</x:v>
      </x:c>
      <x:c r="P14" s="27" t="n">
        <x:v>0.08984126984126985</x:v>
      </x:c>
      <x:c r="Q14" s="29" t="n">
        <x:v>0.21682539682539684</x:v>
      </x:c>
      <x:c r="R14" s="31" t="n">
        <x:v>189.66666666666666</x:v>
      </x:c>
    </x:row>
    <x:row r="15" ht="23" customHeight="1">
      <x:c r="A15" s="2" t="str">
        <x:v>2026-10-01_Night</x:v>
      </x:c>
      <x:c r="B15" s="19" t="n">
        <x:v>17000</x:v>
      </x:c>
      <x:c r="C15" s="19" t="n">
        <x:v>73000</x:v>
      </x:c>
      <x:c r="D15" s="19" t="n">
        <x:f>B15-C15</x:f>
        <x:v>-56000</x:v>
      </x:c>
      <x:c r="E15" s="19" t="n">
        <x:v>190000</x:v>
      </x:c>
      <x:c r="F15" s="19" t="n">
        <x:v>92000</x:v>
      </x:c>
      <x:c r="G15" s="19" t="n">
        <x:f>E15-F15</x:f>
        <x:v>98000</x:v>
      </x:c>
      <x:c r="H15" s="19" t="n">
        <x:f>B15+E15</x:f>
        <x:v>207000</x:v>
      </x:c>
      <x:c r="I15" s="19" t="n">
        <x:f>C15+F15</x:f>
        <x:v>165000</x:v>
      </x:c>
      <x:c r="J15" s="19" t="n">
        <x:f>H15-I15</x:f>
        <x:v>42000</x:v>
      </x:c>
      <x:c r="K15" s="19" t="n">
        <x:f>K14+J15</x:f>
        <x:v>118000</x:v>
      </x:c>
      <x:c r="L15" s="20" t="n">
        <x:v>14</x:v>
      </x:c>
      <x:c r="M15" s="20" t="n">
        <x:v>6</x:v>
      </x:c>
      <x:c r="N15" s="20" t="n">
        <x:v>8</x:v>
      </x:c>
      <x:c r="O15" s="20" t="n">
        <x:v>5</x:v>
      </x:c>
      <x:c r="P15" s="27" t="n">
        <x:v>0.2895238095238095</x:v>
      </x:c>
      <x:c r="Q15" s="29" t="n">
        <x:v>1.0484656084656085</x:v>
      </x:c>
      <x:c r="R15" s="31" t="n">
        <x:v>80.26666666666667</x:v>
      </x:c>
    </x:row>
    <x:row r="16" ht="23" customHeight="1">
      <x:c r="A16" s="2" t="str">
        <x:v>2026-10-02_Night</x:v>
      </x:c>
      <x:c r="B16" s="19" t="n">
        <x:v>0</x:v>
      </x:c>
      <x:c r="C16" s="19" t="n">
        <x:v>0</x:v>
      </x:c>
      <x:c r="D16" s="19" t="n">
        <x:f>B16-C16</x:f>
        <x:v>0</x:v>
      </x:c>
      <x:c r="E16" s="19" t="n">
        <x:v>294000</x:v>
      </x:c>
      <x:c r="F16" s="19" t="n">
        <x:v>38000</x:v>
      </x:c>
      <x:c r="G16" s="19" t="n">
        <x:f>E16-F16</x:f>
        <x:v>256000</x:v>
      </x:c>
      <x:c r="H16" s="19" t="n">
        <x:f>B16+E16</x:f>
        <x:v>294000</x:v>
      </x:c>
      <x:c r="I16" s="19" t="n">
        <x:f>C16+F16</x:f>
        <x:v>38000</x:v>
      </x:c>
      <x:c r="J16" s="19" t="n">
        <x:f>H16-I16</x:f>
        <x:v>256000</x:v>
      </x:c>
      <x:c r="K16" s="19" t="n">
        <x:f>K15+J16</x:f>
        <x:v>374000</x:v>
      </x:c>
      <x:c r="L16" s="20" t="n">
        <x:v>15</x:v>
      </x:c>
      <x:c r="M16" s="20" t="n">
        <x:v>0</x:v>
      </x:c>
      <x:c r="N16" s="20" t="n">
        <x:v>15</x:v>
      </x:c>
      <x:c r="O16" s="20" t="n">
        <x:v>10</x:v>
      </x:c>
      <x:c r="P16" s="27" t="n">
        <x:v>0</x:v>
      </x:c>
      <x:c r="Q16" s="29" t="n">
        <x:v>0</x:v>
      </x:c>
      <x:c r="R16" s="31"/>
    </x:row>
    <x:row r="17" ht="23" customHeight="1">
      <x:c r="A17" s="2" t="str">
        <x:v>2026-10-05_Night</x:v>
      </x:c>
      <x:c r="B17" s="19" t="n">
        <x:v>0</x:v>
      </x:c>
      <x:c r="C17" s="19" t="n">
        <x:v>80000</x:v>
      </x:c>
      <x:c r="D17" s="19" t="n">
        <x:f>B17-C17</x:f>
        <x:v>-80000</x:v>
      </x:c>
      <x:c r="E17" s="19" t="n">
        <x:v>98000</x:v>
      </x:c>
      <x:c r="F17" s="19" t="n">
        <x:v>64000</x:v>
      </x:c>
      <x:c r="G17" s="19" t="n">
        <x:f>E17-F17</x:f>
        <x:v>34000</x:v>
      </x:c>
      <x:c r="H17" s="19" t="n">
        <x:f>B17+E17</x:f>
        <x:v>98000</x:v>
      </x:c>
      <x:c r="I17" s="19" t="n">
        <x:f>C17+F17</x:f>
        <x:v>144000</x:v>
      </x:c>
      <x:c r="J17" s="19" t="n">
        <x:f>H17-I17</x:f>
        <x:v>-46000</x:v>
      </x:c>
      <x:c r="K17" s="19" t="n">
        <x:f>K16+J17</x:f>
        <x:v>328000</x:v>
      </x:c>
      <x:c r="L17" s="20" t="n">
        <x:v>8</x:v>
      </x:c>
      <x:c r="M17" s="20" t="n">
        <x:v>1</x:v>
      </x:c>
      <x:c r="N17" s="20" t="n">
        <x:v>7</x:v>
      </x:c>
      <x:c r="O17" s="20" t="n">
        <x:v>5</x:v>
      </x:c>
      <x:c r="P17" s="27" t="n">
        <x:v>0.016296296296296295</x:v>
      </x:c>
      <x:c r="Q17" s="29" t="n">
        <x:v>0.08148148148148149</x:v>
      </x:c>
      <x:c r="R17" s="31" t="n">
        <x:v>46</x:v>
      </x:c>
    </x:row>
    <x:row r="18" ht="23" customHeight="1">
      <x:c r="A18" s="2" t="str">
        <x:v>2026-10-06_Night</x:v>
      </x:c>
      <x:c r="B18" s="19" t="n">
        <x:v>0</x:v>
      </x:c>
      <x:c r="C18" s="19" t="n">
        <x:v>0</x:v>
      </x:c>
      <x:c r="D18" s="19" t="n">
        <x:f>B18-C18</x:f>
        <x:v>0</x:v>
      </x:c>
      <x:c r="E18" s="19" t="n">
        <x:v>33000</x:v>
      </x:c>
      <x:c r="F18" s="19" t="n">
        <x:v>43000</x:v>
      </x:c>
      <x:c r="G18" s="19" t="n">
        <x:f>E18-F18</x:f>
        <x:v>-10000</x:v>
      </x:c>
      <x:c r="H18" s="19" t="n">
        <x:f>B18+E18</x:f>
        <x:v>33000</x:v>
      </x:c>
      <x:c r="I18" s="19" t="n">
        <x:f>C18+F18</x:f>
        <x:v>43000</x:v>
      </x:c>
      <x:c r="J18" s="19" t="n">
        <x:f>H18-I18</x:f>
        <x:v>-10000</x:v>
      </x:c>
      <x:c r="K18" s="19" t="n">
        <x:f>K17+J18</x:f>
        <x:v>318000</x:v>
      </x:c>
      <x:c r="L18" s="20" t="n">
        <x:v>4</x:v>
      </x:c>
      <x:c r="M18" s="20" t="n">
        <x:v>0</x:v>
      </x:c>
      <x:c r="N18" s="20" t="n">
        <x:v>4</x:v>
      </x:c>
      <x:c r="O18" s="20" t="n">
        <x:v>7</x:v>
      </x:c>
      <x:c r="P18" s="27" t="n">
        <x:v>0</x:v>
      </x:c>
      <x:c r="Q18" s="29" t="n">
        <x:v>0</x:v>
      </x:c>
      <x:c r="R18" s="31"/>
    </x:row>
    <x:row r="19" ht="23" customHeight="1">
      <x:c r="A19" s="2" t="str">
        <x:v>2026-10-07_Night</x:v>
      </x:c>
      <x:c r="B19" s="19" t="n">
        <x:v>0</x:v>
      </x:c>
      <x:c r="C19" s="19" t="n">
        <x:v>21000</x:v>
      </x:c>
      <x:c r="D19" s="19" t="n">
        <x:f>B19-C19</x:f>
        <x:v>-21000</x:v>
      </x:c>
      <x:c r="E19" s="19" t="n">
        <x:v>0</x:v>
      </x:c>
      <x:c r="F19" s="19" t="n">
        <x:v>22000</x:v>
      </x:c>
      <x:c r="G19" s="19" t="n">
        <x:f>E19-F19</x:f>
        <x:v>-22000</x:v>
      </x:c>
      <x:c r="H19" s="19" t="n">
        <x:f>B19+E19</x:f>
        <x:v>0</x:v>
      </x:c>
      <x:c r="I19" s="19" t="n">
        <x:f>C19+F19</x:f>
        <x:v>43000</x:v>
      </x:c>
      <x:c r="J19" s="19" t="n">
        <x:f>H19-I19</x:f>
        <x:v>-43000</x:v>
      </x:c>
      <x:c r="K19" s="19" t="n">
        <x:f>K18+J19</x:f>
        <x:v>275000</x:v>
      </x:c>
      <x:c r="L19" s="20" t="n">
        <x:v>4</x:v>
      </x:c>
      <x:c r="M19" s="20" t="n">
        <x:v>2</x:v>
      </x:c>
      <x:c r="N19" s="20" t="n">
        <x:v>2</x:v>
      </x:c>
      <x:c r="O19" s="20" t="n">
        <x:v>2</x:v>
      </x:c>
      <x:c r="P19" s="27" t="n">
        <x:v>0.07164021164021164</x:v>
      </x:c>
      <x:c r="Q19" s="29" t="n">
        <x:v>0.13105820105820107</x:v>
      </x:c>
      <x:c r="R19" s="31" t="n">
        <x:v>235.05</x:v>
      </x:c>
    </x:row>
    <x:row r="20" ht="23" customHeight="1">
      <x:c r="A20" s="2" t="str">
        <x:v>2026-10-08_Night</x:v>
      </x:c>
      <x:c r="B20" s="19" t="n">
        <x:v>5000</x:v>
      </x:c>
      <x:c r="C20" s="19" t="n">
        <x:v>0</x:v>
      </x:c>
      <x:c r="D20" s="19" t="n">
        <x:f>B20-C20</x:f>
        <x:v>5000</x:v>
      </x:c>
      <x:c r="E20" s="19" t="n">
        <x:v>326000</x:v>
      </x:c>
      <x:c r="F20" s="19" t="n">
        <x:v>20000</x:v>
      </x:c>
      <x:c r="G20" s="19" t="n">
        <x:f>E20-F20</x:f>
        <x:v>306000</x:v>
      </x:c>
      <x:c r="H20" s="19" t="n">
        <x:f>B20+E20</x:f>
        <x:v>331000</x:v>
      </x:c>
      <x:c r="I20" s="19" t="n">
        <x:f>C20+F20</x:f>
        <x:v>20000</x:v>
      </x:c>
      <x:c r="J20" s="19" t="n">
        <x:f>H20-I20</x:f>
        <x:v>311000</x:v>
      </x:c>
      <x:c r="K20" s="19" t="n">
        <x:f>K19+J20</x:f>
        <x:v>586000</x:v>
      </x:c>
      <x:c r="L20" s="20" t="n">
        <x:v>17</x:v>
      </x:c>
      <x:c r="M20" s="20" t="n">
        <x:v>2</x:v>
      </x:c>
      <x:c r="N20" s="20" t="n">
        <x:v>15</x:v>
      </x:c>
      <x:c r="O20" s="20" t="n">
        <x:v>8</x:v>
      </x:c>
      <x:c r="P20" s="27" t="n">
        <x:v>0.6413756613756614</x:v>
      </x:c>
      <x:c r="Q20" s="29" t="n">
        <x:v>0.6708994708994709</x:v>
      </x:c>
      <x:c r="R20" s="31" t="n">
        <x:v>103.98333333333333</x:v>
      </x:c>
    </x:row>
    <x:row r="21" ht="23" customHeight="1">
      <x:c r="A21" s="2" t="str">
        <x:v>2026-10-09_Night</x:v>
      </x:c>
      <x:c r="B21" s="19" t="n">
        <x:v>60000</x:v>
      </x:c>
      <x:c r="C21" s="19" t="n">
        <x:v>30000</x:v>
      </x:c>
      <x:c r="D21" s="19" t="n">
        <x:f>B21-C21</x:f>
        <x:v>30000</x:v>
      </x:c>
      <x:c r="E21" s="19" t="n">
        <x:v>14000</x:v>
      </x:c>
      <x:c r="F21" s="19" t="n">
        <x:v>0</x:v>
      </x:c>
      <x:c r="G21" s="19" t="n">
        <x:f>E21-F21</x:f>
        <x:v>14000</x:v>
      </x:c>
      <x:c r="H21" s="19" t="n">
        <x:f>B21+E21</x:f>
        <x:v>74000</x:v>
      </x:c>
      <x:c r="I21" s="19" t="n">
        <x:f>C21+F21</x:f>
        <x:v>30000</x:v>
      </x:c>
      <x:c r="J21" s="19" t="n">
        <x:f>H21-I21</x:f>
        <x:v>44000</x:v>
      </x:c>
      <x:c r="K21" s="19" t="n">
        <x:f>K20+J21</x:f>
        <x:v>630000</x:v>
      </x:c>
      <x:c r="L21" s="20" t="n">
        <x:v>3</x:v>
      </x:c>
      <x:c r="M21" s="20" t="n">
        <x:v>2</x:v>
      </x:c>
      <x:c r="N21" s="20" t="n">
        <x:v>1</x:v>
      </x:c>
      <x:c r="O21" s="20" t="n">
        <x:v>5</x:v>
      </x:c>
      <x:c r="P21" s="27" t="n">
        <x:v>0.44724867724867723</x:v>
      </x:c>
      <x:c r="Q21" s="29" t="n">
        <x:v>1.9388888888888889</x:v>
      </x:c>
      <x:c r="R21" s="31" t="n">
        <x:v>69.31666666666666</x:v>
      </x:c>
    </x:row>
    <x:row r="22" ht="23" customHeight="1">
      <x:c r="A22" s="2" t="str">
        <x:v>2026-10-12_Night</x:v>
      </x:c>
      <x:c r="B22" s="19" t="n">
        <x:v>0</x:v>
      </x:c>
      <x:c r="C22" s="19" t="n">
        <x:v>0</x:v>
      </x:c>
      <x:c r="D22" s="19" t="n">
        <x:f>B22-C22</x:f>
        <x:v>0</x:v>
      </x:c>
      <x:c r="E22" s="19" t="n">
        <x:v>82000</x:v>
      </x:c>
      <x:c r="F22" s="19" t="n">
        <x:v>0</x:v>
      </x:c>
      <x:c r="G22" s="19" t="n">
        <x:f>E22-F22</x:f>
        <x:v>82000</x:v>
      </x:c>
      <x:c r="H22" s="19" t="n">
        <x:f>B22+E22</x:f>
        <x:v>82000</x:v>
      </x:c>
      <x:c r="I22" s="19" t="n">
        <x:f>C22+F22</x:f>
        <x:v>0</x:v>
      </x:c>
      <x:c r="J22" s="19" t="n">
        <x:f>H22-I22</x:f>
        <x:v>82000</x:v>
      </x:c>
      <x:c r="K22" s="19" t="n">
        <x:f>K21+J22</x:f>
        <x:v>712000</x:v>
      </x:c>
      <x:c r="L22" s="20" t="n">
        <x:v>1</x:v>
      </x:c>
      <x:c r="M22" s="20" t="n">
        <x:v>0</x:v>
      </x:c>
      <x:c r="N22" s="20" t="n">
        <x:v>1</x:v>
      </x:c>
      <x:c r="O22" s="20" t="n">
        <x:v>5</x:v>
      </x:c>
      <x:c r="P22" s="27" t="n">
        <x:v>0</x:v>
      </x:c>
      <x:c r="Q22" s="29" t="n">
        <x:v>0</x:v>
      </x:c>
      <x:c r="R22" s="31"/>
    </x:row>
    <x:row r="23" ht="23" customHeight="1">
      <x:c r="A23" s="2" t="str">
        <x:v>2026-10-13_Night</x:v>
      </x:c>
      <x:c r="B23" s="19" t="n">
        <x:v>0</x:v>
      </x:c>
      <x:c r="C23" s="19" t="n">
        <x:v>90000</x:v>
      </x:c>
      <x:c r="D23" s="19" t="n">
        <x:f>B23-C23</x:f>
        <x:v>-90000</x:v>
      </x:c>
      <x:c r="E23" s="19" t="n">
        <x:v>0</x:v>
      </x:c>
      <x:c r="F23" s="19" t="n">
        <x:v>53000</x:v>
      </x:c>
      <x:c r="G23" s="19" t="n">
        <x:f>E23-F23</x:f>
        <x:v>-53000</x:v>
      </x:c>
      <x:c r="H23" s="19" t="n">
        <x:f>B23+E23</x:f>
        <x:v>0</x:v>
      </x:c>
      <x:c r="I23" s="19" t="n">
        <x:f>C23+F23</x:f>
        <x:v>143000</x:v>
      </x:c>
      <x:c r="J23" s="19" t="n">
        <x:f>H23-I23</x:f>
        <x:v>-143000</x:v>
      </x:c>
      <x:c r="K23" s="19" t="n">
        <x:f>K22+J23</x:f>
        <x:v>569000</x:v>
      </x:c>
      <x:c r="L23" s="20" t="n">
        <x:v>4</x:v>
      </x:c>
      <x:c r="M23" s="20" t="n">
        <x:v>2</x:v>
      </x:c>
      <x:c r="N23" s="20" t="n">
        <x:v>2</x:v>
      </x:c>
      <x:c r="O23" s="20" t="n">
        <x:v>5</x:v>
      </x:c>
      <x:c r="P23" s="27" t="n">
        <x:v>0.2794179894179894</x:v>
      </x:c>
      <x:c r="Q23" s="29" t="n">
        <x:v>1.3970899470899472</x:v>
      </x:c>
      <x:c r="R23" s="31" t="n">
        <x:v>55.13333333333333</x:v>
      </x:c>
    </x:row>
    <x:row r="24" ht="23" customHeight="1">
      <x:c r="A24" s="2" t="str">
        <x:v>2026-10-14_Night</x:v>
      </x:c>
      <x:c r="B24" s="19" t="n">
        <x:v>0</x:v>
      </x:c>
      <x:c r="C24" s="19" t="n">
        <x:v>30000</x:v>
      </x:c>
      <x:c r="D24" s="19" t="n">
        <x:f>B24-C24</x:f>
        <x:v>-30000</x:v>
      </x:c>
      <x:c r="E24" s="19" t="n">
        <x:v>197000</x:v>
      </x:c>
      <x:c r="F24" s="19" t="n">
        <x:v>61000</x:v>
      </x:c>
      <x:c r="G24" s="19" t="n">
        <x:f>E24-F24</x:f>
        <x:v>136000</x:v>
      </x:c>
      <x:c r="H24" s="19" t="n">
        <x:f>B24+E24</x:f>
        <x:v>197000</x:v>
      </x:c>
      <x:c r="I24" s="19" t="n">
        <x:f>C24+F24</x:f>
        <x:v>91000</x:v>
      </x:c>
      <x:c r="J24" s="19" t="n">
        <x:f>H24-I24</x:f>
        <x:v>106000</x:v>
      </x:c>
      <x:c r="K24" s="19" t="n">
        <x:f>K23+J24</x:f>
        <x:v>675000</x:v>
      </x:c>
      <x:c r="L24" s="20" t="n">
        <x:v>5</x:v>
      </x:c>
      <x:c r="M24" s="20" t="n">
        <x:v>1</x:v>
      </x:c>
      <x:c r="N24" s="20" t="n">
        <x:v>4</x:v>
      </x:c>
      <x:c r="O24" s="20" t="n">
        <x:v>5</x:v>
      </x:c>
      <x:c r="P24" s="27" t="n">
        <x:v>0.05534391534391534</x:v>
      </x:c>
      <x:c r="Q24" s="29" t="n">
        <x:v>0.2767195767195767</x:v>
      </x:c>
      <x:c r="R24" s="31" t="n">
        <x:v>45.86666666666667</x:v>
      </x:c>
    </x:row>
    <x:row r="25" ht="23" customHeight="1">
      <x:c r="A25" s="2" t="str">
        <x:v>2026-10-15_Night</x:v>
      </x:c>
      <x:c r="B25" s="19" t="n">
        <x:v>0</x:v>
      </x:c>
      <x:c r="C25" s="19" t="n">
        <x:v>0</x:v>
      </x:c>
      <x:c r="D25" s="19" t="n">
        <x:f>B25-C25</x:f>
        <x:v>0</x:v>
      </x:c>
      <x:c r="E25" s="19" t="n">
        <x:v>75000</x:v>
      </x:c>
      <x:c r="F25" s="19" t="n">
        <x:v>53000</x:v>
      </x:c>
      <x:c r="G25" s="19" t="n">
        <x:f>E25-F25</x:f>
        <x:v>22000</x:v>
      </x:c>
      <x:c r="H25" s="19" t="n">
        <x:f>B25+E25</x:f>
        <x:v>75000</x:v>
      </x:c>
      <x:c r="I25" s="19" t="n">
        <x:f>C25+F25</x:f>
        <x:v>53000</x:v>
      </x:c>
      <x:c r="J25" s="19" t="n">
        <x:f>H25-I25</x:f>
        <x:v>22000</x:v>
      </x:c>
      <x:c r="K25" s="19" t="n">
        <x:f>K24+J25</x:f>
        <x:v>697000</x:v>
      </x:c>
      <x:c r="L25" s="20" t="n">
        <x:v>7</x:v>
      </x:c>
      <x:c r="M25" s="20" t="n">
        <x:v>0</x:v>
      </x:c>
      <x:c r="N25" s="20" t="n">
        <x:v>7</x:v>
      </x:c>
      <x:c r="O25" s="20" t="n">
        <x:v>3</x:v>
      </x:c>
      <x:c r="P25" s="27" t="n">
        <x:v>0</x:v>
      </x:c>
      <x:c r="Q25" s="29" t="n">
        <x:v>0</x:v>
      </x:c>
      <x:c r="R25" s="31"/>
    </x:row>
    <x:row r="26" ht="23" customHeight="1">
      <x:c r="A26" s="2" t="str">
        <x:v>2026-10-16_Night</x:v>
      </x:c>
      <x:c r="B26" s="19" t="n">
        <x:v>0</x:v>
      </x:c>
      <x:c r="C26" s="19" t="n">
        <x:v>35000</x:v>
      </x:c>
      <x:c r="D26" s="19" t="n">
        <x:f>B26-C26</x:f>
        <x:v>-35000</x:v>
      </x:c>
      <x:c r="E26" s="19" t="n">
        <x:v>158000</x:v>
      </x:c>
      <x:c r="F26" s="19" t="n">
        <x:v>126000</x:v>
      </x:c>
      <x:c r="G26" s="19" t="n">
        <x:f>E26-F26</x:f>
        <x:v>32000</x:v>
      </x:c>
      <x:c r="H26" s="19" t="n">
        <x:f>B26+E26</x:f>
        <x:v>158000</x:v>
      </x:c>
      <x:c r="I26" s="19" t="n">
        <x:f>C26+F26</x:f>
        <x:v>161000</x:v>
      </x:c>
      <x:c r="J26" s="19" t="n">
        <x:f>H26-I26</x:f>
        <x:v>-3000</x:v>
      </x:c>
      <x:c r="K26" s="19" t="n">
        <x:f>K25+J26</x:f>
        <x:v>694000</x:v>
      </x:c>
      <x:c r="L26" s="20" t="n">
        <x:v>14</x:v>
      </x:c>
      <x:c r="M26" s="20" t="n">
        <x:v>1</x:v>
      </x:c>
      <x:c r="N26" s="20" t="n">
        <x:v>13</x:v>
      </x:c>
      <x:c r="O26" s="20" t="n">
        <x:v>7</x:v>
      </x:c>
      <x:c r="P26" s="27" t="n">
        <x:v>0.034074074074074076</x:v>
      </x:c>
      <x:c r="Q26" s="29" t="n">
        <x:v>0.17037037037037037</x:v>
      </x:c>
      <x:c r="R26" s="31" t="n">
        <x:v>300.21666666666664</x:v>
      </x:c>
    </x:row>
    <x:row r="27" ht="23" customHeight="1">
      <x:c r="A27" s="2" t="str">
        <x:v>2026-10-19_Night</x:v>
      </x:c>
      <x:c r="B27" s="19" t="n">
        <x:v>8000</x:v>
      </x:c>
      <x:c r="C27" s="19" t="n">
        <x:v>30000</x:v>
      </x:c>
      <x:c r="D27" s="19" t="n">
        <x:f>B27-C27</x:f>
        <x:v>-22000</x:v>
      </x:c>
      <x:c r="E27" s="19" t="n">
        <x:v>85000</x:v>
      </x:c>
      <x:c r="F27" s="19" t="n">
        <x:v>93000</x:v>
      </x:c>
      <x:c r="G27" s="19" t="n">
        <x:f>E27-F27</x:f>
        <x:v>-8000</x:v>
      </x:c>
      <x:c r="H27" s="19" t="n">
        <x:f>B27+E27</x:f>
        <x:v>93000</x:v>
      </x:c>
      <x:c r="I27" s="19" t="n">
        <x:f>C27+F27</x:f>
        <x:v>123000</x:v>
      </x:c>
      <x:c r="J27" s="19" t="n">
        <x:f>H27-I27</x:f>
        <x:v>-30000</x:v>
      </x:c>
      <x:c r="K27" s="19" t="n">
        <x:f>K26+J27</x:f>
        <x:v>664000</x:v>
      </x:c>
      <x:c r="L27" s="20" t="n">
        <x:v>14</x:v>
      </x:c>
      <x:c r="M27" s="20" t="n">
        <x:v>2</x:v>
      </x:c>
      <x:c r="N27" s="20" t="n">
        <x:v>12</x:v>
      </x:c>
      <x:c r="O27" s="20" t="n">
        <x:v>5</x:v>
      </x:c>
      <x:c r="P27" s="27" t="n">
        <x:v>0.22677248677248676</x:v>
      </x:c>
      <x:c r="Q27" s="29" t="n">
        <x:v>0.6724867724867725</x:v>
      </x:c>
      <x:c r="R27" s="31" t="n">
        <x:v>188.55</x:v>
      </x:c>
    </x:row>
    <x:row r="28" ht="23" customHeight="1">
      <x:c r="A28" s="2" t="str">
        <x:v>2026-10-20_Night</x:v>
      </x:c>
      <x:c r="B28" s="19" t="n">
        <x:v>44000</x:v>
      </x:c>
      <x:c r="C28" s="19" t="n">
        <x:v>0</x:v>
      </x:c>
      <x:c r="D28" s="19" t="n">
        <x:f>B28-C28</x:f>
        <x:v>44000</x:v>
      </x:c>
      <x:c r="E28" s="19" t="n">
        <x:v>90000</x:v>
      </x:c>
      <x:c r="F28" s="19" t="n">
        <x:v>24000</x:v>
      </x:c>
      <x:c r="G28" s="19" t="n">
        <x:f>E28-F28</x:f>
        <x:v>66000</x:v>
      </x:c>
      <x:c r="H28" s="19" t="n">
        <x:f>B28+E28</x:f>
        <x:v>134000</x:v>
      </x:c>
      <x:c r="I28" s="19" t="n">
        <x:f>C28+F28</x:f>
        <x:v>24000</x:v>
      </x:c>
      <x:c r="J28" s="19" t="n">
        <x:f>H28-I28</x:f>
        <x:v>110000</x:v>
      </x:c>
      <x:c r="K28" s="19" t="n">
        <x:f>K27+J28</x:f>
        <x:v>774000</x:v>
      </x:c>
      <x:c r="L28" s="20" t="n">
        <x:v>11</x:v>
      </x:c>
      <x:c r="M28" s="20" t="n">
        <x:v>4</x:v>
      </x:c>
      <x:c r="N28" s="20" t="n">
        <x:v>7</x:v>
      </x:c>
      <x:c r="O28" s="20" t="n">
        <x:v>6</x:v>
      </x:c>
      <x:c r="P28" s="27" t="n">
        <x:v>0.18486772486772488</x:v>
      </x:c>
      <x:c r="Q28" s="29" t="n">
        <x:v>0.78005291005291</x:v>
      </x:c>
      <x:c r="R28" s="31" t="n">
        <x:v>67.08333333333333</x:v>
      </x:c>
    </x:row>
    <x:row r="29" ht="23" customHeight="1">
      <x:c r="A29" s="2" t="str">
        <x:v>2026-10-21_Night</x:v>
      </x:c>
      <x:c r="B29" s="19" t="n">
        <x:v>0</x:v>
      </x:c>
      <x:c r="C29" s="19" t="n">
        <x:v>40000</x:v>
      </x:c>
      <x:c r="D29" s="19" t="n">
        <x:f>B29-C29</x:f>
        <x:v>-40000</x:v>
      </x:c>
      <x:c r="E29" s="19" t="n">
        <x:v>61000</x:v>
      </x:c>
      <x:c r="F29" s="19" t="n">
        <x:v>85000</x:v>
      </x:c>
      <x:c r="G29" s="19" t="n">
        <x:f>E29-F29</x:f>
        <x:v>-24000</x:v>
      </x:c>
      <x:c r="H29" s="19" t="n">
        <x:f>B29+E29</x:f>
        <x:v>61000</x:v>
      </x:c>
      <x:c r="I29" s="19" t="n">
        <x:f>C29+F29</x:f>
        <x:v>125000</x:v>
      </x:c>
      <x:c r="J29" s="19" t="n">
        <x:f>H29-I29</x:f>
        <x:v>-64000</x:v>
      </x:c>
      <x:c r="K29" s="19" t="n">
        <x:f>K28+J29</x:f>
        <x:v>710000</x:v>
      </x:c>
      <x:c r="L29" s="20" t="n">
        <x:v>6</x:v>
      </x:c>
      <x:c r="M29" s="20" t="n">
        <x:v>1</x:v>
      </x:c>
      <x:c r="N29" s="20" t="n">
        <x:v>5</x:v>
      </x:c>
      <x:c r="O29" s="20" t="n">
        <x:v>7</x:v>
      </x:c>
      <x:c r="P29" s="27" t="n">
        <x:v>0.013703703703703704</x:v>
      </x:c>
      <x:c r="Q29" s="29" t="n">
        <x:v>0.06851851851851852</x:v>
      </x:c>
      <x:c r="R29" s="31" t="n">
        <x:v>135.1</x:v>
      </x:c>
    </x:row>
    <x:row r="30" ht="23" customHeight="1">
      <x:c r="A30" s="2" t="str">
        <x:v>2026-10-22_Night</x:v>
      </x:c>
      <x:c r="B30" s="19" t="n">
        <x:v>0</x:v>
      </x:c>
      <x:c r="C30" s="19" t="n">
        <x:v>35000</x:v>
      </x:c>
      <x:c r="D30" s="19" t="n">
        <x:f>B30-C30</x:f>
        <x:v>-35000</x:v>
      </x:c>
      <x:c r="E30" s="19" t="n">
        <x:v>156000</x:v>
      </x:c>
      <x:c r="F30" s="19" t="n">
        <x:v>0</x:v>
      </x:c>
      <x:c r="G30" s="19" t="n">
        <x:f>E30-F30</x:f>
        <x:v>156000</x:v>
      </x:c>
      <x:c r="H30" s="19" t="n">
        <x:f>B30+E30</x:f>
        <x:v>156000</x:v>
      </x:c>
      <x:c r="I30" s="19" t="n">
        <x:f>C30+F30</x:f>
        <x:v>35000</x:v>
      </x:c>
      <x:c r="J30" s="19" t="n">
        <x:f>H30-I30</x:f>
        <x:v>121000</x:v>
      </x:c>
      <x:c r="K30" s="19" t="n">
        <x:f>K29+J30</x:f>
        <x:v>831000</x:v>
      </x:c>
      <x:c r="L30" s="20" t="n">
        <x:v>4</x:v>
      </x:c>
      <x:c r="M30" s="20" t="n">
        <x:v>1</x:v>
      </x:c>
      <x:c r="N30" s="20" t="n">
        <x:v>3</x:v>
      </x:c>
      <x:c r="O30" s="20" t="n">
        <x:v>6</x:v>
      </x:c>
      <x:c r="P30" s="27" t="n">
        <x:v>0.029841269841269842</x:v>
      </x:c>
      <x:c r="Q30" s="29" t="n">
        <x:v>0.1492063492063492</x:v>
      </x:c>
      <x:c r="R30" s="31" t="n">
        <x:v>225.15</x:v>
      </x:c>
    </x:row>
    <x:row r="31" ht="23" customHeight="1">
      <x:c r="A31" s="2" t="str">
        <x:v>2026-10-23_Night</x:v>
      </x:c>
      <x:c r="B31" s="19" t="n">
        <x:v>44000</x:v>
      </x:c>
      <x:c r="C31" s="19" t="n">
        <x:v>31000</x:v>
      </x:c>
      <x:c r="D31" s="19" t="n">
        <x:f>B31-C31</x:f>
        <x:v>13000</x:v>
      </x:c>
      <x:c r="E31" s="19" t="n">
        <x:v>37000</x:v>
      </x:c>
      <x:c r="F31" s="19" t="n">
        <x:v>22000</x:v>
      </x:c>
      <x:c r="G31" s="19" t="n">
        <x:f>E31-F31</x:f>
        <x:v>15000</x:v>
      </x:c>
      <x:c r="H31" s="19" t="n">
        <x:f>B31+E31</x:f>
        <x:v>81000</x:v>
      </x:c>
      <x:c r="I31" s="19" t="n">
        <x:f>C31+F31</x:f>
        <x:v>53000</x:v>
      </x:c>
      <x:c r="J31" s="19" t="n">
        <x:f>H31-I31</x:f>
        <x:v>28000</x:v>
      </x:c>
      <x:c r="K31" s="19" t="n">
        <x:f>K30+J31</x:f>
        <x:v>859000</x:v>
      </x:c>
      <x:c r="L31" s="20" t="n">
        <x:v>11</x:v>
      </x:c>
      <x:c r="M31" s="20" t="n">
        <x:v>5</x:v>
      </x:c>
      <x:c r="N31" s="20" t="n">
        <x:v>6</x:v>
      </x:c>
      <x:c r="O31" s="20" t="n">
        <x:v>5</x:v>
      </x:c>
      <x:c r="P31" s="27" t="n">
        <x:v>0.6040740740740741</x:v>
      </x:c>
      <x:c r="Q31" s="29" t="n">
        <x:v>1.4328571428571428</x:v>
      </x:c>
      <x:c r="R31" s="31" t="n">
        <x:v>60.3</x:v>
      </x:c>
    </x:row>
    <x:row r="32" ht="23" customHeight="1">
      <x:c r="A32" s="24" t="str">
        <x:v>25夜累計</x:v>
      </x:c>
      <x:c r="B32" s="25" t="n">
        <x:f>SUM(B7:B31)</x:f>
        <x:v>291000</x:v>
      </x:c>
      <x:c r="C32" s="25" t="n">
        <x:f>SUM(C7:C31)</x:f>
        <x:v>575000</x:v>
      </x:c>
      <x:c r="D32" s="25" t="n">
        <x:f>B32-C32</x:f>
        <x:v>-284000</x:v>
      </x:c>
      <x:c r="E32" s="25" t="n">
        <x:f>SUM(E7:E31)</x:f>
        <x:v>2092000</x:v>
      </x:c>
      <x:c r="F32" s="25" t="n">
        <x:f>SUM(F7:F31)</x:f>
        <x:v>949000</x:v>
      </x:c>
      <x:c r="G32" s="25" t="n">
        <x:f>E32-F32</x:f>
        <x:v>1143000</x:v>
      </x:c>
      <x:c r="H32" s="25" t="n">
        <x:f>B32+E32</x:f>
        <x:v>2383000</x:v>
      </x:c>
      <x:c r="I32" s="25" t="n">
        <x:f>C32+F32</x:f>
        <x:v>1524000</x:v>
      </x:c>
      <x:c r="J32" s="25" t="n">
        <x:f>H32-I32</x:f>
        <x:v>859000</x:v>
      </x:c>
      <x:c r="K32" s="25" t="n">
        <x:f>K31</x:f>
        <x:v>859000</x:v>
      </x:c>
      <x:c r="L32" s="26" t="n">
        <x:f>SUM(L7:L31)</x:f>
        <x:v>170</x:v>
      </x:c>
      <x:c r="M32" s="26" t="n">
        <x:f>SUM(M7:M31)</x:f>
        <x:v>36</x:v>
      </x:c>
      <x:c r="N32" s="26" t="n">
        <x:f>SUM(N7:N31)</x:f>
        <x:v>134</x:v>
      </x:c>
      <x:c r="O32" s="26" t="n">
        <x:f>MAX(O7:O31)</x:f>
        <x:v>10</x:v>
      </x:c>
      <x:c r="P32" s="28" t="n">
        <x:f>AVERAGE(P7:P31)</x:f>
        <x:v>0.12711111111111112</x:v>
      </x:c>
      <x:c r="Q32" s="30" t="n">
        <x:f>AVERAGE(Q7:Q31)</x:f>
        <x:v>0.3800592592592593</x:v>
      </x:c>
      <x:c r="R32" s="32" t="n">
        <x:f>IF(COUNT(R7:R31)=0,"未参加",MEDIAN(R7:R31))</x:f>
        <x:v>119.54166666666666</x:v>
      </x:c>
    </x:row>
  </x:sheetData>
  <x:conditionalFormatting sqref="B7:K32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82ffbb3fb54f03"/>
  </x:tableParts>
</x:worksheet>
</file>

<file path=xl/worksheets/sheet2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4" t="str">
        <x:v>2026/10/26ナイト　取得済み途中評価</x:v>
      </x:c>
      <x:c r="B2" s="5"/>
      <x:c r="C2" s="5"/>
      <x:c r="D2" s="5"/>
      <x:c r="E2" s="5"/>
      <x:c r="F2" s="5"/>
    </x:row>
    <x:row r="3" ht="23" customHeight="1">
      <x:c r="A3" s="6" t="str">
        <x:v>日経mini・片方向上限10枚・手数料0円・気配差込み。当夜の取得済み範囲だけを表示。</x:v>
      </x:c>
      <x:c r="B3" s="2"/>
      <x:c r="C3" s="2"/>
      <x:c r="D3" s="2"/>
      <x:c r="E3" s="2"/>
      <x:c r="F3" s="2"/>
    </x:row>
    <x:row r="4" ht="23" customHeight="1">
      <x:c r="A4" s="6" t="str">
        <x:v>21:13:52まで。既知3波を含む資料。終端一括返済をせず、完了25夜の合計から除外。</x:v>
      </x:c>
      <x:c r="B4" s="2"/>
      <x:c r="C4" s="2"/>
      <x:c r="D4" s="2"/>
      <x:c r="E4" s="2"/>
      <x:c r="F4" s="2"/>
    </x:row>
    <x:row r="5" ht="23" customHeight="1">
      <x:c r="A5" s="6"/>
      <x:c r="B5" s="2"/>
      <x:c r="C5" s="2"/>
      <x:c r="D5" s="2"/>
      <x:c r="E5" s="2"/>
      <x:c r="F5" s="2"/>
    </x:row>
    <x:row r="6" ht="42" customHeight="1">
      <x:c r="A6" s="15" t="str">
        <x:v>手法ID</x:v>
      </x:c>
      <x:c r="B6" s="16" t="str">
        <x:v>実現収支（円）</x:v>
      </x:c>
      <x:c r="C6" s="16" t="str">
        <x:v>含み損益（円）</x:v>
      </x:c>
      <x:c r="D6" s="16" t="str">
        <x:v>合計評価（円）</x:v>
      </x:c>
      <x:c r="E6" s="16" t="str">
        <x:v>新規件数</x:v>
      </x:c>
      <x:c r="F6" s="17" t="str">
        <x:v>最大片側保有枚数</x:v>
      </x:c>
    </x:row>
    <x:row r="7" ht="23" customHeight="1">
      <x:c r="A7" s="2" t="str">
        <x:v>A00</x:v>
      </x:c>
      <x:c r="B7" s="19" t="n">
        <x:v>0</x:v>
      </x:c>
      <x:c r="C7" s="19" t="n">
        <x:v>0</x:v>
      </x:c>
      <x:c r="D7" s="19" t="n">
        <x:f>B7+C7</x:f>
        <x:v>0</x:v>
      </x:c>
      <x:c r="E7" s="2" t="n">
        <x:v>0</x:v>
      </x:c>
      <x:c r="F7" s="2" t="n">
        <x:v>0</x:v>
      </x:c>
    </x:row>
    <x:row r="8" ht="23" customHeight="1">
      <x:c r="A8" s="2" t="str">
        <x:v>A01</x:v>
      </x:c>
      <x:c r="B8" s="19" t="n">
        <x:v>0</x:v>
      </x:c>
      <x:c r="C8" s="19" t="n">
        <x:v>0</x:v>
      </x:c>
      <x:c r="D8" s="19" t="n">
        <x:f>B8+C8</x:f>
        <x:v>0</x:v>
      </x:c>
      <x:c r="E8" s="2" t="n">
        <x:v>0</x:v>
      </x:c>
      <x:c r="F8" s="2" t="n">
        <x:v>0</x:v>
      </x:c>
    </x:row>
    <x:row r="9" ht="23" customHeight="1">
      <x:c r="A9" s="2" t="str">
        <x:v>A02</x:v>
      </x:c>
      <x:c r="B9" s="19" t="n">
        <x:v>0</x:v>
      </x:c>
      <x:c r="C9" s="19" t="n">
        <x:v>0</x:v>
      </x:c>
      <x:c r="D9" s="19" t="n">
        <x:f>B9+C9</x:f>
        <x:v>0</x:v>
      </x:c>
      <x:c r="E9" s="2" t="n">
        <x:v>0</x:v>
      </x:c>
      <x:c r="F9" s="2" t="n">
        <x:v>0</x:v>
      </x:c>
    </x:row>
    <x:row r="10" ht="23" customHeight="1">
      <x:c r="A10" s="2" t="str">
        <x:v>A03</x:v>
      </x:c>
      <x:c r="B10" s="19" t="n">
        <x:v>64000</x:v>
      </x:c>
      <x:c r="C10" s="19" t="n">
        <x:v>0</x:v>
      </x:c>
      <x:c r="D10" s="19" t="n">
        <x:f>B10+C10</x:f>
        <x:v>64000</x:v>
      </x:c>
      <x:c r="E10" s="2" t="n">
        <x:v>1</x:v>
      </x:c>
      <x:c r="F10" s="2" t="n">
        <x:v>5</x:v>
      </x:c>
    </x:row>
    <x:row r="11" ht="23" customHeight="1">
      <x:c r="A11" s="2" t="str">
        <x:v>A04</x:v>
      </x:c>
      <x:c r="B11" s="19" t="n">
        <x:v>20000</x:v>
      </x:c>
      <x:c r="C11" s="19" t="n">
        <x:v>10000</x:v>
      </x:c>
      <x:c r="D11" s="19" t="n">
        <x:f>B11+C11</x:f>
        <x:v>30000</x:v>
      </x:c>
      <x:c r="E11" s="2" t="n">
        <x:v>1</x:v>
      </x:c>
      <x:c r="F11" s="2" t="n">
        <x:v>5</x:v>
      </x:c>
    </x:row>
    <x:row r="12" ht="23" customHeight="1">
      <x:c r="A12" s="2" t="str">
        <x:v>A05</x:v>
      </x:c>
      <x:c r="B12" s="19" t="n">
        <x:v>0</x:v>
      </x:c>
      <x:c r="C12" s="19" t="n">
        <x:v>0</x:v>
      </x:c>
      <x:c r="D12" s="19" t="n">
        <x:f>B12+C12</x:f>
        <x:v>0</x:v>
      </x:c>
      <x:c r="E12" s="2" t="n">
        <x:v>0</x:v>
      </x:c>
      <x:c r="F12" s="2" t="n">
        <x:v>0</x:v>
      </x:c>
    </x:row>
    <x:row r="13" ht="23" customHeight="1">
      <x:c r="A13" s="2" t="str">
        <x:v>A06</x:v>
      </x:c>
      <x:c r="B13" s="19" t="n">
        <x:v>0</x:v>
      </x:c>
      <x:c r="C13" s="19" t="n">
        <x:v>0</x:v>
      </x:c>
      <x:c r="D13" s="19" t="n">
        <x:f>B13+C13</x:f>
        <x:v>0</x:v>
      </x:c>
      <x:c r="E13" s="2" t="n">
        <x:v>0</x:v>
      </x:c>
      <x:c r="F13" s="2" t="n">
        <x:v>0</x:v>
      </x:c>
    </x:row>
    <x:row r="14" ht="23" customHeight="1">
      <x:c r="A14" s="2" t="str">
        <x:v>A07</x:v>
      </x:c>
      <x:c r="B14" s="19" t="n">
        <x:v>0</x:v>
      </x:c>
      <x:c r="C14" s="19" t="n">
        <x:v>0</x:v>
      </x:c>
      <x:c r="D14" s="19" t="n">
        <x:f>B14+C14</x:f>
        <x:v>0</x:v>
      </x:c>
      <x:c r="E14" s="2" t="n">
        <x:v>0</x:v>
      </x:c>
      <x:c r="F14" s="2" t="n">
        <x:v>0</x:v>
      </x:c>
    </x:row>
    <x:row r="15" ht="23" customHeight="1">
      <x:c r="A15" s="2" t="str">
        <x:v>A08</x:v>
      </x:c>
      <x:c r="B15" s="19" t="n">
        <x:v>0</x:v>
      </x:c>
      <x:c r="C15" s="19" t="n">
        <x:v>0</x:v>
      </x:c>
      <x:c r="D15" s="19" t="n">
        <x:f>B15+C15</x:f>
        <x:v>0</x:v>
      </x:c>
      <x:c r="E15" s="2" t="n">
        <x:v>0</x:v>
      </x:c>
      <x:c r="F15" s="2" t="n">
        <x:v>0</x:v>
      </x:c>
    </x:row>
    <x:row r="16" ht="23" customHeight="1">
      <x:c r="A16" s="2" t="str">
        <x:v>A09</x:v>
      </x:c>
      <x:c r="B16" s="19" t="n">
        <x:v>0</x:v>
      </x:c>
      <x:c r="C16" s="19" t="n">
        <x:v>0</x:v>
      </x:c>
      <x:c r="D16" s="19" t="n">
        <x:f>B16+C16</x:f>
        <x:v>0</x:v>
      </x:c>
      <x:c r="E16" s="2" t="n">
        <x:v>0</x:v>
      </x:c>
      <x:c r="F16" s="2" t="n">
        <x:v>0</x:v>
      </x:c>
    </x:row>
    <x:row r="17" ht="23" customHeight="1">
      <x:c r="A17" s="2" t="str">
        <x:v>A10</x:v>
      </x:c>
      <x:c r="B17" s="19" t="n">
        <x:v>0</x:v>
      </x:c>
      <x:c r="C17" s="19" t="n">
        <x:v>0</x:v>
      </x:c>
      <x:c r="D17" s="19" t="n">
        <x:f>B17+C17</x:f>
        <x:v>0</x:v>
      </x:c>
      <x:c r="E17" s="2" t="n">
        <x:v>0</x:v>
      </x:c>
      <x:c r="F17" s="2" t="n">
        <x:v>0</x:v>
      </x:c>
    </x:row>
    <x:row r="18" ht="23" customHeight="1">
      <x:c r="A18" s="2" t="str">
        <x:v>A11</x:v>
      </x:c>
      <x:c r="B18" s="19" t="n">
        <x:v>0</x:v>
      </x:c>
      <x:c r="C18" s="19" t="n">
        <x:v>0</x:v>
      </x:c>
      <x:c r="D18" s="19" t="n">
        <x:f>B18+C18</x:f>
        <x:v>0</x:v>
      </x:c>
      <x:c r="E18" s="2" t="n">
        <x:v>0</x:v>
      </x:c>
      <x:c r="F18" s="2" t="n">
        <x:v>0</x:v>
      </x:c>
    </x:row>
    <x:row r="19" ht="23" customHeight="1">
      <x:c r="A19" s="2" t="str">
        <x:v>A12</x:v>
      </x:c>
      <x:c r="B19" s="19" t="n">
        <x:v>0</x:v>
      </x:c>
      <x:c r="C19" s="19" t="n">
        <x:v>0</x:v>
      </x:c>
      <x:c r="D19" s="19" t="n">
        <x:f>B19+C19</x:f>
        <x:v>0</x:v>
      </x:c>
      <x:c r="E19" s="2" t="n">
        <x:v>0</x:v>
      </x:c>
      <x:c r="F19" s="2" t="n">
        <x:v>0</x:v>
      </x:c>
    </x:row>
    <x:row r="20" ht="23" customHeight="1">
      <x:c r="A20" s="2" t="str">
        <x:v>A13</x:v>
      </x:c>
      <x:c r="B20" s="19" t="n">
        <x:v>0</x:v>
      </x:c>
      <x:c r="C20" s="19" t="n">
        <x:v>0</x:v>
      </x:c>
      <x:c r="D20" s="19" t="n">
        <x:f>B20+C20</x:f>
        <x:v>0</x:v>
      </x:c>
      <x:c r="E20" s="2" t="n">
        <x:v>0</x:v>
      </x:c>
      <x:c r="F20" s="2" t="n">
        <x:v>0</x:v>
      </x:c>
    </x:row>
    <x:row r="21" ht="23" customHeight="1">
      <x:c r="A21" s="2" t="str">
        <x:v>A14</x:v>
      </x:c>
      <x:c r="B21" s="19" t="n">
        <x:v>0</x:v>
      </x:c>
      <x:c r="C21" s="19" t="n">
        <x:v>0</x:v>
      </x:c>
      <x:c r="D21" s="19" t="n">
        <x:f>B21+C21</x:f>
        <x:v>0</x:v>
      </x:c>
      <x:c r="E21" s="2" t="n">
        <x:v>0</x:v>
      </x:c>
      <x:c r="F21" s="2" t="n">
        <x:v>0</x:v>
      </x:c>
    </x:row>
    <x:row r="22" ht="23" customHeight="1">
      <x:c r="A22" s="2" t="str">
        <x:v>A15</x:v>
      </x:c>
      <x:c r="B22" s="19" t="n">
        <x:v>81000</x:v>
      </x:c>
      <x:c r="C22" s="19" t="n">
        <x:v>0</x:v>
      </x:c>
      <x:c r="D22" s="19" t="n">
        <x:f>B22+C22</x:f>
        <x:v>81000</x:v>
      </x:c>
      <x:c r="E22" s="2" t="n">
        <x:v>2</x:v>
      </x:c>
      <x:c r="F22" s="2" t="n">
        <x:v>5</x:v>
      </x:c>
    </x:row>
    <x:row r="23" ht="23" customHeight="1">
      <x:c r="A23" s="2" t="str">
        <x:v>A16</x:v>
      </x:c>
      <x:c r="B23" s="19" t="n">
        <x:v>81000</x:v>
      </x:c>
      <x:c r="C23" s="19" t="n">
        <x:v>0</x:v>
      </x:c>
      <x:c r="D23" s="19" t="n">
        <x:f>B23+C23</x:f>
        <x:v>81000</x:v>
      </x:c>
      <x:c r="E23" s="2" t="n">
        <x:v>2</x:v>
      </x:c>
      <x:c r="F23" s="2" t="n">
        <x:v>5</x:v>
      </x:c>
    </x:row>
    <x:row r="24" ht="23" customHeight="1">
      <x:c r="A24" s="2" t="str">
        <x:v>B01</x:v>
      </x:c>
      <x:c r="B24" s="19" t="n">
        <x:v>0</x:v>
      </x:c>
      <x:c r="C24" s="19" t="n">
        <x:v>0</x:v>
      </x:c>
      <x:c r="D24" s="19" t="n">
        <x:f>B24+C24</x:f>
        <x:v>0</x:v>
      </x:c>
      <x:c r="E24" s="2" t="n">
        <x:v>0</x:v>
      </x:c>
      <x:c r="F24" s="2" t="n">
        <x:v>0</x:v>
      </x:c>
    </x:row>
    <x:row r="25" ht="23" customHeight="1">
      <x:c r="A25" s="2" t="str">
        <x:v>B02</x:v>
      </x:c>
      <x:c r="B25" s="19" t="n">
        <x:v>0</x:v>
      </x:c>
      <x:c r="C25" s="19" t="n">
        <x:v>0</x:v>
      </x:c>
      <x:c r="D25" s="19" t="n">
        <x:f>B25+C25</x:f>
        <x:v>0</x:v>
      </x:c>
      <x:c r="E25" s="2" t="n">
        <x:v>0</x:v>
      </x:c>
      <x:c r="F25" s="2" t="n">
        <x:v>0</x:v>
      </x:c>
    </x:row>
    <x:row r="26" ht="23" customHeight="1">
      <x:c r="A26" s="2" t="str">
        <x:v>B03</x:v>
      </x:c>
      <x:c r="B26" s="19" t="n">
        <x:v>20000</x:v>
      </x:c>
      <x:c r="C26" s="19" t="n">
        <x:v>10000</x:v>
      </x:c>
      <x:c r="D26" s="19" t="n">
        <x:f>B26+C26</x:f>
        <x:v>30000</x:v>
      </x:c>
      <x:c r="E26" s="2" t="n">
        <x:v>1</x:v>
      </x:c>
      <x:c r="F26" s="2" t="n">
        <x:v>5</x:v>
      </x:c>
    </x:row>
    <x:row r="27" ht="23" customHeight="1">
      <x:c r="A27" s="2" t="str">
        <x:v>B04</x:v>
      </x:c>
      <x:c r="B27" s="19" t="n">
        <x:v>20000</x:v>
      </x:c>
      <x:c r="C27" s="19" t="n">
        <x:v>10000</x:v>
      </x:c>
      <x:c r="D27" s="19" t="n">
        <x:f>B27+C27</x:f>
        <x:v>30000</x:v>
      </x:c>
      <x:c r="E27" s="2" t="n">
        <x:v>1</x:v>
      </x:c>
      <x:c r="F27" s="2" t="n">
        <x:v>5</x:v>
      </x:c>
    </x:row>
    <x:row r="28" ht="23" customHeight="1">
      <x:c r="A28" s="2" t="str">
        <x:v>B05</x:v>
      </x:c>
      <x:c r="B28" s="19" t="n">
        <x:v>0</x:v>
      </x:c>
      <x:c r="C28" s="19" t="n">
        <x:v>0</x:v>
      </x:c>
      <x:c r="D28" s="19" t="n">
        <x:f>B28+C28</x:f>
        <x:v>0</x:v>
      </x:c>
      <x:c r="E28" s="2" t="n">
        <x:v>0</x:v>
      </x:c>
      <x:c r="F28" s="2" t="n">
        <x:v>0</x:v>
      </x:c>
    </x:row>
    <x:row r="29" ht="23" customHeight="1">
      <x:c r="A29" s="2" t="str">
        <x:v>B06</x:v>
      </x:c>
      <x:c r="B29" s="19" t="n">
        <x:v>20000</x:v>
      </x:c>
      <x:c r="C29" s="19" t="n">
        <x:v>10000</x:v>
      </x:c>
      <x:c r="D29" s="19" t="n">
        <x:f>B29+C29</x:f>
        <x:v>30000</x:v>
      </x:c>
      <x:c r="E29" s="2" t="n">
        <x:v>1</x:v>
      </x:c>
      <x:c r="F29" s="2" t="n">
        <x:v>5</x:v>
      </x:c>
    </x:row>
    <x:row r="30" ht="23" customHeight="1">
      <x:c r="A30" s="2" t="str">
        <x:v>C00</x:v>
      </x:c>
      <x:c r="B30" s="19" t="n">
        <x:v>0</x:v>
      </x:c>
      <x:c r="C30" s="19" t="n">
        <x:v>0</x:v>
      </x:c>
      <x:c r="D30" s="19" t="n">
        <x:f>B30+C30</x:f>
        <x:v>0</x:v>
      </x:c>
      <x:c r="E30" s="2" t="n">
        <x:v>0</x:v>
      </x:c>
      <x:c r="F30" s="2" t="n">
        <x:v>0</x:v>
      </x:c>
    </x:row>
    <x:row r="31" ht="23" customHeight="1">
      <x:c r="A31" s="2" t="str">
        <x:v>S02</x:v>
      </x:c>
      <x:c r="B31" s="19" t="n">
        <x:v>83000</x:v>
      </x:c>
      <x:c r="C31" s="19" t="n">
        <x:v>0</x:v>
      </x:c>
      <x:c r="D31" s="19" t="n">
        <x:f>B31+C31</x:f>
        <x:v>83000</x:v>
      </x:c>
      <x:c r="E31" s="2" t="n">
        <x:v>1</x:v>
      </x:c>
      <x:c r="F31" s="2" t="n">
        <x:v>4</x:v>
      </x:c>
    </x:row>
    <x:row r="32" ht="23" customHeight="1">
      <x:c r="A32" s="2" t="str">
        <x:v>S04</x:v>
      </x:c>
      <x:c r="B32" s="19" t="n">
        <x:v>0</x:v>
      </x:c>
      <x:c r="C32" s="19" t="n">
        <x:v>0</x:v>
      </x:c>
      <x:c r="D32" s="19" t="n">
        <x:f>B32+C32</x:f>
        <x:v>0</x:v>
      </x:c>
      <x:c r="E32" s="2" t="n">
        <x:v>0</x:v>
      </x:c>
      <x:c r="F32" s="2" t="n">
        <x:v>0</x:v>
      </x:c>
    </x:row>
  </x:sheetData>
  <x:conditionalFormatting sqref="B7:D32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49c18cb07d4a78"/>
  </x:tableParts>
</x:worksheet>
</file>

<file path=xl/worksheets/sheet2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4" t="str">
        <x:v>9時と米国開始の前後の値動き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3" customHeight="1">
      <x:c r="A3" s="6" t="str">
        <x:v>日経ラージの正常気配。9/21〜10/23のデイ25・夜25。利益や勝率の表ではありません。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6" t="str">
        <x:v>直後15分は開始〜15分後、次15分は15〜30分後。差の95%区間は場単位の再標本化。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6" t="str">
        <x:v>9時と米国開始の直後は活発。米国開始前15分は静かで、前後全体が一様に急変するわけではない。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15" t="str">
        <x:v>観測集団</x:v>
      </x:c>
      <x:c r="B6" s="16" t="str">
        <x:v>比較窓</x:v>
      </x:c>
      <x:c r="C6" s="16" t="str">
        <x:v>指標</x:v>
      </x:c>
      <x:c r="D6" s="16" t="str">
        <x:v>単位</x:v>
      </x:c>
      <x:c r="E6" s="16" t="str">
        <x:v>比較場数</x:v>
      </x:c>
      <x:c r="F6" s="16" t="str">
        <x:v>対象平均</x:v>
      </x:c>
      <x:c r="G6" s="16" t="str">
        <x:v>対照平均</x:v>
      </x:c>
      <x:c r="H6" s="16" t="str">
        <x:v>差</x:v>
      </x:c>
      <x:c r="I6" s="16" t="str">
        <x:v>差95%下限</x:v>
      </x:c>
      <x:c r="J6" s="17" t="str">
        <x:v>差95%上限</x:v>
      </x:c>
    </x:row>
    <x:row r="7" ht="23" customHeight="1">
      <x:c r="A7" s="2" t="str">
        <x:v>9時25時計窓</x:v>
      </x:c>
      <x:c r="B7" s="2" t="str">
        <x:v>直後15分 − 次15分</x:v>
      </x:c>
      <x:c r="C7" s="2" t="str">
        <x:v>絶対1分変化の平均</x:v>
      </x:c>
      <x:c r="D7" s="2" t="str">
        <x:v>pt</x:v>
      </x:c>
      <x:c r="E7" s="2" t="n">
        <x:v>25</x:v>
      </x:c>
      <x:c r="F7" s="33" t="n">
        <x:v>56.44</x:v>
      </x:c>
      <x:c r="G7" s="33" t="n">
        <x:v>39.30666666666667</x:v>
      </x:c>
      <x:c r="H7" s="33" t="n">
        <x:f>F7-G7</x:f>
        <x:v>17.133333333333326</x:v>
      </x:c>
      <x:c r="I7" s="33" t="n">
        <x:v>10.25233333333333</x:v>
      </x:c>
      <x:c r="J7" s="33" t="n">
        <x:v>24.466666666666665</x:v>
      </x:c>
    </x:row>
    <x:row r="8" ht="23" customHeight="1">
      <x:c r="A8" s="2" t="str">
        <x:v>9時25時計窓</x:v>
      </x:c>
      <x:c r="B8" s="2" t="str">
        <x:v>直後15分 − 次15分</x:v>
      </x:c>
      <x:c r="C8" s="2" t="str">
        <x:v>正常中値の高低差</x:v>
      </x:c>
      <x:c r="D8" s="2" t="str">
        <x:v>pt</x:v>
      </x:c>
      <x:c r="E8" s="2" t="n">
        <x:v>25</x:v>
      </x:c>
      <x:c r="F8" s="33" t="n">
        <x:v>397.8</x:v>
      </x:c>
      <x:c r="G8" s="33" t="n">
        <x:v>262</x:v>
      </x:c>
      <x:c r="H8" s="33" t="n">
        <x:f>F8-G8</x:f>
        <x:v>135.8</x:v>
      </x:c>
      <x:c r="I8" s="33" t="n">
        <x:v>92.995</x:v>
      </x:c>
      <x:c r="J8" s="33" t="n">
        <x:v>178.2</x:v>
      </x:c>
    </x:row>
    <x:row r="9" ht="23" customHeight="1">
      <x:c r="A9" s="2" t="str">
        <x:v>9時25時計窓</x:v>
      </x:c>
      <x:c r="B9" s="2" t="str">
        <x:v>直後15分 − 次15分</x:v>
      </x:c>
      <x:c r="C9" s="2" t="str">
        <x:v>分末気配差の90%点</x:v>
      </x:c>
      <x:c r="D9" s="2" t="str">
        <x:v>pt</x:v>
      </x:c>
      <x:c r="E9" s="2" t="n">
        <x:v>25</x:v>
      </x:c>
      <x:c r="F9" s="33" t="n">
        <x:v>19.68</x:v>
      </x:c>
      <x:c r="G9" s="33" t="n">
        <x:v>17.6</x:v>
      </x:c>
      <x:c r="H9" s="33" t="n">
        <x:f>F9-G9</x:f>
        <x:v>2.0799999999999983</x:v>
      </x:c>
      <x:c r="I9" s="33" t="n">
        <x:v>0.6399999999999999</x:v>
      </x:c>
      <x:c r="J9" s="33" t="n">
        <x:v>3.68</x:v>
      </x:c>
    </x:row>
    <x:row r="10" ht="23" customHeight="1">
      <x:c r="A10" s="2" t="str">
        <x:v>9時25時計窓</x:v>
      </x:c>
      <x:c r="B10" s="2" t="str">
        <x:v>直後15分 − 次15分</x:v>
      </x:c>
      <x:c r="C10" s="2" t="str">
        <x:v>50pt以上変化の率</x:v>
      </x:c>
      <x:c r="D10" s="2" t="str">
        <x:v>割合</x:v>
      </x:c>
      <x:c r="E10" s="2" t="n">
        <x:v>25</x:v>
      </x:c>
      <x:c r="F10" s="27" t="n">
        <x:v>0.49066666666666664</x:v>
      </x:c>
      <x:c r="G10" s="27" t="n">
        <x:v>0.2986666666666667</x:v>
      </x:c>
      <x:c r="H10" s="27" t="n">
        <x:f>F10-G10</x:f>
        <x:v>0.19199999999999995</x:v>
      </x:c>
      <x:c r="I10" s="27" t="n">
        <x:v>0.11466666666666667</x:v>
      </x:c>
      <x:c r="J10" s="27" t="n">
        <x:v>0.2693333333333333</x:v>
      </x:c>
    </x:row>
    <x:row r="11" ht="23" customHeight="1">
      <x:c r="A11" s="2" t="str">
        <x:v>9時25時計窓</x:v>
      </x:c>
      <x:c r="B11" s="2" t="str">
        <x:v>直後15分 − 次15分</x:v>
      </x:c>
      <x:c r="C11" s="2" t="str">
        <x:v>100pt以上変化の率</x:v>
      </x:c>
      <x:c r="D11" s="2" t="str">
        <x:v>割合</x:v>
      </x:c>
      <x:c r="E11" s="2" t="n">
        <x:v>25</x:v>
      </x:c>
      <x:c r="F11" s="27" t="n">
        <x:v>0.17866666666666667</x:v>
      </x:c>
      <x:c r="G11" s="27" t="n">
        <x:v>0.08266666666666668</x:v>
      </x:c>
      <x:c r="H11" s="27" t="n">
        <x:f>F11-G11</x:f>
        <x:v>0.09599999999999999</x:v>
      </x:c>
      <x:c r="I11" s="27" t="n">
        <x:v>0.048</x:v>
      </x:c>
      <x:c r="J11" s="27" t="n">
        <x:v>0.14400000000000002</x:v>
      </x:c>
    </x:row>
    <x:row r="12" ht="23" customHeight="1">
      <x:c r="A12" s="2" t="str">
        <x:v>9時25時計窓</x:v>
      </x:c>
      <x:c r="B12" s="2" t="str">
        <x:v>直後15分 − 次15分</x:v>
      </x:c>
      <x:c r="C12" s="2" t="str">
        <x:v>200pt以上変化の率</x:v>
      </x:c>
      <x:c r="D12" s="2" t="str">
        <x:v>割合</x:v>
      </x:c>
      <x:c r="E12" s="2" t="n">
        <x:v>25</x:v>
      </x:c>
      <x:c r="F12" s="27" t="n">
        <x:v>0.021333333333333336</x:v>
      </x:c>
      <x:c r="G12" s="27" t="n">
        <x:v>0.0026666666666666666</x:v>
      </x:c>
      <x:c r="H12" s="27" t="n">
        <x:f>F12-G12</x:f>
        <x:v>0.018666666666666668</x:v>
      </x:c>
      <x:c r="I12" s="27" t="n">
        <x:v>0.005333333333333333</x:v>
      </x:c>
      <x:c r="J12" s="27" t="n">
        <x:v>0.034666666666666665</x:v>
      </x:c>
    </x:row>
    <x:row r="13" ht="23" customHeight="1">
      <x:c r="A13" s="2" t="str">
        <x:v>9時21営業日参考</x:v>
      </x:c>
      <x:c r="B13" s="2" t="str">
        <x:v>直後15分 − 次15分</x:v>
      </x:c>
      <x:c r="C13" s="2" t="str">
        <x:v>絶対1分変化の平均</x:v>
      </x:c>
      <x:c r="D13" s="2" t="str">
        <x:v>pt</x:v>
      </x:c>
      <x:c r="E13" s="2" t="n">
        <x:v>21</x:v>
      </x:c>
      <x:c r="F13" s="33" t="n">
        <x:v>59.85714285714287</x:v>
      </x:c>
      <x:c r="G13" s="33" t="n">
        <x:v>41.523809523809526</x:v>
      </x:c>
      <x:c r="H13" s="33" t="n">
        <x:f>F13-G13</x:f>
        <x:v>18.333333333333343</x:v>
      </x:c>
      <x:c r="I13" s="33" t="n">
        <x:v>10.53968253968254</x:v>
      </x:c>
      <x:c r="J13" s="33" t="n">
        <x:v>26.493253968253953</x:v>
      </x:c>
    </x:row>
    <x:row r="14" ht="23" customHeight="1">
      <x:c r="A14" s="2" t="str">
        <x:v>9時21営業日参考</x:v>
      </x:c>
      <x:c r="B14" s="2" t="str">
        <x:v>直後15分 − 次15分</x:v>
      </x:c>
      <x:c r="C14" s="2" t="str">
        <x:v>正常中値の高低差</x:v>
      </x:c>
      <x:c r="D14" s="2" t="str">
        <x:v>pt</x:v>
      </x:c>
      <x:c r="E14" s="2" t="n">
        <x:v>21</x:v>
      </x:c>
      <x:c r="F14" s="33" t="n">
        <x:v>419.2857142857143</x:v>
      </x:c>
      <x:c r="G14" s="33" t="n">
        <x:v>273.57142857142856</x:v>
      </x:c>
      <x:c r="H14" s="33" t="n">
        <x:f>F14-G14</x:f>
        <x:v>145.71428571428572</x:v>
      </x:c>
      <x:c r="I14" s="33" t="n">
        <x:v>100.95238095238095</x:v>
      </x:c>
      <x:c r="J14" s="33" t="n">
        <x:v>191.1904761904762</x:v>
      </x:c>
    </x:row>
    <x:row r="15" ht="23" customHeight="1">
      <x:c r="A15" s="2" t="str">
        <x:v>9時21営業日参考</x:v>
      </x:c>
      <x:c r="B15" s="2" t="str">
        <x:v>直後15分 − 次15分</x:v>
      </x:c>
      <x:c r="C15" s="2" t="str">
        <x:v>分末気配差の90%点</x:v>
      </x:c>
      <x:c r="D15" s="2" t="str">
        <x:v>pt</x:v>
      </x:c>
      <x:c r="E15" s="2" t="n">
        <x:v>21</x:v>
      </x:c>
      <x:c r="F15" s="33" t="n">
        <x:v>19.80952380952381</x:v>
      </x:c>
      <x:c r="G15" s="33" t="n">
        <x:v>17.714285714285715</x:v>
      </x:c>
      <x:c r="H15" s="33" t="n">
        <x:f>F15-G15</x:f>
        <x:v>2.095238095238095</x:v>
      </x:c>
      <x:c r="I15" s="33" t="n">
        <x:v>0.47619047619047616</x:v>
      </x:c>
      <x:c r="J15" s="33" t="n">
        <x:v>4</x:v>
      </x:c>
    </x:row>
    <x:row r="16" ht="23" customHeight="1">
      <x:c r="A16" s="2" t="str">
        <x:v>9時21営業日参考</x:v>
      </x:c>
      <x:c r="B16" s="2" t="str">
        <x:v>直後15分 − 次15分</x:v>
      </x:c>
      <x:c r="C16" s="2" t="str">
        <x:v>50pt以上変化の率</x:v>
      </x:c>
      <x:c r="D16" s="2" t="str">
        <x:v>割合</x:v>
      </x:c>
      <x:c r="E16" s="2" t="n">
        <x:v>21</x:v>
      </x:c>
      <x:c r="F16" s="27" t="n">
        <x:v>0.5174603174603174</x:v>
      </x:c>
      <x:c r="G16" s="27" t="n">
        <x:v>0.3206349206349206</x:v>
      </x:c>
      <x:c r="H16" s="27" t="n">
        <x:f>F16-G16</x:f>
        <x:v>0.1968253968253968</x:v>
      </x:c>
      <x:c r="I16" s="27" t="n">
        <x:v>0.11111111111111112</x:v>
      </x:c>
      <x:c r="J16" s="27" t="n">
        <x:v>0.28253968253968254</x:v>
      </x:c>
    </x:row>
    <x:row r="17" ht="23" customHeight="1">
      <x:c r="A17" s="2" t="str">
        <x:v>9時21営業日参考</x:v>
      </x:c>
      <x:c r="B17" s="2" t="str">
        <x:v>直後15分 − 次15分</x:v>
      </x:c>
      <x:c r="C17" s="2" t="str">
        <x:v>100pt以上変化の率</x:v>
      </x:c>
      <x:c r="D17" s="2" t="str">
        <x:v>割合</x:v>
      </x:c>
      <x:c r="E17" s="2" t="n">
        <x:v>21</x:v>
      </x:c>
      <x:c r="F17" s="27" t="n">
        <x:v>0.2</x:v>
      </x:c>
      <x:c r="G17" s="27" t="n">
        <x:v>0.09523809523809523</x:v>
      </x:c>
      <x:c r="H17" s="27" t="n">
        <x:f>F17-G17</x:f>
        <x:v>0.10476190476190478</x:v>
      </x:c>
      <x:c r="I17" s="27" t="n">
        <x:v>0.047619047619047616</x:v>
      </x:c>
      <x:c r="J17" s="27" t="n">
        <x:v>0.16190476190476194</x:v>
      </x:c>
    </x:row>
    <x:row r="18" ht="23" customHeight="1">
      <x:c r="A18" s="2" t="str">
        <x:v>9時21営業日参考</x:v>
      </x:c>
      <x:c r="B18" s="2" t="str">
        <x:v>直後15分 − 次15分</x:v>
      </x:c>
      <x:c r="C18" s="2" t="str">
        <x:v>200pt以上変化の率</x:v>
      </x:c>
      <x:c r="D18" s="2" t="str">
        <x:v>割合</x:v>
      </x:c>
      <x:c r="E18" s="2" t="n">
        <x:v>21</x:v>
      </x:c>
      <x:c r="F18" s="27" t="n">
        <x:v>0.025396825396825397</x:v>
      </x:c>
      <x:c r="G18" s="27" t="n">
        <x:v>0.0031746031746031746</x:v>
      </x:c>
      <x:c r="H18" s="27" t="n">
        <x:f>F18-G18</x:f>
        <x:v>0.022222222222222223</x:v>
      </x:c>
      <x:c r="I18" s="27" t="n">
        <x:v>0.006349206349206349</x:v>
      </x:c>
      <x:c r="J18" s="27" t="n">
        <x:v>0.0380952380952381</x:v>
      </x:c>
    </x:row>
    <x:row r="19" ht="23" customHeight="1">
      <x:c r="A19" s="2" t="str">
        <x:v>米国25夜</x:v>
      </x:c>
      <x:c r="B19" s="2" t="str">
        <x:v>直後15分 − 次15分</x:v>
      </x:c>
      <x:c r="C19" s="2" t="str">
        <x:v>絶対1分変化の平均</x:v>
      </x:c>
      <x:c r="D19" s="2" t="str">
        <x:v>pt</x:v>
      </x:c>
      <x:c r="E19" s="2" t="n">
        <x:v>25</x:v>
      </x:c>
      <x:c r="F19" s="33" t="n">
        <x:v>34.843809523809526</x:v>
      </x:c>
      <x:c r="G19" s="33" t="n">
        <x:v>29.02666666666667</x:v>
      </x:c>
      <x:c r="H19" s="33" t="n">
        <x:f>F19-G19</x:f>
        <x:v>5.817142857142855</x:v>
      </x:c>
      <x:c r="I19" s="33" t="n">
        <x:v>2.6971428571428566</x:v>
      </x:c>
      <x:c r="J19" s="33" t="n">
        <x:v>9.08390476190476</x:v>
      </x:c>
    </x:row>
    <x:row r="20" ht="23" customHeight="1">
      <x:c r="A20" s="2" t="str">
        <x:v>米国25夜</x:v>
      </x:c>
      <x:c r="B20" s="2" t="str">
        <x:v>直後15分 − 次15分</x:v>
      </x:c>
      <x:c r="C20" s="2" t="str">
        <x:v>正常中値の高低差</x:v>
      </x:c>
      <x:c r="D20" s="2" t="str">
        <x:v>pt</x:v>
      </x:c>
      <x:c r="E20" s="2" t="n">
        <x:v>25</x:v>
      </x:c>
      <x:c r="F20" s="33" t="n">
        <x:v>267.4</x:v>
      </x:c>
      <x:c r="G20" s="33" t="n">
        <x:v>226.4</x:v>
      </x:c>
      <x:c r="H20" s="33" t="n">
        <x:f>F20-G20</x:f>
        <x:v>40.99999999999997</x:v>
      </x:c>
      <x:c r="I20" s="33" t="n">
        <x:v>-4.6</x:v>
      </x:c>
      <x:c r="J20" s="33" t="n">
        <x:v>88.2</x:v>
      </x:c>
    </x:row>
    <x:row r="21" ht="23" customHeight="1">
      <x:c r="A21" s="2" t="str">
        <x:v>米国25夜</x:v>
      </x:c>
      <x:c r="B21" s="2" t="str">
        <x:v>直後15分 − 次15分</x:v>
      </x:c>
      <x:c r="C21" s="2" t="str">
        <x:v>分末気配差の90%点</x:v>
      </x:c>
      <x:c r="D21" s="2" t="str">
        <x:v>pt</x:v>
      </x:c>
      <x:c r="E21" s="2" t="n">
        <x:v>25</x:v>
      </x:c>
      <x:c r="F21" s="33" t="n">
        <x:v>14.8</x:v>
      </x:c>
      <x:c r="G21" s="33" t="n">
        <x:v>15.44</x:v>
      </x:c>
      <x:c r="H21" s="33" t="n">
        <x:f>F21-G21</x:f>
        <x:v>-0.6399999999999988</x:v>
      </x:c>
      <x:c r="I21" s="33" t="n">
        <x:v>-2.7199999999999993</x:v>
      </x:c>
      <x:c r="J21" s="33" t="n">
        <x:v>1.36</x:v>
      </x:c>
    </x:row>
    <x:row r="22" ht="23" customHeight="1">
      <x:c r="A22" s="2" t="str">
        <x:v>米国25夜</x:v>
      </x:c>
      <x:c r="B22" s="2" t="str">
        <x:v>直後15分 − 次15分</x:v>
      </x:c>
      <x:c r="C22" s="2" t="str">
        <x:v>50pt以上変化の率</x:v>
      </x:c>
      <x:c r="D22" s="2" t="str">
        <x:v>割合</x:v>
      </x:c>
      <x:c r="E22" s="2" t="n">
        <x:v>25</x:v>
      </x:c>
      <x:c r="F22" s="27" t="n">
        <x:v>0.2868571428571429</x:v>
      </x:c>
      <x:c r="G22" s="27" t="n">
        <x:v>0.19771428571428573</x:v>
      </x:c>
      <x:c r="H22" s="27" t="n">
        <x:f>F22-G22</x:f>
        <x:v>0.08914285714285719</x:v>
      </x:c>
      <x:c r="I22" s="27" t="n">
        <x:v>0.046476190476190476</x:v>
      </x:c>
      <x:c r="J22" s="27" t="n">
        <x:v>0.13333333333333333</x:v>
      </x:c>
    </x:row>
    <x:row r="23" ht="23" customHeight="1">
      <x:c r="A23" s="2" t="str">
        <x:v>米国25夜</x:v>
      </x:c>
      <x:c r="B23" s="2" t="str">
        <x:v>直後15分 − 次15分</x:v>
      </x:c>
      <x:c r="C23" s="2" t="str">
        <x:v>100pt以上変化の率</x:v>
      </x:c>
      <x:c r="D23" s="2" t="str">
        <x:v>割合</x:v>
      </x:c>
      <x:c r="E23" s="2" t="n">
        <x:v>25</x:v>
      </x:c>
      <x:c r="F23" s="27" t="n">
        <x:v>0.05123809523809524</x:v>
      </x:c>
      <x:c r="G23" s="27" t="n">
        <x:v>0.026666666666666665</x:v>
      </x:c>
      <x:c r="H23" s="27" t="n">
        <x:f>F23-G23</x:f>
        <x:v>0.024571428571428577</x:v>
      </x:c>
      <x:c r="I23" s="27" t="n">
        <x:v>0.0032380952380952383</x:v>
      </x:c>
      <x:c r="J23" s="27" t="n">
        <x:v>0.04323809523809524</x:v>
      </x:c>
    </x:row>
    <x:row r="24" ht="23" customHeight="1">
      <x:c r="A24" s="2" t="str">
        <x:v>米国25夜</x:v>
      </x:c>
      <x:c r="B24" s="2" t="str">
        <x:v>直後15分 − 次15分</x:v>
      </x:c>
      <x:c r="C24" s="2" t="str">
        <x:v>200pt以上変化の率</x:v>
      </x:c>
      <x:c r="D24" s="2" t="str">
        <x:v>割合</x:v>
      </x:c>
      <x:c r="E24" s="2" t="n">
        <x:v>25</x:v>
      </x:c>
      <x:c r="F24" s="27" t="n">
        <x:v>0</x:v>
      </x:c>
      <x:c r="G24" s="27" t="n">
        <x:v>0</x:v>
      </x:c>
      <x:c r="H24" s="27" t="n">
        <x:f>F24-G24</x:f>
        <x:v>0</x:v>
      </x:c>
      <x:c r="I24" s="27" t="n">
        <x:v>0</x:v>
      </x:c>
      <x:c r="J24" s="27" t="n">
        <x:v>0</x:v>
      </x:c>
    </x:row>
    <x:row r="25" ht="23" customHeight="1">
      <x:c r="A25" s="2" t="str">
        <x:v>米国25夜</x:v>
      </x:c>
      <x:c r="B25" s="2" t="str">
        <x:v>直前15分 − 直後15分</x:v>
      </x:c>
      <x:c r="C25" s="2" t="str">
        <x:v>絶対1分変化の平均</x:v>
      </x:c>
      <x:c r="D25" s="2" t="str">
        <x:v>pt</x:v>
      </x:c>
      <x:c r="E25" s="2" t="n">
        <x:v>25</x:v>
      </x:c>
      <x:c r="F25" s="33" t="n">
        <x:v>15.039920079920082</x:v>
      </x:c>
      <x:c r="G25" s="33" t="n">
        <x:v>34.843809523809526</x:v>
      </x:c>
      <x:c r="H25" s="33" t="n">
        <x:f>F25-G25</x:f>
        <x:v>-19.803889443889446</x:v>
      </x:c>
      <x:c r="I25" s="33" t="n">
        <x:v>-23.91528871128871</x:v>
      </x:c>
      <x:c r="J25" s="33" t="n">
        <x:v>-15.905424242424244</x:v>
      </x:c>
    </x:row>
    <x:row r="26" ht="23" customHeight="1">
      <x:c r="A26" s="2" t="str">
        <x:v>米国25夜</x:v>
      </x:c>
      <x:c r="B26" s="2" t="str">
        <x:v>前後30分 − 次30分</x:v>
      </x:c>
      <x:c r="C26" s="2" t="str">
        <x:v>絶対1分変化の平均</x:v>
      </x:c>
      <x:c r="D26" s="2" t="str">
        <x:v>pt</x:v>
      </x:c>
      <x:c r="E26" s="2" t="n">
        <x:v>25</x:v>
      </x:c>
      <x:c r="F26" s="33" t="n">
        <x:v>25.562537588348683</x:v>
      </x:c>
      <x:c r="G26" s="33" t="n">
        <x:v>28.50227513227513</x:v>
      </x:c>
      <x:c r="H26" s="33" t="n">
        <x:f>F26-G26</x:f>
        <x:v>-2.939737543926448</x:v>
      </x:c>
      <x:c r="I26" s="33" t="n">
        <x:v>-4.972842053179759</x:v>
      </x:c>
      <x:c r="J26" s="33" t="n">
        <x:v>-0.7834984519644941</x:v>
      </x:c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 t="str">
        <x:v>21営業日は元25場を変更しない追加参考診断。9/21・22・23・10/12の現物休場を公式カレンダーで区別。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 t="str">
        <x:v>出典：JPX休業日一覧 https://www.jpx.co.jp/corporate/about-jpx/calendar/index.html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 t="str">
        <x:v>分母は各場の観測できた連続1分差。空分は補完せず、異常BBOは除外済み。価格時計と受信時計は別。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</x:sheetData>
  <x:pageMargins left="0.7" right="0.7" top="0.75" bottom="0.75" header="0.3" footer="0.3"/>
  <x:tableParts count="1">
    <x:tablePart xmlns:r="http://schemas.openxmlformats.org/officeDocument/2006/relationships" r:id="Rb2c9c0007ef24cb6"/>
  </x:tableParts>
</x:worksheet>
</file>