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5d8e7b9bbf4b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比較" sheetId="1" r:id="R448fe3d80037412a"/>
    <x:sheet xmlns:r="http://schemas.openxmlformats.org/officeDocument/2006/relationships" name="日経_C00" sheetId="2" r:id="R8dffd58e843a42ee"/>
    <x:sheet xmlns:r="http://schemas.openxmlformats.org/officeDocument/2006/relationships" name="日経_B04" sheetId="3" r:id="R33742b6f34f84b07"/>
    <x:sheet xmlns:r="http://schemas.openxmlformats.org/officeDocument/2006/relationships" name="日経_P01" sheetId="4" r:id="R79460bf8991f48bc"/>
    <x:sheet xmlns:r="http://schemas.openxmlformats.org/officeDocument/2006/relationships" name="日経_P02" sheetId="5" r:id="R7eb181526d694d9c"/>
    <x:sheet xmlns:r="http://schemas.openxmlformats.org/officeDocument/2006/relationships" name="日経_P03" sheetId="6" r:id="R319a5c7bea384cc6"/>
    <x:sheet xmlns:r="http://schemas.openxmlformats.org/officeDocument/2006/relationships" name="日経_P04" sheetId="7" r:id="Rc00442271ca344c6"/>
    <x:sheet xmlns:r="http://schemas.openxmlformats.org/officeDocument/2006/relationships" name="日経_P05" sheetId="8" r:id="R95334b2286ba4608"/>
    <x:sheet xmlns:r="http://schemas.openxmlformats.org/officeDocument/2006/relationships" name="日経_P06" sheetId="9" r:id="Rcc55f6a0d2a441ff"/>
    <x:sheet xmlns:r="http://schemas.openxmlformats.org/officeDocument/2006/relationships" name="日経_P07" sheetId="10" r:id="R2a08180a62694186"/>
    <x:sheet xmlns:r="http://schemas.openxmlformats.org/officeDocument/2006/relationships" name="日経_P08" sheetId="11" r:id="R9863887f756f4055"/>
    <x:sheet xmlns:r="http://schemas.openxmlformats.org/officeDocument/2006/relationships" name="日経_P09" sheetId="12" r:id="Red5caff7a0b74512"/>
    <x:sheet xmlns:r="http://schemas.openxmlformats.org/officeDocument/2006/relationships" name="日経_P10" sheetId="13" r:id="R6db9af2695094531"/>
    <x:sheet xmlns:r="http://schemas.openxmlformats.org/officeDocument/2006/relationships" name="日経_P11" sheetId="14" r:id="Red38cbf891b64273"/>
    <x:sheet xmlns:r="http://schemas.openxmlformats.org/officeDocument/2006/relationships" name="日経_N01" sheetId="15" r:id="Ra5988aebdfcd4b2d"/>
    <x:sheet xmlns:r="http://schemas.openxmlformats.org/officeDocument/2006/relationships" name="日経_N02" sheetId="16" r:id="R33e73d1db37e40ff"/>
    <x:sheet xmlns:r="http://schemas.openxmlformats.org/officeDocument/2006/relationships" name="日経_N03" sheetId="17" r:id="R43ef7e7945c04e29"/>
    <x:sheet xmlns:r="http://schemas.openxmlformats.org/officeDocument/2006/relationships" name="日経_N04" sheetId="18" r:id="R150491fa7120435e"/>
    <x:sheet xmlns:r="http://schemas.openxmlformats.org/officeDocument/2006/relationships" name="日経_N05" sheetId="19" r:id="Re44181baea324e25"/>
    <x:sheet xmlns:r="http://schemas.openxmlformats.org/officeDocument/2006/relationships" name="日経_N06" sheetId="20" r:id="R2cb3a629ce5343f1"/>
    <x:sheet xmlns:r="http://schemas.openxmlformats.org/officeDocument/2006/relationships" name="日経_N07" sheetId="21" r:id="Rf743dd3918624fa2"/>
    <x:sheet xmlns:r="http://schemas.openxmlformats.org/officeDocument/2006/relationships" name="当夜途中" sheetId="22" r:id="R6fe0deffaceb4d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[Red](#,##0);&quot;—&quot;"/>
    <x:numFmt numFmtId="201" formatCode="#,##0"/>
    <x:numFmt numFmtId="202" formatCode="#,##0.0"/>
    <x:numFmt numFmtId="203" formatCode="0.00"/>
  </x:numFmts>
  <x:fonts count="6">
    <x:font>
      <x:sz val="11"/>
      <x:name val="Carlito"/>
    </x:font>
    <x:font>
      <x:sz val="10"/>
      <x:color rgb="FF1B3048"/>
      <x:name val="Yu Gothic"/>
    </x:font>
    <x:font>
      <x:b/>
      <x:sz val="14"/>
      <x:color rgb="FF1B3048"/>
      <x:name val="Yu Gothic"/>
    </x:font>
    <x:font>
      <x:sz val="10"/>
      <x:color rgb="FF52677C"/>
      <x:name val="Yu Gothic"/>
    </x:font>
    <x:font>
      <x:b/>
      <x:sz val="10"/>
      <x:color rgb="FFFFFFFF"/>
      <x:name val="Yu Gothic"/>
    </x:font>
    <x:font>
      <x:b/>
      <x:sz val="10"/>
      <x:color rgb="FF1B3048"/>
      <x:name val="Yu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244A70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A5B5C5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thin">
        <x:color rgb="FFA5B5C5"/>
      </x:top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horizontal="right" vertical="center"/>
    </x:xf>
    <x:xf numFmtId="201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horizontal="right" vertical="center"/>
    </x:xf>
    <x:xf numFmtId="201" fontId="5" fillId="0" borderId="5" xfId="0" applyNumberFormat="1" applyFont="1" applyFill="1" applyBorder="1" applyAlignment="1">
      <x:alignment vertical="center"/>
    </x:xf>
    <x:xf numFmtId="202" fontId="5" fillId="0" borderId="5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4"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98d361d2a24f9a" /><Relationship Type="http://schemas.openxmlformats.org/officeDocument/2006/relationships/theme" Target="/xl/theme/theme1.xml" Id="Ra0bf4512f0704cfc" /><Relationship Type="http://schemas.openxmlformats.org/officeDocument/2006/relationships/sharedStrings" Target="/xl/sharedStrings.xml" Id="R88df15aaffa24737" /><Relationship Type="http://schemas.openxmlformats.org/officeDocument/2006/relationships/worksheet" Target="/xl/worksheets/sheet1.xml" Id="R448fe3d80037412a" /><Relationship Type="http://schemas.openxmlformats.org/officeDocument/2006/relationships/worksheet" Target="/xl/worksheets/sheet2.xml" Id="R8dffd58e843a42ee" /><Relationship Type="http://schemas.openxmlformats.org/officeDocument/2006/relationships/worksheet" Target="/xl/worksheets/sheet3.xml" Id="R33742b6f34f84b07" /><Relationship Type="http://schemas.openxmlformats.org/officeDocument/2006/relationships/worksheet" Target="/xl/worksheets/sheet4.xml" Id="R79460bf8991f48bc" /><Relationship Type="http://schemas.openxmlformats.org/officeDocument/2006/relationships/worksheet" Target="/xl/worksheets/sheet5.xml" Id="R7eb181526d694d9c" /><Relationship Type="http://schemas.openxmlformats.org/officeDocument/2006/relationships/worksheet" Target="/xl/worksheets/sheet6.xml" Id="R319a5c7bea384cc6" /><Relationship Type="http://schemas.openxmlformats.org/officeDocument/2006/relationships/worksheet" Target="/xl/worksheets/sheet7.xml" Id="Rc00442271ca344c6" /><Relationship Type="http://schemas.openxmlformats.org/officeDocument/2006/relationships/worksheet" Target="/xl/worksheets/sheet8.xml" Id="R95334b2286ba4608" /><Relationship Type="http://schemas.openxmlformats.org/officeDocument/2006/relationships/worksheet" Target="/xl/worksheets/sheet9.xml" Id="Rcc55f6a0d2a441ff" /><Relationship Type="http://schemas.openxmlformats.org/officeDocument/2006/relationships/worksheet" Target="/xl/worksheets/sheet10.xml" Id="R2a08180a62694186" /><Relationship Type="http://schemas.openxmlformats.org/officeDocument/2006/relationships/worksheet" Target="/xl/worksheets/sheet11.xml" Id="R9863887f756f4055" /><Relationship Type="http://schemas.openxmlformats.org/officeDocument/2006/relationships/worksheet" Target="/xl/worksheets/sheet12.xml" Id="Red5caff7a0b74512" /><Relationship Type="http://schemas.openxmlformats.org/officeDocument/2006/relationships/worksheet" Target="/xl/worksheets/sheet13.xml" Id="R6db9af2695094531" /><Relationship Type="http://schemas.openxmlformats.org/officeDocument/2006/relationships/worksheet" Target="/xl/worksheets/sheet14.xml" Id="Red38cbf891b64273" /><Relationship Type="http://schemas.openxmlformats.org/officeDocument/2006/relationships/worksheet" Target="/xl/worksheets/sheet15.xml" Id="Ra5988aebdfcd4b2d" /><Relationship Type="http://schemas.openxmlformats.org/officeDocument/2006/relationships/worksheet" Target="/xl/worksheets/sheet16.xml" Id="R33e73d1db37e40ff" /><Relationship Type="http://schemas.openxmlformats.org/officeDocument/2006/relationships/worksheet" Target="/xl/worksheets/sheet17.xml" Id="R43ef7e7945c04e29" /><Relationship Type="http://schemas.openxmlformats.org/officeDocument/2006/relationships/worksheet" Target="/xl/worksheets/sheet18.xml" Id="R150491fa7120435e" /><Relationship Type="http://schemas.openxmlformats.org/officeDocument/2006/relationships/worksheet" Target="/xl/worksheets/sheet19.xml" Id="Re44181baea324e25" /><Relationship Type="http://schemas.openxmlformats.org/officeDocument/2006/relationships/worksheet" Target="/xl/worksheets/sheet20.xml" Id="R2cb3a629ce5343f1" /><Relationship Type="http://schemas.openxmlformats.org/officeDocument/2006/relationships/worksheet" Target="/xl/worksheets/sheet21.xml" Id="Rf743dd3918624fa2" /><Relationship Type="http://schemas.openxmlformats.org/officeDocument/2006/relationships/worksheet" Target="/xl/worksheets/sheet22.xml" Id="R6fe0deffaceb4d1b" /></Relationships>
</file>

<file path=xl/tables/table1.xml><?xml version="1.0" encoding="utf-8"?>
<x:table xmlns:x="http://schemas.openxmlformats.org/spreadsheetml/2006/main" id="21" name="Comparison151" displayName="Comparison151" ref="A6:T26" headerRowCount="1" totalsRowCount="0" totalsRowShown="0">
  <x:autoFilter ref="A6:T26"/>
  <x:tableColumns count="20">
    <x:tableColumn id="1" name="手法ID"/>
    <x:tableColumn id="2" name="変更区間"/>
    <x:tableColumn id="3" name="総利益（円）"/>
    <x:tableColumn id="4" name="総損失（円）"/>
    <x:tableColumn id="5" name="全夜収支（円）"/>
    <x:tableColumn id="6" name="利益損失比"/>
    <x:tableColumn id="7" name="黒字場数"/>
    <x:tableColumn id="8" name="赤字場数"/>
    <x:tableColumn id="9" name="最大赤字（円）"/>
    <x:tableColumn id="10" name="平均赤字（円）"/>
    <x:tableColumn id="11" name="赤字中央値（円）"/>
    <x:tableColumn id="12" name="上位3黒字除外"/>
    <x:tableColumn id="13" name="対象区間収支"/>
    <x:tableColumn id="14" name="利益追尾の利益"/>
    <x:tableColumn id="15" name="境界清算の損失"/>
    <x:tableColumn id="16" name="最大含み損"/>
    <x:tableColumn id="17" name="対象区間DD"/>
    <x:tableColumn id="18" name="全夜新規件数"/>
    <x:tableColumn id="19" name="上限拒否・縮小"/>
    <x:tableColumn id="20" name="実再参加件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Method151_C00" displayName="Method151_C00" ref="A6:Z31" headerRowCount="1" totalsRowCount="0" totalsRowShown="0">
  <x:autoFilter ref="A6:Z31"/>
  <x:tableColumns count="26">
    <x:tableColumn id="1" name="セッション"/>
    <x:tableColumn id="2" name="利益（円）"/>
    <x:tableColumn id="3" name="損失（円）"/>
    <x:tableColumn id="4" name="全夜収支（円）"/>
    <x:tableColumn id="5" name="累計（円）"/>
    <x:tableColumn id="6" name="対象区間収支"/>
    <x:tableColumn id="7" name="保存後半収支"/>
    <x:tableColumn id="8" name="利益追尾の利益"/>
    <x:tableColumn id="9" name="利益追尾の損失"/>
    <x:tableColumn id="10" name="境界清算の利益"/>
    <x:tableColumn id="11" name="境界清算の損失"/>
    <x:tableColumn id="12" name="最大含み損（円）"/>
    <x:tableColumn id="13" name="対象区間DD"/>
    <x:tableColumn id="14" name="最大買い枚数"/>
    <x:tableColumn id="15" name="最大売り枚数"/>
    <x:tableColumn id="16" name="全夜新規件数"/>
    <x:tableColumn id="17" name="対象区間新規"/>
    <x:tableColumn id="18" name="全新規枚数"/>
    <x:tableColumn id="19" name="保有（分）"/>
    <x:tableColumn id="20" name="両建て（分）"/>
    <x:tableColumn id="21" name="買い上限（分）"/>
    <x:tableColumn id="22" name="売り上限（分）"/>
    <x:tableColumn id="23" name="上限拒否・縮小件数"/>
    <x:tableColumn id="24" name="通知全拒否件数"/>
    <x:tableColumn id="25" name="実再参加件数"/>
    <x:tableColumn id="26" name="判断利益→実損失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Method151_B04" displayName="Method151_B04" ref="A6:Z31" headerRowCount="1" totalsRowCount="0" totalsRowShown="0">
  <x:autoFilter ref="A6:Z31"/>
  <x:tableColumns count="26">
    <x:tableColumn id="1" name="セッション"/>
    <x:tableColumn id="2" name="利益（円）"/>
    <x:tableColumn id="3" name="損失（円）"/>
    <x:tableColumn id="4" name="全夜収支（円）"/>
    <x:tableColumn id="5" name="累計（円）"/>
    <x:tableColumn id="6" name="対象区間収支"/>
    <x:tableColumn id="7" name="保存後半収支"/>
    <x:tableColumn id="8" name="利益追尾の利益"/>
    <x:tableColumn id="9" name="利益追尾の損失"/>
    <x:tableColumn id="10" name="境界清算の利益"/>
    <x:tableColumn id="11" name="境界清算の損失"/>
    <x:tableColumn id="12" name="最大含み損（円）"/>
    <x:tableColumn id="13" name="対象区間DD"/>
    <x:tableColumn id="14" name="最大買い枚数"/>
    <x:tableColumn id="15" name="最大売り枚数"/>
    <x:tableColumn id="16" name="全夜新規件数"/>
    <x:tableColumn id="17" name="対象区間新規"/>
    <x:tableColumn id="18" name="全新規枚数"/>
    <x:tableColumn id="19" name="保有（分）"/>
    <x:tableColumn id="20" name="両建て（分）"/>
    <x:tableColumn id="21" name="買い上限（分）"/>
    <x:tableColumn id="22" name="売り上限（分）"/>
    <x:tableColumn id="23" name="上限拒否・縮小件数"/>
    <x:tableColumn id="24" name="通知全拒否件数"/>
    <x:tableColumn id="25" name="実再参加件数"/>
    <x:tableColumn id="26" name="判断利益→実損失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Method151_P01" displayName="Method151_P01" ref="A6:Z31" headerRowCount="1" totalsRowCount="0" totalsRowShown="0">
  <x:autoFilter ref="A6:Z31"/>
  <x:tableColumns count="26">
    <x:tableColumn id="1" name="セッション"/>
    <x:tableColumn id="2" name="利益（円）"/>
    <x:tableColumn id="3" name="損失（円）"/>
    <x:tableColumn id="4" name="全夜収支（円）"/>
    <x:tableColumn id="5" name="累計（円）"/>
    <x:tableColumn id="6" name="対象区間収支"/>
    <x:tableColumn id="7" name="保存後半収支"/>
    <x:tableColumn id="8" name="利益追尾の利益"/>
    <x:tableColumn id="9" name="利益追尾の損失"/>
    <x:tableColumn id="10" name="境界清算の利益"/>
    <x:tableColumn id="11" name="境界清算の損失"/>
    <x:tableColumn id="12" name="最大含み損（円）"/>
    <x:tableColumn id="13" name="対象区間DD"/>
    <x:tableColumn id="14" name="最大買い枚数"/>
    <x:tableColumn id="15" name="最大売り枚数"/>
    <x:tableColumn id="16" name="全夜新規件数"/>
    <x:tableColumn id="17" name="対象区間新規"/>
    <x:tableColumn id="18" name="全新規枚数"/>
    <x:tableColumn id="19" name="保有（分）"/>
    <x:tableColumn id="20" name="両建て（分）"/>
    <x:tableColumn id="21" name="買い上限（分）"/>
    <x:tableColumn id="22" name="売り上限（分）"/>
    <x:tableColumn id="23" name="上限拒否・縮小件数"/>
    <x:tableColumn id="24" name="通知全拒否件数"/>
    <x:tableColumn id="25" name="実再参加件数"/>
    <x:tableColumn id="26" name="判断利益→実損失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Method151_P02" displayName="Method151_P02" ref="A6:Z31" headerRowCount="1" totalsRowCount="0" totalsRowShown="0">
  <x:autoFilter ref="A6:Z31"/>
  <x:tableColumns count="26">
    <x:tableColumn id="1" name="セッション"/>
    <x:tableColumn id="2" name="利益（円）"/>
    <x:tableColumn id="3" name="損失（円）"/>
    <x:tableColumn id="4" name="全夜収支（円）"/>
    <x:tableColumn id="5" name="累計（円）"/>
    <x:tableColumn id="6" name="対象区間収支"/>
    <x:tableColumn id="7" name="保存後半収支"/>
    <x:tableColumn id="8" name="利益追尾の利益"/>
    <x:tableColumn id="9" name="利益追尾の損失"/>
    <x:tableColumn id="10" name="境界清算の利益"/>
    <x:tableColumn id="11" name="境界清算の損失"/>
    <x:tableColumn id="12" name="最大含み損（円）"/>
    <x:tableColumn id="13" name="対象区間DD"/>
    <x:tableColumn id="14" name="最大買い枚数"/>
    <x:tableColumn id="15" name="最大売り枚数"/>
    <x:tableColumn id="16" name="全夜新規件数"/>
    <x:tableColumn id="17" name="対象区間新規"/>
    <x:tableColumn id="18" name="全新規枚数"/>
    <x:tableColumn id="19" name="保有（分）"/>
    <x:tableColumn id="20" name="両建て（分）"/>
    <x:tableColumn id="21" name="買い上限（分）"/>
    <x:tableColumn id="22" name="売り上限（分）"/>
    <x:tableColumn id="23" name="上限拒否・縮小件数"/>
    <x:tableColumn id="24" name="通知全拒否件数"/>
    <x:tableColumn id="25" name="実再参加件数"/>
    <x:tableColumn id="26" name="判断利益→実損失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Method151_P03" displayName="Method151_P03" ref="A6:Z31" headerRowCount="1" totalsRowCount="0" totalsRowShown="0">
  <x:autoFilter ref="A6:Z31"/>
  <x:tableColumns count="26">
    <x:tableColumn id="1" name="セッション"/>
    <x:tableColumn id="2" name="利益（円）"/>
    <x:tableColumn id="3" name="損失（円）"/>
    <x:tableColumn id="4" name="全夜収支（円）"/>
    <x:tableColumn id="5" name="累計（円）"/>
    <x:tableColumn id="6" name="対象区間収支"/>
    <x:tableColumn id="7" name="保存後半収支"/>
    <x:tableColumn id="8" name="利益追尾の利益"/>
    <x:tableColumn id="9" name="利益追尾の損失"/>
    <x:tableColumn id="10" name="境界清算の利益"/>
    <x:tableColumn id="11" name="境界清算の損失"/>
    <x:tableColumn id="12" name="最大含み損（円）"/>
    <x:tableColumn id="13" name="対象区間DD"/>
    <x:tableColumn id="14" name="最大買い枚数"/>
    <x:tableColumn id="15" name="最大売り枚数"/>
    <x:tableColumn id="16" name="全夜新規件数"/>
    <x:tableColumn id="17" name="対象区間新規"/>
    <x:tableColumn id="18" name="全新規枚数"/>
    <x:tableColumn id="19" name="保有（分）"/>
    <x:tableColumn id="20" name="両建て（分）"/>
    <x:tableColumn id="21" name="買い上限（分）"/>
    <x:tableColumn id="22" name="売り上限（分）"/>
    <x:tableColumn id="23" name="上限拒否・縮小件数"/>
    <x:tableColumn id="24" name="通知全拒否件数"/>
    <x:tableColumn id="25" name="実再参加件数"/>
    <x:tableColumn id="26" name="判断利益→実損失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Method151_P04" displayName="Method151_P04" ref="A6:Z31" headerRowCount="1" totalsRowCount="0" totalsRowShown="0">
  <x:autoFilter ref="A6:Z31"/>
  <x:tableColumns count="26">
    <x:tableColumn id="1" name="セッション"/>
    <x:tableColumn id="2" name="利益（円）"/>
    <x:tableColumn id="3" name="損失（円）"/>
    <x:tableColumn id="4" name="全夜収支（円）"/>
    <x:tableColumn id="5" name="累計（円）"/>
    <x:tableColumn id="6" name="対象区間収支"/>
    <x:tableColumn id="7" name="保存後半収支"/>
    <x:tableColumn id="8" name="利益追尾の利益"/>
    <x:tableColumn id="9" name="利益追尾の損失"/>
    <x:tableColumn id="10" name="境界清算の利益"/>
    <x:tableColumn id="11" name="境界清算の損失"/>
    <x:tableColumn id="12" name="最大含み損（円）"/>
    <x:tableColumn id="13" name="対象区間DD"/>
    <x:tableColumn id="14" name="最大買い枚数"/>
    <x:tableColumn id="15" name="最大売り枚数"/>
    <x:tableColumn id="16" name="全夜新規件数"/>
    <x:tableColumn id="17" name="対象区間新規"/>
    <x:tableColumn id="18" name="全新規枚数"/>
    <x:tableColumn id="19" name="保有（分）"/>
    <x:tableColumn id="20" name="両建て（分）"/>
    <x:tableColumn id="21" name="買い上限（分）"/>
    <x:tableColumn id="22" name="売り上限（分）"/>
    <x:tableColumn id="23" name="上限拒否・縮小件数"/>
    <x:tableColumn id="24" name="通知全拒否件数"/>
    <x:tableColumn id="25" name="実再参加件数"/>
    <x:tableColumn id="26" name="判断利益→実損失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Method151_P05" displayName="Method151_P05" ref="A6:Z31" headerRowCount="1" totalsRowCount="0" totalsRowShown="0">
  <x:autoFilter ref="A6:Z31"/>
  <x:tableColumns count="26">
    <x:tableColumn id="1" name="セッション"/>
    <x:tableColumn id="2" name="利益（円）"/>
    <x:tableColumn id="3" name="損失（円）"/>
    <x:tableColumn id="4" name="全夜収支（円）"/>
    <x:tableColumn id="5" name="累計（円）"/>
    <x:tableColumn id="6" name="対象区間収支"/>
    <x:tableColumn id="7" name="保存後半収支"/>
    <x:tableColumn id="8" name="利益追尾の利益"/>
    <x:tableColumn id="9" name="利益追尾の損失"/>
    <x:tableColumn id="10" name="境界清算の利益"/>
    <x:tableColumn id="11" name="境界清算の損失"/>
    <x:tableColumn id="12" name="最大含み損（円）"/>
    <x:tableColumn id="13" name="対象区間DD"/>
    <x:tableColumn id="14" name="最大買い枚数"/>
    <x:tableColumn id="15" name="最大売り枚数"/>
    <x:tableColumn id="16" name="全夜新規件数"/>
    <x:tableColumn id="17" name="対象区間新規"/>
    <x:tableColumn id="18" name="全新規枚数"/>
    <x:tableColumn id="19" name="保有（分）"/>
    <x:tableColumn id="20" name="両建て（分）"/>
    <x:tableColumn id="21" name="買い上限（分）"/>
    <x:tableColumn id="22" name="売り上限（分）"/>
    <x:tableColumn id="23" name="上限拒否・縮小件数"/>
    <x:tableColumn id="24" name="通知全拒否件数"/>
    <x:tableColumn id="25" name="実再参加件数"/>
    <x:tableColumn id="26" name="判断利益→実損失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Method151_P06" displayName="Method151_P06" ref="A6:Z31" headerRowCount="1" totalsRowCount="0" totalsRowShown="0">
  <x:autoFilter ref="A6:Z31"/>
  <x:tableColumns count="26">
    <x:tableColumn id="1" name="セッション"/>
    <x:tableColumn id="2" name="利益（円）"/>
    <x:tableColumn id="3" name="損失（円）"/>
    <x:tableColumn id="4" name="全夜収支（円）"/>
    <x:tableColumn id="5" name="累計（円）"/>
    <x:tableColumn id="6" name="対象区間収支"/>
    <x:tableColumn id="7" name="保存後半収支"/>
    <x:tableColumn id="8" name="利益追尾の利益"/>
    <x:tableColumn id="9" name="利益追尾の損失"/>
    <x:tableColumn id="10" name="境界清算の利益"/>
    <x:tableColumn id="11" name="境界清算の損失"/>
    <x:tableColumn id="12" name="最大含み損（円）"/>
    <x:tableColumn id="13" name="対象区間DD"/>
    <x:tableColumn id="14" name="最大買い枚数"/>
    <x:tableColumn id="15" name="最大売り枚数"/>
    <x:tableColumn id="16" name="全夜新規件数"/>
    <x:tableColumn id="17" name="対象区間新規"/>
    <x:tableColumn id="18" name="全新規枚数"/>
    <x:tableColumn id="19" name="保有（分）"/>
    <x:tableColumn id="20" name="両建て（分）"/>
    <x:tableColumn id="21" name="買い上限（分）"/>
    <x:tableColumn id="22" name="売り上限（分）"/>
    <x:tableColumn id="23" name="上限拒否・縮小件数"/>
    <x:tableColumn id="24" name="通知全拒否件数"/>
    <x:tableColumn id="25" name="実再参加件数"/>
    <x:tableColumn id="26" name="判断利益→実損失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Method151_P07" displayName="Method151_P07" ref="A6:Z31" headerRowCount="1" totalsRowCount="0" totalsRowShown="0">
  <x:autoFilter ref="A6:Z31"/>
  <x:tableColumns count="26">
    <x:tableColumn id="1" name="セッション"/>
    <x:tableColumn id="2" name="利益（円）"/>
    <x:tableColumn id="3" name="損失（円）"/>
    <x:tableColumn id="4" name="全夜収支（円）"/>
    <x:tableColumn id="5" name="累計（円）"/>
    <x:tableColumn id="6" name="対象区間収支"/>
    <x:tableColumn id="7" name="保存後半収支"/>
    <x:tableColumn id="8" name="利益追尾の利益"/>
    <x:tableColumn id="9" name="利益追尾の損失"/>
    <x:tableColumn id="10" name="境界清算の利益"/>
    <x:tableColumn id="11" name="境界清算の損失"/>
    <x:tableColumn id="12" name="最大含み損（円）"/>
    <x:tableColumn id="13" name="対象区間DD"/>
    <x:tableColumn id="14" name="最大買い枚数"/>
    <x:tableColumn id="15" name="最大売り枚数"/>
    <x:tableColumn id="16" name="全夜新規件数"/>
    <x:tableColumn id="17" name="対象区間新規"/>
    <x:tableColumn id="18" name="全新規枚数"/>
    <x:tableColumn id="19" name="保有（分）"/>
    <x:tableColumn id="20" name="両建て（分）"/>
    <x:tableColumn id="21" name="買い上限（分）"/>
    <x:tableColumn id="22" name="売り上限（分）"/>
    <x:tableColumn id="23" name="上限拒否・縮小件数"/>
    <x:tableColumn id="24" name="通知全拒否件数"/>
    <x:tableColumn id="25" name="実再参加件数"/>
    <x:tableColumn id="26" name="判断利益→実損失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Method151_P08" displayName="Method151_P08" ref="A6:Z31" headerRowCount="1" totalsRowCount="0" totalsRowShown="0">
  <x:autoFilter ref="A6:Z31"/>
  <x:tableColumns count="26">
    <x:tableColumn id="1" name="セッション"/>
    <x:tableColumn id="2" name="利益（円）"/>
    <x:tableColumn id="3" name="損失（円）"/>
    <x:tableColumn id="4" name="全夜収支（円）"/>
    <x:tableColumn id="5" name="累計（円）"/>
    <x:tableColumn id="6" name="対象区間収支"/>
    <x:tableColumn id="7" name="保存後半収支"/>
    <x:tableColumn id="8" name="利益追尾の利益"/>
    <x:tableColumn id="9" name="利益追尾の損失"/>
    <x:tableColumn id="10" name="境界清算の利益"/>
    <x:tableColumn id="11" name="境界清算の損失"/>
    <x:tableColumn id="12" name="最大含み損（円）"/>
    <x:tableColumn id="13" name="対象区間DD"/>
    <x:tableColumn id="14" name="最大買い枚数"/>
    <x:tableColumn id="15" name="最大売り枚数"/>
    <x:tableColumn id="16" name="全夜新規件数"/>
    <x:tableColumn id="17" name="対象区間新規"/>
    <x:tableColumn id="18" name="全新規枚数"/>
    <x:tableColumn id="19" name="保有（分）"/>
    <x:tableColumn id="20" name="両建て（分）"/>
    <x:tableColumn id="21" name="買い上限（分）"/>
    <x:tableColumn id="22" name="売り上限（分）"/>
    <x:tableColumn id="23" name="上限拒否・縮小件数"/>
    <x:tableColumn id="24" name="通知全拒否件数"/>
    <x:tableColumn id="25" name="実再参加件数"/>
    <x:tableColumn id="26" name="判断利益→実損失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1" name="Method151_P09" displayName="Method151_P09" ref="A6:Z31" headerRowCount="1" totalsRowCount="0" totalsRowShown="0">
  <x:autoFilter ref="A6:Z31"/>
  <x:tableColumns count="26">
    <x:tableColumn id="1" name="セッション"/>
    <x:tableColumn id="2" name="利益（円）"/>
    <x:tableColumn id="3" name="損失（円）"/>
    <x:tableColumn id="4" name="全夜収支（円）"/>
    <x:tableColumn id="5" name="累計（円）"/>
    <x:tableColumn id="6" name="対象区間収支"/>
    <x:tableColumn id="7" name="保存後半収支"/>
    <x:tableColumn id="8" name="利益追尾の利益"/>
    <x:tableColumn id="9" name="利益追尾の損失"/>
    <x:tableColumn id="10" name="境界清算の利益"/>
    <x:tableColumn id="11" name="境界清算の損失"/>
    <x:tableColumn id="12" name="最大含み損（円）"/>
    <x:tableColumn id="13" name="対象区間DD"/>
    <x:tableColumn id="14" name="最大買い枚数"/>
    <x:tableColumn id="15" name="最大売り枚数"/>
    <x:tableColumn id="16" name="全夜新規件数"/>
    <x:tableColumn id="17" name="対象区間新規"/>
    <x:tableColumn id="18" name="全新規枚数"/>
    <x:tableColumn id="19" name="保有（分）"/>
    <x:tableColumn id="20" name="両建て（分）"/>
    <x:tableColumn id="21" name="買い上限（分）"/>
    <x:tableColumn id="22" name="売り上限（分）"/>
    <x:tableColumn id="23" name="上限拒否・縮小件数"/>
    <x:tableColumn id="24" name="通知全拒否件数"/>
    <x:tableColumn id="25" name="実再参加件数"/>
    <x:tableColumn id="26" name="判断利益→実損失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2" name="Method151_P10" displayName="Method151_P10" ref="A6:Z31" headerRowCount="1" totalsRowCount="0" totalsRowShown="0">
  <x:autoFilter ref="A6:Z31"/>
  <x:tableColumns count="26">
    <x:tableColumn id="1" name="セッション"/>
    <x:tableColumn id="2" name="利益（円）"/>
    <x:tableColumn id="3" name="損失（円）"/>
    <x:tableColumn id="4" name="全夜収支（円）"/>
    <x:tableColumn id="5" name="累計（円）"/>
    <x:tableColumn id="6" name="対象区間収支"/>
    <x:tableColumn id="7" name="保存後半収支"/>
    <x:tableColumn id="8" name="利益追尾の利益"/>
    <x:tableColumn id="9" name="利益追尾の損失"/>
    <x:tableColumn id="10" name="境界清算の利益"/>
    <x:tableColumn id="11" name="境界清算の損失"/>
    <x:tableColumn id="12" name="最大含み損（円）"/>
    <x:tableColumn id="13" name="対象区間DD"/>
    <x:tableColumn id="14" name="最大買い枚数"/>
    <x:tableColumn id="15" name="最大売り枚数"/>
    <x:tableColumn id="16" name="全夜新規件数"/>
    <x:tableColumn id="17" name="対象区間新規"/>
    <x:tableColumn id="18" name="全新規枚数"/>
    <x:tableColumn id="19" name="保有（分）"/>
    <x:tableColumn id="20" name="両建て（分）"/>
    <x:tableColumn id="21" name="買い上限（分）"/>
    <x:tableColumn id="22" name="売り上限（分）"/>
    <x:tableColumn id="23" name="上限拒否・縮小件数"/>
    <x:tableColumn id="24" name="通知全拒否件数"/>
    <x:tableColumn id="25" name="実再参加件数"/>
    <x:tableColumn id="26" name="判断利益→実損失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3" name="Method151_P11" displayName="Method151_P11" ref="A6:Z31" headerRowCount="1" totalsRowCount="0" totalsRowShown="0">
  <x:autoFilter ref="A6:Z31"/>
  <x:tableColumns count="26">
    <x:tableColumn id="1" name="セッション"/>
    <x:tableColumn id="2" name="利益（円）"/>
    <x:tableColumn id="3" name="損失（円）"/>
    <x:tableColumn id="4" name="全夜収支（円）"/>
    <x:tableColumn id="5" name="累計（円）"/>
    <x:tableColumn id="6" name="対象区間収支"/>
    <x:tableColumn id="7" name="保存後半収支"/>
    <x:tableColumn id="8" name="利益追尾の利益"/>
    <x:tableColumn id="9" name="利益追尾の損失"/>
    <x:tableColumn id="10" name="境界清算の利益"/>
    <x:tableColumn id="11" name="境界清算の損失"/>
    <x:tableColumn id="12" name="最大含み損（円）"/>
    <x:tableColumn id="13" name="対象区間DD"/>
    <x:tableColumn id="14" name="最大買い枚数"/>
    <x:tableColumn id="15" name="最大売り枚数"/>
    <x:tableColumn id="16" name="全夜新規件数"/>
    <x:tableColumn id="17" name="対象区間新規"/>
    <x:tableColumn id="18" name="全新規枚数"/>
    <x:tableColumn id="19" name="保有（分）"/>
    <x:tableColumn id="20" name="両建て（分）"/>
    <x:tableColumn id="21" name="買い上限（分）"/>
    <x:tableColumn id="22" name="売り上限（分）"/>
    <x:tableColumn id="23" name="上限拒否・縮小件数"/>
    <x:tableColumn id="24" name="通知全拒否件数"/>
    <x:tableColumn id="25" name="実再参加件数"/>
    <x:tableColumn id="26" name="判断利益→実損失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4" name="Method151_N01" displayName="Method151_N01" ref="A6:Z31" headerRowCount="1" totalsRowCount="0" totalsRowShown="0">
  <x:autoFilter ref="A6:Z31"/>
  <x:tableColumns count="26">
    <x:tableColumn id="1" name="セッション"/>
    <x:tableColumn id="2" name="利益（円）"/>
    <x:tableColumn id="3" name="損失（円）"/>
    <x:tableColumn id="4" name="全夜収支（円）"/>
    <x:tableColumn id="5" name="累計（円）"/>
    <x:tableColumn id="6" name="対象区間収支"/>
    <x:tableColumn id="7" name="保存後半収支"/>
    <x:tableColumn id="8" name="利益追尾の利益"/>
    <x:tableColumn id="9" name="利益追尾の損失"/>
    <x:tableColumn id="10" name="境界清算の利益"/>
    <x:tableColumn id="11" name="境界清算の損失"/>
    <x:tableColumn id="12" name="最大含み損（円）"/>
    <x:tableColumn id="13" name="対象区間DD"/>
    <x:tableColumn id="14" name="最大買い枚数"/>
    <x:tableColumn id="15" name="最大売り枚数"/>
    <x:tableColumn id="16" name="全夜新規件数"/>
    <x:tableColumn id="17" name="対象区間新規"/>
    <x:tableColumn id="18" name="全新規枚数"/>
    <x:tableColumn id="19" name="保有（分）"/>
    <x:tableColumn id="20" name="両建て（分）"/>
    <x:tableColumn id="21" name="買い上限（分）"/>
    <x:tableColumn id="22" name="売り上限（分）"/>
    <x:tableColumn id="23" name="上限拒否・縮小件数"/>
    <x:tableColumn id="24" name="通知全拒否件数"/>
    <x:tableColumn id="25" name="実再参加件数"/>
    <x:tableColumn id="26" name="判断利益→実損失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5" name="Method151_N02" displayName="Method151_N02" ref="A6:Z31" headerRowCount="1" totalsRowCount="0" totalsRowShown="0">
  <x:autoFilter ref="A6:Z31"/>
  <x:tableColumns count="26">
    <x:tableColumn id="1" name="セッション"/>
    <x:tableColumn id="2" name="利益（円）"/>
    <x:tableColumn id="3" name="損失（円）"/>
    <x:tableColumn id="4" name="全夜収支（円）"/>
    <x:tableColumn id="5" name="累計（円）"/>
    <x:tableColumn id="6" name="対象区間収支"/>
    <x:tableColumn id="7" name="保存後半収支"/>
    <x:tableColumn id="8" name="利益追尾の利益"/>
    <x:tableColumn id="9" name="利益追尾の損失"/>
    <x:tableColumn id="10" name="境界清算の利益"/>
    <x:tableColumn id="11" name="境界清算の損失"/>
    <x:tableColumn id="12" name="最大含み損（円）"/>
    <x:tableColumn id="13" name="対象区間DD"/>
    <x:tableColumn id="14" name="最大買い枚数"/>
    <x:tableColumn id="15" name="最大売り枚数"/>
    <x:tableColumn id="16" name="全夜新規件数"/>
    <x:tableColumn id="17" name="対象区間新規"/>
    <x:tableColumn id="18" name="全新規枚数"/>
    <x:tableColumn id="19" name="保有（分）"/>
    <x:tableColumn id="20" name="両建て（分）"/>
    <x:tableColumn id="21" name="買い上限（分）"/>
    <x:tableColumn id="22" name="売り上限（分）"/>
    <x:tableColumn id="23" name="上限拒否・縮小件数"/>
    <x:tableColumn id="24" name="通知全拒否件数"/>
    <x:tableColumn id="25" name="実再参加件数"/>
    <x:tableColumn id="26" name="判断利益→実損失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6" name="Method151_N03" displayName="Method151_N03" ref="A6:Z31" headerRowCount="1" totalsRowCount="0" totalsRowShown="0">
  <x:autoFilter ref="A6:Z31"/>
  <x:tableColumns count="26">
    <x:tableColumn id="1" name="セッション"/>
    <x:tableColumn id="2" name="利益（円）"/>
    <x:tableColumn id="3" name="損失（円）"/>
    <x:tableColumn id="4" name="全夜収支（円）"/>
    <x:tableColumn id="5" name="累計（円）"/>
    <x:tableColumn id="6" name="対象区間収支"/>
    <x:tableColumn id="7" name="保存後半収支"/>
    <x:tableColumn id="8" name="利益追尾の利益"/>
    <x:tableColumn id="9" name="利益追尾の損失"/>
    <x:tableColumn id="10" name="境界清算の利益"/>
    <x:tableColumn id="11" name="境界清算の損失"/>
    <x:tableColumn id="12" name="最大含み損（円）"/>
    <x:tableColumn id="13" name="対象区間DD"/>
    <x:tableColumn id="14" name="最大買い枚数"/>
    <x:tableColumn id="15" name="最大売り枚数"/>
    <x:tableColumn id="16" name="全夜新規件数"/>
    <x:tableColumn id="17" name="対象区間新規"/>
    <x:tableColumn id="18" name="全新規枚数"/>
    <x:tableColumn id="19" name="保有（分）"/>
    <x:tableColumn id="20" name="両建て（分）"/>
    <x:tableColumn id="21" name="買い上限（分）"/>
    <x:tableColumn id="22" name="売り上限（分）"/>
    <x:tableColumn id="23" name="上限拒否・縮小件数"/>
    <x:tableColumn id="24" name="通知全拒否件数"/>
    <x:tableColumn id="25" name="実再参加件数"/>
    <x:tableColumn id="26" name="判断利益→実損失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7" name="Method151_N04" displayName="Method151_N04" ref="A6:Z31" headerRowCount="1" totalsRowCount="0" totalsRowShown="0">
  <x:autoFilter ref="A6:Z31"/>
  <x:tableColumns count="26">
    <x:tableColumn id="1" name="セッション"/>
    <x:tableColumn id="2" name="利益（円）"/>
    <x:tableColumn id="3" name="損失（円）"/>
    <x:tableColumn id="4" name="全夜収支（円）"/>
    <x:tableColumn id="5" name="累計（円）"/>
    <x:tableColumn id="6" name="対象区間収支"/>
    <x:tableColumn id="7" name="保存後半収支"/>
    <x:tableColumn id="8" name="利益追尾の利益"/>
    <x:tableColumn id="9" name="利益追尾の損失"/>
    <x:tableColumn id="10" name="境界清算の利益"/>
    <x:tableColumn id="11" name="境界清算の損失"/>
    <x:tableColumn id="12" name="最大含み損（円）"/>
    <x:tableColumn id="13" name="対象区間DD"/>
    <x:tableColumn id="14" name="最大買い枚数"/>
    <x:tableColumn id="15" name="最大売り枚数"/>
    <x:tableColumn id="16" name="全夜新規件数"/>
    <x:tableColumn id="17" name="対象区間新規"/>
    <x:tableColumn id="18" name="全新規枚数"/>
    <x:tableColumn id="19" name="保有（分）"/>
    <x:tableColumn id="20" name="両建て（分）"/>
    <x:tableColumn id="21" name="買い上限（分）"/>
    <x:tableColumn id="22" name="売り上限（分）"/>
    <x:tableColumn id="23" name="上限拒否・縮小件数"/>
    <x:tableColumn id="24" name="通知全拒否件数"/>
    <x:tableColumn id="25" name="実再参加件数"/>
    <x:tableColumn id="26" name="判断利益→実損失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8" name="Method151_N05" displayName="Method151_N05" ref="A6:Z31" headerRowCount="1" totalsRowCount="0" totalsRowShown="0">
  <x:autoFilter ref="A6:Z31"/>
  <x:tableColumns count="26">
    <x:tableColumn id="1" name="セッション"/>
    <x:tableColumn id="2" name="利益（円）"/>
    <x:tableColumn id="3" name="損失（円）"/>
    <x:tableColumn id="4" name="全夜収支（円）"/>
    <x:tableColumn id="5" name="累計（円）"/>
    <x:tableColumn id="6" name="対象区間収支"/>
    <x:tableColumn id="7" name="保存後半収支"/>
    <x:tableColumn id="8" name="利益追尾の利益"/>
    <x:tableColumn id="9" name="利益追尾の損失"/>
    <x:tableColumn id="10" name="境界清算の利益"/>
    <x:tableColumn id="11" name="境界清算の損失"/>
    <x:tableColumn id="12" name="最大含み損（円）"/>
    <x:tableColumn id="13" name="対象区間DD"/>
    <x:tableColumn id="14" name="最大買い枚数"/>
    <x:tableColumn id="15" name="最大売り枚数"/>
    <x:tableColumn id="16" name="全夜新規件数"/>
    <x:tableColumn id="17" name="対象区間新規"/>
    <x:tableColumn id="18" name="全新規枚数"/>
    <x:tableColumn id="19" name="保有（分）"/>
    <x:tableColumn id="20" name="両建て（分）"/>
    <x:tableColumn id="21" name="買い上限（分）"/>
    <x:tableColumn id="22" name="売り上限（分）"/>
    <x:tableColumn id="23" name="上限拒否・縮小件数"/>
    <x:tableColumn id="24" name="通知全拒否件数"/>
    <x:tableColumn id="25" name="実再参加件数"/>
    <x:tableColumn id="26" name="判断利益→実損失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19" name="Method151_N06" displayName="Method151_N06" ref="A6:Z31" headerRowCount="1" totalsRowCount="0" totalsRowShown="0">
  <x:autoFilter ref="A6:Z31"/>
  <x:tableColumns count="26">
    <x:tableColumn id="1" name="セッション"/>
    <x:tableColumn id="2" name="利益（円）"/>
    <x:tableColumn id="3" name="損失（円）"/>
    <x:tableColumn id="4" name="全夜収支（円）"/>
    <x:tableColumn id="5" name="累計（円）"/>
    <x:tableColumn id="6" name="対象区間収支"/>
    <x:tableColumn id="7" name="保存後半収支"/>
    <x:tableColumn id="8" name="利益追尾の利益"/>
    <x:tableColumn id="9" name="利益追尾の損失"/>
    <x:tableColumn id="10" name="境界清算の利益"/>
    <x:tableColumn id="11" name="境界清算の損失"/>
    <x:tableColumn id="12" name="最大含み損（円）"/>
    <x:tableColumn id="13" name="対象区間DD"/>
    <x:tableColumn id="14" name="最大買い枚数"/>
    <x:tableColumn id="15" name="最大売り枚数"/>
    <x:tableColumn id="16" name="全夜新規件数"/>
    <x:tableColumn id="17" name="対象区間新規"/>
    <x:tableColumn id="18" name="全新規枚数"/>
    <x:tableColumn id="19" name="保有（分）"/>
    <x:tableColumn id="20" name="両建て（分）"/>
    <x:tableColumn id="21" name="買い上限（分）"/>
    <x:tableColumn id="22" name="売り上限（分）"/>
    <x:tableColumn id="23" name="上限拒否・縮小件数"/>
    <x:tableColumn id="24" name="通知全拒否件数"/>
    <x:tableColumn id="25" name="実再参加件数"/>
    <x:tableColumn id="26" name="判断利益→実損失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0" name="Method151_N07" displayName="Method151_N07" ref="A6:Z31" headerRowCount="1" totalsRowCount="0" totalsRowShown="0">
  <x:autoFilter ref="A6:Z31"/>
  <x:tableColumns count="26">
    <x:tableColumn id="1" name="セッション"/>
    <x:tableColumn id="2" name="利益（円）"/>
    <x:tableColumn id="3" name="損失（円）"/>
    <x:tableColumn id="4" name="全夜収支（円）"/>
    <x:tableColumn id="5" name="累計（円）"/>
    <x:tableColumn id="6" name="対象区間収支"/>
    <x:tableColumn id="7" name="保存後半収支"/>
    <x:tableColumn id="8" name="利益追尾の利益"/>
    <x:tableColumn id="9" name="利益追尾の損失"/>
    <x:tableColumn id="10" name="境界清算の利益"/>
    <x:tableColumn id="11" name="境界清算の損失"/>
    <x:tableColumn id="12" name="最大含み損（円）"/>
    <x:tableColumn id="13" name="対象区間DD"/>
    <x:tableColumn id="14" name="最大買い枚数"/>
    <x:tableColumn id="15" name="最大売り枚数"/>
    <x:tableColumn id="16" name="全夜新規件数"/>
    <x:tableColumn id="17" name="対象区間新規"/>
    <x:tableColumn id="18" name="全新規枚数"/>
    <x:tableColumn id="19" name="保有（分）"/>
    <x:tableColumn id="20" name="両建て（分）"/>
    <x:tableColumn id="21" name="買い上限（分）"/>
    <x:tableColumn id="22" name="売り上限（分）"/>
    <x:tableColumn id="23" name="上限拒否・縮小件数"/>
    <x:tableColumn id="24" name="通知全拒否件数"/>
    <x:tableColumn id="25" name="実再参加件数"/>
    <x:tableColumn id="26" name="判断利益→実損失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rtial151" displayName="Partial151" ref="A6:M26" headerRowCount="1" totalsRowCount="0" totalsRowShown="0">
  <x:autoFilter ref="A6:M26"/>
  <x:tableColumns count="13">
    <x:tableColumn id="1" name="手法ID"/>
    <x:tableColumn id="2" name="リスク集計区間"/>
    <x:tableColumn id="3" name="全実現収支"/>
    <x:tableColumn id="4" name="未返済含み"/>
    <x:tableColumn id="5" name="合計時価"/>
    <x:tableColumn id="6" name="完結玉利益"/>
    <x:tableColumn id="7" name="完結玉損失"/>
    <x:tableColumn id="8" name="未完結玉部分実現"/>
    <x:tableColumn id="9" name="新規件数"/>
    <x:tableColumn id="10" name="残買い枚数"/>
    <x:tableColumn id="11" name="残売り枚数"/>
    <x:tableColumn id="12" name="最大含み損"/>
    <x:tableColumn id="13" name="対象区間D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bfe8f7e86d47f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ff697b3625e42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e358d50b6ed49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8d12c24579942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83020e7e0c640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aae74adedfa4c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ac8bc1a7423451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3886f8f95074d7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57ff624671845c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9bdfbaee0a0f4f4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29453b5221b74cb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e2b40c1ca5dd4d9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83e5055cd9d04c4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1aca82edca9d426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bdaed6bffa9f4e4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df51f6946d6c48d6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1cc9fab1ce2f41fa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431e0bdfdcdb44da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df49e79277974075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b8efbc77d9d14f50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653473f6103840fb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990b3b8db1f54101" /></Relationships>
</file>

<file path=xl/worksheets/sheet1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3" customHeight="1">
      <x:c r="A2" s="4" t="str">
        <x:v>損切りなし両建てと利益玉トレーリング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</x:row>
    <x:row r="3" ht="23" customHeight="1">
      <x:c r="A3" s="6" t="str">
        <x:v>日経mini・片方向上限10枚・手数料0・次正常ラージ気配代理。2026/09/21〜10/23の完了25夜。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3" customHeight="1">
      <x:c r="A4" s="6" t="str">
        <x:v>利益・損失は新規実約定IDごとの全返済収支で分類。旧親単位の利益損失とは異なります。未測定は空欄。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3" customHeight="1">
      <x:c r="A5" s="6" t="str">
        <x:v>Pは前半変更＋保存S04後半、Nは全夜変更。利益追尾益・境界損・含み損・DDはPでは前半のみ。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44" customHeight="1">
      <x:c r="A6" s="15" t="str">
        <x:v>手法ID</x:v>
      </x:c>
      <x:c r="B6" s="16" t="str">
        <x:v>変更区間</x:v>
      </x:c>
      <x:c r="C6" s="16" t="str">
        <x:v>総利益（円）</x:v>
      </x:c>
      <x:c r="D6" s="16" t="str">
        <x:v>総損失（円）</x:v>
      </x:c>
      <x:c r="E6" s="16" t="str">
        <x:v>全夜収支（円）</x:v>
      </x:c>
      <x:c r="F6" s="16" t="str">
        <x:v>利益損失比</x:v>
      </x:c>
      <x:c r="G6" s="16" t="str">
        <x:v>黒字場数</x:v>
      </x:c>
      <x:c r="H6" s="16" t="str">
        <x:v>赤字場数</x:v>
      </x:c>
      <x:c r="I6" s="16" t="str">
        <x:v>最大赤字（円）</x:v>
      </x:c>
      <x:c r="J6" s="16" t="str">
        <x:v>平均赤字（円）</x:v>
      </x:c>
      <x:c r="K6" s="16" t="str">
        <x:v>赤字中央値（円）</x:v>
      </x:c>
      <x:c r="L6" s="16" t="str">
        <x:v>上位3黒字除外</x:v>
      </x:c>
      <x:c r="M6" s="16" t="str">
        <x:v>対象区間収支</x:v>
      </x:c>
      <x:c r="N6" s="16" t="str">
        <x:v>利益追尾の利益</x:v>
      </x:c>
      <x:c r="O6" s="16" t="str">
        <x:v>境界清算の損失</x:v>
      </x:c>
      <x:c r="P6" s="16" t="str">
        <x:v>最大含み損</x:v>
      </x:c>
      <x:c r="Q6" s="16" t="str">
        <x:v>対象区間DD</x:v>
      </x:c>
      <x:c r="R6" s="16" t="str">
        <x:v>全夜新規件数</x:v>
      </x:c>
      <x:c r="S6" s="16" t="str">
        <x:v>上限拒否・縮小</x:v>
      </x:c>
      <x:c r="T6" s="17" t="str">
        <x:v>実再参加件数</x:v>
      </x:c>
    </x:row>
    <x:row r="7" ht="23" customHeight="1">
      <x:c r="A7" s="2" t="str">
        <x:v>C00</x:v>
      </x:c>
      <x:c r="B7" s="2" t="str">
        <x:v>保存対照</x:v>
      </x:c>
      <x:c r="C7" s="19" t="n">
        <x:f>'日経_C00'!B32</x:f>
        <x:v>2278000</x:v>
      </x:c>
      <x:c r="D7" s="19" t="n">
        <x:f>'日経_C00'!C32</x:f>
        <x:v>1125000</x:v>
      </x:c>
      <x:c r="E7" s="19" t="n">
        <x:f>'日経_C00'!D32</x:f>
        <x:v>1153000</x:v>
      </x:c>
      <x:c r="F7" s="30" t="n">
        <x:f>IF(D7=0,"損失なし",C7/D7)</x:f>
        <x:v>2.024888888888889</x:v>
      </x:c>
      <x:c r="G7" s="2" t="n">
        <x:f>COUNTIF('日経_C00'!$D$7:$D$31,"&gt;0")</x:f>
        <x:v>16</x:v>
      </x:c>
      <x:c r="H7" s="2" t="n">
        <x:f>COUNTIF('日経_C00'!$D$7:$D$31,"&lt;0")</x:f>
        <x:v>9</x:v>
      </x:c>
      <x:c r="I7" s="19" t="n">
        <x:f>MAX(0,-MIN('日経_C00'!$D$7:$D$31))</x:f>
        <x:v>53000</x:v>
      </x:c>
      <x:c r="J7" s="19" t="n">
        <x:f>IF(H7=0,0,-SUMIF('日経_C00'!$D$7:$D$31,"&lt;0",'日経_C00'!$D$7:$D$31)/H7)</x:f>
        <x:v>28000</x:v>
      </x:c>
      <x:c r="K7" s="19" t="n">
        <x:f>IF(H7=0,0,MEDIAN(_xlfn._xlws.FILTER(-'日経_C00'!$D$7:$D$31,'日経_C00'!$D$7:$D$31&lt;0)))</x:f>
        <x:v>24000</x:v>
      </x:c>
      <x:c r="L7" s="19" t="n">
        <x:f>E7-MAX(0,LARGE('日経_C00'!$D$7:$D$31,1))-MAX(0,LARGE('日経_C00'!$D$7:$D$31,2))-MAX(0,LARGE('日経_C00'!$D$7:$D$31,3))</x:f>
        <x:v>430000</x:v>
      </x:c>
      <x:c r="M7" s="19"/>
      <x:c r="N7" s="19"/>
      <x:c r="O7" s="19"/>
      <x:c r="P7" s="19"/>
      <x:c r="Q7" s="19"/>
      <x:c r="R7" s="2" t="n">
        <x:f>'日経_C00'!P32</x:f>
        <x:v>150</x:v>
      </x:c>
      <x:c r="S7" s="2"/>
      <x:c r="T7" s="2"/>
    </x:row>
    <x:row r="8" ht="23" customHeight="1">
      <x:c r="A8" s="2" t="str">
        <x:v>B04</x:v>
      </x:c>
      <x:c r="B8" s="2" t="str">
        <x:v>保存対照</x:v>
      </x:c>
      <x:c r="C8" s="19" t="n">
        <x:f>'日経_B04'!B32</x:f>
        <x:v>2622000</x:v>
      </x:c>
      <x:c r="D8" s="19" t="n">
        <x:f>'日経_B04'!C32</x:f>
        <x:v>1592000</x:v>
      </x:c>
      <x:c r="E8" s="19" t="n">
        <x:f>'日経_B04'!D32</x:f>
        <x:v>1030000</x:v>
      </x:c>
      <x:c r="F8" s="30" t="n">
        <x:f>IF(D8=0,"損失なし",C8/D8)</x:f>
        <x:v>1.6469849246231156</x:v>
      </x:c>
      <x:c r="G8" s="2" t="n">
        <x:f>COUNTIF('日経_B04'!$D$7:$D$31,"&gt;0")</x:f>
        <x:v>17</x:v>
      </x:c>
      <x:c r="H8" s="2" t="n">
        <x:f>COUNTIF('日経_B04'!$D$7:$D$31,"&lt;0")</x:f>
        <x:v>8</x:v>
      </x:c>
      <x:c r="I8" s="19" t="n">
        <x:f>MAX(0,-MIN('日経_B04'!$D$7:$D$31))</x:f>
        <x:v>93000</x:v>
      </x:c>
      <x:c r="J8" s="19" t="n">
        <x:f>IF(H8=0,0,-SUMIF('日経_B04'!$D$7:$D$31,"&lt;0",'日経_B04'!$D$7:$D$31)/H8)</x:f>
        <x:v>43000</x:v>
      </x:c>
      <x:c r="K8" s="19" t="n">
        <x:f>IF(H8=0,0,MEDIAN(_xlfn._xlws.FILTER(-'日経_B04'!$D$7:$D$31,'日経_B04'!$D$7:$D$31&lt;0)))</x:f>
        <x:v>40500</x:v>
      </x:c>
      <x:c r="L8" s="19" t="n">
        <x:f>E8-MAX(0,LARGE('日経_B04'!$D$7:$D$31,1))-MAX(0,LARGE('日経_B04'!$D$7:$D$31,2))-MAX(0,LARGE('日経_B04'!$D$7:$D$31,3))</x:f>
        <x:v>307000</x:v>
      </x:c>
      <x:c r="M8" s="19"/>
      <x:c r="N8" s="19"/>
      <x:c r="O8" s="19"/>
      <x:c r="P8" s="19"/>
      <x:c r="Q8" s="19"/>
      <x:c r="R8" s="2" t="n">
        <x:f>'日経_B04'!P32</x:f>
        <x:v>172</x:v>
      </x:c>
      <x:c r="S8" s="2"/>
      <x:c r="T8" s="2"/>
    </x:row>
    <x:row r="9" ht="23" customHeight="1">
      <x:c r="A9" s="2" t="str">
        <x:v>P01</x:v>
      </x:c>
      <x:c r="B9" s="2" t="str">
        <x:v>前半のみ変更</x:v>
      </x:c>
      <x:c r="C9" s="19" t="n">
        <x:f>'日経_P01'!B32</x:f>
        <x:v>2579000</x:v>
      </x:c>
      <x:c r="D9" s="19" t="n">
        <x:f>'日経_P01'!C32</x:f>
        <x:v>1131000</x:v>
      </x:c>
      <x:c r="E9" s="19" t="n">
        <x:f>'日経_P01'!D32</x:f>
        <x:v>1448000</x:v>
      </x:c>
      <x:c r="F9" s="30" t="n">
        <x:f>IF(D9=0,"損失なし",C9/D9)</x:f>
        <x:v>2.2802829354553493</x:v>
      </x:c>
      <x:c r="G9" s="2" t="n">
        <x:f>COUNTIF('日経_P01'!$D$7:$D$31,"&gt;0")</x:f>
        <x:v>18</x:v>
      </x:c>
      <x:c r="H9" s="2" t="n">
        <x:f>COUNTIF('日経_P01'!$D$7:$D$31,"&lt;0")</x:f>
        <x:v>7</x:v>
      </x:c>
      <x:c r="I9" s="19" t="n">
        <x:f>MAX(0,-MIN('日経_P01'!$D$7:$D$31))</x:f>
        <x:v>45000</x:v>
      </x:c>
      <x:c r="J9" s="19" t="n">
        <x:f>IF(H9=0,0,-SUMIF('日経_P01'!$D$7:$D$31,"&lt;0",'日経_P01'!$D$7:$D$31)/H9)</x:f>
        <x:v>28428.571428571428</x:v>
      </x:c>
      <x:c r="K9" s="19" t="n">
        <x:f>IF(H9=0,0,MEDIAN(_xlfn._xlws.FILTER(-'日経_P01'!$D$7:$D$31,'日経_P01'!$D$7:$D$31&lt;0)))</x:f>
        <x:v>35000</x:v>
      </x:c>
      <x:c r="L9" s="19" t="n">
        <x:f>E9-MAX(0,LARGE('日経_P01'!$D$7:$D$31,1))-MAX(0,LARGE('日経_P01'!$D$7:$D$31,2))-MAX(0,LARGE('日経_P01'!$D$7:$D$31,3))</x:f>
        <x:v>710000</x:v>
      </x:c>
      <x:c r="M9" s="19" t="n">
        <x:f>'日経_P01'!F32</x:f>
        <x:v>305000</x:v>
      </x:c>
      <x:c r="N9" s="19" t="n">
        <x:f>'日経_P01'!H32</x:f>
        <x:v>367000</x:v>
      </x:c>
      <x:c r="O9" s="19" t="n">
        <x:f>'日経_P01'!K32</x:f>
        <x:v>77000</x:v>
      </x:c>
      <x:c r="P9" s="19" t="n">
        <x:f>'日経_P01'!L32</x:f>
        <x:v>90000</x:v>
      </x:c>
      <x:c r="Q9" s="19" t="n">
        <x:f>'日経_P01'!M32</x:f>
        <x:v>95000</x:v>
      </x:c>
      <x:c r="R9" s="2" t="n">
        <x:f>'日経_P01'!P32</x:f>
        <x:v>172</x:v>
      </x:c>
      <x:c r="S9" s="2" t="n">
        <x:f>'日経_P01'!W32</x:f>
        <x:v>0</x:v>
      </x:c>
      <x:c r="T9" s="2" t="n">
        <x:f>'日経_P01'!Y32</x:f>
        <x:v>0</x:v>
      </x:c>
    </x:row>
    <x:row r="10" ht="23" customHeight="1">
      <x:c r="A10" s="2" t="str">
        <x:v>P02</x:v>
      </x:c>
      <x:c r="B10" s="2" t="str">
        <x:v>前半のみ変更</x:v>
      </x:c>
      <x:c r="C10" s="19" t="n">
        <x:f>'日経_P02'!B32</x:f>
        <x:v>2771000</x:v>
      </x:c>
      <x:c r="D10" s="19" t="n">
        <x:f>'日経_P02'!C32</x:f>
        <x:v>1772000</x:v>
      </x:c>
      <x:c r="E10" s="19" t="n">
        <x:f>'日経_P02'!D32</x:f>
        <x:v>999000</x:v>
      </x:c>
      <x:c r="F10" s="30" t="n">
        <x:f>IF(D10=0,"損失なし",C10/D10)</x:f>
        <x:v>1.5637697516930023</x:v>
      </x:c>
      <x:c r="G10" s="2" t="n">
        <x:f>COUNTIF('日経_P02'!$D$7:$D$31,"&gt;0")</x:f>
        <x:v>16</x:v>
      </x:c>
      <x:c r="H10" s="2" t="n">
        <x:f>COUNTIF('日経_P02'!$D$7:$D$31,"&lt;0")</x:f>
        <x:v>9</x:v>
      </x:c>
      <x:c r="I10" s="19" t="n">
        <x:f>MAX(0,-MIN('日経_P02'!$D$7:$D$31))</x:f>
        <x:v>249000</x:v>
      </x:c>
      <x:c r="J10" s="19" t="n">
        <x:f>IF(H10=0,0,-SUMIF('日経_P02'!$D$7:$D$31,"&lt;0",'日経_P02'!$D$7:$D$31)/H10)</x:f>
        <x:v>74555.55555555556</x:v>
      </x:c>
      <x:c r="K10" s="19" t="n">
        <x:f>IF(H10=0,0,MEDIAN(_xlfn._xlws.FILTER(-'日経_P02'!$D$7:$D$31,'日経_P02'!$D$7:$D$31&lt;0)))</x:f>
        <x:v>42000</x:v>
      </x:c>
      <x:c r="L10" s="19" t="n">
        <x:f>E10-MAX(0,LARGE('日経_P02'!$D$7:$D$31,1))-MAX(0,LARGE('日経_P02'!$D$7:$D$31,2))-MAX(0,LARGE('日経_P02'!$D$7:$D$31,3))</x:f>
        <x:v>231000</x:v>
      </x:c>
      <x:c r="M10" s="19" t="n">
        <x:f>'日経_P02'!F32</x:f>
        <x:v>-144000</x:v>
      </x:c>
      <x:c r="N10" s="19" t="n">
        <x:f>'日経_P02'!H32</x:f>
        <x:v>494000</x:v>
      </x:c>
      <x:c r="O10" s="19" t="n">
        <x:f>'日経_P02'!K32</x:f>
        <x:v>718000</x:v>
      </x:c>
      <x:c r="P10" s="19" t="n">
        <x:f>'日経_P02'!L32</x:f>
        <x:v>280000</x:v>
      </x:c>
      <x:c r="Q10" s="19" t="n">
        <x:f>'日経_P02'!M32</x:f>
        <x:v>310000</x:v>
      </x:c>
      <x:c r="R10" s="2" t="n">
        <x:f>'日経_P02'!P32</x:f>
        <x:v>172</x:v>
      </x:c>
      <x:c r="S10" s="2" t="n">
        <x:f>'日経_P02'!W32</x:f>
        <x:v>0</x:v>
      </x:c>
      <x:c r="T10" s="2" t="n">
        <x:f>'日経_P02'!Y32</x:f>
        <x:v>0</x:v>
      </x:c>
    </x:row>
    <x:row r="11" ht="23" customHeight="1">
      <x:c r="A11" s="2" t="str">
        <x:v>P03</x:v>
      </x:c>
      <x:c r="B11" s="2" t="str">
        <x:v>前半のみ変更</x:v>
      </x:c>
      <x:c r="C11" s="19" t="n">
        <x:f>'日経_P03'!B32</x:f>
        <x:v>3070000</x:v>
      </x:c>
      <x:c r="D11" s="19" t="n">
        <x:f>'日経_P03'!C32</x:f>
        <x:v>2348000</x:v>
      </x:c>
      <x:c r="E11" s="19" t="n">
        <x:f>'日経_P03'!D32</x:f>
        <x:v>722000</x:v>
      </x:c>
      <x:c r="F11" s="30" t="n">
        <x:f>IF(D11=0,"損失なし",C11/D11)</x:f>
        <x:v>1.307495741056218</x:v>
      </x:c>
      <x:c r="G11" s="2" t="n">
        <x:f>COUNTIF('日経_P03'!$D$7:$D$31,"&gt;0")</x:f>
        <x:v>14</x:v>
      </x:c>
      <x:c r="H11" s="2" t="n">
        <x:f>COUNTIF('日経_P03'!$D$7:$D$31,"&lt;0")</x:f>
        <x:v>11</x:v>
      </x:c>
      <x:c r="I11" s="19" t="n">
        <x:f>MAX(0,-MIN('日経_P03'!$D$7:$D$31))</x:f>
        <x:v>249000</x:v>
      </x:c>
      <x:c r="J11" s="19" t="n">
        <x:f>IF(H11=0,0,-SUMIF('日経_P03'!$D$7:$D$31,"&lt;0",'日経_P03'!$D$7:$D$31)/H11)</x:f>
        <x:v>76909.09090909091</x:v>
      </x:c>
      <x:c r="K11" s="19" t="n">
        <x:f>IF(H11=0,0,MEDIAN(_xlfn._xlws.FILTER(-'日経_P03'!$D$7:$D$31,'日経_P03'!$D$7:$D$31&lt;0)))</x:f>
        <x:v>45000</x:v>
      </x:c>
      <x:c r="L11" s="19" t="n">
        <x:f>E11-MAX(0,LARGE('日経_P03'!$D$7:$D$31,1))-MAX(0,LARGE('日経_P03'!$D$7:$D$31,2))-MAX(0,LARGE('日経_P03'!$D$7:$D$31,3))</x:f>
        <x:v>-95000</x:v>
      </x:c>
      <x:c r="M11" s="19" t="n">
        <x:f>'日経_P03'!F32</x:f>
        <x:v>-421000</x:v>
      </x:c>
      <x:c r="N11" s="19" t="n">
        <x:f>'日経_P03'!H32</x:f>
        <x:v>719000</x:v>
      </x:c>
      <x:c r="O11" s="19" t="n">
        <x:f>'日経_P03'!K32</x:f>
        <x:v>1294000</x:v>
      </x:c>
      <x:c r="P11" s="19" t="n">
        <x:f>'日経_P03'!L32</x:f>
        <x:v>330000</x:v>
      </x:c>
      <x:c r="Q11" s="19" t="n">
        <x:f>'日経_P03'!M32</x:f>
        <x:v>310000</x:v>
      </x:c>
      <x:c r="R11" s="2" t="n">
        <x:f>'日経_P03'!P32</x:f>
        <x:v>172</x:v>
      </x:c>
      <x:c r="S11" s="2" t="n">
        <x:f>'日経_P03'!W32</x:f>
        <x:v>0</x:v>
      </x:c>
      <x:c r="T11" s="2" t="n">
        <x:f>'日経_P03'!Y32</x:f>
        <x:v>0</x:v>
      </x:c>
    </x:row>
    <x:row r="12" ht="23" customHeight="1">
      <x:c r="A12" s="2" t="str">
        <x:v>P04</x:v>
      </x:c>
      <x:c r="B12" s="2" t="str">
        <x:v>前半のみ変更</x:v>
      </x:c>
      <x:c r="C12" s="19" t="n">
        <x:f>'日経_P04'!B32</x:f>
        <x:v>2858000</x:v>
      </x:c>
      <x:c r="D12" s="19" t="n">
        <x:f>'日経_P04'!C32</x:f>
        <x:v>1772000</x:v>
      </x:c>
      <x:c r="E12" s="19" t="n">
        <x:f>'日経_P04'!D32</x:f>
        <x:v>1086000</x:v>
      </x:c>
      <x:c r="F12" s="30" t="n">
        <x:f>IF(D12=0,"損失なし",C12/D12)</x:f>
        <x:v>1.6128668171557563</x:v>
      </x:c>
      <x:c r="G12" s="2" t="n">
        <x:f>COUNTIF('日経_P04'!$D$7:$D$31,"&gt;0")</x:f>
        <x:v>17</x:v>
      </x:c>
      <x:c r="H12" s="2" t="n">
        <x:f>COUNTIF('日経_P04'!$D$7:$D$31,"&lt;0")</x:f>
        <x:v>8</x:v>
      </x:c>
      <x:c r="I12" s="19" t="n">
        <x:f>MAX(0,-MIN('日経_P04'!$D$7:$D$31))</x:f>
        <x:v>249000</x:v>
      </x:c>
      <x:c r="J12" s="19" t="n">
        <x:f>IF(H12=0,0,-SUMIF('日経_P04'!$D$7:$D$31,"&lt;0",'日経_P04'!$D$7:$D$31)/H12)</x:f>
        <x:v>80625</x:v>
      </x:c>
      <x:c r="K12" s="19" t="n">
        <x:f>IF(H12=0,0,MEDIAN(_xlfn._xlws.FILTER(-'日経_P04'!$D$7:$D$31,'日経_P04'!$D$7:$D$31&lt;0)))</x:f>
        <x:v>40500</x:v>
      </x:c>
      <x:c r="L12" s="19" t="n">
        <x:f>E12-MAX(0,LARGE('日経_P04'!$D$7:$D$31,1))-MAX(0,LARGE('日経_P04'!$D$7:$D$31,2))-MAX(0,LARGE('日経_P04'!$D$7:$D$31,3))</x:f>
        <x:v>333000</x:v>
      </x:c>
      <x:c r="M12" s="19" t="n">
        <x:f>'日経_P04'!F32</x:f>
        <x:v>-57000</x:v>
      </x:c>
      <x:c r="N12" s="19" t="n">
        <x:f>'日経_P04'!H32</x:f>
        <x:v>581000</x:v>
      </x:c>
      <x:c r="O12" s="19" t="n">
        <x:f>'日経_P04'!K32</x:f>
        <x:v>718000</x:v>
      </x:c>
      <x:c r="P12" s="19" t="n">
        <x:f>'日経_P04'!L32</x:f>
        <x:v>280000</x:v>
      </x:c>
      <x:c r="Q12" s="19" t="n">
        <x:f>'日経_P04'!M32</x:f>
        <x:v>310000</x:v>
      </x:c>
      <x:c r="R12" s="2" t="n">
        <x:f>'日経_P04'!P32</x:f>
        <x:v>172</x:v>
      </x:c>
      <x:c r="S12" s="2" t="n">
        <x:f>'日経_P04'!W32</x:f>
        <x:v>0</x:v>
      </x:c>
      <x:c r="T12" s="2" t="n">
        <x:f>'日経_P04'!Y32</x:f>
        <x:v>0</x:v>
      </x:c>
    </x:row>
    <x:row r="13" ht="23" customHeight="1">
      <x:c r="A13" s="2" t="str">
        <x:v>P05</x:v>
      </x:c>
      <x:c r="B13" s="2" t="str">
        <x:v>前半のみ変更</x:v>
      </x:c>
      <x:c r="C13" s="19" t="n">
        <x:f>'日経_P05'!B32</x:f>
        <x:v>2628000</x:v>
      </x:c>
      <x:c r="D13" s="19" t="n">
        <x:f>'日経_P05'!C32</x:f>
        <x:v>1131000</x:v>
      </x:c>
      <x:c r="E13" s="19" t="n">
        <x:f>'日経_P05'!D32</x:f>
        <x:v>1497000</x:v>
      </x:c>
      <x:c r="F13" s="30" t="n">
        <x:f>IF(D13=0,"損失なし",C13/D13)</x:f>
        <x:v>2.323607427055703</x:v>
      </x:c>
      <x:c r="G13" s="2" t="n">
        <x:f>COUNTIF('日経_P05'!$D$7:$D$31,"&gt;0")</x:f>
        <x:v>18</x:v>
      </x:c>
      <x:c r="H13" s="2" t="n">
        <x:f>COUNTIF('日経_P05'!$D$7:$D$31,"&lt;0")</x:f>
        <x:v>7</x:v>
      </x:c>
      <x:c r="I13" s="19" t="n">
        <x:f>MAX(0,-MIN('日経_P05'!$D$7:$D$31))</x:f>
        <x:v>45000</x:v>
      </x:c>
      <x:c r="J13" s="19" t="n">
        <x:f>IF(H13=0,0,-SUMIF('日経_P05'!$D$7:$D$31,"&lt;0",'日経_P05'!$D$7:$D$31)/H13)</x:f>
        <x:v>26714.285714285714</x:v>
      </x:c>
      <x:c r="K13" s="19" t="n">
        <x:f>IF(H13=0,0,MEDIAN(_xlfn._xlws.FILTER(-'日経_P05'!$D$7:$D$31,'日経_P05'!$D$7:$D$31&lt;0)))</x:f>
        <x:v>25000</x:v>
      </x:c>
      <x:c r="L13" s="19" t="n">
        <x:f>E13-MAX(0,LARGE('日経_P05'!$D$7:$D$31,1))-MAX(0,LARGE('日経_P05'!$D$7:$D$31,2))-MAX(0,LARGE('日経_P05'!$D$7:$D$31,3))</x:f>
        <x:v>756000</x:v>
      </x:c>
      <x:c r="M13" s="19" t="n">
        <x:f>'日経_P05'!F32</x:f>
        <x:v>354000</x:v>
      </x:c>
      <x:c r="N13" s="19" t="n">
        <x:f>'日経_P05'!H32</x:f>
        <x:v>416000</x:v>
      </x:c>
      <x:c r="O13" s="19" t="n">
        <x:f>'日経_P05'!K32</x:f>
        <x:v>77000</x:v>
      </x:c>
      <x:c r="P13" s="19" t="n">
        <x:f>'日経_P05'!L32</x:f>
        <x:v>90000</x:v>
      </x:c>
      <x:c r="Q13" s="19" t="n">
        <x:f>'日経_P05'!M32</x:f>
        <x:v>95000</x:v>
      </x:c>
      <x:c r="R13" s="2" t="n">
        <x:f>'日経_P05'!P32</x:f>
        <x:v>172</x:v>
      </x:c>
      <x:c r="S13" s="2" t="n">
        <x:f>'日経_P05'!W32</x:f>
        <x:v>0</x:v>
      </x:c>
      <x:c r="T13" s="2" t="n">
        <x:f>'日経_P05'!Y32</x:f>
        <x:v>0</x:v>
      </x:c>
    </x:row>
    <x:row r="14" ht="23" customHeight="1">
      <x:c r="A14" s="2" t="str">
        <x:v>P06</x:v>
      </x:c>
      <x:c r="B14" s="2" t="str">
        <x:v>前半のみ変更</x:v>
      </x:c>
      <x:c r="C14" s="19" t="n">
        <x:f>'日経_P06'!B32</x:f>
        <x:v>2371000</x:v>
      </x:c>
      <x:c r="D14" s="19" t="n">
        <x:f>'日経_P06'!C32</x:f>
        <x:v>1296000</x:v>
      </x:c>
      <x:c r="E14" s="19" t="n">
        <x:f>'日経_P06'!D32</x:f>
        <x:v>1075000</x:v>
      </x:c>
      <x:c r="F14" s="30" t="n">
        <x:f>IF(D14=0,"損失なし",C14/D14)</x:f>
        <x:v>1.8294753086419753</x:v>
      </x:c>
      <x:c r="G14" s="2" t="n">
        <x:f>COUNTIF('日経_P06'!$D$7:$D$31,"&gt;0")</x:f>
        <x:v>16</x:v>
      </x:c>
      <x:c r="H14" s="2" t="n">
        <x:f>COUNTIF('日経_P06'!$D$7:$D$31,"&lt;0")</x:f>
        <x:v>9</x:v>
      </x:c>
      <x:c r="I14" s="19" t="n">
        <x:f>MAX(0,-MIN('日経_P06'!$D$7:$D$31))</x:f>
        <x:v>83000</x:v>
      </x:c>
      <x:c r="J14" s="19" t="n">
        <x:f>IF(H14=0,0,-SUMIF('日経_P06'!$D$7:$D$31,"&lt;0",'日経_P06'!$D$7:$D$31)/H14)</x:f>
        <x:v>39888.88888888889</x:v>
      </x:c>
      <x:c r="K14" s="19" t="n">
        <x:f>IF(H14=0,0,MEDIAN(_xlfn._xlws.FILTER(-'日経_P06'!$D$7:$D$31,'日経_P06'!$D$7:$D$31&lt;0)))</x:f>
        <x:v>36000</x:v>
      </x:c>
      <x:c r="L14" s="19" t="n">
        <x:f>E14-MAX(0,LARGE('日経_P06'!$D$7:$D$31,1))-MAX(0,LARGE('日経_P06'!$D$7:$D$31,2))-MAX(0,LARGE('日経_P06'!$D$7:$D$31,3))</x:f>
        <x:v>339000</x:v>
      </x:c>
      <x:c r="M14" s="19" t="n">
        <x:f>'日経_P06'!F32</x:f>
        <x:v>-68000</x:v>
      </x:c>
      <x:c r="N14" s="19" t="n">
        <x:f>'日経_P06'!H32</x:f>
        <x:v>158000</x:v>
      </x:c>
      <x:c r="O14" s="19" t="n">
        <x:f>'日経_P06'!K32</x:f>
        <x:v>242000</x:v>
      </x:c>
      <x:c r="P14" s="19" t="n">
        <x:f>'日経_P06'!L32</x:f>
        <x:v>67000</x:v>
      </x:c>
      <x:c r="Q14" s="19" t="n">
        <x:f>'日経_P06'!M32</x:f>
        <x:v>73000</x:v>
      </x:c>
      <x:c r="R14" s="2" t="n">
        <x:f>'日経_P06'!P32</x:f>
        <x:v>172</x:v>
      </x:c>
      <x:c r="S14" s="2" t="n">
        <x:f>'日経_P06'!W32</x:f>
        <x:v>0</x:v>
      </x:c>
      <x:c r="T14" s="2" t="n">
        <x:f>'日経_P06'!Y32</x:f>
        <x:v>0</x:v>
      </x:c>
    </x:row>
    <x:row r="15" ht="23" customHeight="1">
      <x:c r="A15" s="2" t="str">
        <x:v>P07</x:v>
      </x:c>
      <x:c r="B15" s="2" t="str">
        <x:v>前半のみ変更</x:v>
      </x:c>
      <x:c r="C15" s="19" t="n">
        <x:f>'日経_P07'!B32</x:f>
        <x:v>2483000</x:v>
      </x:c>
      <x:c r="D15" s="19" t="n">
        <x:f>'日経_P07'!C32</x:f>
        <x:v>1415000</x:v>
      </x:c>
      <x:c r="E15" s="19" t="n">
        <x:f>'日経_P07'!D32</x:f>
        <x:v>1068000</x:v>
      </x:c>
      <x:c r="F15" s="30" t="n">
        <x:f>IF(D15=0,"損失なし",C15/D15)</x:f>
        <x:v>1.7547703180212013</x:v>
      </x:c>
      <x:c r="G15" s="2" t="n">
        <x:f>COUNTIF('日経_P07'!$D$7:$D$31,"&gt;0")</x:f>
        <x:v>16</x:v>
      </x:c>
      <x:c r="H15" s="2" t="n">
        <x:f>COUNTIF('日経_P07'!$D$7:$D$31,"&lt;0")</x:f>
        <x:v>9</x:v>
      </x:c>
      <x:c r="I15" s="19" t="n">
        <x:f>MAX(0,-MIN('日経_P07'!$D$7:$D$31))</x:f>
        <x:v>114000</x:v>
      </x:c>
      <x:c r="J15" s="19" t="n">
        <x:f>IF(H15=0,0,-SUMIF('日経_P07'!$D$7:$D$31,"&lt;0",'日経_P07'!$D$7:$D$31)/H15)</x:f>
        <x:v>48555.555555555555</x:v>
      </x:c>
      <x:c r="K15" s="19" t="n">
        <x:f>IF(H15=0,0,MEDIAN(_xlfn._xlws.FILTER(-'日経_P07'!$D$7:$D$31,'日経_P07'!$D$7:$D$31&lt;0)))</x:f>
        <x:v>36000</x:v>
      </x:c>
      <x:c r="L15" s="19" t="n">
        <x:f>E15-MAX(0,LARGE('日経_P07'!$D$7:$D$31,1))-MAX(0,LARGE('日経_P07'!$D$7:$D$31,2))-MAX(0,LARGE('日経_P07'!$D$7:$D$31,3))</x:f>
        <x:v>332000</x:v>
      </x:c>
      <x:c r="M15" s="19" t="n">
        <x:f>'日経_P07'!F32</x:f>
        <x:v>-75000</x:v>
      </x:c>
      <x:c r="N15" s="19" t="n">
        <x:f>'日経_P07'!H32</x:f>
        <x:v>254000</x:v>
      </x:c>
      <x:c r="O15" s="19" t="n">
        <x:f>'日経_P07'!K32</x:f>
        <x:v>361000</x:v>
      </x:c>
      <x:c r="P15" s="19" t="n">
        <x:f>'日経_P07'!L32</x:f>
        <x:v>112000</x:v>
      </x:c>
      <x:c r="Q15" s="19" t="n">
        <x:f>'日経_P07'!M32</x:f>
        <x:v>124000</x:v>
      </x:c>
      <x:c r="R15" s="2" t="n">
        <x:f>'日経_P07'!P32</x:f>
        <x:v>172</x:v>
      </x:c>
      <x:c r="S15" s="2" t="n">
        <x:f>'日経_P07'!W32</x:f>
        <x:v>0</x:v>
      </x:c>
      <x:c r="T15" s="2" t="n">
        <x:f>'日経_P07'!Y32</x:f>
        <x:v>0</x:v>
      </x:c>
    </x:row>
    <x:row r="16" ht="23" customHeight="1">
      <x:c r="A16" s="2" t="str">
        <x:v>P08</x:v>
      </x:c>
      <x:c r="B16" s="2" t="str">
        <x:v>前半のみ変更</x:v>
      </x:c>
      <x:c r="C16" s="19" t="n">
        <x:f>'日経_P08'!B32</x:f>
        <x:v>2771000</x:v>
      </x:c>
      <x:c r="D16" s="19" t="n">
        <x:f>'日経_P08'!C32</x:f>
        <x:v>1667000</x:v>
      </x:c>
      <x:c r="E16" s="19" t="n">
        <x:f>'日経_P08'!D32</x:f>
        <x:v>1104000</x:v>
      </x:c>
      <x:c r="F16" s="30" t="n">
        <x:f>IF(D16=0,"損失なし",C16/D16)</x:f>
        <x:v>1.662267546490702</x:v>
      </x:c>
      <x:c r="G16" s="2" t="n">
        <x:f>COUNTIF('日経_P08'!$D$7:$D$31,"&gt;0")</x:f>
        <x:v>16</x:v>
      </x:c>
      <x:c r="H16" s="2" t="n">
        <x:f>COUNTIF('日経_P08'!$D$7:$D$31,"&lt;0")</x:f>
        <x:v>9</x:v>
      </x:c>
      <x:c r="I16" s="19" t="n">
        <x:f>MAX(0,-MIN('日経_P08'!$D$7:$D$31))</x:f>
        <x:v>249000</x:v>
      </x:c>
      <x:c r="J16" s="19" t="n">
        <x:f>IF(H16=0,0,-SUMIF('日経_P08'!$D$7:$D$31,"&lt;0",'日経_P08'!$D$7:$D$31)/H16)</x:f>
        <x:v>74555.55555555556</x:v>
      </x:c>
      <x:c r="K16" s="19" t="n">
        <x:f>IF(H16=0,0,MEDIAN(_xlfn._xlws.FILTER(-'日経_P08'!$D$7:$D$31,'日経_P08'!$D$7:$D$31&lt;0)))</x:f>
        <x:v>42000</x:v>
      </x:c>
      <x:c r="L16" s="19" t="n">
        <x:f>E16-MAX(0,LARGE('日経_P08'!$D$7:$D$31,1))-MAX(0,LARGE('日経_P08'!$D$7:$D$31,2))-MAX(0,LARGE('日経_P08'!$D$7:$D$31,3))</x:f>
        <x:v>336000</x:v>
      </x:c>
      <x:c r="M16" s="19" t="n">
        <x:f>'日経_P08'!F32</x:f>
        <x:v>-39000</x:v>
      </x:c>
      <x:c r="N16" s="19" t="n">
        <x:f>'日経_P08'!H32</x:f>
        <x:v>494000</x:v>
      </x:c>
      <x:c r="O16" s="19" t="n">
        <x:f>'日経_P08'!K32</x:f>
        <x:v>613000</x:v>
      </x:c>
      <x:c r="P16" s="19" t="n">
        <x:f>'日経_P08'!L32</x:f>
        <x:v>280000</x:v>
      </x:c>
      <x:c r="Q16" s="19" t="n">
        <x:f>'日経_P08'!M32</x:f>
        <x:v>310000</x:v>
      </x:c>
      <x:c r="R16" s="2" t="n">
        <x:f>'日経_P08'!P32</x:f>
        <x:v>171</x:v>
      </x:c>
      <x:c r="S16" s="2" t="n">
        <x:f>'日経_P08'!W32</x:f>
        <x:v>0</x:v>
      </x:c>
      <x:c r="T16" s="2" t="n">
        <x:f>'日経_P08'!Y32</x:f>
        <x:v>0</x:v>
      </x:c>
    </x:row>
    <x:row r="17" ht="23" customHeight="1">
      <x:c r="A17" s="2" t="str">
        <x:v>P09</x:v>
      </x:c>
      <x:c r="B17" s="2" t="str">
        <x:v>前半のみ変更</x:v>
      </x:c>
      <x:c r="C17" s="19" t="n">
        <x:f>'日経_P09'!B32</x:f>
        <x:v>2771000</x:v>
      </x:c>
      <x:c r="D17" s="19" t="n">
        <x:f>'日経_P09'!C32</x:f>
        <x:v>1772000</x:v>
      </x:c>
      <x:c r="E17" s="19" t="n">
        <x:f>'日経_P09'!D32</x:f>
        <x:v>999000</x:v>
      </x:c>
      <x:c r="F17" s="30" t="n">
        <x:f>IF(D17=0,"損失なし",C17/D17)</x:f>
        <x:v>1.5637697516930023</x:v>
      </x:c>
      <x:c r="G17" s="2" t="n">
        <x:f>COUNTIF('日経_P09'!$D$7:$D$31,"&gt;0")</x:f>
        <x:v>16</x:v>
      </x:c>
      <x:c r="H17" s="2" t="n">
        <x:f>COUNTIF('日経_P09'!$D$7:$D$31,"&lt;0")</x:f>
        <x:v>9</x:v>
      </x:c>
      <x:c r="I17" s="19" t="n">
        <x:f>MAX(0,-MIN('日経_P09'!$D$7:$D$31))</x:f>
        <x:v>249000</x:v>
      </x:c>
      <x:c r="J17" s="19" t="n">
        <x:f>IF(H17=0,0,-SUMIF('日経_P09'!$D$7:$D$31,"&lt;0",'日経_P09'!$D$7:$D$31)/H17)</x:f>
        <x:v>74555.55555555556</x:v>
      </x:c>
      <x:c r="K17" s="19" t="n">
        <x:f>IF(H17=0,0,MEDIAN(_xlfn._xlws.FILTER(-'日経_P09'!$D$7:$D$31,'日経_P09'!$D$7:$D$31&lt;0)))</x:f>
        <x:v>42000</x:v>
      </x:c>
      <x:c r="L17" s="19" t="n">
        <x:f>E17-MAX(0,LARGE('日経_P09'!$D$7:$D$31,1))-MAX(0,LARGE('日経_P09'!$D$7:$D$31,2))-MAX(0,LARGE('日経_P09'!$D$7:$D$31,3))</x:f>
        <x:v>231000</x:v>
      </x:c>
      <x:c r="M17" s="19" t="n">
        <x:f>'日経_P09'!F32</x:f>
        <x:v>-144000</x:v>
      </x:c>
      <x:c r="N17" s="19" t="n">
        <x:f>'日経_P09'!H32</x:f>
        <x:v>494000</x:v>
      </x:c>
      <x:c r="O17" s="19" t="n">
        <x:f>'日経_P09'!K32</x:f>
        <x:v>718000</x:v>
      </x:c>
      <x:c r="P17" s="19" t="n">
        <x:f>'日経_P09'!L32</x:f>
        <x:v>280000</x:v>
      </x:c>
      <x:c r="Q17" s="19" t="n">
        <x:f>'日経_P09'!M32</x:f>
        <x:v>310000</x:v>
      </x:c>
      <x:c r="R17" s="2" t="n">
        <x:f>'日経_P09'!P32</x:f>
        <x:v>172</x:v>
      </x:c>
      <x:c r="S17" s="2" t="n">
        <x:f>'日経_P09'!W32</x:f>
        <x:v>0</x:v>
      </x:c>
      <x:c r="T17" s="2" t="n">
        <x:f>'日経_P09'!Y32</x:f>
        <x:v>0</x:v>
      </x:c>
    </x:row>
    <x:row r="18" ht="23" customHeight="1">
      <x:c r="A18" s="2" t="str">
        <x:v>P10</x:v>
      </x:c>
      <x:c r="B18" s="2" t="str">
        <x:v>前半のみ変更</x:v>
      </x:c>
      <x:c r="C18" s="19" t="n">
        <x:f>'日経_P10'!B32</x:f>
        <x:v>3738000</x:v>
      </x:c>
      <x:c r="D18" s="19" t="n">
        <x:f>'日経_P10'!C32</x:f>
        <x:v>3091000</x:v>
      </x:c>
      <x:c r="E18" s="19" t="n">
        <x:f>'日経_P10'!D32</x:f>
        <x:v>647000</x:v>
      </x:c>
      <x:c r="F18" s="30" t="n">
        <x:f>IF(D18=0,"損失なし",C18/D18)</x:f>
        <x:v>1.2093173730184406</x:v>
      </x:c>
      <x:c r="G18" s="2" t="n">
        <x:f>COUNTIF('日経_P10'!$D$7:$D$31,"&gt;0")</x:f>
        <x:v>14</x:v>
      </x:c>
      <x:c r="H18" s="2" t="n">
        <x:f>COUNTIF('日経_P10'!$D$7:$D$31,"&lt;0")</x:f>
        <x:v>11</x:v>
      </x:c>
      <x:c r="I18" s="19" t="n">
        <x:f>MAX(0,-MIN('日経_P10'!$D$7:$D$31))</x:f>
        <x:v>249000</x:v>
      </x:c>
      <x:c r="J18" s="19" t="n">
        <x:f>IF(H18=0,0,-SUMIF('日経_P10'!$D$7:$D$31,"&lt;0",'日経_P10'!$D$7:$D$31)/H18)</x:f>
        <x:v>86636.36363636363</x:v>
      </x:c>
      <x:c r="K18" s="19" t="n">
        <x:f>IF(H18=0,0,MEDIAN(_xlfn._xlws.FILTER(-'日経_P10'!$D$7:$D$31,'日経_P10'!$D$7:$D$31&lt;0)))</x:f>
        <x:v>47000</x:v>
      </x:c>
      <x:c r="L18" s="19" t="n">
        <x:f>E18-MAX(0,LARGE('日経_P10'!$D$7:$D$31,1))-MAX(0,LARGE('日経_P10'!$D$7:$D$31,2))-MAX(0,LARGE('日経_P10'!$D$7:$D$31,3))</x:f>
        <x:v>-123000</x:v>
      </x:c>
      <x:c r="M18" s="19" t="n">
        <x:f>'日経_P10'!F32</x:f>
        <x:v>-496000</x:v>
      </x:c>
      <x:c r="N18" s="19" t="n">
        <x:f>'日経_P10'!H32</x:f>
        <x:v>1433000</x:v>
      </x:c>
      <x:c r="O18" s="19" t="n">
        <x:f>'日経_P10'!K32</x:f>
        <x:v>2037000</x:v>
      </x:c>
      <x:c r="P18" s="19" t="n">
        <x:f>'日経_P10'!L32</x:f>
        <x:v>430000</x:v>
      </x:c>
      <x:c r="Q18" s="19" t="n">
        <x:f>'日経_P10'!M32</x:f>
        <x:v>310000</x:v>
      </x:c>
      <x:c r="R18" s="2" t="n">
        <x:f>'日経_P10'!P32</x:f>
        <x:v>232</x:v>
      </x:c>
      <x:c r="S18" s="2" t="n">
        <x:f>'日経_P10'!W32</x:f>
        <x:v>1</x:v>
      </x:c>
      <x:c r="T18" s="2" t="n">
        <x:f>'日経_P10'!Y32</x:f>
        <x:v>60</x:v>
      </x:c>
    </x:row>
    <x:row r="19" ht="23" customHeight="1">
      <x:c r="A19" s="2" t="str">
        <x:v>P11</x:v>
      </x:c>
      <x:c r="B19" s="2" t="str">
        <x:v>前半のみ変更</x:v>
      </x:c>
      <x:c r="C19" s="19" t="n">
        <x:f>'日経_P11'!B32</x:f>
        <x:v>2643000</x:v>
      </x:c>
      <x:c r="D19" s="19" t="n">
        <x:f>'日経_P11'!C32</x:f>
        <x:v>1646000</x:v>
      </x:c>
      <x:c r="E19" s="19" t="n">
        <x:f>'日経_P11'!D32</x:f>
        <x:v>997000</x:v>
      </x:c>
      <x:c r="F19" s="30" t="n">
        <x:f>IF(D19=0,"損失なし",C19/D19)</x:f>
        <x:v>1.6057108140947751</x:v>
      </x:c>
      <x:c r="G19" s="2" t="n">
        <x:f>COUNTIF('日経_P11'!$D$7:$D$31,"&gt;0")</x:f>
        <x:v>16</x:v>
      </x:c>
      <x:c r="H19" s="2" t="n">
        <x:f>COUNTIF('日経_P11'!$D$7:$D$31,"&lt;0")</x:f>
        <x:v>9</x:v>
      </x:c>
      <x:c r="I19" s="19" t="n">
        <x:f>MAX(0,-MIN('日経_P11'!$D$7:$D$31))</x:f>
        <x:v>83000</x:v>
      </x:c>
      <x:c r="J19" s="19" t="n">
        <x:f>IF(H19=0,0,-SUMIF('日経_P11'!$D$7:$D$31,"&lt;0",'日経_P11'!$D$7:$D$31)/H19)</x:f>
        <x:v>34111.11111111111</x:v>
      </x:c>
      <x:c r="K19" s="19" t="n">
        <x:f>IF(H19=0,0,MEDIAN(_xlfn._xlws.FILTER(-'日経_P11'!$D$7:$D$31,'日経_P11'!$D$7:$D$31&lt;0)))</x:f>
        <x:v>23000</x:v>
      </x:c>
      <x:c r="L19" s="19" t="n">
        <x:f>E19-MAX(0,LARGE('日経_P11'!$D$7:$D$31,1))-MAX(0,LARGE('日経_P11'!$D$7:$D$31,2))-MAX(0,LARGE('日経_P11'!$D$7:$D$31,3))</x:f>
        <x:v>302000</x:v>
      </x:c>
      <x:c r="M19" s="19" t="n">
        <x:f>'日経_P11'!F32</x:f>
        <x:v>-146000</x:v>
      </x:c>
      <x:c r="N19" s="19" t="n">
        <x:f>'日経_P11'!H32</x:f>
        <x:v>421000</x:v>
      </x:c>
      <x:c r="O19" s="19" t="n">
        <x:f>'日経_P11'!K32</x:f>
        <x:v>592000</x:v>
      </x:c>
      <x:c r="P19" s="19" t="n">
        <x:f>'日経_P11'!L32</x:f>
        <x:v>178000</x:v>
      </x:c>
      <x:c r="Q19" s="19" t="n">
        <x:f>'日経_P11'!M32</x:f>
        <x:v>153000</x:v>
      </x:c>
      <x:c r="R19" s="2" t="n">
        <x:f>'日経_P11'!P32</x:f>
        <x:v>232</x:v>
      </x:c>
      <x:c r="S19" s="2" t="n">
        <x:f>'日経_P11'!W32</x:f>
        <x:v>0</x:v>
      </x:c>
      <x:c r="T19" s="2" t="n">
        <x:f>'日経_P11'!Y32</x:f>
        <x:v>60</x:v>
      </x:c>
    </x:row>
    <x:row r="20" ht="23" customHeight="1">
      <x:c r="A20" s="2" t="str">
        <x:v>N01</x:v>
      </x:c>
      <x:c r="B20" s="2" t="str">
        <x:v>全夜変更</x:v>
      </x:c>
      <x:c r="C20" s="19" t="n">
        <x:f>'日経_N01'!B32</x:f>
        <x:v>1360000</x:v>
      </x:c>
      <x:c r="D20" s="19" t="n">
        <x:f>'日経_N01'!C32</x:f>
        <x:v>740000</x:v>
      </x:c>
      <x:c r="E20" s="19" t="n">
        <x:f>'日経_N01'!D32</x:f>
        <x:v>620000</x:v>
      </x:c>
      <x:c r="F20" s="30" t="n">
        <x:f>IF(D20=0,"損失なし",C20/D20)</x:f>
        <x:v>1.837837837837838</x:v>
      </x:c>
      <x:c r="G20" s="2" t="n">
        <x:f>COUNTIF('日経_N01'!$D$7:$D$31,"&gt;0")</x:f>
        <x:v>20</x:v>
      </x:c>
      <x:c r="H20" s="2" t="n">
        <x:f>COUNTIF('日経_N01'!$D$7:$D$31,"&lt;0")</x:f>
        <x:v>5</x:v>
      </x:c>
      <x:c r="I20" s="19" t="n">
        <x:f>MAX(0,-MIN('日経_N01'!$D$7:$D$31))</x:f>
        <x:v>182000</x:v>
      </x:c>
      <x:c r="J20" s="19" t="n">
        <x:f>IF(H20=0,0,-SUMIF('日経_N01'!$D$7:$D$31,"&lt;0",'日経_N01'!$D$7:$D$31)/H20)</x:f>
        <x:v>65800</x:v>
      </x:c>
      <x:c r="K20" s="19" t="n">
        <x:f>IF(H20=0,0,MEDIAN(_xlfn._xlws.FILTER(-'日経_N01'!$D$7:$D$31,'日経_N01'!$D$7:$D$31&lt;0)))</x:f>
        <x:v>17000</x:v>
      </x:c>
      <x:c r="L20" s="19" t="n">
        <x:f>E20-MAX(0,LARGE('日経_N01'!$D$7:$D$31,1))-MAX(0,LARGE('日経_N01'!$D$7:$D$31,2))-MAX(0,LARGE('日経_N01'!$D$7:$D$31,3))</x:f>
        <x:v>310000</x:v>
      </x:c>
      <x:c r="M20" s="19" t="n">
        <x:f>'日経_N01'!F32</x:f>
        <x:v>620000</x:v>
      </x:c>
      <x:c r="N20" s="19" t="n">
        <x:f>'日経_N01'!H32</x:f>
        <x:v>1360000</x:v>
      </x:c>
      <x:c r="O20" s="19" t="n">
        <x:f>'日経_N01'!K32</x:f>
        <x:v>740000</x:v>
      </x:c>
      <x:c r="P20" s="19" t="n">
        <x:f>'日経_N01'!L32</x:f>
        <x:v>241000</x:v>
      </x:c>
      <x:c r="Q20" s="19" t="n">
        <x:f>'日経_N01'!M32</x:f>
        <x:v>237000</x:v>
      </x:c>
      <x:c r="R20" s="2" t="n">
        <x:f>'日経_N01'!P32</x:f>
        <x:v>172</x:v>
      </x:c>
      <x:c r="S20" s="2" t="n">
        <x:f>'日経_N01'!W32</x:f>
        <x:v>0</x:v>
      </x:c>
      <x:c r="T20" s="2" t="n">
        <x:f>'日経_N01'!Y32</x:f>
        <x:v>0</x:v>
      </x:c>
    </x:row>
    <x:row r="21" ht="23" customHeight="1">
      <x:c r="A21" s="2" t="str">
        <x:v>N02</x:v>
      </x:c>
      <x:c r="B21" s="2" t="str">
        <x:v>全夜変更</x:v>
      </x:c>
      <x:c r="C21" s="19" t="n">
        <x:f>'日経_N02'!B32</x:f>
        <x:v>2762000</x:v>
      </x:c>
      <x:c r="D21" s="19" t="n">
        <x:f>'日経_N02'!C32</x:f>
        <x:v>1314000</x:v>
      </x:c>
      <x:c r="E21" s="19" t="n">
        <x:f>'日経_N02'!D32</x:f>
        <x:v>1448000</x:v>
      </x:c>
      <x:c r="F21" s="30" t="n">
        <x:f>IF(D21=0,"損失なし",C21/D21)</x:f>
        <x:v>2.101978691019787</x:v>
      </x:c>
      <x:c r="G21" s="2" t="n">
        <x:f>COUNTIF('日経_N02'!$D$7:$D$31,"&gt;0")</x:f>
        <x:v>20</x:v>
      </x:c>
      <x:c r="H21" s="2" t="n">
        <x:f>COUNTIF('日経_N02'!$D$7:$D$31,"&lt;0")</x:f>
        <x:v>4</x:v>
      </x:c>
      <x:c r="I21" s="19" t="n">
        <x:f>MAX(0,-MIN('日経_N02'!$D$7:$D$31))</x:f>
        <x:v>164000</x:v>
      </x:c>
      <x:c r="J21" s="19" t="n">
        <x:f>IF(H21=0,0,-SUMIF('日経_N02'!$D$7:$D$31,"&lt;0",'日経_N02'!$D$7:$D$31)/H21)</x:f>
        <x:v>71500</x:v>
      </x:c>
      <x:c r="K21" s="19" t="n">
        <x:f>IF(H21=0,0,MEDIAN(_xlfn._xlws.FILTER(-'日経_N02'!$D$7:$D$31,'日経_N02'!$D$7:$D$31&lt;0)))</x:f>
        <x:v>53500</x:v>
      </x:c>
      <x:c r="L21" s="19" t="n">
        <x:f>E21-MAX(0,LARGE('日経_N02'!$D$7:$D$31,1))-MAX(0,LARGE('日経_N02'!$D$7:$D$31,2))-MAX(0,LARGE('日経_N02'!$D$7:$D$31,3))</x:f>
        <x:v>964000</x:v>
      </x:c>
      <x:c r="M21" s="19" t="n">
        <x:f>'日経_N02'!F32</x:f>
        <x:v>1448000</x:v>
      </x:c>
      <x:c r="N21" s="19" t="n">
        <x:f>'日経_N02'!H32</x:f>
        <x:v>2747000</x:v>
      </x:c>
      <x:c r="O21" s="19" t="n">
        <x:f>'日経_N02'!K32</x:f>
        <x:v>1314000</x:v>
      </x:c>
      <x:c r="P21" s="19" t="n">
        <x:f>'日経_N02'!L32</x:f>
        <x:v>498000</x:v>
      </x:c>
      <x:c r="Q21" s="19" t="n">
        <x:f>'日経_N02'!M32</x:f>
        <x:v>370000</x:v>
      </x:c>
      <x:c r="R21" s="2" t="n">
        <x:f>'日経_N02'!P32</x:f>
        <x:v>172</x:v>
      </x:c>
      <x:c r="S21" s="2" t="n">
        <x:f>'日経_N02'!W32</x:f>
        <x:v>0</x:v>
      </x:c>
      <x:c r="T21" s="2" t="n">
        <x:f>'日経_N02'!Y32</x:f>
        <x:v>0</x:v>
      </x:c>
    </x:row>
    <x:row r="22" ht="23" customHeight="1">
      <x:c r="A22" s="2" t="str">
        <x:v>N03</x:v>
      </x:c>
      <x:c r="B22" s="2" t="str">
        <x:v>全夜変更</x:v>
      </x:c>
      <x:c r="C22" s="19" t="n">
        <x:f>'日経_N03'!B32</x:f>
        <x:v>4735000</x:v>
      </x:c>
      <x:c r="D22" s="19" t="n">
        <x:f>'日経_N03'!C32</x:f>
        <x:v>2250000</x:v>
      </x:c>
      <x:c r="E22" s="19" t="n">
        <x:f>'日経_N03'!D32</x:f>
        <x:v>2485000</x:v>
      </x:c>
      <x:c r="F22" s="30" t="n">
        <x:f>IF(D22=0,"損失なし",C22/D22)</x:f>
        <x:v>2.1044444444444443</x:v>
      </x:c>
      <x:c r="G22" s="2" t="n">
        <x:f>COUNTIF('日経_N03'!$D$7:$D$31,"&gt;0")</x:f>
        <x:v>22</x:v>
      </x:c>
      <x:c r="H22" s="2" t="n">
        <x:f>COUNTIF('日経_N03'!$D$7:$D$31,"&lt;0")</x:f>
        <x:v>3</x:v>
      </x:c>
      <x:c r="I22" s="19" t="n">
        <x:f>MAX(0,-MIN('日経_N03'!$D$7:$D$31))</x:f>
        <x:v>350000</x:v>
      </x:c>
      <x:c r="J22" s="19" t="n">
        <x:f>IF(H22=0,0,-SUMIF('日経_N03'!$D$7:$D$31,"&lt;0",'日経_N03'!$D$7:$D$31)/H22)</x:f>
        <x:v>190333.33333333334</x:v>
      </x:c>
      <x:c r="K22" s="19" t="n">
        <x:f>IF(H22=0,0,MEDIAN(_xlfn._xlws.FILTER(-'日経_N03'!$D$7:$D$31,'日経_N03'!$D$7:$D$31&lt;0)))</x:f>
        <x:v>111000</x:v>
      </x:c>
      <x:c r="L22" s="19" t="n">
        <x:f>E22-MAX(0,LARGE('日経_N03'!$D$7:$D$31,1))-MAX(0,LARGE('日経_N03'!$D$7:$D$31,2))-MAX(0,LARGE('日経_N03'!$D$7:$D$31,3))</x:f>
        <x:v>1613000</x:v>
      </x:c>
      <x:c r="M22" s="19" t="n">
        <x:f>'日経_N03'!F32</x:f>
        <x:v>2485000</x:v>
      </x:c>
      <x:c r="N22" s="19" t="n">
        <x:f>'日経_N03'!H32</x:f>
        <x:v>4655000</x:v>
      </x:c>
      <x:c r="O22" s="19" t="n">
        <x:f>'日経_N03'!K32</x:f>
        <x:v>2250000</x:v>
      </x:c>
      <x:c r="P22" s="19" t="n">
        <x:f>'日経_N03'!L32</x:f>
        <x:v>656000</x:v>
      </x:c>
      <x:c r="Q22" s="19" t="n">
        <x:f>'日経_N03'!M32</x:f>
        <x:v>500000</x:v>
      </x:c>
      <x:c r="R22" s="2" t="n">
        <x:f>'日経_N03'!P32</x:f>
        <x:v>166</x:v>
      </x:c>
      <x:c r="S22" s="2" t="n">
        <x:f>'日経_N03'!W32</x:f>
        <x:v>9</x:v>
      </x:c>
      <x:c r="T22" s="2" t="n">
        <x:f>'日経_N03'!Y32</x:f>
        <x:v>0</x:v>
      </x:c>
    </x:row>
    <x:row r="23" ht="23" customHeight="1">
      <x:c r="A23" s="2" t="str">
        <x:v>N04</x:v>
      </x:c>
      <x:c r="B23" s="2" t="str">
        <x:v>全夜変更</x:v>
      </x:c>
      <x:c r="C23" s="19" t="n">
        <x:f>'日経_N04'!B32</x:f>
        <x:v>1143000</x:v>
      </x:c>
      <x:c r="D23" s="19" t="n">
        <x:f>'日経_N04'!C32</x:f>
        <x:v>847000</x:v>
      </x:c>
      <x:c r="E23" s="19" t="n">
        <x:f>'日経_N04'!D32</x:f>
        <x:v>296000</x:v>
      </x:c>
      <x:c r="F23" s="30" t="n">
        <x:f>IF(D23=0,"損失なし",C23/D23)</x:f>
        <x:v>1.3494687131050767</x:v>
      </x:c>
      <x:c r="G23" s="2" t="n">
        <x:f>COUNTIF('日経_N04'!$D$7:$D$31,"&gt;0")</x:f>
        <x:v>19</x:v>
      </x:c>
      <x:c r="H23" s="2" t="n">
        <x:f>COUNTIF('日経_N04'!$D$7:$D$31,"&lt;0")</x:f>
        <x:v>6</x:v>
      </x:c>
      <x:c r="I23" s="19" t="n">
        <x:f>MAX(0,-MIN('日経_N04'!$D$7:$D$31))</x:f>
        <x:v>117000</x:v>
      </x:c>
      <x:c r="J23" s="19" t="n">
        <x:f>IF(H23=0,0,-SUMIF('日経_N04'!$D$7:$D$31,"&lt;0",'日経_N04'!$D$7:$D$31)/H23)</x:f>
        <x:v>41166.666666666664</x:v>
      </x:c>
      <x:c r="K23" s="19" t="n">
        <x:f>IF(H23=0,0,MEDIAN(_xlfn._xlws.FILTER(-'日経_N04'!$D$7:$D$31,'日経_N04'!$D$7:$D$31&lt;0)))</x:f>
        <x:v>29000</x:v>
      </x:c>
      <x:c r="L23" s="19" t="n">
        <x:f>E23-MAX(0,LARGE('日経_N04'!$D$7:$D$31,1))-MAX(0,LARGE('日経_N04'!$D$7:$D$31,2))-MAX(0,LARGE('日経_N04'!$D$7:$D$31,3))</x:f>
        <x:v>95000</x:v>
      </x:c>
      <x:c r="M23" s="19" t="n">
        <x:f>'日経_N04'!F32</x:f>
        <x:v>296000</x:v>
      </x:c>
      <x:c r="N23" s="19" t="n">
        <x:f>'日経_N04'!H32</x:f>
        <x:v>1130000</x:v>
      </x:c>
      <x:c r="O23" s="19" t="n">
        <x:f>'日経_N04'!K32</x:f>
        <x:v>847000</x:v>
      </x:c>
      <x:c r="P23" s="19" t="n">
        <x:f>'日経_N04'!L32</x:f>
        <x:v>168000</x:v>
      </x:c>
      <x:c r="Q23" s="19" t="n">
        <x:f>'日経_N04'!M32</x:f>
        <x:v>143000</x:v>
      </x:c>
      <x:c r="R23" s="2" t="n">
        <x:f>'日経_N04'!P32</x:f>
        <x:v>172</x:v>
      </x:c>
      <x:c r="S23" s="2" t="n">
        <x:f>'日経_N04'!W32</x:f>
        <x:v>0</x:v>
      </x:c>
      <x:c r="T23" s="2" t="n">
        <x:f>'日経_N04'!Y32</x:f>
        <x:v>0</x:v>
      </x:c>
    </x:row>
    <x:row r="24" ht="23" customHeight="1">
      <x:c r="A24" s="2" t="str">
        <x:v>N05</x:v>
      </x:c>
      <x:c r="B24" s="2" t="str">
        <x:v>全夜変更</x:v>
      </x:c>
      <x:c r="C24" s="19" t="n">
        <x:f>'日経_N05'!B32</x:f>
        <x:v>2762000</x:v>
      </x:c>
      <x:c r="D24" s="19" t="n">
        <x:f>'日経_N05'!C32</x:f>
        <x:v>1314000</x:v>
      </x:c>
      <x:c r="E24" s="19" t="n">
        <x:f>'日経_N05'!D32</x:f>
        <x:v>1448000</x:v>
      </x:c>
      <x:c r="F24" s="30" t="n">
        <x:f>IF(D24=0,"損失なし",C24/D24)</x:f>
        <x:v>2.101978691019787</x:v>
      </x:c>
      <x:c r="G24" s="2" t="n">
        <x:f>COUNTIF('日経_N05'!$D$7:$D$31,"&gt;0")</x:f>
        <x:v>20</x:v>
      </x:c>
      <x:c r="H24" s="2" t="n">
        <x:f>COUNTIF('日経_N05'!$D$7:$D$31,"&lt;0")</x:f>
        <x:v>4</x:v>
      </x:c>
      <x:c r="I24" s="19" t="n">
        <x:f>MAX(0,-MIN('日経_N05'!$D$7:$D$31))</x:f>
        <x:v>164000</x:v>
      </x:c>
      <x:c r="J24" s="19" t="n">
        <x:f>IF(H24=0,0,-SUMIF('日経_N05'!$D$7:$D$31,"&lt;0",'日経_N05'!$D$7:$D$31)/H24)</x:f>
        <x:v>71500</x:v>
      </x:c>
      <x:c r="K24" s="19" t="n">
        <x:f>IF(H24=0,0,MEDIAN(_xlfn._xlws.FILTER(-'日経_N05'!$D$7:$D$31,'日経_N05'!$D$7:$D$31&lt;0)))</x:f>
        <x:v>53500</x:v>
      </x:c>
      <x:c r="L24" s="19" t="n">
        <x:f>E24-MAX(0,LARGE('日経_N05'!$D$7:$D$31,1))-MAX(0,LARGE('日経_N05'!$D$7:$D$31,2))-MAX(0,LARGE('日経_N05'!$D$7:$D$31,3))</x:f>
        <x:v>964000</x:v>
      </x:c>
      <x:c r="M24" s="19" t="n">
        <x:f>'日経_N05'!F32</x:f>
        <x:v>1448000</x:v>
      </x:c>
      <x:c r="N24" s="19" t="n">
        <x:f>'日経_N05'!H32</x:f>
        <x:v>2747000</x:v>
      </x:c>
      <x:c r="O24" s="19" t="n">
        <x:f>'日経_N05'!K32</x:f>
        <x:v>1314000</x:v>
      </x:c>
      <x:c r="P24" s="19" t="n">
        <x:f>'日経_N05'!L32</x:f>
        <x:v>498000</x:v>
      </x:c>
      <x:c r="Q24" s="19" t="n">
        <x:f>'日経_N05'!M32</x:f>
        <x:v>370000</x:v>
      </x:c>
      <x:c r="R24" s="2" t="n">
        <x:f>'日経_N05'!P32</x:f>
        <x:v>172</x:v>
      </x:c>
      <x:c r="S24" s="2" t="n">
        <x:f>'日経_N05'!W32</x:f>
        <x:v>0</x:v>
      </x:c>
      <x:c r="T24" s="2" t="n">
        <x:f>'日経_N05'!Y32</x:f>
        <x:v>0</x:v>
      </x:c>
    </x:row>
    <x:row r="25" ht="23" customHeight="1">
      <x:c r="A25" s="2" t="str">
        <x:v>N06</x:v>
      </x:c>
      <x:c r="B25" s="2" t="str">
        <x:v>全夜変更</x:v>
      </x:c>
      <x:c r="C25" s="19" t="n">
        <x:f>'日経_N06'!B32</x:f>
        <x:v>10704000</x:v>
      </x:c>
      <x:c r="D25" s="19" t="n">
        <x:f>'日経_N06'!C32</x:f>
        <x:v>9096000</x:v>
      </x:c>
      <x:c r="E25" s="19" t="n">
        <x:f>'日経_N06'!D32</x:f>
        <x:v>1608000</x:v>
      </x:c>
      <x:c r="F25" s="30" t="n">
        <x:f>IF(D25=0,"損失なし",C25/D25)</x:f>
        <x:v>1.1767810026385224</x:v>
      </x:c>
      <x:c r="G25" s="2" t="n">
        <x:f>COUNTIF('日経_N06'!$D$7:$D$31,"&gt;0")</x:f>
        <x:v>13</x:v>
      </x:c>
      <x:c r="H25" s="2" t="n">
        <x:f>COUNTIF('日経_N06'!$D$7:$D$31,"&lt;0")</x:f>
        <x:v>12</x:v>
      </x:c>
      <x:c r="I25" s="19" t="n">
        <x:f>MAX(0,-MIN('日経_N06'!$D$7:$D$31))</x:f>
        <x:v>430000</x:v>
      </x:c>
      <x:c r="J25" s="19" t="n">
        <x:f>IF(H25=0,0,-SUMIF('日経_N06'!$D$7:$D$31,"&lt;0",'日経_N06'!$D$7:$D$31)/H25)</x:f>
        <x:v>140250</x:v>
      </x:c>
      <x:c r="K25" s="19" t="n">
        <x:f>IF(H25=0,0,MEDIAN(_xlfn._xlws.FILTER(-'日経_N06'!$D$7:$D$31,'日経_N06'!$D$7:$D$31&lt;0)))</x:f>
        <x:v>111000</x:v>
      </x:c>
      <x:c r="L25" s="19" t="n">
        <x:f>E25-MAX(0,LARGE('日経_N06'!$D$7:$D$31,1))-MAX(0,LARGE('日経_N06'!$D$7:$D$31,2))-MAX(0,LARGE('日経_N06'!$D$7:$D$31,3))</x:f>
        <x:v>-498000</x:v>
      </x:c>
      <x:c r="M25" s="19" t="n">
        <x:f>'日経_N06'!F32</x:f>
        <x:v>1608000</x:v>
      </x:c>
      <x:c r="N25" s="19" t="n">
        <x:f>'日経_N06'!H32</x:f>
        <x:v>10557000</x:v>
      </x:c>
      <x:c r="O25" s="19" t="n">
        <x:f>'日経_N06'!K32</x:f>
        <x:v>9096000</x:v>
      </x:c>
      <x:c r="P25" s="19" t="n">
        <x:f>'日経_N06'!L32</x:f>
        <x:v>980000</x:v>
      </x:c>
      <x:c r="Q25" s="19" t="n">
        <x:f>'日経_N06'!M32</x:f>
        <x:v>530000</x:v>
      </x:c>
      <x:c r="R25" s="2" t="n">
        <x:f>'日経_N06'!P32</x:f>
        <x:v>696</x:v>
      </x:c>
      <x:c r="S25" s="2" t="n">
        <x:f>'日経_N06'!W32</x:f>
        <x:v>39</x:v>
      </x:c>
      <x:c r="T25" s="2" t="n">
        <x:f>'日経_N06'!Y32</x:f>
        <x:v>556</x:v>
      </x:c>
    </x:row>
    <x:row r="26" ht="23" customHeight="1">
      <x:c r="A26" s="2" t="str">
        <x:v>N07</x:v>
      </x:c>
      <x:c r="B26" s="2" t="str">
        <x:v>全夜変更</x:v>
      </x:c>
      <x:c r="C26" s="19" t="n">
        <x:f>'日経_N07'!B32</x:f>
        <x:v>5201000</x:v>
      </x:c>
      <x:c r="D26" s="19" t="n">
        <x:f>'日経_N07'!C32</x:f>
        <x:v>5007000</x:v>
      </x:c>
      <x:c r="E26" s="19" t="n">
        <x:f>'日経_N07'!D32</x:f>
        <x:v>194000</x:v>
      </x:c>
      <x:c r="F26" s="30" t="n">
        <x:f>IF(D26=0,"損失なし",C26/D26)</x:f>
        <x:v>1.0387457559416817</x:v>
      </x:c>
      <x:c r="G26" s="2" t="n">
        <x:f>COUNTIF('日経_N07'!$D$7:$D$31,"&gt;0")</x:f>
        <x:v>13</x:v>
      </x:c>
      <x:c r="H26" s="2" t="n">
        <x:f>COUNTIF('日経_N07'!$D$7:$D$31,"&lt;0")</x:f>
        <x:v>12</x:v>
      </x:c>
      <x:c r="I26" s="19" t="n">
        <x:f>MAX(0,-MIN('日経_N07'!$D$7:$D$31))</x:f>
        <x:v>245000</x:v>
      </x:c>
      <x:c r="J26" s="19" t="n">
        <x:f>IF(H26=0,0,-SUMIF('日経_N07'!$D$7:$D$31,"&lt;0",'日経_N07'!$D$7:$D$31)/H26)</x:f>
        <x:v>67333.33333333333</x:v>
      </x:c>
      <x:c r="K26" s="19" t="n">
        <x:f>IF(H26=0,0,MEDIAN(_xlfn._xlws.FILTER(-'日経_N07'!$D$7:$D$31,'日経_N07'!$D$7:$D$31&lt;0)))</x:f>
        <x:v>40500</x:v>
      </x:c>
      <x:c r="L26" s="19" t="n">
        <x:f>E26-MAX(0,LARGE('日経_N07'!$D$7:$D$31,1))-MAX(0,LARGE('日経_N07'!$D$7:$D$31,2))-MAX(0,LARGE('日経_N07'!$D$7:$D$31,3))</x:f>
        <x:v>-349000</x:v>
      </x:c>
      <x:c r="M26" s="19" t="n">
        <x:f>'日経_N07'!F32</x:f>
        <x:v>194000</x:v>
      </x:c>
      <x:c r="N26" s="19" t="n">
        <x:f>'日経_N07'!H32</x:f>
        <x:v>5092000</x:v>
      </x:c>
      <x:c r="O26" s="19" t="n">
        <x:f>'日経_N07'!K32</x:f>
        <x:v>5007000</x:v>
      </x:c>
      <x:c r="P26" s="19" t="n">
        <x:f>'日経_N07'!L32</x:f>
        <x:v>809000</x:v>
      </x:c>
      <x:c r="Q26" s="19" t="n">
        <x:f>'日経_N07'!M32</x:f>
        <x:v>330000</x:v>
      </x:c>
      <x:c r="R26" s="2" t="n">
        <x:f>'日経_N07'!P32</x:f>
        <x:v>844</x:v>
      </x:c>
      <x:c r="S26" s="2" t="n">
        <x:f>'日経_N07'!W32</x:f>
        <x:v>2</x:v>
      </x:c>
      <x:c r="T26" s="2" t="n">
        <x:f>'日経_N07'!Y32</x:f>
        <x:v>674</x:v>
      </x:c>
    </x:row>
  </x:sheetData>
  <x:conditionalFormatting sqref="C7:E26">
    <x:cfRule type="cellIs" dxfId="20" priority="1" operator="lessThan">
      <x:formula>0</x:formula>
    </x:cfRule>
  </x:conditionalFormatting>
  <x:conditionalFormatting sqref="I7:Q26">
    <x:cfRule type="cellIs" dxfId="21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abfe8f7e86d47f5"/>
  </x:tableParts>
</x:worksheet>
</file>

<file path=xl/worksheets/sheet2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3" customHeight="1">
      <x:c r="A2" s="4" t="str">
        <x:v>C00　全夜間の利益・損失・収支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3" ht="23" customHeight="1">
      <x:c r="A3" s="6" t="str">
        <x:v>日経mini・片方向上限10枚・手数料0・次正常ラージ気配代理。2026/09/21〜10/23の完了25夜。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3" customHeight="1">
      <x:c r="A4" s="6" t="str">
        <x:v>利益・損失は新規実約定IDごとの全返済収支で分類。旧親単位の利益損失とは異なります。未測定は空欄。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3" customHeight="1">
      <x:c r="A5" s="6" t="str">
        <x:v>現行D07・保存対照を新規実約定ID単位で再会計。保存対照。未測定の含み損・DD・返済内訳は空欄。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4" customHeight="1">
      <x:c r="A6" s="15" t="str">
        <x:v>セッション</x:v>
      </x:c>
      <x:c r="B6" s="16" t="str">
        <x:v>利益（円）</x:v>
      </x:c>
      <x:c r="C6" s="16" t="str">
        <x:v>損失（円）</x:v>
      </x:c>
      <x:c r="D6" s="16" t="str">
        <x:v>全夜収支（円）</x:v>
      </x:c>
      <x:c r="E6" s="16" t="str">
        <x:v>累計（円）</x:v>
      </x:c>
      <x:c r="F6" s="16" t="str">
        <x:v>対象区間収支</x:v>
      </x:c>
      <x:c r="G6" s="16" t="str">
        <x:v>保存後半収支</x:v>
      </x:c>
      <x:c r="H6" s="16" t="str">
        <x:v>利益追尾の利益</x:v>
      </x:c>
      <x:c r="I6" s="16" t="str">
        <x:v>利益追尾の損失</x:v>
      </x:c>
      <x:c r="J6" s="16" t="str">
        <x:v>境界清算の利益</x:v>
      </x:c>
      <x:c r="K6" s="16" t="str">
        <x:v>境界清算の損失</x:v>
      </x:c>
      <x:c r="L6" s="16" t="str">
        <x:v>最大含み損（円）</x:v>
      </x:c>
      <x:c r="M6" s="16" t="str">
        <x:v>対象区間DD</x:v>
      </x:c>
      <x:c r="N6" s="16" t="str">
        <x:v>最大買い枚数</x:v>
      </x:c>
      <x:c r="O6" s="16" t="str">
        <x:v>最大売り枚数</x:v>
      </x:c>
      <x:c r="P6" s="16" t="str">
        <x:v>全夜新規件数</x:v>
      </x:c>
      <x:c r="Q6" s="16" t="str">
        <x:v>対象区間新規</x:v>
      </x:c>
      <x:c r="R6" s="16" t="str">
        <x:v>全新規枚数</x:v>
      </x:c>
      <x:c r="S6" s="16" t="str">
        <x:v>保有（分）</x:v>
      </x:c>
      <x:c r="T6" s="16" t="str">
        <x:v>両建て（分）</x:v>
      </x:c>
      <x:c r="U6" s="16" t="str">
        <x:v>買い上限（分）</x:v>
      </x:c>
      <x:c r="V6" s="16" t="str">
        <x:v>売り上限（分）</x:v>
      </x:c>
      <x:c r="W6" s="16" t="str">
        <x:v>上限拒否・縮小件数</x:v>
      </x:c>
      <x:c r="X6" s="16" t="str">
        <x:v>通知全拒否件数</x:v>
      </x:c>
      <x:c r="Y6" s="16" t="str">
        <x:v>実再参加件数</x:v>
      </x:c>
      <x:c r="Z6" s="17" t="str">
        <x:v>判断利益→実損失</x:v>
      </x:c>
    </x:row>
    <x:row r="7" ht="23" customHeight="1">
      <x:c r="A7" s="2" t="str">
        <x:v>2026-09-21_Night</x:v>
      </x:c>
      <x:c r="B7" s="19" t="n">
        <x:v>0</x:v>
      </x:c>
      <x:c r="C7" s="19" t="n">
        <x:v>45000</x:v>
      </x:c>
      <x:c r="D7" s="19" t="n">
        <x:f>B7-C7</x:f>
        <x:v>-45000</x:v>
      </x:c>
      <x:c r="E7" s="19" t="n">
        <x:f>D7</x:f>
        <x:v>-45000</x:v>
      </x:c>
      <x:c r="F7" s="19"/>
      <x:c r="G7" s="19"/>
      <x:c r="H7" s="19"/>
      <x:c r="I7" s="19"/>
      <x:c r="J7" s="19"/>
      <x:c r="K7" s="19"/>
      <x:c r="L7" s="19"/>
      <x:c r="M7" s="19"/>
      <x:c r="N7" s="20" t="n">
        <x:v>5</x:v>
      </x:c>
      <x:c r="O7" s="20" t="n">
        <x:v>0</x:v>
      </x:c>
      <x:c r="P7" s="20" t="n">
        <x:v>1</x:v>
      </x:c>
      <x:c r="Q7" s="20"/>
      <x:c r="R7" s="20" t="n">
        <x:v>5</x:v>
      </x:c>
      <x:c r="S7" s="21"/>
      <x:c r="T7" s="21"/>
      <x:c r="U7" s="21"/>
      <x:c r="V7" s="21"/>
      <x:c r="W7" s="20"/>
      <x:c r="X7" s="20"/>
      <x:c r="Y7" s="20"/>
      <x:c r="Z7" s="20"/>
    </x:row>
    <x:row r="8" ht="23" customHeight="1">
      <x:c r="A8" s="2" t="str">
        <x:v>2026-09-22_Night</x:v>
      </x:c>
      <x:c r="B8" s="19" t="n">
        <x:v>24000</x:v>
      </x:c>
      <x:c r="C8" s="19" t="n">
        <x:v>0</x:v>
      </x:c>
      <x:c r="D8" s="19" t="n">
        <x:f>B8-C8</x:f>
        <x:v>24000</x:v>
      </x:c>
      <x:c r="E8" s="19" t="n">
        <x:f>E7+D8</x:f>
        <x:v>-21000</x:v>
      </x:c>
      <x:c r="F8" s="19"/>
      <x:c r="G8" s="19"/>
      <x:c r="H8" s="19"/>
      <x:c r="I8" s="19"/>
      <x:c r="J8" s="19"/>
      <x:c r="K8" s="19"/>
      <x:c r="L8" s="19"/>
      <x:c r="M8" s="19"/>
      <x:c r="N8" s="20" t="n">
        <x:v>5</x:v>
      </x:c>
      <x:c r="O8" s="20" t="n">
        <x:v>0</x:v>
      </x:c>
      <x:c r="P8" s="20" t="n">
        <x:v>1</x:v>
      </x:c>
      <x:c r="Q8" s="20"/>
      <x:c r="R8" s="20" t="n">
        <x:v>5</x:v>
      </x:c>
      <x:c r="S8" s="21"/>
      <x:c r="T8" s="21"/>
      <x:c r="U8" s="21"/>
      <x:c r="V8" s="21"/>
      <x:c r="W8" s="20"/>
      <x:c r="X8" s="20"/>
      <x:c r="Y8" s="20"/>
      <x:c r="Z8" s="20"/>
    </x:row>
    <x:row r="9" ht="23" customHeight="1">
      <x:c r="A9" s="2" t="str">
        <x:v>2026-09-23_Night</x:v>
      </x:c>
      <x:c r="B9" s="19" t="n">
        <x:v>5000</x:v>
      </x:c>
      <x:c r="C9" s="19" t="n">
        <x:v>41000</x:v>
      </x:c>
      <x:c r="D9" s="19" t="n">
        <x:f>B9-C9</x:f>
        <x:v>-36000</x:v>
      </x:c>
      <x:c r="E9" s="19" t="n">
        <x:f>E8+D9</x:f>
        <x:v>-57000</x:v>
      </x:c>
      <x:c r="F9" s="19"/>
      <x:c r="G9" s="19"/>
      <x:c r="H9" s="19"/>
      <x:c r="I9" s="19"/>
      <x:c r="J9" s="19"/>
      <x:c r="K9" s="19"/>
      <x:c r="L9" s="19"/>
      <x:c r="M9" s="19"/>
      <x:c r="N9" s="20" t="n">
        <x:v>2</x:v>
      </x:c>
      <x:c r="O9" s="20" t="n">
        <x:v>5</x:v>
      </x:c>
      <x:c r="P9" s="20" t="n">
        <x:v>3</x:v>
      </x:c>
      <x:c r="Q9" s="20"/>
      <x:c r="R9" s="20" t="n">
        <x:v>7</x:v>
      </x:c>
      <x:c r="S9" s="21"/>
      <x:c r="T9" s="21"/>
      <x:c r="U9" s="21"/>
      <x:c r="V9" s="21"/>
      <x:c r="W9" s="20"/>
      <x:c r="X9" s="20"/>
      <x:c r="Y9" s="20"/>
      <x:c r="Z9" s="20"/>
    </x:row>
    <x:row r="10" ht="23" customHeight="1">
      <x:c r="A10" s="2" t="str">
        <x:v>2026-09-24_Night</x:v>
      </x:c>
      <x:c r="B10" s="19" t="n">
        <x:v>20000</x:v>
      </x:c>
      <x:c r="C10" s="19" t="n">
        <x:v>0</x:v>
      </x:c>
      <x:c r="D10" s="19" t="n">
        <x:f>B10-C10</x:f>
        <x:v>20000</x:v>
      </x:c>
      <x:c r="E10" s="19" t="n">
        <x:f>E9+D10</x:f>
        <x:v>-37000</x:v>
      </x:c>
      <x:c r="F10" s="19"/>
      <x:c r="G10" s="19"/>
      <x:c r="H10" s="19"/>
      <x:c r="I10" s="19"/>
      <x:c r="J10" s="19"/>
      <x:c r="K10" s="19"/>
      <x:c r="L10" s="19"/>
      <x:c r="M10" s="19"/>
      <x:c r="N10" s="20" t="n">
        <x:v>0</x:v>
      </x:c>
      <x:c r="O10" s="20" t="n">
        <x:v>2</x:v>
      </x:c>
      <x:c r="P10" s="20" t="n">
        <x:v>2</x:v>
      </x:c>
      <x:c r="Q10" s="20"/>
      <x:c r="R10" s="20" t="n">
        <x:v>2</x:v>
      </x:c>
      <x:c r="S10" s="21"/>
      <x:c r="T10" s="21"/>
      <x:c r="U10" s="21"/>
      <x:c r="V10" s="21"/>
      <x:c r="W10" s="20"/>
      <x:c r="X10" s="20"/>
      <x:c r="Y10" s="20"/>
      <x:c r="Z10" s="20"/>
    </x:row>
    <x:row r="11" ht="23" customHeight="1">
      <x:c r="A11" s="2" t="str">
        <x:v>2026-09-25_Night</x:v>
      </x:c>
      <x:c r="B11" s="19" t="n">
        <x:v>17000</x:v>
      </x:c>
      <x:c r="C11" s="19" t="n">
        <x:v>16000</x:v>
      </x:c>
      <x:c r="D11" s="19" t="n">
        <x:f>B11-C11</x:f>
        <x:v>1000</x:v>
      </x:c>
      <x:c r="E11" s="19" t="n">
        <x:f>E10+D11</x:f>
        <x:v>-36000</x:v>
      </x:c>
      <x:c r="F11" s="19"/>
      <x:c r="G11" s="19"/>
      <x:c r="H11" s="19"/>
      <x:c r="I11" s="19"/>
      <x:c r="J11" s="19"/>
      <x:c r="K11" s="19"/>
      <x:c r="L11" s="19"/>
      <x:c r="M11" s="19"/>
      <x:c r="N11" s="20" t="n">
        <x:v>1</x:v>
      </x:c>
      <x:c r="O11" s="20" t="n">
        <x:v>5</x:v>
      </x:c>
      <x:c r="P11" s="20" t="n">
        <x:v>2</x:v>
      </x:c>
      <x:c r="Q11" s="20"/>
      <x:c r="R11" s="20" t="n">
        <x:v>6</x:v>
      </x:c>
      <x:c r="S11" s="21"/>
      <x:c r="T11" s="21"/>
      <x:c r="U11" s="21"/>
      <x:c r="V11" s="21"/>
      <x:c r="W11" s="20"/>
      <x:c r="X11" s="20"/>
      <x:c r="Y11" s="20"/>
      <x:c r="Z11" s="20"/>
    </x:row>
    <x:row r="12" ht="23" customHeight="1">
      <x:c r="A12" s="2" t="str">
        <x:v>2026-09-28_Night</x:v>
      </x:c>
      <x:c r="B12" s="19" t="n">
        <x:v>19000</x:v>
      </x:c>
      <x:c r="C12" s="19" t="n">
        <x:v>39000</x:v>
      </x:c>
      <x:c r="D12" s="19" t="n">
        <x:f>B12-C12</x:f>
        <x:v>-20000</x:v>
      </x:c>
      <x:c r="E12" s="19" t="n">
        <x:f>E11+D12</x:f>
        <x:v>-56000</x:v>
      </x:c>
      <x:c r="F12" s="19"/>
      <x:c r="G12" s="19"/>
      <x:c r="H12" s="19"/>
      <x:c r="I12" s="19"/>
      <x:c r="J12" s="19"/>
      <x:c r="K12" s="19"/>
      <x:c r="L12" s="19"/>
      <x:c r="M12" s="19"/>
      <x:c r="N12" s="20" t="n">
        <x:v>3</x:v>
      </x:c>
      <x:c r="O12" s="20" t="n">
        <x:v>3</x:v>
      </x:c>
      <x:c r="P12" s="20" t="n">
        <x:v>5</x:v>
      </x:c>
      <x:c r="Q12" s="20"/>
      <x:c r="R12" s="20" t="n">
        <x:v>7</x:v>
      </x:c>
      <x:c r="S12" s="21"/>
      <x:c r="T12" s="21"/>
      <x:c r="U12" s="21"/>
      <x:c r="V12" s="21"/>
      <x:c r="W12" s="20"/>
      <x:c r="X12" s="20"/>
      <x:c r="Y12" s="20"/>
      <x:c r="Z12" s="20"/>
    </x:row>
    <x:row r="13" ht="23" customHeight="1">
      <x:c r="A13" s="2" t="str">
        <x:v>2026-09-29_Night</x:v>
      </x:c>
      <x:c r="B13" s="19" t="n">
        <x:v>90000</x:v>
      </x:c>
      <x:c r="C13" s="19" t="n">
        <x:v>25000</x:v>
      </x:c>
      <x:c r="D13" s="19" t="n">
        <x:f>B13-C13</x:f>
        <x:v>65000</x:v>
      </x:c>
      <x:c r="E13" s="19" t="n">
        <x:f>E12+D13</x:f>
        <x:v>9000</x:v>
      </x:c>
      <x:c r="F13" s="19"/>
      <x:c r="G13" s="19"/>
      <x:c r="H13" s="19"/>
      <x:c r="I13" s="19"/>
      <x:c r="J13" s="19"/>
      <x:c r="K13" s="19"/>
      <x:c r="L13" s="19"/>
      <x:c r="M13" s="19"/>
      <x:c r="N13" s="20" t="n">
        <x:v>5</x:v>
      </x:c>
      <x:c r="O13" s="20" t="n">
        <x:v>5</x:v>
      </x:c>
      <x:c r="P13" s="20" t="n">
        <x:v>6</x:v>
      </x:c>
      <x:c r="Q13" s="20"/>
      <x:c r="R13" s="20" t="n">
        <x:v>14</x:v>
      </x:c>
      <x:c r="S13" s="21"/>
      <x:c r="T13" s="21"/>
      <x:c r="U13" s="21"/>
      <x:c r="V13" s="21"/>
      <x:c r="W13" s="20"/>
      <x:c r="X13" s="20"/>
      <x:c r="Y13" s="20"/>
      <x:c r="Z13" s="20"/>
    </x:row>
    <x:row r="14" ht="23" customHeight="1">
      <x:c r="A14" s="2" t="str">
        <x:v>2026-09-30_Night</x:v>
      </x:c>
      <x:c r="B14" s="19" t="n">
        <x:v>49000</x:v>
      </x:c>
      <x:c r="C14" s="19" t="n">
        <x:v>6000</x:v>
      </x:c>
      <x:c r="D14" s="19" t="n">
        <x:f>B14-C14</x:f>
        <x:v>43000</x:v>
      </x:c>
      <x:c r="E14" s="19" t="n">
        <x:f>E13+D14</x:f>
        <x:v>52000</x:v>
      </x:c>
      <x:c r="F14" s="19"/>
      <x:c r="G14" s="19"/>
      <x:c r="H14" s="19"/>
      <x:c r="I14" s="19"/>
      <x:c r="J14" s="19"/>
      <x:c r="K14" s="19"/>
      <x:c r="L14" s="19"/>
      <x:c r="M14" s="19"/>
      <x:c r="N14" s="20" t="n">
        <x:v>7</x:v>
      </x:c>
      <x:c r="O14" s="20" t="n">
        <x:v>0</x:v>
      </x:c>
      <x:c r="P14" s="20" t="n">
        <x:v>3</x:v>
      </x:c>
      <x:c r="Q14" s="20"/>
      <x:c r="R14" s="20" t="n">
        <x:v>7</x:v>
      </x:c>
      <x:c r="S14" s="21"/>
      <x:c r="T14" s="21"/>
      <x:c r="U14" s="21"/>
      <x:c r="V14" s="21"/>
      <x:c r="W14" s="20"/>
      <x:c r="X14" s="20"/>
      <x:c r="Y14" s="20"/>
      <x:c r="Z14" s="20"/>
    </x:row>
    <x:row r="15" ht="23" customHeight="1">
      <x:c r="A15" s="2" t="str">
        <x:v>2026-10-01_Night</x:v>
      </x:c>
      <x:c r="B15" s="19" t="n">
        <x:v>217000</x:v>
      </x:c>
      <x:c r="C15" s="19" t="n">
        <x:v>108000</x:v>
      </x:c>
      <x:c r="D15" s="19" t="n">
        <x:f>B15-C15</x:f>
        <x:v>109000</x:v>
      </x:c>
      <x:c r="E15" s="19" t="n">
        <x:f>E14+D15</x:f>
        <x:v>161000</x:v>
      </x:c>
      <x:c r="F15" s="19"/>
      <x:c r="G15" s="19"/>
      <x:c r="H15" s="19"/>
      <x:c r="I15" s="19"/>
      <x:c r="J15" s="19"/>
      <x:c r="K15" s="19"/>
      <x:c r="L15" s="19"/>
      <x:c r="M15" s="19"/>
      <x:c r="N15" s="20" t="n">
        <x:v>4</x:v>
      </x:c>
      <x:c r="O15" s="20" t="n">
        <x:v>5</x:v>
      </x:c>
      <x:c r="P15" s="20" t="n">
        <x:v>13</x:v>
      </x:c>
      <x:c r="Q15" s="20"/>
      <x:c r="R15" s="20" t="n">
        <x:v>21</x:v>
      </x:c>
      <x:c r="S15" s="21"/>
      <x:c r="T15" s="21"/>
      <x:c r="U15" s="21"/>
      <x:c r="V15" s="21"/>
      <x:c r="W15" s="20"/>
      <x:c r="X15" s="20"/>
      <x:c r="Y15" s="20"/>
      <x:c r="Z15" s="20"/>
    </x:row>
    <x:row r="16" ht="23" customHeight="1">
      <x:c r="A16" s="2" t="str">
        <x:v>2026-10-02_Night</x:v>
      </x:c>
      <x:c r="B16" s="19" t="n">
        <x:v>313000</x:v>
      </x:c>
      <x:c r="C16" s="19" t="n">
        <x:v>57000</x:v>
      </x:c>
      <x:c r="D16" s="19" t="n">
        <x:f>B16-C16</x:f>
        <x:v>256000</x:v>
      </x:c>
      <x:c r="E16" s="19" t="n">
        <x:f>E15+D16</x:f>
        <x:v>417000</x:v>
      </x:c>
      <x:c r="F16" s="19"/>
      <x:c r="G16" s="19"/>
      <x:c r="H16" s="19"/>
      <x:c r="I16" s="19"/>
      <x:c r="J16" s="19"/>
      <x:c r="K16" s="19"/>
      <x:c r="L16" s="19"/>
      <x:c r="M16" s="19"/>
      <x:c r="N16" s="20" t="n">
        <x:v>7</x:v>
      </x:c>
      <x:c r="O16" s="20" t="n">
        <x:v>10</x:v>
      </x:c>
      <x:c r="P16" s="20" t="n">
        <x:v>15</x:v>
      </x:c>
      <x:c r="Q16" s="20"/>
      <x:c r="R16" s="20" t="n">
        <x:v>28</x:v>
      </x:c>
      <x:c r="S16" s="21"/>
      <x:c r="T16" s="21"/>
      <x:c r="U16" s="21"/>
      <x:c r="V16" s="21"/>
      <x:c r="W16" s="20"/>
      <x:c r="X16" s="20"/>
      <x:c r="Y16" s="20"/>
      <x:c r="Z16" s="20"/>
    </x:row>
    <x:row r="17" ht="23" customHeight="1">
      <x:c r="A17" s="2" t="str">
        <x:v>2026-10-05_Night</x:v>
      </x:c>
      <x:c r="B17" s="19" t="n">
        <x:v>98000</x:v>
      </x:c>
      <x:c r="C17" s="19" t="n">
        <x:v>64000</x:v>
      </x:c>
      <x:c r="D17" s="19" t="n">
        <x:f>B17-C17</x:f>
        <x:v>34000</x:v>
      </x:c>
      <x:c r="E17" s="19" t="n">
        <x:f>E16+D17</x:f>
        <x:v>451000</x:v>
      </x:c>
      <x:c r="F17" s="19"/>
      <x:c r="G17" s="19"/>
      <x:c r="H17" s="19"/>
      <x:c r="I17" s="19"/>
      <x:c r="J17" s="19"/>
      <x:c r="K17" s="19"/>
      <x:c r="L17" s="19"/>
      <x:c r="M17" s="19"/>
      <x:c r="N17" s="20" t="n">
        <x:v>5</x:v>
      </x:c>
      <x:c r="O17" s="20" t="n">
        <x:v>2</x:v>
      </x:c>
      <x:c r="P17" s="20" t="n">
        <x:v>7</x:v>
      </x:c>
      <x:c r="Q17" s="20"/>
      <x:c r="R17" s="20" t="n">
        <x:v>14</x:v>
      </x:c>
      <x:c r="S17" s="21"/>
      <x:c r="T17" s="21"/>
      <x:c r="U17" s="21"/>
      <x:c r="V17" s="21"/>
      <x:c r="W17" s="20"/>
      <x:c r="X17" s="20"/>
      <x:c r="Y17" s="20"/>
      <x:c r="Z17" s="20"/>
    </x:row>
    <x:row r="18" ht="23" customHeight="1">
      <x:c r="A18" s="2" t="str">
        <x:v>2026-10-06_Night</x:v>
      </x:c>
      <x:c r="B18" s="19" t="n">
        <x:v>33000</x:v>
      </x:c>
      <x:c r="C18" s="19" t="n">
        <x:v>43000</x:v>
      </x:c>
      <x:c r="D18" s="19" t="n">
        <x:f>B18-C18</x:f>
        <x:v>-10000</x:v>
      </x:c>
      <x:c r="E18" s="19" t="n">
        <x:f>E17+D18</x:f>
        <x:v>441000</x:v>
      </x:c>
      <x:c r="F18" s="19"/>
      <x:c r="G18" s="19"/>
      <x:c r="H18" s="19"/>
      <x:c r="I18" s="19"/>
      <x:c r="J18" s="19"/>
      <x:c r="K18" s="19"/>
      <x:c r="L18" s="19"/>
      <x:c r="M18" s="19"/>
      <x:c r="N18" s="20" t="n">
        <x:v>0</x:v>
      </x:c>
      <x:c r="O18" s="20" t="n">
        <x:v>7</x:v>
      </x:c>
      <x:c r="P18" s="20" t="n">
        <x:v>4</x:v>
      </x:c>
      <x:c r="Q18" s="20"/>
      <x:c r="R18" s="20" t="n">
        <x:v>8</x:v>
      </x:c>
      <x:c r="S18" s="21"/>
      <x:c r="T18" s="21"/>
      <x:c r="U18" s="21"/>
      <x:c r="V18" s="21"/>
      <x:c r="W18" s="20"/>
      <x:c r="X18" s="20"/>
      <x:c r="Y18" s="20"/>
      <x:c r="Z18" s="20"/>
    </x:row>
    <x:row r="19" ht="23" customHeight="1">
      <x:c r="A19" s="2" t="str">
        <x:v>2026-10-07_Night</x:v>
      </x:c>
      <x:c r="B19" s="19" t="n">
        <x:v>0</x:v>
      </x:c>
      <x:c r="C19" s="19" t="n">
        <x:v>43000</x:v>
      </x:c>
      <x:c r="D19" s="19" t="n">
        <x:f>B19-C19</x:f>
        <x:v>-43000</x:v>
      </x:c>
      <x:c r="E19" s="19" t="n">
        <x:f>E18+D19</x:f>
        <x:v>398000</x:v>
      </x:c>
      <x:c r="F19" s="19"/>
      <x:c r="G19" s="19"/>
      <x:c r="H19" s="19"/>
      <x:c r="I19" s="19"/>
      <x:c r="J19" s="19"/>
      <x:c r="K19" s="19"/>
      <x:c r="L19" s="19"/>
      <x:c r="M19" s="19"/>
      <x:c r="N19" s="20" t="n">
        <x:v>2</x:v>
      </x:c>
      <x:c r="O19" s="20" t="n">
        <x:v>2</x:v>
      </x:c>
      <x:c r="P19" s="20" t="n">
        <x:v>4</x:v>
      </x:c>
      <x:c r="Q19" s="20"/>
      <x:c r="R19" s="20" t="n">
        <x:v>4</x:v>
      </x:c>
      <x:c r="S19" s="21"/>
      <x:c r="T19" s="21"/>
      <x:c r="U19" s="21"/>
      <x:c r="V19" s="21"/>
      <x:c r="W19" s="20"/>
      <x:c r="X19" s="20"/>
      <x:c r="Y19" s="20"/>
      <x:c r="Z19" s="20"/>
    </x:row>
    <x:row r="20" ht="23" customHeight="1">
      <x:c r="A20" s="2" t="str">
        <x:v>2026-10-08_Night</x:v>
      </x:c>
      <x:c r="B20" s="19" t="n">
        <x:v>349000</x:v>
      </x:c>
      <x:c r="C20" s="19" t="n">
        <x:v>38000</x:v>
      </x:c>
      <x:c r="D20" s="19" t="n">
        <x:f>B20-C20</x:f>
        <x:v>311000</x:v>
      </x:c>
      <x:c r="E20" s="19" t="n">
        <x:f>E19+D20</x:f>
        <x:v>709000</x:v>
      </x:c>
      <x:c r="F20" s="19"/>
      <x:c r="G20" s="19"/>
      <x:c r="H20" s="19"/>
      <x:c r="I20" s="19"/>
      <x:c r="J20" s="19"/>
      <x:c r="K20" s="19"/>
      <x:c r="L20" s="19"/>
      <x:c r="M20" s="19"/>
      <x:c r="N20" s="20" t="n">
        <x:v>8</x:v>
      </x:c>
      <x:c r="O20" s="20" t="n">
        <x:v>8</x:v>
      </x:c>
      <x:c r="P20" s="20" t="n">
        <x:v>17</x:v>
      </x:c>
      <x:c r="Q20" s="20"/>
      <x:c r="R20" s="20" t="n">
        <x:v>30</x:v>
      </x:c>
      <x:c r="S20" s="21"/>
      <x:c r="T20" s="21"/>
      <x:c r="U20" s="21"/>
      <x:c r="V20" s="21"/>
      <x:c r="W20" s="20"/>
      <x:c r="X20" s="20"/>
      <x:c r="Y20" s="20"/>
      <x:c r="Z20" s="20"/>
    </x:row>
    <x:row r="21" ht="23" customHeight="1">
      <x:c r="A21" s="2" t="str">
        <x:v>2026-10-09_Night</x:v>
      </x:c>
      <x:c r="B21" s="19" t="n">
        <x:v>14000</x:v>
      </x:c>
      <x:c r="C21" s="19" t="n">
        <x:v>0</x:v>
      </x:c>
      <x:c r="D21" s="19" t="n">
        <x:f>B21-C21</x:f>
        <x:v>14000</x:v>
      </x:c>
      <x:c r="E21" s="19" t="n">
        <x:f>E20+D21</x:f>
        <x:v>723000</x:v>
      </x:c>
      <x:c r="F21" s="19"/>
      <x:c r="G21" s="19"/>
      <x:c r="H21" s="19"/>
      <x:c r="I21" s="19"/>
      <x:c r="J21" s="19"/>
      <x:c r="K21" s="19"/>
      <x:c r="L21" s="19"/>
      <x:c r="M21" s="19"/>
      <x:c r="N21" s="20" t="n">
        <x:v>0</x:v>
      </x:c>
      <x:c r="O21" s="20" t="n">
        <x:v>5</x:v>
      </x:c>
      <x:c r="P21" s="20" t="n">
        <x:v>1</x:v>
      </x:c>
      <x:c r="Q21" s="20"/>
      <x:c r="R21" s="20" t="n">
        <x:v>5</x:v>
      </x:c>
      <x:c r="S21" s="21"/>
      <x:c r="T21" s="21"/>
      <x:c r="U21" s="21"/>
      <x:c r="V21" s="21"/>
      <x:c r="W21" s="20"/>
      <x:c r="X21" s="20"/>
      <x:c r="Y21" s="20"/>
      <x:c r="Z21" s="20"/>
    </x:row>
    <x:row r="22" ht="23" customHeight="1">
      <x:c r="A22" s="2" t="str">
        <x:v>2026-10-12_Night</x:v>
      </x:c>
      <x:c r="B22" s="19" t="n">
        <x:v>82000</x:v>
      </x:c>
      <x:c r="C22" s="19" t="n">
        <x:v>0</x:v>
      </x:c>
      <x:c r="D22" s="19" t="n">
        <x:f>B22-C22</x:f>
        <x:v>82000</x:v>
      </x:c>
      <x:c r="E22" s="19" t="n">
        <x:f>E21+D22</x:f>
        <x:v>805000</x:v>
      </x:c>
      <x:c r="F22" s="19"/>
      <x:c r="G22" s="19"/>
      <x:c r="H22" s="19"/>
      <x:c r="I22" s="19"/>
      <x:c r="J22" s="19"/>
      <x:c r="K22" s="19"/>
      <x:c r="L22" s="19"/>
      <x:c r="M22" s="19"/>
      <x:c r="N22" s="20" t="n">
        <x:v>0</x:v>
      </x:c>
      <x:c r="O22" s="20" t="n">
        <x:v>5</x:v>
      </x:c>
      <x:c r="P22" s="20" t="n">
        <x:v>1</x:v>
      </x:c>
      <x:c r="Q22" s="20"/>
      <x:c r="R22" s="20" t="n">
        <x:v>5</x:v>
      </x:c>
      <x:c r="S22" s="21"/>
      <x:c r="T22" s="21"/>
      <x:c r="U22" s="21"/>
      <x:c r="V22" s="21"/>
      <x:c r="W22" s="20"/>
      <x:c r="X22" s="20"/>
      <x:c r="Y22" s="20"/>
      <x:c r="Z22" s="20"/>
    </x:row>
    <x:row r="23" ht="23" customHeight="1">
      <x:c r="A23" s="2" t="str">
        <x:v>2026-10-13_Night</x:v>
      </x:c>
      <x:c r="B23" s="19" t="n">
        <x:v>0</x:v>
      </x:c>
      <x:c r="C23" s="19" t="n">
        <x:v>53000</x:v>
      </x:c>
      <x:c r="D23" s="19" t="n">
        <x:f>B23-C23</x:f>
        <x:v>-53000</x:v>
      </x:c>
      <x:c r="E23" s="19" t="n">
        <x:f>E22+D23</x:f>
        <x:v>752000</x:v>
      </x:c>
      <x:c r="F23" s="19"/>
      <x:c r="G23" s="19"/>
      <x:c r="H23" s="19"/>
      <x:c r="I23" s="19"/>
      <x:c r="J23" s="19"/>
      <x:c r="K23" s="19"/>
      <x:c r="L23" s="19"/>
      <x:c r="M23" s="19"/>
      <x:c r="N23" s="20" t="n">
        <x:v>1</x:v>
      </x:c>
      <x:c r="O23" s="20" t="n">
        <x:v>5</x:v>
      </x:c>
      <x:c r="P23" s="20" t="n">
        <x:v>2</x:v>
      </x:c>
      <x:c r="Q23" s="20"/>
      <x:c r="R23" s="20" t="n">
        <x:v>6</x:v>
      </x:c>
      <x:c r="S23" s="21"/>
      <x:c r="T23" s="21"/>
      <x:c r="U23" s="21"/>
      <x:c r="V23" s="21"/>
      <x:c r="W23" s="20"/>
      <x:c r="X23" s="20"/>
      <x:c r="Y23" s="20"/>
      <x:c r="Z23" s="20"/>
    </x:row>
    <x:row r="24" ht="23" customHeight="1">
      <x:c r="A24" s="2" t="str">
        <x:v>2026-10-14_Night</x:v>
      </x:c>
      <x:c r="B24" s="19" t="n">
        <x:v>197000</x:v>
      </x:c>
      <x:c r="C24" s="19" t="n">
        <x:v>61000</x:v>
      </x:c>
      <x:c r="D24" s="19" t="n">
        <x:f>B24-C24</x:f>
        <x:v>136000</x:v>
      </x:c>
      <x:c r="E24" s="19" t="n">
        <x:f>E23+D24</x:f>
        <x:v>888000</x:v>
      </x:c>
      <x:c r="F24" s="19"/>
      <x:c r="G24" s="19"/>
      <x:c r="H24" s="19"/>
      <x:c r="I24" s="19"/>
      <x:c r="J24" s="19"/>
      <x:c r="K24" s="19"/>
      <x:c r="L24" s="19"/>
      <x:c r="M24" s="19"/>
      <x:c r="N24" s="20" t="n">
        <x:v>1</x:v>
      </x:c>
      <x:c r="O24" s="20" t="n">
        <x:v>5</x:v>
      </x:c>
      <x:c r="P24" s="20" t="n">
        <x:v>4</x:v>
      </x:c>
      <x:c r="Q24" s="20"/>
      <x:c r="R24" s="20" t="n">
        <x:v>9</x:v>
      </x:c>
      <x:c r="S24" s="21"/>
      <x:c r="T24" s="21"/>
      <x:c r="U24" s="21"/>
      <x:c r="V24" s="21"/>
      <x:c r="W24" s="20"/>
      <x:c r="X24" s="20"/>
      <x:c r="Y24" s="20"/>
      <x:c r="Z24" s="20"/>
    </x:row>
    <x:row r="25" ht="23" customHeight="1">
      <x:c r="A25" s="2" t="str">
        <x:v>2026-10-15_Night</x:v>
      </x:c>
      <x:c r="B25" s="19" t="n">
        <x:v>86000</x:v>
      </x:c>
      <x:c r="C25" s="19" t="n">
        <x:v>64000</x:v>
      </x:c>
      <x:c r="D25" s="19" t="n">
        <x:f>B25-C25</x:f>
        <x:v>22000</x:v>
      </x:c>
      <x:c r="E25" s="19" t="n">
        <x:f>E24+D25</x:f>
        <x:v>910000</x:v>
      </x:c>
      <x:c r="F25" s="19"/>
      <x:c r="G25" s="19"/>
      <x:c r="H25" s="19"/>
      <x:c r="I25" s="19"/>
      <x:c r="J25" s="19"/>
      <x:c r="K25" s="19"/>
      <x:c r="L25" s="19"/>
      <x:c r="M25" s="19"/>
      <x:c r="N25" s="20" t="n">
        <x:v>3</x:v>
      </x:c>
      <x:c r="O25" s="20" t="n">
        <x:v>2</x:v>
      </x:c>
      <x:c r="P25" s="20" t="n">
        <x:v>7</x:v>
      </x:c>
      <x:c r="Q25" s="20"/>
      <x:c r="R25" s="20" t="n">
        <x:v>9</x:v>
      </x:c>
      <x:c r="S25" s="21"/>
      <x:c r="T25" s="21"/>
      <x:c r="U25" s="21"/>
      <x:c r="V25" s="21"/>
      <x:c r="W25" s="20"/>
      <x:c r="X25" s="20"/>
      <x:c r="Y25" s="20"/>
      <x:c r="Z25" s="20"/>
    </x:row>
    <x:row r="26" ht="23" customHeight="1">
      <x:c r="A26" s="2" t="str">
        <x:v>2026-10-16_Night</x:v>
      </x:c>
      <x:c r="B26" s="19" t="n">
        <x:v>163000</x:v>
      </x:c>
      <x:c r="C26" s="19" t="n">
        <x:v>131000</x:v>
      </x:c>
      <x:c r="D26" s="19" t="n">
        <x:f>B26-C26</x:f>
        <x:v>32000</x:v>
      </x:c>
      <x:c r="E26" s="19" t="n">
        <x:f>E25+D26</x:f>
        <x:v>942000</x:v>
      </x:c>
      <x:c r="F26" s="19"/>
      <x:c r="G26" s="19"/>
      <x:c r="H26" s="19"/>
      <x:c r="I26" s="19"/>
      <x:c r="J26" s="19"/>
      <x:c r="K26" s="19"/>
      <x:c r="L26" s="19"/>
      <x:c r="M26" s="19"/>
      <x:c r="N26" s="20" t="n">
        <x:v>3</x:v>
      </x:c>
      <x:c r="O26" s="20" t="n">
        <x:v>7</x:v>
      </x:c>
      <x:c r="P26" s="20" t="n">
        <x:v>13</x:v>
      </x:c>
      <x:c r="Q26" s="20"/>
      <x:c r="R26" s="20" t="n">
        <x:v>27</x:v>
      </x:c>
      <x:c r="S26" s="21"/>
      <x:c r="T26" s="21"/>
      <x:c r="U26" s="21"/>
      <x:c r="V26" s="21"/>
      <x:c r="W26" s="20"/>
      <x:c r="X26" s="20"/>
      <x:c r="Y26" s="20"/>
      <x:c r="Z26" s="20"/>
    </x:row>
    <x:row r="27" ht="23" customHeight="1">
      <x:c r="A27" s="2" t="str">
        <x:v>2026-10-19_Night</x:v>
      </x:c>
      <x:c r="B27" s="19" t="n">
        <x:v>97000</x:v>
      </x:c>
      <x:c r="C27" s="19" t="n">
        <x:v>105000</x:v>
      </x:c>
      <x:c r="D27" s="19" t="n">
        <x:f>B27-C27</x:f>
        <x:v>-8000</x:v>
      </x:c>
      <x:c r="E27" s="19" t="n">
        <x:f>E26+D27</x:f>
        <x:v>934000</x:v>
      </x:c>
      <x:c r="F27" s="19"/>
      <x:c r="G27" s="19"/>
      <x:c r="H27" s="19"/>
      <x:c r="I27" s="19"/>
      <x:c r="J27" s="19"/>
      <x:c r="K27" s="19"/>
      <x:c r="L27" s="19"/>
      <x:c r="M27" s="19"/>
      <x:c r="N27" s="20" t="n">
        <x:v>3</x:v>
      </x:c>
      <x:c r="O27" s="20" t="n">
        <x:v>5</x:v>
      </x:c>
      <x:c r="P27" s="20" t="n">
        <x:v>12</x:v>
      </x:c>
      <x:c r="Q27" s="20"/>
      <x:c r="R27" s="20" t="n">
        <x:v>21</x:v>
      </x:c>
      <x:c r="S27" s="21"/>
      <x:c r="T27" s="21"/>
      <x:c r="U27" s="21"/>
      <x:c r="V27" s="21"/>
      <x:c r="W27" s="20"/>
      <x:c r="X27" s="20"/>
      <x:c r="Y27" s="20"/>
      <x:c r="Z27" s="20"/>
    </x:row>
    <x:row r="28" ht="23" customHeight="1">
      <x:c r="A28" s="2" t="str">
        <x:v>2026-10-20_Night</x:v>
      </x:c>
      <x:c r="B28" s="19" t="n">
        <x:v>133000</x:v>
      </x:c>
      <x:c r="C28" s="19" t="n">
        <x:v>33000</x:v>
      </x:c>
      <x:c r="D28" s="19" t="n">
        <x:f>B28-C28</x:f>
        <x:v>100000</x:v>
      </x:c>
      <x:c r="E28" s="19" t="n">
        <x:f>E27+D28</x:f>
        <x:v>1034000</x:v>
      </x:c>
      <x:c r="F28" s="19"/>
      <x:c r="G28" s="19"/>
      <x:c r="H28" s="19"/>
      <x:c r="I28" s="19"/>
      <x:c r="J28" s="19"/>
      <x:c r="K28" s="19"/>
      <x:c r="L28" s="19"/>
      <x:c r="M28" s="19"/>
      <x:c r="N28" s="20" t="n">
        <x:v>2</x:v>
      </x:c>
      <x:c r="O28" s="20" t="n">
        <x:v>5</x:v>
      </x:c>
      <x:c r="P28" s="20" t="n">
        <x:v>9</x:v>
      </x:c>
      <x:c r="Q28" s="20"/>
      <x:c r="R28" s="20" t="n">
        <x:v>12</x:v>
      </x:c>
      <x:c r="S28" s="21"/>
      <x:c r="T28" s="21"/>
      <x:c r="U28" s="21"/>
      <x:c r="V28" s="21"/>
      <x:c r="W28" s="20"/>
      <x:c r="X28" s="20"/>
      <x:c r="Y28" s="20"/>
      <x:c r="Z28" s="20"/>
    </x:row>
    <x:row r="29" ht="23" customHeight="1">
      <x:c r="A29" s="2" t="str">
        <x:v>2026-10-21_Night</x:v>
      </x:c>
      <x:c r="B29" s="19" t="n">
        <x:v>65000</x:v>
      </x:c>
      <x:c r="C29" s="19" t="n">
        <x:v>89000</x:v>
      </x:c>
      <x:c r="D29" s="19" t="n">
        <x:f>B29-C29</x:f>
        <x:v>-24000</x:v>
      </x:c>
      <x:c r="E29" s="19" t="n">
        <x:f>E28+D29</x:f>
        <x:v>1010000</x:v>
      </x:c>
      <x:c r="F29" s="19"/>
      <x:c r="G29" s="19"/>
      <x:c r="H29" s="19"/>
      <x:c r="I29" s="19"/>
      <x:c r="J29" s="19"/>
      <x:c r="K29" s="19"/>
      <x:c r="L29" s="19"/>
      <x:c r="M29" s="19"/>
      <x:c r="N29" s="20" t="n">
        <x:v>7</x:v>
      </x:c>
      <x:c r="O29" s="20" t="n">
        <x:v>5</x:v>
      </x:c>
      <x:c r="P29" s="20" t="n">
        <x:v>5</x:v>
      </x:c>
      <x:c r="Q29" s="20"/>
      <x:c r="R29" s="20" t="n">
        <x:v>17</x:v>
      </x:c>
      <x:c r="S29" s="21"/>
      <x:c r="T29" s="21"/>
      <x:c r="U29" s="21"/>
      <x:c r="V29" s="21"/>
      <x:c r="W29" s="20"/>
      <x:c r="X29" s="20"/>
      <x:c r="Y29" s="20"/>
      <x:c r="Z29" s="20"/>
    </x:row>
    <x:row r="30" ht="23" customHeight="1">
      <x:c r="A30" s="2" t="str">
        <x:v>2026-10-22_Night</x:v>
      </x:c>
      <x:c r="B30" s="19" t="n">
        <x:v>156000</x:v>
      </x:c>
      <x:c r="C30" s="19" t="n">
        <x:v>0</x:v>
      </x:c>
      <x:c r="D30" s="19" t="n">
        <x:f>B30-C30</x:f>
        <x:v>156000</x:v>
      </x:c>
      <x:c r="E30" s="19" t="n">
        <x:f>E29+D30</x:f>
        <x:v>1166000</x:v>
      </x:c>
      <x:c r="F30" s="19"/>
      <x:c r="G30" s="19"/>
      <x:c r="H30" s="19"/>
      <x:c r="I30" s="19"/>
      <x:c r="J30" s="19"/>
      <x:c r="K30" s="19"/>
      <x:c r="L30" s="19"/>
      <x:c r="M30" s="19"/>
      <x:c r="N30" s="20" t="n">
        <x:v>0</x:v>
      </x:c>
      <x:c r="O30" s="20" t="n">
        <x:v>6</x:v>
      </x:c>
      <x:c r="P30" s="20" t="n">
        <x:v>3</x:v>
      </x:c>
      <x:c r="Q30" s="20"/>
      <x:c r="R30" s="20" t="n">
        <x:v>7</x:v>
      </x:c>
      <x:c r="S30" s="21"/>
      <x:c r="T30" s="21"/>
      <x:c r="U30" s="21"/>
      <x:c r="V30" s="21"/>
      <x:c r="W30" s="20"/>
      <x:c r="X30" s="20"/>
      <x:c r="Y30" s="20"/>
      <x:c r="Z30" s="20"/>
    </x:row>
    <x:row r="31" ht="23" customHeight="1">
      <x:c r="A31" s="2" t="str">
        <x:v>2026-10-23_Night</x:v>
      </x:c>
      <x:c r="B31" s="19" t="n">
        <x:v>51000</x:v>
      </x:c>
      <x:c r="C31" s="19" t="n">
        <x:v>64000</x:v>
      </x:c>
      <x:c r="D31" s="19" t="n">
        <x:f>B31-C31</x:f>
        <x:v>-13000</x:v>
      </x:c>
      <x:c r="E31" s="19" t="n">
        <x:f>E30+D31</x:f>
        <x:v>1153000</x:v>
      </x:c>
      <x:c r="F31" s="19"/>
      <x:c r="G31" s="19"/>
      <x:c r="H31" s="19"/>
      <x:c r="I31" s="19"/>
      <x:c r="J31" s="19"/>
      <x:c r="K31" s="19"/>
      <x:c r="L31" s="19"/>
      <x:c r="M31" s="19"/>
      <x:c r="N31" s="20" t="n">
        <x:v>5</x:v>
      </x:c>
      <x:c r="O31" s="20" t="n">
        <x:v>4</x:v>
      </x:c>
      <x:c r="P31" s="20" t="n">
        <x:v>10</x:v>
      </x:c>
      <x:c r="Q31" s="20"/>
      <x:c r="R31" s="20" t="n">
        <x:v>15</x:v>
      </x:c>
      <x:c r="S31" s="21"/>
      <x:c r="T31" s="21"/>
      <x:c r="U31" s="21"/>
      <x:c r="V31" s="21"/>
      <x:c r="W31" s="20"/>
      <x:c r="X31" s="20"/>
      <x:c r="Y31" s="20"/>
      <x:c r="Z31" s="20"/>
    </x:row>
    <x:row r="32" ht="23" customHeight="1">
      <x:c r="A32" s="26" t="str">
        <x:v>25夜累計／最大</x:v>
      </x:c>
      <x:c r="B32" s="27" t="n">
        <x:f>SUM(B7:B31)</x:f>
        <x:v>2278000</x:v>
      </x:c>
      <x:c r="C32" s="27" t="n">
        <x:f>SUM(C7:C31)</x:f>
        <x:v>1125000</x:v>
      </x:c>
      <x:c r="D32" s="27" t="n">
        <x:f>B32-C32</x:f>
        <x:v>1153000</x:v>
      </x:c>
      <x:c r="E32" s="27" t="n">
        <x:f>E31</x:f>
        <x:v>1153000</x:v>
      </x:c>
      <x:c r="F32" s="27"/>
      <x:c r="G32" s="27"/>
      <x:c r="H32" s="27"/>
      <x:c r="I32" s="27"/>
      <x:c r="J32" s="27"/>
      <x:c r="K32" s="27"/>
      <x:c r="L32" s="27"/>
      <x:c r="M32" s="27"/>
      <x:c r="N32" s="28" t="n">
        <x:f>MAX(N7:N31)</x:f>
        <x:v>8</x:v>
      </x:c>
      <x:c r="O32" s="28" t="n">
        <x:f>MAX(O7:O31)</x:f>
        <x:v>10</x:v>
      </x:c>
      <x:c r="P32" s="28" t="n">
        <x:f>SUM(P7:P31)</x:f>
        <x:v>150</x:v>
      </x:c>
      <x:c r="Q32" s="28"/>
      <x:c r="R32" s="28" t="n">
        <x:f>SUM(R7:R31)</x:f>
        <x:v>291</x:v>
      </x:c>
      <x:c r="S32" s="29"/>
      <x:c r="T32" s="29"/>
      <x:c r="U32" s="29"/>
      <x:c r="V32" s="29"/>
      <x:c r="W32" s="28"/>
      <x:c r="X32" s="28"/>
      <x:c r="Y32" s="28"/>
      <x:c r="Z32" s="28"/>
    </x:row>
  </x:sheetData>
  <x:conditionalFormatting sqref="B7:M32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ff697b3625e42a9"/>
  </x:tableParts>
</x:worksheet>
</file>

<file path=xl/worksheets/sheet3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3" customHeight="1">
      <x:c r="A2" s="4" t="str">
        <x:v>B04　全夜間の利益・損失・収支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3" ht="23" customHeight="1">
      <x:c r="A3" s="6" t="str">
        <x:v>日経mini・片方向上限10枚・手数料0・次正常ラージ気配代理。2026/09/21〜10/23の完了25夜。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3" customHeight="1">
      <x:c r="A4" s="6" t="str">
        <x:v>利益・損失は新規実約定IDごとの全返済収支で分類。旧親単位の利益損失とは異なります。未測定は空欄。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3" customHeight="1">
      <x:c r="A5" s="6" t="str">
        <x:v>米国前の浅い押戻り・保存対照を新規実約定ID単位で再会計。保存対照。未測定の含み損・DD・返済内訳は空欄。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4" customHeight="1">
      <x:c r="A6" s="15" t="str">
        <x:v>セッション</x:v>
      </x:c>
      <x:c r="B6" s="16" t="str">
        <x:v>利益（円）</x:v>
      </x:c>
      <x:c r="C6" s="16" t="str">
        <x:v>損失（円）</x:v>
      </x:c>
      <x:c r="D6" s="16" t="str">
        <x:v>全夜収支（円）</x:v>
      </x:c>
      <x:c r="E6" s="16" t="str">
        <x:v>累計（円）</x:v>
      </x:c>
      <x:c r="F6" s="16" t="str">
        <x:v>対象区間収支</x:v>
      </x:c>
      <x:c r="G6" s="16" t="str">
        <x:v>保存後半収支</x:v>
      </x:c>
      <x:c r="H6" s="16" t="str">
        <x:v>利益追尾の利益</x:v>
      </x:c>
      <x:c r="I6" s="16" t="str">
        <x:v>利益追尾の損失</x:v>
      </x:c>
      <x:c r="J6" s="16" t="str">
        <x:v>境界清算の利益</x:v>
      </x:c>
      <x:c r="K6" s="16" t="str">
        <x:v>境界清算の損失</x:v>
      </x:c>
      <x:c r="L6" s="16" t="str">
        <x:v>最大含み損（円）</x:v>
      </x:c>
      <x:c r="M6" s="16" t="str">
        <x:v>対象区間DD</x:v>
      </x:c>
      <x:c r="N6" s="16" t="str">
        <x:v>最大買い枚数</x:v>
      </x:c>
      <x:c r="O6" s="16" t="str">
        <x:v>最大売り枚数</x:v>
      </x:c>
      <x:c r="P6" s="16" t="str">
        <x:v>全夜新規件数</x:v>
      </x:c>
      <x:c r="Q6" s="16" t="str">
        <x:v>対象区間新規</x:v>
      </x:c>
      <x:c r="R6" s="16" t="str">
        <x:v>全新規枚数</x:v>
      </x:c>
      <x:c r="S6" s="16" t="str">
        <x:v>保有（分）</x:v>
      </x:c>
      <x:c r="T6" s="16" t="str">
        <x:v>両建て（分）</x:v>
      </x:c>
      <x:c r="U6" s="16" t="str">
        <x:v>買い上限（分）</x:v>
      </x:c>
      <x:c r="V6" s="16" t="str">
        <x:v>売り上限（分）</x:v>
      </x:c>
      <x:c r="W6" s="16" t="str">
        <x:v>上限拒否・縮小件数</x:v>
      </x:c>
      <x:c r="X6" s="16" t="str">
        <x:v>通知全拒否件数</x:v>
      </x:c>
      <x:c r="Y6" s="16" t="str">
        <x:v>実再参加件数</x:v>
      </x:c>
      <x:c r="Z6" s="17" t="str">
        <x:v>判断利益→実損失</x:v>
      </x:c>
    </x:row>
    <x:row r="7" ht="23" customHeight="1">
      <x:c r="A7" s="2" t="str">
        <x:v>2026-09-21_Night</x:v>
      </x:c>
      <x:c r="B7" s="19" t="n">
        <x:v>0</x:v>
      </x:c>
      <x:c r="C7" s="19" t="n">
        <x:v>45000</x:v>
      </x:c>
      <x:c r="D7" s="19" t="n">
        <x:f>B7-C7</x:f>
        <x:v>-45000</x:v>
      </x:c>
      <x:c r="E7" s="19" t="n">
        <x:f>D7</x:f>
        <x:v>-45000</x:v>
      </x:c>
      <x:c r="F7" s="19"/>
      <x:c r="G7" s="19"/>
      <x:c r="H7" s="19"/>
      <x:c r="I7" s="19"/>
      <x:c r="J7" s="19"/>
      <x:c r="K7" s="19"/>
      <x:c r="L7" s="19"/>
      <x:c r="M7" s="19"/>
      <x:c r="N7" s="20" t="n">
        <x:v>5</x:v>
      </x:c>
      <x:c r="O7" s="20" t="n">
        <x:v>0</x:v>
      </x:c>
      <x:c r="P7" s="20" t="n">
        <x:v>1</x:v>
      </x:c>
      <x:c r="Q7" s="20"/>
      <x:c r="R7" s="20" t="n">
        <x:v>5</x:v>
      </x:c>
      <x:c r="S7" s="21"/>
      <x:c r="T7" s="21"/>
      <x:c r="U7" s="21"/>
      <x:c r="V7" s="21"/>
      <x:c r="W7" s="20"/>
      <x:c r="X7" s="20"/>
      <x:c r="Y7" s="20"/>
      <x:c r="Z7" s="20"/>
    </x:row>
    <x:row r="8" ht="23" customHeight="1">
      <x:c r="A8" s="2" t="str">
        <x:v>2026-09-22_Night</x:v>
      </x:c>
      <x:c r="B8" s="19" t="n">
        <x:v>58000</x:v>
      </x:c>
      <x:c r="C8" s="19" t="n">
        <x:v>0</x:v>
      </x:c>
      <x:c r="D8" s="19" t="n">
        <x:f>B8-C8</x:f>
        <x:v>58000</x:v>
      </x:c>
      <x:c r="E8" s="19" t="n">
        <x:f>E7+D8</x:f>
        <x:v>13000</x:v>
      </x:c>
      <x:c r="F8" s="19"/>
      <x:c r="G8" s="19"/>
      <x:c r="H8" s="19"/>
      <x:c r="I8" s="19"/>
      <x:c r="J8" s="19"/>
      <x:c r="K8" s="19"/>
      <x:c r="L8" s="19"/>
      <x:c r="M8" s="19"/>
      <x:c r="N8" s="20" t="n">
        <x:v>5</x:v>
      </x:c>
      <x:c r="O8" s="20" t="n">
        <x:v>0</x:v>
      </x:c>
      <x:c r="P8" s="20" t="n">
        <x:v>2</x:v>
      </x:c>
      <x:c r="Q8" s="20"/>
      <x:c r="R8" s="20" t="n">
        <x:v>10</x:v>
      </x:c>
      <x:c r="S8" s="21"/>
      <x:c r="T8" s="21"/>
      <x:c r="U8" s="21"/>
      <x:c r="V8" s="21"/>
      <x:c r="W8" s="20"/>
      <x:c r="X8" s="20"/>
      <x:c r="Y8" s="20"/>
      <x:c r="Z8" s="20"/>
    </x:row>
    <x:row r="9" ht="23" customHeight="1">
      <x:c r="A9" s="2" t="str">
        <x:v>2026-09-23_Night</x:v>
      </x:c>
      <x:c r="B9" s="19" t="n">
        <x:v>5000</x:v>
      </x:c>
      <x:c r="C9" s="19" t="n">
        <x:v>41000</x:v>
      </x:c>
      <x:c r="D9" s="19" t="n">
        <x:f>B9-C9</x:f>
        <x:v>-36000</x:v>
      </x:c>
      <x:c r="E9" s="19" t="n">
        <x:f>E8+D9</x:f>
        <x:v>-23000</x:v>
      </x:c>
      <x:c r="F9" s="19"/>
      <x:c r="G9" s="19"/>
      <x:c r="H9" s="19"/>
      <x:c r="I9" s="19"/>
      <x:c r="J9" s="19"/>
      <x:c r="K9" s="19"/>
      <x:c r="L9" s="19"/>
      <x:c r="M9" s="19"/>
      <x:c r="N9" s="20" t="n">
        <x:v>2</x:v>
      </x:c>
      <x:c r="O9" s="20" t="n">
        <x:v>5</x:v>
      </x:c>
      <x:c r="P9" s="20" t="n">
        <x:v>3</x:v>
      </x:c>
      <x:c r="Q9" s="20"/>
      <x:c r="R9" s="20" t="n">
        <x:v>7</x:v>
      </x:c>
      <x:c r="S9" s="21"/>
      <x:c r="T9" s="21"/>
      <x:c r="U9" s="21"/>
      <x:c r="V9" s="21"/>
      <x:c r="W9" s="20"/>
      <x:c r="X9" s="20"/>
      <x:c r="Y9" s="20"/>
      <x:c r="Z9" s="20"/>
    </x:row>
    <x:row r="10" ht="23" customHeight="1">
      <x:c r="A10" s="2" t="str">
        <x:v>2026-09-24_Night</x:v>
      </x:c>
      <x:c r="B10" s="19" t="n">
        <x:v>45000</x:v>
      </x:c>
      <x:c r="C10" s="19" t="n">
        <x:v>40000</x:v>
      </x:c>
      <x:c r="D10" s="19" t="n">
        <x:f>B10-C10</x:f>
        <x:v>5000</x:v>
      </x:c>
      <x:c r="E10" s="19" t="n">
        <x:f>E9+D10</x:f>
        <x:v>-18000</x:v>
      </x:c>
      <x:c r="F10" s="19"/>
      <x:c r="G10" s="19"/>
      <x:c r="H10" s="19"/>
      <x:c r="I10" s="19"/>
      <x:c r="J10" s="19"/>
      <x:c r="K10" s="19"/>
      <x:c r="L10" s="19"/>
      <x:c r="M10" s="19"/>
      <x:c r="N10" s="20" t="n">
        <x:v>5</x:v>
      </x:c>
      <x:c r="O10" s="20" t="n">
        <x:v>2</x:v>
      </x:c>
      <x:c r="P10" s="20" t="n">
        <x:v>4</x:v>
      </x:c>
      <x:c r="Q10" s="20"/>
      <x:c r="R10" s="20" t="n">
        <x:v>12</x:v>
      </x:c>
      <x:c r="S10" s="21"/>
      <x:c r="T10" s="21"/>
      <x:c r="U10" s="21"/>
      <x:c r="V10" s="21"/>
      <x:c r="W10" s="20"/>
      <x:c r="X10" s="20"/>
      <x:c r="Y10" s="20"/>
      <x:c r="Z10" s="20"/>
    </x:row>
    <x:row r="11" ht="23" customHeight="1">
      <x:c r="A11" s="2" t="str">
        <x:v>2026-09-25_Night</x:v>
      </x:c>
      <x:c r="B11" s="19" t="n">
        <x:v>17000</x:v>
      </x:c>
      <x:c r="C11" s="19" t="n">
        <x:v>16000</x:v>
      </x:c>
      <x:c r="D11" s="19" t="n">
        <x:f>B11-C11</x:f>
        <x:v>1000</x:v>
      </x:c>
      <x:c r="E11" s="19" t="n">
        <x:f>E10+D11</x:f>
        <x:v>-17000</x:v>
      </x:c>
      <x:c r="F11" s="19"/>
      <x:c r="G11" s="19"/>
      <x:c r="H11" s="19"/>
      <x:c r="I11" s="19"/>
      <x:c r="J11" s="19"/>
      <x:c r="K11" s="19"/>
      <x:c r="L11" s="19"/>
      <x:c r="M11" s="19"/>
      <x:c r="N11" s="20" t="n">
        <x:v>1</x:v>
      </x:c>
      <x:c r="O11" s="20" t="n">
        <x:v>5</x:v>
      </x:c>
      <x:c r="P11" s="20" t="n">
        <x:v>2</x:v>
      </x:c>
      <x:c r="Q11" s="20"/>
      <x:c r="R11" s="20" t="n">
        <x:v>6</x:v>
      </x:c>
      <x:c r="S11" s="21"/>
      <x:c r="T11" s="21"/>
      <x:c r="U11" s="21"/>
      <x:c r="V11" s="21"/>
      <x:c r="W11" s="20"/>
      <x:c r="X11" s="20"/>
      <x:c r="Y11" s="20"/>
      <x:c r="Z11" s="20"/>
    </x:row>
    <x:row r="12" ht="23" customHeight="1">
      <x:c r="A12" s="2" t="str">
        <x:v>2026-09-28_Night</x:v>
      </x:c>
      <x:c r="B12" s="19" t="n">
        <x:v>19000</x:v>
      </x:c>
      <x:c r="C12" s="19" t="n">
        <x:v>39000</x:v>
      </x:c>
      <x:c r="D12" s="19" t="n">
        <x:f>B12-C12</x:f>
        <x:v>-20000</x:v>
      </x:c>
      <x:c r="E12" s="19" t="n">
        <x:f>E11+D12</x:f>
        <x:v>-37000</x:v>
      </x:c>
      <x:c r="F12" s="19"/>
      <x:c r="G12" s="19"/>
      <x:c r="H12" s="19"/>
      <x:c r="I12" s="19"/>
      <x:c r="J12" s="19"/>
      <x:c r="K12" s="19"/>
      <x:c r="L12" s="19"/>
      <x:c r="M12" s="19"/>
      <x:c r="N12" s="20" t="n">
        <x:v>3</x:v>
      </x:c>
      <x:c r="O12" s="20" t="n">
        <x:v>3</x:v>
      </x:c>
      <x:c r="P12" s="20" t="n">
        <x:v>5</x:v>
      </x:c>
      <x:c r="Q12" s="20"/>
      <x:c r="R12" s="20" t="n">
        <x:v>7</x:v>
      </x:c>
      <x:c r="S12" s="21"/>
      <x:c r="T12" s="21"/>
      <x:c r="U12" s="21"/>
      <x:c r="V12" s="21"/>
      <x:c r="W12" s="20"/>
      <x:c r="X12" s="20"/>
      <x:c r="Y12" s="20"/>
      <x:c r="Z12" s="20"/>
    </x:row>
    <x:row r="13" ht="23" customHeight="1">
      <x:c r="A13" s="2" t="str">
        <x:v>2026-09-29_Night</x:v>
      </x:c>
      <x:c r="B13" s="19" t="n">
        <x:v>90000</x:v>
      </x:c>
      <x:c r="C13" s="19" t="n">
        <x:v>25000</x:v>
      </x:c>
      <x:c r="D13" s="19" t="n">
        <x:f>B13-C13</x:f>
        <x:v>65000</x:v>
      </x:c>
      <x:c r="E13" s="19" t="n">
        <x:f>E12+D13</x:f>
        <x:v>28000</x:v>
      </x:c>
      <x:c r="F13" s="19"/>
      <x:c r="G13" s="19"/>
      <x:c r="H13" s="19"/>
      <x:c r="I13" s="19"/>
      <x:c r="J13" s="19"/>
      <x:c r="K13" s="19"/>
      <x:c r="L13" s="19"/>
      <x:c r="M13" s="19"/>
      <x:c r="N13" s="20" t="n">
        <x:v>5</x:v>
      </x:c>
      <x:c r="O13" s="20" t="n">
        <x:v>5</x:v>
      </x:c>
      <x:c r="P13" s="20" t="n">
        <x:v>6</x:v>
      </x:c>
      <x:c r="Q13" s="20"/>
      <x:c r="R13" s="20" t="n">
        <x:v>14</x:v>
      </x:c>
      <x:c r="S13" s="21"/>
      <x:c r="T13" s="21"/>
      <x:c r="U13" s="21"/>
      <x:c r="V13" s="21"/>
      <x:c r="W13" s="20"/>
      <x:c r="X13" s="20"/>
      <x:c r="Y13" s="20"/>
      <x:c r="Z13" s="20"/>
    </x:row>
    <x:row r="14" ht="23" customHeight="1">
      <x:c r="A14" s="2" t="str">
        <x:v>2026-09-30_Night</x:v>
      </x:c>
      <x:c r="B14" s="19" t="n">
        <x:v>133000</x:v>
      </x:c>
      <x:c r="C14" s="19" t="n">
        <x:v>46000</x:v>
      </x:c>
      <x:c r="D14" s="19" t="n">
        <x:f>B14-C14</x:f>
        <x:v>87000</x:v>
      </x:c>
      <x:c r="E14" s="19" t="n">
        <x:f>E13+D14</x:f>
        <x:v>115000</x:v>
      </x:c>
      <x:c r="F14" s="19"/>
      <x:c r="G14" s="19"/>
      <x:c r="H14" s="19"/>
      <x:c r="I14" s="19"/>
      <x:c r="J14" s="19"/>
      <x:c r="K14" s="19"/>
      <x:c r="L14" s="19"/>
      <x:c r="M14" s="19"/>
      <x:c r="N14" s="20" t="n">
        <x:v>7</x:v>
      </x:c>
      <x:c r="O14" s="20" t="n">
        <x:v>5</x:v>
      </x:c>
      <x:c r="P14" s="20" t="n">
        <x:v>6</x:v>
      </x:c>
      <x:c r="Q14" s="20"/>
      <x:c r="R14" s="20" t="n">
        <x:v>22</x:v>
      </x:c>
      <x:c r="S14" s="21"/>
      <x:c r="T14" s="21"/>
      <x:c r="U14" s="21"/>
      <x:c r="V14" s="21"/>
      <x:c r="W14" s="20"/>
      <x:c r="X14" s="20"/>
      <x:c r="Y14" s="20"/>
      <x:c r="Z14" s="20"/>
    </x:row>
    <x:row r="15" ht="23" customHeight="1">
      <x:c r="A15" s="2" t="str">
        <x:v>2026-10-01_Night</x:v>
      </x:c>
      <x:c r="B15" s="19" t="n">
        <x:v>232000</x:v>
      </x:c>
      <x:c r="C15" s="19" t="n">
        <x:v>215000</x:v>
      </x:c>
      <x:c r="D15" s="19" t="n">
        <x:f>B15-C15</x:f>
        <x:v>17000</x:v>
      </x:c>
      <x:c r="E15" s="19" t="n">
        <x:f>E14+D15</x:f>
        <x:v>132000</x:v>
      </x:c>
      <x:c r="F15" s="19"/>
      <x:c r="G15" s="19"/>
      <x:c r="H15" s="19"/>
      <x:c r="I15" s="19"/>
      <x:c r="J15" s="19"/>
      <x:c r="K15" s="19"/>
      <x:c r="L15" s="19"/>
      <x:c r="M15" s="19"/>
      <x:c r="N15" s="20" t="n">
        <x:v>5</x:v>
      </x:c>
      <x:c r="O15" s="20" t="n">
        <x:v>5</x:v>
      </x:c>
      <x:c r="P15" s="20" t="n">
        <x:v>16</x:v>
      </x:c>
      <x:c r="Q15" s="20"/>
      <x:c r="R15" s="20" t="n">
        <x:v>36</x:v>
      </x:c>
      <x:c r="S15" s="21"/>
      <x:c r="T15" s="21"/>
      <x:c r="U15" s="21"/>
      <x:c r="V15" s="21"/>
      <x:c r="W15" s="20"/>
      <x:c r="X15" s="20"/>
      <x:c r="Y15" s="20"/>
      <x:c r="Z15" s="20"/>
    </x:row>
    <x:row r="16" ht="23" customHeight="1">
      <x:c r="A16" s="2" t="str">
        <x:v>2026-10-02_Night</x:v>
      </x:c>
      <x:c r="B16" s="19" t="n">
        <x:v>313000</x:v>
      </x:c>
      <x:c r="C16" s="19" t="n">
        <x:v>57000</x:v>
      </x:c>
      <x:c r="D16" s="19" t="n">
        <x:f>B16-C16</x:f>
        <x:v>256000</x:v>
      </x:c>
      <x:c r="E16" s="19" t="n">
        <x:f>E15+D16</x:f>
        <x:v>388000</x:v>
      </x:c>
      <x:c r="F16" s="19"/>
      <x:c r="G16" s="19"/>
      <x:c r="H16" s="19"/>
      <x:c r="I16" s="19"/>
      <x:c r="J16" s="19"/>
      <x:c r="K16" s="19"/>
      <x:c r="L16" s="19"/>
      <x:c r="M16" s="19"/>
      <x:c r="N16" s="20" t="n">
        <x:v>7</x:v>
      </x:c>
      <x:c r="O16" s="20" t="n">
        <x:v>10</x:v>
      </x:c>
      <x:c r="P16" s="20" t="n">
        <x:v>15</x:v>
      </x:c>
      <x:c r="Q16" s="20"/>
      <x:c r="R16" s="20" t="n">
        <x:v>28</x:v>
      </x:c>
      <x:c r="S16" s="21"/>
      <x:c r="T16" s="21"/>
      <x:c r="U16" s="21"/>
      <x:c r="V16" s="21"/>
      <x:c r="W16" s="20"/>
      <x:c r="X16" s="20"/>
      <x:c r="Y16" s="20"/>
      <x:c r="Z16" s="20"/>
    </x:row>
    <x:row r="17" ht="23" customHeight="1">
      <x:c r="A17" s="2" t="str">
        <x:v>2026-10-05_Night</x:v>
      </x:c>
      <x:c r="B17" s="19" t="n">
        <x:v>98000</x:v>
      </x:c>
      <x:c r="C17" s="19" t="n">
        <x:v>144000</x:v>
      </x:c>
      <x:c r="D17" s="19" t="n">
        <x:f>B17-C17</x:f>
        <x:v>-46000</x:v>
      </x:c>
      <x:c r="E17" s="19" t="n">
        <x:f>E16+D17</x:f>
        <x:v>342000</x:v>
      </x:c>
      <x:c r="F17" s="19"/>
      <x:c r="G17" s="19"/>
      <x:c r="H17" s="19"/>
      <x:c r="I17" s="19"/>
      <x:c r="J17" s="19"/>
      <x:c r="K17" s="19"/>
      <x:c r="L17" s="19"/>
      <x:c r="M17" s="19"/>
      <x:c r="N17" s="20" t="n">
        <x:v>5</x:v>
      </x:c>
      <x:c r="O17" s="20" t="n">
        <x:v>5</x:v>
      </x:c>
      <x:c r="P17" s="20" t="n">
        <x:v>8</x:v>
      </x:c>
      <x:c r="Q17" s="20"/>
      <x:c r="R17" s="20" t="n">
        <x:v>19</x:v>
      </x:c>
      <x:c r="S17" s="21"/>
      <x:c r="T17" s="21"/>
      <x:c r="U17" s="21"/>
      <x:c r="V17" s="21"/>
      <x:c r="W17" s="20"/>
      <x:c r="X17" s="20"/>
      <x:c r="Y17" s="20"/>
      <x:c r="Z17" s="20"/>
    </x:row>
    <x:row r="18" ht="23" customHeight="1">
      <x:c r="A18" s="2" t="str">
        <x:v>2026-10-06_Night</x:v>
      </x:c>
      <x:c r="B18" s="19" t="n">
        <x:v>33000</x:v>
      </x:c>
      <x:c r="C18" s="19" t="n">
        <x:v>43000</x:v>
      </x:c>
      <x:c r="D18" s="19" t="n">
        <x:f>B18-C18</x:f>
        <x:v>-10000</x:v>
      </x:c>
      <x:c r="E18" s="19" t="n">
        <x:f>E17+D18</x:f>
        <x:v>332000</x:v>
      </x:c>
      <x:c r="F18" s="19"/>
      <x:c r="G18" s="19"/>
      <x:c r="H18" s="19"/>
      <x:c r="I18" s="19"/>
      <x:c r="J18" s="19"/>
      <x:c r="K18" s="19"/>
      <x:c r="L18" s="19"/>
      <x:c r="M18" s="19"/>
      <x:c r="N18" s="20" t="n">
        <x:v>0</x:v>
      </x:c>
      <x:c r="O18" s="20" t="n">
        <x:v>7</x:v>
      </x:c>
      <x:c r="P18" s="20" t="n">
        <x:v>4</x:v>
      </x:c>
      <x:c r="Q18" s="20"/>
      <x:c r="R18" s="20" t="n">
        <x:v>8</x:v>
      </x:c>
      <x:c r="S18" s="21"/>
      <x:c r="T18" s="21"/>
      <x:c r="U18" s="21"/>
      <x:c r="V18" s="21"/>
      <x:c r="W18" s="20"/>
      <x:c r="X18" s="20"/>
      <x:c r="Y18" s="20"/>
      <x:c r="Z18" s="20"/>
    </x:row>
    <x:row r="19" ht="23" customHeight="1">
      <x:c r="A19" s="2" t="str">
        <x:v>2026-10-07_Night</x:v>
      </x:c>
      <x:c r="B19" s="19" t="n">
        <x:v>57000</x:v>
      </x:c>
      <x:c r="C19" s="19" t="n">
        <x:v>43000</x:v>
      </x:c>
      <x:c r="D19" s="19" t="n">
        <x:f>B19-C19</x:f>
        <x:v>14000</x:v>
      </x:c>
      <x:c r="E19" s="19" t="n">
        <x:f>E18+D19</x:f>
        <x:v>346000</x:v>
      </x:c>
      <x:c r="F19" s="19"/>
      <x:c r="G19" s="19"/>
      <x:c r="H19" s="19"/>
      <x:c r="I19" s="19"/>
      <x:c r="J19" s="19"/>
      <x:c r="K19" s="19"/>
      <x:c r="L19" s="19"/>
      <x:c r="M19" s="19"/>
      <x:c r="N19" s="20" t="n">
        <x:v>2</x:v>
      </x:c>
      <x:c r="O19" s="20" t="n">
        <x:v>5</x:v>
      </x:c>
      <x:c r="P19" s="20" t="n">
        <x:v>5</x:v>
      </x:c>
      <x:c r="Q19" s="20"/>
      <x:c r="R19" s="20" t="n">
        <x:v>9</x:v>
      </x:c>
      <x:c r="S19" s="21"/>
      <x:c r="T19" s="21"/>
      <x:c r="U19" s="21"/>
      <x:c r="V19" s="21"/>
      <x:c r="W19" s="20"/>
      <x:c r="X19" s="20"/>
      <x:c r="Y19" s="20"/>
      <x:c r="Z19" s="20"/>
    </x:row>
    <x:row r="20" ht="23" customHeight="1">
      <x:c r="A20" s="2" t="str">
        <x:v>2026-10-08_Night</x:v>
      </x:c>
      <x:c r="B20" s="19" t="n">
        <x:v>349000</x:v>
      </x:c>
      <x:c r="C20" s="19" t="n">
        <x:v>38000</x:v>
      </x:c>
      <x:c r="D20" s="19" t="n">
        <x:f>B20-C20</x:f>
        <x:v>311000</x:v>
      </x:c>
      <x:c r="E20" s="19" t="n">
        <x:f>E19+D20</x:f>
        <x:v>657000</x:v>
      </x:c>
      <x:c r="F20" s="19"/>
      <x:c r="G20" s="19"/>
      <x:c r="H20" s="19"/>
      <x:c r="I20" s="19"/>
      <x:c r="J20" s="19"/>
      <x:c r="K20" s="19"/>
      <x:c r="L20" s="19"/>
      <x:c r="M20" s="19"/>
      <x:c r="N20" s="20" t="n">
        <x:v>8</x:v>
      </x:c>
      <x:c r="O20" s="20" t="n">
        <x:v>8</x:v>
      </x:c>
      <x:c r="P20" s="20" t="n">
        <x:v>17</x:v>
      </x:c>
      <x:c r="Q20" s="20"/>
      <x:c r="R20" s="20" t="n">
        <x:v>30</x:v>
      </x:c>
      <x:c r="S20" s="21"/>
      <x:c r="T20" s="21"/>
      <x:c r="U20" s="21"/>
      <x:c r="V20" s="21"/>
      <x:c r="W20" s="20"/>
      <x:c r="X20" s="20"/>
      <x:c r="Y20" s="20"/>
      <x:c r="Z20" s="20"/>
    </x:row>
    <x:row r="21" ht="23" customHeight="1">
      <x:c r="A21" s="2" t="str">
        <x:v>2026-10-09_Night</x:v>
      </x:c>
      <x:c r="B21" s="19" t="n">
        <x:v>74000</x:v>
      </x:c>
      <x:c r="C21" s="19" t="n">
        <x:v>30000</x:v>
      </x:c>
      <x:c r="D21" s="19" t="n">
        <x:f>B21-C21</x:f>
        <x:v>44000</x:v>
      </x:c>
      <x:c r="E21" s="19" t="n">
        <x:f>E20+D21</x:f>
        <x:v>701000</x:v>
      </x:c>
      <x:c r="F21" s="19"/>
      <x:c r="G21" s="19"/>
      <x:c r="H21" s="19"/>
      <x:c r="I21" s="19"/>
      <x:c r="J21" s="19"/>
      <x:c r="K21" s="19"/>
      <x:c r="L21" s="19"/>
      <x:c r="M21" s="19"/>
      <x:c r="N21" s="20" t="n">
        <x:v>0</x:v>
      </x:c>
      <x:c r="O21" s="20" t="n">
        <x:v>5</x:v>
      </x:c>
      <x:c r="P21" s="20" t="n">
        <x:v>3</x:v>
      </x:c>
      <x:c r="Q21" s="20"/>
      <x:c r="R21" s="20" t="n">
        <x:v>15</x:v>
      </x:c>
      <x:c r="S21" s="21"/>
      <x:c r="T21" s="21"/>
      <x:c r="U21" s="21"/>
      <x:c r="V21" s="21"/>
      <x:c r="W21" s="20"/>
      <x:c r="X21" s="20"/>
      <x:c r="Y21" s="20"/>
      <x:c r="Z21" s="20"/>
    </x:row>
    <x:row r="22" ht="23" customHeight="1">
      <x:c r="A22" s="2" t="str">
        <x:v>2026-10-12_Night</x:v>
      </x:c>
      <x:c r="B22" s="19" t="n">
        <x:v>82000</x:v>
      </x:c>
      <x:c r="C22" s="19" t="n">
        <x:v>0</x:v>
      </x:c>
      <x:c r="D22" s="19" t="n">
        <x:f>B22-C22</x:f>
        <x:v>82000</x:v>
      </x:c>
      <x:c r="E22" s="19" t="n">
        <x:f>E21+D22</x:f>
        <x:v>783000</x:v>
      </x:c>
      <x:c r="F22" s="19"/>
      <x:c r="G22" s="19"/>
      <x:c r="H22" s="19"/>
      <x:c r="I22" s="19"/>
      <x:c r="J22" s="19"/>
      <x:c r="K22" s="19"/>
      <x:c r="L22" s="19"/>
      <x:c r="M22" s="19"/>
      <x:c r="N22" s="20" t="n">
        <x:v>0</x:v>
      </x:c>
      <x:c r="O22" s="20" t="n">
        <x:v>5</x:v>
      </x:c>
      <x:c r="P22" s="20" t="n">
        <x:v>1</x:v>
      </x:c>
      <x:c r="Q22" s="20"/>
      <x:c r="R22" s="20" t="n">
        <x:v>5</x:v>
      </x:c>
      <x:c r="S22" s="21"/>
      <x:c r="T22" s="21"/>
      <x:c r="U22" s="21"/>
      <x:c r="V22" s="21"/>
      <x:c r="W22" s="20"/>
      <x:c r="X22" s="20"/>
      <x:c r="Y22" s="20"/>
      <x:c r="Z22" s="20"/>
    </x:row>
    <x:row r="23" ht="23" customHeight="1">
      <x:c r="A23" s="2" t="str">
        <x:v>2026-10-13_Night</x:v>
      </x:c>
      <x:c r="B23" s="19" t="n">
        <x:v>0</x:v>
      </x:c>
      <x:c r="C23" s="19" t="n">
        <x:v>93000</x:v>
      </x:c>
      <x:c r="D23" s="19" t="n">
        <x:f>B23-C23</x:f>
        <x:v>-93000</x:v>
      </x:c>
      <x:c r="E23" s="19" t="n">
        <x:f>E22+D23</x:f>
        <x:v>690000</x:v>
      </x:c>
      <x:c r="F23" s="19"/>
      <x:c r="G23" s="19"/>
      <x:c r="H23" s="19"/>
      <x:c r="I23" s="19"/>
      <x:c r="J23" s="19"/>
      <x:c r="K23" s="19"/>
      <x:c r="L23" s="19"/>
      <x:c r="M23" s="19"/>
      <x:c r="N23" s="20" t="n">
        <x:v>5</x:v>
      </x:c>
      <x:c r="O23" s="20" t="n">
        <x:v>5</x:v>
      </x:c>
      <x:c r="P23" s="20" t="n">
        <x:v>3</x:v>
      </x:c>
      <x:c r="Q23" s="20"/>
      <x:c r="R23" s="20" t="n">
        <x:v>11</x:v>
      </x:c>
      <x:c r="S23" s="21"/>
      <x:c r="T23" s="21"/>
      <x:c r="U23" s="21"/>
      <x:c r="V23" s="21"/>
      <x:c r="W23" s="20"/>
      <x:c r="X23" s="20"/>
      <x:c r="Y23" s="20"/>
      <x:c r="Z23" s="20"/>
    </x:row>
    <x:row r="24" ht="23" customHeight="1">
      <x:c r="A24" s="2" t="str">
        <x:v>2026-10-14_Night</x:v>
      </x:c>
      <x:c r="B24" s="19" t="n">
        <x:v>197000</x:v>
      </x:c>
      <x:c r="C24" s="19" t="n">
        <x:v>91000</x:v>
      </x:c>
      <x:c r="D24" s="19" t="n">
        <x:f>B24-C24</x:f>
        <x:v>106000</x:v>
      </x:c>
      <x:c r="E24" s="19" t="n">
        <x:f>E23+D24</x:f>
        <x:v>796000</x:v>
      </x:c>
      <x:c r="F24" s="19"/>
      <x:c r="G24" s="19"/>
      <x:c r="H24" s="19"/>
      <x:c r="I24" s="19"/>
      <x:c r="J24" s="19"/>
      <x:c r="K24" s="19"/>
      <x:c r="L24" s="19"/>
      <x:c r="M24" s="19"/>
      <x:c r="N24" s="20" t="n">
        <x:v>1</x:v>
      </x:c>
      <x:c r="O24" s="20" t="n">
        <x:v>5</x:v>
      </x:c>
      <x:c r="P24" s="20" t="n">
        <x:v>5</x:v>
      </x:c>
      <x:c r="Q24" s="20"/>
      <x:c r="R24" s="20" t="n">
        <x:v>14</x:v>
      </x:c>
      <x:c r="S24" s="21"/>
      <x:c r="T24" s="21"/>
      <x:c r="U24" s="21"/>
      <x:c r="V24" s="21"/>
      <x:c r="W24" s="20"/>
      <x:c r="X24" s="20"/>
      <x:c r="Y24" s="20"/>
      <x:c r="Z24" s="20"/>
    </x:row>
    <x:row r="25" ht="23" customHeight="1">
      <x:c r="A25" s="2" t="str">
        <x:v>2026-10-15_Night</x:v>
      </x:c>
      <x:c r="B25" s="19" t="n">
        <x:v>86000</x:v>
      </x:c>
      <x:c r="C25" s="19" t="n">
        <x:v>64000</x:v>
      </x:c>
      <x:c r="D25" s="19" t="n">
        <x:f>B25-C25</x:f>
        <x:v>22000</x:v>
      </x:c>
      <x:c r="E25" s="19" t="n">
        <x:f>E24+D25</x:f>
        <x:v>818000</x:v>
      </x:c>
      <x:c r="F25" s="19"/>
      <x:c r="G25" s="19"/>
      <x:c r="H25" s="19"/>
      <x:c r="I25" s="19"/>
      <x:c r="J25" s="19"/>
      <x:c r="K25" s="19"/>
      <x:c r="L25" s="19"/>
      <x:c r="M25" s="19"/>
      <x:c r="N25" s="20" t="n">
        <x:v>3</x:v>
      </x:c>
      <x:c r="O25" s="20" t="n">
        <x:v>2</x:v>
      </x:c>
      <x:c r="P25" s="20" t="n">
        <x:v>7</x:v>
      </x:c>
      <x:c r="Q25" s="20"/>
      <x:c r="R25" s="20" t="n">
        <x:v>9</x:v>
      </x:c>
      <x:c r="S25" s="21"/>
      <x:c r="T25" s="21"/>
      <x:c r="U25" s="21"/>
      <x:c r="V25" s="21"/>
      <x:c r="W25" s="20"/>
      <x:c r="X25" s="20"/>
      <x:c r="Y25" s="20"/>
      <x:c r="Z25" s="20"/>
    </x:row>
    <x:row r="26" ht="23" customHeight="1">
      <x:c r="A26" s="2" t="str">
        <x:v>2026-10-16_Night</x:v>
      </x:c>
      <x:c r="B26" s="19" t="n">
        <x:v>163000</x:v>
      </x:c>
      <x:c r="C26" s="19" t="n">
        <x:v>161000</x:v>
      </x:c>
      <x:c r="D26" s="19" t="n">
        <x:f>B26-C26</x:f>
        <x:v>2000</x:v>
      </x:c>
      <x:c r="E26" s="19" t="n">
        <x:f>E25+D26</x:f>
        <x:v>820000</x:v>
      </x:c>
      <x:c r="F26" s="19"/>
      <x:c r="G26" s="19"/>
      <x:c r="H26" s="19"/>
      <x:c r="I26" s="19"/>
      <x:c r="J26" s="19"/>
      <x:c r="K26" s="19"/>
      <x:c r="L26" s="19"/>
      <x:c r="M26" s="19"/>
      <x:c r="N26" s="20" t="n">
        <x:v>3</x:v>
      </x:c>
      <x:c r="O26" s="20" t="n">
        <x:v>7</x:v>
      </x:c>
      <x:c r="P26" s="20" t="n">
        <x:v>14</x:v>
      </x:c>
      <x:c r="Q26" s="20"/>
      <x:c r="R26" s="20" t="n">
        <x:v>32</x:v>
      </x:c>
      <x:c r="S26" s="21"/>
      <x:c r="T26" s="21"/>
      <x:c r="U26" s="21"/>
      <x:c r="V26" s="21"/>
      <x:c r="W26" s="20"/>
      <x:c r="X26" s="20"/>
      <x:c r="Y26" s="20"/>
      <x:c r="Z26" s="20"/>
    </x:row>
    <x:row r="27" ht="23" customHeight="1">
      <x:c r="A27" s="2" t="str">
        <x:v>2026-10-19_Night</x:v>
      </x:c>
      <x:c r="B27" s="19" t="n">
        <x:v>105000</x:v>
      </x:c>
      <x:c r="C27" s="19" t="n">
        <x:v>135000</x:v>
      </x:c>
      <x:c r="D27" s="19" t="n">
        <x:f>B27-C27</x:f>
        <x:v>-30000</x:v>
      </x:c>
      <x:c r="E27" s="19" t="n">
        <x:f>E26+D27</x:f>
        <x:v>790000</x:v>
      </x:c>
      <x:c r="F27" s="19"/>
      <x:c r="G27" s="19"/>
      <x:c r="H27" s="19"/>
      <x:c r="I27" s="19"/>
      <x:c r="J27" s="19"/>
      <x:c r="K27" s="19"/>
      <x:c r="L27" s="19"/>
      <x:c r="M27" s="19"/>
      <x:c r="N27" s="20" t="n">
        <x:v>5</x:v>
      </x:c>
      <x:c r="O27" s="20" t="n">
        <x:v>5</x:v>
      </x:c>
      <x:c r="P27" s="20" t="n">
        <x:v>14</x:v>
      </x:c>
      <x:c r="Q27" s="20"/>
      <x:c r="R27" s="20" t="n">
        <x:v>31</x:v>
      </x:c>
      <x:c r="S27" s="21"/>
      <x:c r="T27" s="21"/>
      <x:c r="U27" s="21"/>
      <x:c r="V27" s="21"/>
      <x:c r="W27" s="20"/>
      <x:c r="X27" s="20"/>
      <x:c r="Y27" s="20"/>
      <x:c r="Z27" s="20"/>
    </x:row>
    <x:row r="28" ht="23" customHeight="1">
      <x:c r="A28" s="2" t="str">
        <x:v>2026-10-20_Night</x:v>
      </x:c>
      <x:c r="B28" s="19" t="n">
        <x:v>143000</x:v>
      </x:c>
      <x:c r="C28" s="19" t="n">
        <x:v>33000</x:v>
      </x:c>
      <x:c r="D28" s="19" t="n">
        <x:f>B28-C28</x:f>
        <x:v>110000</x:v>
      </x:c>
      <x:c r="E28" s="19" t="n">
        <x:f>E27+D28</x:f>
        <x:v>900000</x:v>
      </x:c>
      <x:c r="F28" s="19"/>
      <x:c r="G28" s="19"/>
      <x:c r="H28" s="19"/>
      <x:c r="I28" s="19"/>
      <x:c r="J28" s="19"/>
      <x:c r="K28" s="19"/>
      <x:c r="L28" s="19"/>
      <x:c r="M28" s="19"/>
      <x:c r="N28" s="20" t="n">
        <x:v>6</x:v>
      </x:c>
      <x:c r="O28" s="20" t="n">
        <x:v>5</x:v>
      </x:c>
      <x:c r="P28" s="20" t="n">
        <x:v>11</x:v>
      </x:c>
      <x:c r="Q28" s="20"/>
      <x:c r="R28" s="20" t="n">
        <x:v>22</x:v>
      </x:c>
      <x:c r="S28" s="21"/>
      <x:c r="T28" s="21"/>
      <x:c r="U28" s="21"/>
      <x:c r="V28" s="21"/>
      <x:c r="W28" s="20"/>
      <x:c r="X28" s="20"/>
      <x:c r="Y28" s="20"/>
      <x:c r="Z28" s="20"/>
    </x:row>
    <x:row r="29" ht="23" customHeight="1">
      <x:c r="A29" s="2" t="str">
        <x:v>2026-10-21_Night</x:v>
      </x:c>
      <x:c r="B29" s="19" t="n">
        <x:v>65000</x:v>
      </x:c>
      <x:c r="C29" s="19" t="n">
        <x:v>129000</x:v>
      </x:c>
      <x:c r="D29" s="19" t="n">
        <x:f>B29-C29</x:f>
        <x:v>-64000</x:v>
      </x:c>
      <x:c r="E29" s="19" t="n">
        <x:f>E28+D29</x:f>
        <x:v>836000</x:v>
      </x:c>
      <x:c r="F29" s="19"/>
      <x:c r="G29" s="19"/>
      <x:c r="H29" s="19"/>
      <x:c r="I29" s="19"/>
      <x:c r="J29" s="19"/>
      <x:c r="K29" s="19"/>
      <x:c r="L29" s="19"/>
      <x:c r="M29" s="19"/>
      <x:c r="N29" s="20" t="n">
        <x:v>7</x:v>
      </x:c>
      <x:c r="O29" s="20" t="n">
        <x:v>5</x:v>
      </x:c>
      <x:c r="P29" s="20" t="n">
        <x:v>6</x:v>
      </x:c>
      <x:c r="Q29" s="20"/>
      <x:c r="R29" s="20" t="n">
        <x:v>22</x:v>
      </x:c>
      <x:c r="S29" s="21"/>
      <x:c r="T29" s="21"/>
      <x:c r="U29" s="21"/>
      <x:c r="V29" s="21"/>
      <x:c r="W29" s="20"/>
      <x:c r="X29" s="20"/>
      <x:c r="Y29" s="20"/>
      <x:c r="Z29" s="20"/>
    </x:row>
    <x:row r="30" ht="23" customHeight="1">
      <x:c r="A30" s="2" t="str">
        <x:v>2026-10-22_Night</x:v>
      </x:c>
      <x:c r="B30" s="19" t="n">
        <x:v>156000</x:v>
      </x:c>
      <x:c r="C30" s="19" t="n">
        <x:v>0</x:v>
      </x:c>
      <x:c r="D30" s="19" t="n">
        <x:f>B30-C30</x:f>
        <x:v>156000</x:v>
      </x:c>
      <x:c r="E30" s="19" t="n">
        <x:f>E29+D30</x:f>
        <x:v>992000</x:v>
      </x:c>
      <x:c r="F30" s="19"/>
      <x:c r="G30" s="19"/>
      <x:c r="H30" s="19"/>
      <x:c r="I30" s="19"/>
      <x:c r="J30" s="19"/>
      <x:c r="K30" s="19"/>
      <x:c r="L30" s="19"/>
      <x:c r="M30" s="19"/>
      <x:c r="N30" s="20" t="n">
        <x:v>0</x:v>
      </x:c>
      <x:c r="O30" s="20" t="n">
        <x:v>6</x:v>
      </x:c>
      <x:c r="P30" s="20" t="n">
        <x:v>3</x:v>
      </x:c>
      <x:c r="Q30" s="20"/>
      <x:c r="R30" s="20" t="n">
        <x:v>7</x:v>
      </x:c>
      <x:c r="S30" s="21"/>
      <x:c r="T30" s="21"/>
      <x:c r="U30" s="21"/>
      <x:c r="V30" s="21"/>
      <x:c r="W30" s="20"/>
      <x:c r="X30" s="20"/>
      <x:c r="Y30" s="20"/>
      <x:c r="Z30" s="20"/>
    </x:row>
    <x:row r="31" ht="23" customHeight="1">
      <x:c r="A31" s="2" t="str">
        <x:v>2026-10-23_Night</x:v>
      </x:c>
      <x:c r="B31" s="19" t="n">
        <x:v>102000</x:v>
      </x:c>
      <x:c r="C31" s="19" t="n">
        <x:v>64000</x:v>
      </x:c>
      <x:c r="D31" s="19" t="n">
        <x:f>B31-C31</x:f>
        <x:v>38000</x:v>
      </x:c>
      <x:c r="E31" s="19" t="n">
        <x:f>E30+D31</x:f>
        <x:v>1030000</x:v>
      </x:c>
      <x:c r="F31" s="19"/>
      <x:c r="G31" s="19"/>
      <x:c r="H31" s="19"/>
      <x:c r="I31" s="19"/>
      <x:c r="J31" s="19"/>
      <x:c r="K31" s="19"/>
      <x:c r="L31" s="19"/>
      <x:c r="M31" s="19"/>
      <x:c r="N31" s="20" t="n">
        <x:v>5</x:v>
      </x:c>
      <x:c r="O31" s="20" t="n">
        <x:v>5</x:v>
      </x:c>
      <x:c r="P31" s="20" t="n">
        <x:v>11</x:v>
      </x:c>
      <x:c r="Q31" s="20"/>
      <x:c r="R31" s="20" t="n">
        <x:v>20</x:v>
      </x:c>
      <x:c r="S31" s="21"/>
      <x:c r="T31" s="21"/>
      <x:c r="U31" s="21"/>
      <x:c r="V31" s="21"/>
      <x:c r="W31" s="20"/>
      <x:c r="X31" s="20"/>
      <x:c r="Y31" s="20"/>
      <x:c r="Z31" s="20"/>
    </x:row>
    <x:row r="32" ht="23" customHeight="1">
      <x:c r="A32" s="26" t="str">
        <x:v>25夜累計／最大</x:v>
      </x:c>
      <x:c r="B32" s="27" t="n">
        <x:f>SUM(B7:B31)</x:f>
        <x:v>2622000</x:v>
      </x:c>
      <x:c r="C32" s="27" t="n">
        <x:f>SUM(C7:C31)</x:f>
        <x:v>1592000</x:v>
      </x:c>
      <x:c r="D32" s="27" t="n">
        <x:f>B32-C32</x:f>
        <x:v>1030000</x:v>
      </x:c>
      <x:c r="E32" s="27" t="n">
        <x:f>E31</x:f>
        <x:v>1030000</x:v>
      </x:c>
      <x:c r="F32" s="27"/>
      <x:c r="G32" s="27"/>
      <x:c r="H32" s="27"/>
      <x:c r="I32" s="27"/>
      <x:c r="J32" s="27"/>
      <x:c r="K32" s="27"/>
      <x:c r="L32" s="27"/>
      <x:c r="M32" s="27"/>
      <x:c r="N32" s="28" t="n">
        <x:f>MAX(N7:N31)</x:f>
        <x:v>8</x:v>
      </x:c>
      <x:c r="O32" s="28" t="n">
        <x:f>MAX(O7:O31)</x:f>
        <x:v>10</x:v>
      </x:c>
      <x:c r="P32" s="28" t="n">
        <x:f>SUM(P7:P31)</x:f>
        <x:v>172</x:v>
      </x:c>
      <x:c r="Q32" s="28"/>
      <x:c r="R32" s="28" t="n">
        <x:f>SUM(R7:R31)</x:f>
        <x:v>401</x:v>
      </x:c>
      <x:c r="S32" s="29"/>
      <x:c r="T32" s="29"/>
      <x:c r="U32" s="29"/>
      <x:c r="V32" s="29"/>
      <x:c r="W32" s="28"/>
      <x:c r="X32" s="28"/>
      <x:c r="Y32" s="28"/>
      <x:c r="Z32" s="28"/>
    </x:row>
  </x:sheetData>
  <x:conditionalFormatting sqref="B7:M32">
    <x:cfRule type="cellIs" dxfId="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e358d50b6ed4962"/>
  </x:tableParts>
</x:worksheet>
</file>

<file path=xl/worksheets/sheet4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3" customHeight="1">
      <x:c r="A2" s="4" t="str">
        <x:v>P01　全夜間の利益・損失・収支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3" ht="23" customHeight="1">
      <x:c r="A3" s="6" t="str">
        <x:v>日経mini・片方向上限10枚・手数料0・次正常ラージ気配代理。2026/09/21〜10/23の完了25夜。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3" customHeight="1">
      <x:c r="A4" s="6" t="str">
        <x:v>利益・損失は新規実約定IDごとの全返済収支で分類。旧親単位の利益損失とは異なります。未測定は空欄。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3" customHeight="1">
      <x:c r="A5" s="6" t="str">
        <x:v>前半・利益40ptから20pt追尾。P：新手法は米国開始15分前まで、後半は保存S04。含み損・DD・保有時間・返済内訳は前半だけ。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4" customHeight="1">
      <x:c r="A6" s="15" t="str">
        <x:v>セッション</x:v>
      </x:c>
      <x:c r="B6" s="16" t="str">
        <x:v>利益（円）</x:v>
      </x:c>
      <x:c r="C6" s="16" t="str">
        <x:v>損失（円）</x:v>
      </x:c>
      <x:c r="D6" s="16" t="str">
        <x:v>全夜収支（円）</x:v>
      </x:c>
      <x:c r="E6" s="16" t="str">
        <x:v>累計（円）</x:v>
      </x:c>
      <x:c r="F6" s="16" t="str">
        <x:v>対象区間収支</x:v>
      </x:c>
      <x:c r="G6" s="16" t="str">
        <x:v>保存後半収支</x:v>
      </x:c>
      <x:c r="H6" s="16" t="str">
        <x:v>利益追尾の利益</x:v>
      </x:c>
      <x:c r="I6" s="16" t="str">
        <x:v>利益追尾の損失</x:v>
      </x:c>
      <x:c r="J6" s="16" t="str">
        <x:v>境界清算の利益</x:v>
      </x:c>
      <x:c r="K6" s="16" t="str">
        <x:v>境界清算の損失</x:v>
      </x:c>
      <x:c r="L6" s="16" t="str">
        <x:v>最大含み損（円）</x:v>
      </x:c>
      <x:c r="M6" s="16" t="str">
        <x:v>対象区間DD</x:v>
      </x:c>
      <x:c r="N6" s="16" t="str">
        <x:v>最大買い枚数</x:v>
      </x:c>
      <x:c r="O6" s="16" t="str">
        <x:v>最大売り枚数</x:v>
      </x:c>
      <x:c r="P6" s="16" t="str">
        <x:v>全夜新規件数</x:v>
      </x:c>
      <x:c r="Q6" s="16" t="str">
        <x:v>対象区間新規</x:v>
      </x:c>
      <x:c r="R6" s="16" t="str">
        <x:v>全新規枚数</x:v>
      </x:c>
      <x:c r="S6" s="16" t="str">
        <x:v>保有（分）</x:v>
      </x:c>
      <x:c r="T6" s="16" t="str">
        <x:v>両建て（分）</x:v>
      </x:c>
      <x:c r="U6" s="16" t="str">
        <x:v>買い上限（分）</x:v>
      </x:c>
      <x:c r="V6" s="16" t="str">
        <x:v>売り上限（分）</x:v>
      </x:c>
      <x:c r="W6" s="16" t="str">
        <x:v>上限拒否・縮小件数</x:v>
      </x:c>
      <x:c r="X6" s="16" t="str">
        <x:v>通知全拒否件数</x:v>
      </x:c>
      <x:c r="Y6" s="16" t="str">
        <x:v>実再参加件数</x:v>
      </x:c>
      <x:c r="Z6" s="17" t="str">
        <x:v>判断利益→実損失</x:v>
      </x:c>
    </x:row>
    <x:row r="7" ht="23" customHeight="1">
      <x:c r="A7" s="2" t="str">
        <x:v>2026-09-21_Night</x:v>
      </x:c>
      <x:c r="B7" s="19" t="n">
        <x:v>0</x:v>
      </x:c>
      <x:c r="C7" s="19" t="n">
        <x:v>45000</x:v>
      </x:c>
      <x:c r="D7" s="19" t="n">
        <x:f>B7-C7</x:f>
        <x:v>-45000</x:v>
      </x:c>
      <x:c r="E7" s="19" t="n">
        <x:f>D7</x:f>
        <x:v>-45000</x:v>
      </x:c>
      <x:c r="F7" s="19" t="n">
        <x:v>0</x:v>
      </x:c>
      <x:c r="G7" s="19" t="n">
        <x:f>D7-F7</x:f>
        <x:v>-45000</x:v>
      </x:c>
      <x:c r="H7" s="19" t="n">
        <x:v>0</x:v>
      </x:c>
      <x:c r="I7" s="19" t="n">
        <x:v>0</x:v>
      </x:c>
      <x:c r="J7" s="19" t="n">
        <x:v>0</x:v>
      </x:c>
      <x:c r="K7" s="19" t="n">
        <x:v>0</x:v>
      </x:c>
      <x:c r="L7" s="19" t="n">
        <x:v>0</x:v>
      </x:c>
      <x:c r="M7" s="19" t="n">
        <x:v>0</x:v>
      </x:c>
      <x:c r="N7" s="20" t="n">
        <x:v>5</x:v>
      </x:c>
      <x:c r="O7" s="20" t="n">
        <x:v>0</x:v>
      </x:c>
      <x:c r="P7" s="20" t="n">
        <x:v>1</x:v>
      </x:c>
      <x:c r="Q7" s="20" t="n">
        <x:v>0</x:v>
      </x:c>
      <x:c r="R7" s="20" t="n">
        <x:v>5</x:v>
      </x:c>
      <x:c r="S7" s="21" t="n">
        <x:f>0/60</x:f>
        <x:v>0</x:v>
      </x:c>
      <x:c r="T7" s="21" t="n">
        <x:f>0/60</x:f>
        <x:v>0</x:v>
      </x:c>
      <x:c r="U7" s="21" t="n">
        <x:f>0/60</x:f>
        <x:v>0</x:v>
      </x:c>
      <x:c r="V7" s="21" t="n">
        <x:f>0/60</x:f>
        <x:v>0</x:v>
      </x:c>
      <x:c r="W7" s="20" t="n">
        <x:v>0</x:v>
      </x:c>
      <x:c r="X7" s="20" t="n">
        <x:v>0</x:v>
      </x:c>
      <x:c r="Y7" s="20" t="n">
        <x:v>0</x:v>
      </x:c>
      <x:c r="Z7" s="20" t="n">
        <x:v>0</x:v>
      </x:c>
    </x:row>
    <x:row r="8" ht="23" customHeight="1">
      <x:c r="A8" s="2" t="str">
        <x:v>2026-09-22_Night</x:v>
      </x:c>
      <x:c r="B8" s="19" t="n">
        <x:v>39000</x:v>
      </x:c>
      <x:c r="C8" s="19" t="n">
        <x:v>0</x:v>
      </x:c>
      <x:c r="D8" s="19" t="n">
        <x:f>B8-C8</x:f>
        <x:v>39000</x:v>
      </x:c>
      <x:c r="E8" s="19" t="n">
        <x:f>E7+D8</x:f>
        <x:v>-6000</x:v>
      </x:c>
      <x:c r="F8" s="19" t="n">
        <x:v>15000</x:v>
      </x:c>
      <x:c r="G8" s="19" t="n">
        <x:f>D8-F8</x:f>
        <x:v>24000</x:v>
      </x:c>
      <x:c r="H8" s="19" t="n">
        <x:v>15000</x:v>
      </x:c>
      <x:c r="I8" s="19" t="n">
        <x:v>0</x:v>
      </x:c>
      <x:c r="J8" s="19" t="n">
        <x:v>0</x:v>
      </x:c>
      <x:c r="K8" s="19" t="n">
        <x:v>0</x:v>
      </x:c>
      <x:c r="L8" s="19" t="n">
        <x:v>45000</x:v>
      </x:c>
      <x:c r="M8" s="19" t="n">
        <x:v>55000</x:v>
      </x:c>
      <x:c r="N8" s="20" t="n">
        <x:v>5</x:v>
      </x:c>
      <x:c r="O8" s="20" t="n">
        <x:v>0</x:v>
      </x:c>
      <x:c r="P8" s="20" t="n">
        <x:v>2</x:v>
      </x:c>
      <x:c r="Q8" s="20" t="n">
        <x:v>1</x:v>
      </x:c>
      <x:c r="R8" s="20" t="n">
        <x:v>10</x:v>
      </x:c>
      <x:c r="S8" s="21" t="n">
        <x:f>2452/60</x:f>
        <x:v>40.86666666666667</x:v>
      </x:c>
      <x:c r="T8" s="21" t="n">
        <x:f>0/60</x:f>
        <x:v>0</x:v>
      </x:c>
      <x:c r="U8" s="21" t="n">
        <x:f>0/60</x:f>
        <x:v>0</x:v>
      </x:c>
      <x:c r="V8" s="21" t="n">
        <x:f>0/60</x:f>
        <x:v>0</x:v>
      </x:c>
      <x:c r="W8" s="20" t="n">
        <x:v>0</x:v>
      </x:c>
      <x:c r="X8" s="20" t="n">
        <x:v>0</x:v>
      </x:c>
      <x:c r="Y8" s="20" t="n">
        <x:v>0</x:v>
      </x:c>
      <x:c r="Z8" s="20" t="n">
        <x:v>0</x:v>
      </x:c>
    </x:row>
    <x:row r="9" ht="23" customHeight="1">
      <x:c r="A9" s="2" t="str">
        <x:v>2026-09-23_Night</x:v>
      </x:c>
      <x:c r="B9" s="19" t="n">
        <x:v>5000</x:v>
      </x:c>
      <x:c r="C9" s="19" t="n">
        <x:v>41000</x:v>
      </x:c>
      <x:c r="D9" s="19" t="n">
        <x:f>B9-C9</x:f>
        <x:v>-36000</x:v>
      </x:c>
      <x:c r="E9" s="19" t="n">
        <x:f>E8+D9</x:f>
        <x:v>-42000</x:v>
      </x:c>
      <x:c r="F9" s="19" t="n">
        <x:v>0</x:v>
      </x:c>
      <x:c r="G9" s="19" t="n">
        <x:f>D9-F9</x:f>
        <x:v>-36000</x:v>
      </x:c>
      <x:c r="H9" s="19" t="n">
        <x:v>0</x:v>
      </x:c>
      <x:c r="I9" s="19" t="n">
        <x:v>0</x:v>
      </x:c>
      <x:c r="J9" s="19" t="n">
        <x:v>0</x:v>
      </x:c>
      <x:c r="K9" s="19" t="n">
        <x:v>0</x:v>
      </x:c>
      <x:c r="L9" s="19" t="n">
        <x:v>0</x:v>
      </x:c>
      <x:c r="M9" s="19" t="n">
        <x:v>0</x:v>
      </x:c>
      <x:c r="N9" s="20" t="n">
        <x:v>2</x:v>
      </x:c>
      <x:c r="O9" s="20" t="n">
        <x:v>5</x:v>
      </x:c>
      <x:c r="P9" s="20" t="n">
        <x:v>3</x:v>
      </x:c>
      <x:c r="Q9" s="20" t="n">
        <x:v>0</x:v>
      </x:c>
      <x:c r="R9" s="20" t="n">
        <x:v>7</x:v>
      </x:c>
      <x:c r="S9" s="21" t="n">
        <x:f>0/60</x:f>
        <x:v>0</x:v>
      </x:c>
      <x:c r="T9" s="21" t="n">
        <x:f>0/60</x:f>
        <x:v>0</x:v>
      </x:c>
      <x:c r="U9" s="21" t="n">
        <x:f>0/60</x:f>
        <x:v>0</x:v>
      </x:c>
      <x:c r="V9" s="21" t="n">
        <x:f>0/60</x:f>
        <x:v>0</x:v>
      </x:c>
      <x:c r="W9" s="20" t="n">
        <x:v>0</x:v>
      </x:c>
      <x:c r="X9" s="20" t="n">
        <x:v>0</x:v>
      </x:c>
      <x:c r="Y9" s="20" t="n">
        <x:v>0</x:v>
      </x:c>
      <x:c r="Z9" s="20" t="n">
        <x:v>0</x:v>
      </x:c>
    </x:row>
    <x:row r="10" ht="23" customHeight="1">
      <x:c r="A10" s="2" t="str">
        <x:v>2026-09-24_Night</x:v>
      </x:c>
      <x:c r="B10" s="19" t="n">
        <x:v>40000</x:v>
      </x:c>
      <x:c r="C10" s="19" t="n">
        <x:v>0</x:v>
      </x:c>
      <x:c r="D10" s="19" t="n">
        <x:f>B10-C10</x:f>
        <x:v>40000</x:v>
      </x:c>
      <x:c r="E10" s="19" t="n">
        <x:f>E9+D10</x:f>
        <x:v>-2000</x:v>
      </x:c>
      <x:c r="F10" s="19" t="n">
        <x:v>20000</x:v>
      </x:c>
      <x:c r="G10" s="19" t="n">
        <x:f>D10-F10</x:f>
        <x:v>20000</x:v>
      </x:c>
      <x:c r="H10" s="19" t="n">
        <x:v>20000</x:v>
      </x:c>
      <x:c r="I10" s="19" t="n">
        <x:v>0</x:v>
      </x:c>
      <x:c r="J10" s="19" t="n">
        <x:v>0</x:v>
      </x:c>
      <x:c r="K10" s="19" t="n">
        <x:v>0</x:v>
      </x:c>
      <x:c r="L10" s="19" t="n">
        <x:v>85000</x:v>
      </x:c>
      <x:c r="M10" s="19" t="n">
        <x:v>90000</x:v>
      </x:c>
      <x:c r="N10" s="20" t="n">
        <x:v>5</x:v>
      </x:c>
      <x:c r="O10" s="20" t="n">
        <x:v>2</x:v>
      </x:c>
      <x:c r="P10" s="20" t="n">
        <x:v>4</x:v>
      </x:c>
      <x:c r="Q10" s="20" t="n">
        <x:v>2</x:v>
      </x:c>
      <x:c r="R10" s="20" t="n">
        <x:v>12</x:v>
      </x:c>
      <x:c r="S10" s="21" t="n">
        <x:f>5560/60</x:f>
        <x:v>92.66666666666667</x:v>
      </x:c>
      <x:c r="T10" s="21" t="n">
        <x:f>0/60</x:f>
        <x:v>0</x:v>
      </x:c>
      <x:c r="U10" s="21" t="n">
        <x:f>0/60</x:f>
        <x:v>0</x:v>
      </x:c>
      <x:c r="V10" s="21" t="n">
        <x:f>0/60</x:f>
        <x:v>0</x:v>
      </x:c>
      <x:c r="W10" s="20" t="n">
        <x:v>0</x:v>
      </x:c>
      <x:c r="X10" s="20" t="n">
        <x:v>0</x:v>
      </x:c>
      <x:c r="Y10" s="20" t="n">
        <x:v>0</x:v>
      </x:c>
      <x:c r="Z10" s="20" t="n">
        <x:v>0</x:v>
      </x:c>
    </x:row>
    <x:row r="11" ht="23" customHeight="1">
      <x:c r="A11" s="2" t="str">
        <x:v>2026-09-25_Night</x:v>
      </x:c>
      <x:c r="B11" s="19" t="n">
        <x:v>17000</x:v>
      </x:c>
      <x:c r="C11" s="19" t="n">
        <x:v>16000</x:v>
      </x:c>
      <x:c r="D11" s="19" t="n">
        <x:f>B11-C11</x:f>
        <x:v>1000</x:v>
      </x:c>
      <x:c r="E11" s="19" t="n">
        <x:f>E10+D11</x:f>
        <x:v>-1000</x:v>
      </x:c>
      <x:c r="F11" s="19" t="n">
        <x:v>0</x:v>
      </x:c>
      <x:c r="G11" s="19" t="n">
        <x:f>D11-F11</x:f>
        <x:v>1000</x:v>
      </x:c>
      <x:c r="H11" s="19" t="n">
        <x:v>0</x:v>
      </x:c>
      <x:c r="I11" s="19" t="n">
        <x:v>0</x:v>
      </x:c>
      <x:c r="J11" s="19" t="n">
        <x:v>0</x:v>
      </x:c>
      <x:c r="K11" s="19" t="n">
        <x:v>0</x:v>
      </x:c>
      <x:c r="L11" s="19" t="n">
        <x:v>0</x:v>
      </x:c>
      <x:c r="M11" s="19" t="n">
        <x:v>0</x:v>
      </x:c>
      <x:c r="N11" s="20" t="n">
        <x:v>1</x:v>
      </x:c>
      <x:c r="O11" s="20" t="n">
        <x:v>5</x:v>
      </x:c>
      <x:c r="P11" s="20" t="n">
        <x:v>2</x:v>
      </x:c>
      <x:c r="Q11" s="20" t="n">
        <x:v>0</x:v>
      </x:c>
      <x:c r="R11" s="20" t="n">
        <x:v>6</x:v>
      </x:c>
      <x:c r="S11" s="21" t="n">
        <x:f>0/60</x:f>
        <x:v>0</x:v>
      </x:c>
      <x:c r="T11" s="21" t="n">
        <x:f>0/60</x:f>
        <x:v>0</x:v>
      </x:c>
      <x:c r="U11" s="21" t="n">
        <x:f>0/60</x:f>
        <x:v>0</x:v>
      </x:c>
      <x:c r="V11" s="21" t="n">
        <x:f>0/60</x:f>
        <x:v>0</x:v>
      </x:c>
      <x:c r="W11" s="20" t="n">
        <x:v>0</x:v>
      </x:c>
      <x:c r="X11" s="20" t="n">
        <x:v>0</x:v>
      </x:c>
      <x:c r="Y11" s="20" t="n">
        <x:v>0</x:v>
      </x:c>
      <x:c r="Z11" s="20" t="n">
        <x:v>0</x:v>
      </x:c>
    </x:row>
    <x:row r="12" ht="23" customHeight="1">
      <x:c r="A12" s="2" t="str">
        <x:v>2026-09-28_Night</x:v>
      </x:c>
      <x:c r="B12" s="19" t="n">
        <x:v>13000</x:v>
      </x:c>
      <x:c r="C12" s="19" t="n">
        <x:v>39000</x:v>
      </x:c>
      <x:c r="D12" s="19" t="n">
        <x:f>B12-C12</x:f>
        <x:v>-26000</x:v>
      </x:c>
      <x:c r="E12" s="19" t="n">
        <x:f>E11+D12</x:f>
        <x:v>-27000</x:v>
      </x:c>
      <x:c r="F12" s="19" t="n">
        <x:v>3000</x:v>
      </x:c>
      <x:c r="G12" s="19" t="n">
        <x:f>D12-F12</x:f>
        <x:v>-29000</x:v>
      </x:c>
      <x:c r="H12" s="19" t="n">
        <x:v>3000</x:v>
      </x:c>
      <x:c r="I12" s="19" t="n">
        <x:v>0</x:v>
      </x:c>
      <x:c r="J12" s="19" t="n">
        <x:v>0</x:v>
      </x:c>
      <x:c r="K12" s="19" t="n">
        <x:v>0</x:v>
      </x:c>
      <x:c r="L12" s="19" t="n">
        <x:v>6000</x:v>
      </x:c>
      <x:c r="M12" s="19" t="n">
        <x:v>6000</x:v>
      </x:c>
      <x:c r="N12" s="20" t="n">
        <x:v>3</x:v>
      </x:c>
      <x:c r="O12" s="20" t="n">
        <x:v>3</x:v>
      </x:c>
      <x:c r="P12" s="20" t="n">
        <x:v>5</x:v>
      </x:c>
      <x:c r="Q12" s="20" t="n">
        <x:v>1</x:v>
      </x:c>
      <x:c r="R12" s="20" t="n">
        <x:v>7</x:v>
      </x:c>
      <x:c r="S12" s="21" t="n">
        <x:f>1179/60</x:f>
        <x:v>19.65</x:v>
      </x:c>
      <x:c r="T12" s="21" t="n">
        <x:f>0/60</x:f>
        <x:v>0</x:v>
      </x:c>
      <x:c r="U12" s="21" t="n">
        <x:f>0/60</x:f>
        <x:v>0</x:v>
      </x:c>
      <x:c r="V12" s="21" t="n">
        <x:f>0/60</x:f>
        <x:v>0</x:v>
      </x:c>
      <x:c r="W12" s="20" t="n">
        <x:v>0</x:v>
      </x:c>
      <x:c r="X12" s="20" t="n">
        <x:v>0</x:v>
      </x:c>
      <x:c r="Y12" s="20" t="n">
        <x:v>0</x:v>
      </x:c>
      <x:c r="Z12" s="20" t="n">
        <x:v>0</x:v>
      </x:c>
    </x:row>
    <x:row r="13" ht="23" customHeight="1">
      <x:c r="A13" s="2" t="str">
        <x:v>2026-09-29_Night</x:v>
      </x:c>
      <x:c r="B13" s="19" t="n">
        <x:v>90000</x:v>
      </x:c>
      <x:c r="C13" s="19" t="n">
        <x:v>25000</x:v>
      </x:c>
      <x:c r="D13" s="19" t="n">
        <x:f>B13-C13</x:f>
        <x:v>65000</x:v>
      </x:c>
      <x:c r="E13" s="19" t="n">
        <x:f>E12+D13</x:f>
        <x:v>38000</x:v>
      </x:c>
      <x:c r="F13" s="19" t="n">
        <x:v>0</x:v>
      </x:c>
      <x:c r="G13" s="19" t="n">
        <x:f>D13-F13</x:f>
        <x:v>65000</x:v>
      </x:c>
      <x:c r="H13" s="19" t="n">
        <x:v>0</x:v>
      </x:c>
      <x:c r="I13" s="19" t="n">
        <x:v>0</x:v>
      </x:c>
      <x:c r="J13" s="19" t="n">
        <x:v>0</x:v>
      </x:c>
      <x:c r="K13" s="19" t="n">
        <x:v>0</x:v>
      </x:c>
      <x:c r="L13" s="19" t="n">
        <x:v>0</x:v>
      </x:c>
      <x:c r="M13" s="19" t="n">
        <x:v>0</x:v>
      </x:c>
      <x:c r="N13" s="20" t="n">
        <x:v>5</x:v>
      </x:c>
      <x:c r="O13" s="20" t="n">
        <x:v>5</x:v>
      </x:c>
      <x:c r="P13" s="20" t="n">
        <x:v>6</x:v>
      </x:c>
      <x:c r="Q13" s="20" t="n">
        <x:v>0</x:v>
      </x:c>
      <x:c r="R13" s="20" t="n">
        <x:v>14</x:v>
      </x:c>
      <x:c r="S13" s="21" t="n">
        <x:f>0/60</x:f>
        <x:v>0</x:v>
      </x:c>
      <x:c r="T13" s="21" t="n">
        <x:f>0/60</x:f>
        <x:v>0</x:v>
      </x:c>
      <x:c r="U13" s="21" t="n">
        <x:f>0/60</x:f>
        <x:v>0</x:v>
      </x:c>
      <x:c r="V13" s="21" t="n">
        <x:f>0/60</x:f>
        <x:v>0</x:v>
      </x:c>
      <x:c r="W13" s="20" t="n">
        <x:v>0</x:v>
      </x:c>
      <x:c r="X13" s="20" t="n">
        <x:v>0</x:v>
      </x:c>
      <x:c r="Y13" s="20" t="n">
        <x:v>0</x:v>
      </x:c>
      <x:c r="Z13" s="20" t="n">
        <x:v>0</x:v>
      </x:c>
    </x:row>
    <x:row r="14" ht="23" customHeight="1">
      <x:c r="A14" s="2" t="str">
        <x:v>2026-09-30_Night</x:v>
      </x:c>
      <x:c r="B14" s="19" t="n">
        <x:v>109000</x:v>
      </x:c>
      <x:c r="C14" s="19" t="n">
        <x:v>6000</x:v>
      </x:c>
      <x:c r="D14" s="19" t="n">
        <x:f>B14-C14</x:f>
        <x:v>103000</x:v>
      </x:c>
      <x:c r="E14" s="19" t="n">
        <x:f>E13+D14</x:f>
        <x:v>141000</x:v>
      </x:c>
      <x:c r="F14" s="19" t="n">
        <x:v>60000</x:v>
      </x:c>
      <x:c r="G14" s="19" t="n">
        <x:f>D14-F14</x:f>
        <x:v>43000</x:v>
      </x:c>
      <x:c r="H14" s="19" t="n">
        <x:v>60000</x:v>
      </x:c>
      <x:c r="I14" s="19" t="n">
        <x:v>0</x:v>
      </x:c>
      <x:c r="J14" s="19" t="n">
        <x:v>0</x:v>
      </x:c>
      <x:c r="K14" s="19" t="n">
        <x:v>0</x:v>
      </x:c>
      <x:c r="L14" s="19" t="n">
        <x:v>90000</x:v>
      </x:c>
      <x:c r="M14" s="19" t="n">
        <x:v>95000</x:v>
      </x:c>
      <x:c r="N14" s="20" t="n">
        <x:v>7</x:v>
      </x:c>
      <x:c r="O14" s="20" t="n">
        <x:v>5</x:v>
      </x:c>
      <x:c r="P14" s="20" t="n">
        <x:v>6</x:v>
      </x:c>
      <x:c r="Q14" s="20" t="n">
        <x:v>3</x:v>
      </x:c>
      <x:c r="R14" s="20" t="n">
        <x:v>22</x:v>
      </x:c>
      <x:c r="S14" s="21" t="n">
        <x:f>3224/60</x:f>
        <x:v>53.733333333333334</x:v>
      </x:c>
      <x:c r="T14" s="21" t="n">
        <x:f>0/60</x:f>
        <x:v>0</x:v>
      </x:c>
      <x:c r="U14" s="21" t="n">
        <x:f>0/60</x:f>
        <x:v>0</x:v>
      </x:c>
      <x:c r="V14" s="21" t="n">
        <x:f>0/60</x:f>
        <x:v>0</x:v>
      </x:c>
      <x:c r="W14" s="20" t="n">
        <x:v>0</x:v>
      </x:c>
      <x:c r="X14" s="20" t="n">
        <x:v>0</x:v>
      </x:c>
      <x:c r="Y14" s="20" t="n">
        <x:v>0</x:v>
      </x:c>
      <x:c r="Z14" s="20" t="n">
        <x:v>0</x:v>
      </x:c>
    </x:row>
    <x:row r="15" ht="23" customHeight="1">
      <x:c r="A15" s="2" t="str">
        <x:v>2026-10-01_Night</x:v>
      </x:c>
      <x:c r="B15" s="19" t="n">
        <x:v>261000</x:v>
      </x:c>
      <x:c r="C15" s="19" t="n">
        <x:v>92000</x:v>
      </x:c>
      <x:c r="D15" s="19" t="n">
        <x:f>B15-C15</x:f>
        <x:v>169000</x:v>
      </x:c>
      <x:c r="E15" s="19" t="n">
        <x:f>E14+D15</x:f>
        <x:v>310000</x:v>
      </x:c>
      <x:c r="F15" s="19" t="n">
        <x:v>71000</x:v>
      </x:c>
      <x:c r="G15" s="19" t="n">
        <x:f>D15-F15</x:f>
        <x:v>98000</x:v>
      </x:c>
      <x:c r="H15" s="19" t="n">
        <x:v>56000</x:v>
      </x:c>
      <x:c r="I15" s="19" t="n">
        <x:v>0</x:v>
      </x:c>
      <x:c r="J15" s="19" t="n">
        <x:v>15000</x:v>
      </x:c>
      <x:c r="K15" s="19" t="n">
        <x:v>0</x:v>
      </x:c>
      <x:c r="L15" s="19" t="n">
        <x:v>50000</x:v>
      </x:c>
      <x:c r="M15" s="19" t="n">
        <x:v>54000</x:v>
      </x:c>
      <x:c r="N15" s="20" t="n">
        <x:v>5</x:v>
      </x:c>
      <x:c r="O15" s="20" t="n">
        <x:v>5</x:v>
      </x:c>
      <x:c r="P15" s="20" t="n">
        <x:v>16</x:v>
      </x:c>
      <x:c r="Q15" s="20" t="n">
        <x:v>8</x:v>
      </x:c>
      <x:c r="R15" s="20" t="n">
        <x:v>36</x:v>
      </x:c>
      <x:c r="S15" s="21" t="n">
        <x:f>3969/60</x:f>
        <x:v>66.15</x:v>
      </x:c>
      <x:c r="T15" s="21" t="n">
        <x:f>0/60</x:f>
        <x:v>0</x:v>
      </x:c>
      <x:c r="U15" s="21" t="n">
        <x:f>0/60</x:f>
        <x:v>0</x:v>
      </x:c>
      <x:c r="V15" s="21" t="n">
        <x:f>0/60</x:f>
        <x:v>0</x:v>
      </x:c>
      <x:c r="W15" s="20" t="n">
        <x:v>0</x:v>
      </x:c>
      <x:c r="X15" s="20" t="n">
        <x:v>0</x:v>
      </x:c>
      <x:c r="Y15" s="20" t="n">
        <x:v>0</x:v>
      </x:c>
      <x:c r="Z15" s="20" t="n">
        <x:v>0</x:v>
      </x:c>
    </x:row>
    <x:row r="16" ht="23" customHeight="1">
      <x:c r="A16" s="2" t="str">
        <x:v>2026-10-02_Night</x:v>
      </x:c>
      <x:c r="B16" s="19" t="n">
        <x:v>313000</x:v>
      </x:c>
      <x:c r="C16" s="19" t="n">
        <x:v>57000</x:v>
      </x:c>
      <x:c r="D16" s="19" t="n">
        <x:f>B16-C16</x:f>
        <x:v>256000</x:v>
      </x:c>
      <x:c r="E16" s="19" t="n">
        <x:f>E15+D16</x:f>
        <x:v>566000</x:v>
      </x:c>
      <x:c r="F16" s="19" t="n">
        <x:v>0</x:v>
      </x:c>
      <x:c r="G16" s="19" t="n">
        <x:f>D16-F16</x:f>
        <x:v>256000</x:v>
      </x:c>
      <x:c r="H16" s="19" t="n">
        <x:v>0</x:v>
      </x:c>
      <x:c r="I16" s="19" t="n">
        <x:v>0</x:v>
      </x:c>
      <x:c r="J16" s="19" t="n">
        <x:v>0</x:v>
      </x:c>
      <x:c r="K16" s="19" t="n">
        <x:v>0</x:v>
      </x:c>
      <x:c r="L16" s="19" t="n">
        <x:v>0</x:v>
      </x:c>
      <x:c r="M16" s="19" t="n">
        <x:v>0</x:v>
      </x:c>
      <x:c r="N16" s="20" t="n">
        <x:v>7</x:v>
      </x:c>
      <x:c r="O16" s="20" t="n">
        <x:v>10</x:v>
      </x:c>
      <x:c r="P16" s="20" t="n">
        <x:v>15</x:v>
      </x:c>
      <x:c r="Q16" s="20" t="n">
        <x:v>0</x:v>
      </x:c>
      <x:c r="R16" s="20" t="n">
        <x:v>28</x:v>
      </x:c>
      <x:c r="S16" s="21" t="n">
        <x:f>0/60</x:f>
        <x:v>0</x:v>
      </x:c>
      <x:c r="T16" s="21" t="n">
        <x:f>0/60</x:f>
        <x:v>0</x:v>
      </x:c>
      <x:c r="U16" s="21" t="n">
        <x:f>0/60</x:f>
        <x:v>0</x:v>
      </x:c>
      <x:c r="V16" s="21" t="n">
        <x:f>0/60</x:f>
        <x:v>0</x:v>
      </x:c>
      <x:c r="W16" s="20" t="n">
        <x:v>0</x:v>
      </x:c>
      <x:c r="X16" s="20" t="n">
        <x:v>0</x:v>
      </x:c>
      <x:c r="Y16" s="20" t="n">
        <x:v>0</x:v>
      </x:c>
      <x:c r="Z16" s="20" t="n">
        <x:v>0</x:v>
      </x:c>
    </x:row>
    <x:row r="17" ht="23" customHeight="1">
      <x:c r="A17" s="2" t="str">
        <x:v>2026-10-05_Night</x:v>
      </x:c>
      <x:c r="B17" s="19" t="n">
        <x:v>113000</x:v>
      </x:c>
      <x:c r="C17" s="19" t="n">
        <x:v>64000</x:v>
      </x:c>
      <x:c r="D17" s="19" t="n">
        <x:f>B17-C17</x:f>
        <x:v>49000</x:v>
      </x:c>
      <x:c r="E17" s="19" t="n">
        <x:f>E16+D17</x:f>
        <x:v>615000</x:v>
      </x:c>
      <x:c r="F17" s="19" t="n">
        <x:v>15000</x:v>
      </x:c>
      <x:c r="G17" s="19" t="n">
        <x:f>D17-F17</x:f>
        <x:v>34000</x:v>
      </x:c>
      <x:c r="H17" s="19" t="n">
        <x:v>15000</x:v>
      </x:c>
      <x:c r="I17" s="19" t="n">
        <x:v>0</x:v>
      </x:c>
      <x:c r="J17" s="19" t="n">
        <x:v>0</x:v>
      </x:c>
      <x:c r="K17" s="19" t="n">
        <x:v>0</x:v>
      </x:c>
      <x:c r="L17" s="19" t="n">
        <x:v>10000</x:v>
      </x:c>
      <x:c r="M17" s="19" t="n">
        <x:v>15000</x:v>
      </x:c>
      <x:c r="N17" s="20" t="n">
        <x:v>5</x:v>
      </x:c>
      <x:c r="O17" s="20" t="n">
        <x:v>5</x:v>
      </x:c>
      <x:c r="P17" s="20" t="n">
        <x:v>8</x:v>
      </x:c>
      <x:c r="Q17" s="20" t="n">
        <x:v>1</x:v>
      </x:c>
      <x:c r="R17" s="20" t="n">
        <x:v>19</x:v>
      </x:c>
      <x:c r="S17" s="21" t="n">
        <x:f>58/60</x:f>
        <x:v>0.9666666666666667</x:v>
      </x:c>
      <x:c r="T17" s="21" t="n">
        <x:f>0/60</x:f>
        <x:v>0</x:v>
      </x:c>
      <x:c r="U17" s="21" t="n">
        <x:f>0/60</x:f>
        <x:v>0</x:v>
      </x:c>
      <x:c r="V17" s="21" t="n">
        <x:f>0/60</x:f>
        <x:v>0</x:v>
      </x:c>
      <x:c r="W17" s="20" t="n">
        <x:v>0</x:v>
      </x:c>
      <x:c r="X17" s="20" t="n">
        <x:v>0</x:v>
      </x:c>
      <x:c r="Y17" s="20" t="n">
        <x:v>0</x:v>
      </x:c>
      <x:c r="Z17" s="20" t="n">
        <x:v>0</x:v>
      </x:c>
    </x:row>
    <x:row r="18" ht="23" customHeight="1">
      <x:c r="A18" s="2" t="str">
        <x:v>2026-10-06_Night</x:v>
      </x:c>
      <x:c r="B18" s="19" t="n">
        <x:v>33000</x:v>
      </x:c>
      <x:c r="C18" s="19" t="n">
        <x:v>43000</x:v>
      </x:c>
      <x:c r="D18" s="19" t="n">
        <x:f>B18-C18</x:f>
        <x:v>-10000</x:v>
      </x:c>
      <x:c r="E18" s="19" t="n">
        <x:f>E17+D18</x:f>
        <x:v>605000</x:v>
      </x:c>
      <x:c r="F18" s="19" t="n">
        <x:v>0</x:v>
      </x:c>
      <x:c r="G18" s="19" t="n">
        <x:f>D18-F18</x:f>
        <x:v>-10000</x:v>
      </x:c>
      <x:c r="H18" s="19" t="n">
        <x:v>0</x:v>
      </x:c>
      <x:c r="I18" s="19" t="n">
        <x:v>0</x:v>
      </x:c>
      <x:c r="J18" s="19" t="n">
        <x:v>0</x:v>
      </x:c>
      <x:c r="K18" s="19" t="n">
        <x:v>0</x:v>
      </x:c>
      <x:c r="L18" s="19" t="n">
        <x:v>0</x:v>
      </x:c>
      <x:c r="M18" s="19" t="n">
        <x:v>0</x:v>
      </x:c>
      <x:c r="N18" s="20" t="n">
        <x:v>0</x:v>
      </x:c>
      <x:c r="O18" s="20" t="n">
        <x:v>7</x:v>
      </x:c>
      <x:c r="P18" s="20" t="n">
        <x:v>4</x:v>
      </x:c>
      <x:c r="Q18" s="20" t="n">
        <x:v>0</x:v>
      </x:c>
      <x:c r="R18" s="20" t="n">
        <x:v>8</x:v>
      </x:c>
      <x:c r="S18" s="21" t="n">
        <x:f>0/60</x:f>
        <x:v>0</x:v>
      </x:c>
      <x:c r="T18" s="21" t="n">
        <x:f>0/60</x:f>
        <x:v>0</x:v>
      </x:c>
      <x:c r="U18" s="21" t="n">
        <x:f>0/60</x:f>
        <x:v>0</x:v>
      </x:c>
      <x:c r="V18" s="21" t="n">
        <x:f>0/60</x:f>
        <x:v>0</x:v>
      </x:c>
      <x:c r="W18" s="20" t="n">
        <x:v>0</x:v>
      </x:c>
      <x:c r="X18" s="20" t="n">
        <x:v>0</x:v>
      </x:c>
      <x:c r="Y18" s="20" t="n">
        <x:v>0</x:v>
      </x:c>
      <x:c r="Z18" s="20" t="n">
        <x:v>0</x:v>
      </x:c>
    </x:row>
    <x:row r="19" ht="23" customHeight="1">
      <x:c r="A19" s="2" t="str">
        <x:v>2026-10-07_Night</x:v>
      </x:c>
      <x:c r="B19" s="19" t="n">
        <x:v>12000</x:v>
      </x:c>
      <x:c r="C19" s="19" t="n">
        <x:v>47000</x:v>
      </x:c>
      <x:c r="D19" s="19" t="n">
        <x:f>B19-C19</x:f>
        <x:v>-35000</x:v>
      </x:c>
      <x:c r="E19" s="19" t="n">
        <x:f>E18+D19</x:f>
        <x:v>570000</x:v>
      </x:c>
      <x:c r="F19" s="19" t="n">
        <x:v>-13000</x:v>
      </x:c>
      <x:c r="G19" s="19" t="n">
        <x:f>D19-F19</x:f>
        <x:v>-22000</x:v>
      </x:c>
      <x:c r="H19" s="19" t="n">
        <x:v>12000</x:v>
      </x:c>
      <x:c r="I19" s="19" t="n">
        <x:v>0</x:v>
      </x:c>
      <x:c r="J19" s="19" t="n">
        <x:v>0</x:v>
      </x:c>
      <x:c r="K19" s="19" t="n">
        <x:v>25000</x:v>
      </x:c>
      <x:c r="L19" s="19" t="n">
        <x:v>30000</x:v>
      </x:c>
      <x:c r="M19" s="19" t="n">
        <x:v>35000</x:v>
      </x:c>
      <x:c r="N19" s="20" t="n">
        <x:v>2</x:v>
      </x:c>
      <x:c r="O19" s="20" t="n">
        <x:v>5</x:v>
      </x:c>
      <x:c r="P19" s="20" t="n">
        <x:v>5</x:v>
      </x:c>
      <x:c r="Q19" s="20" t="n">
        <x:v>3</x:v>
      </x:c>
      <x:c r="R19" s="20" t="n">
        <x:v>9</x:v>
      </x:c>
      <x:c r="S19" s="21" t="n">
        <x:f>5368/60</x:f>
        <x:v>89.46666666666667</x:v>
      </x:c>
      <x:c r="T19" s="21" t="n">
        <x:f>0/60</x:f>
        <x:v>0</x:v>
      </x:c>
      <x:c r="U19" s="21" t="n">
        <x:f>0/60</x:f>
        <x:v>0</x:v>
      </x:c>
      <x:c r="V19" s="21" t="n">
        <x:f>0/60</x:f>
        <x:v>0</x:v>
      </x:c>
      <x:c r="W19" s="20" t="n">
        <x:v>0</x:v>
      </x:c>
      <x:c r="X19" s="20" t="n">
        <x:v>0</x:v>
      </x:c>
      <x:c r="Y19" s="20" t="n">
        <x:v>0</x:v>
      </x:c>
      <x:c r="Z19" s="20" t="n">
        <x:v>0</x:v>
      </x:c>
    </x:row>
    <x:row r="20" ht="23" customHeight="1">
      <x:c r="A20" s="2" t="str">
        <x:v>2026-10-08_Night</x:v>
      </x:c>
      <x:c r="B20" s="19" t="n">
        <x:v>349000</x:v>
      </x:c>
      <x:c r="C20" s="19" t="n">
        <x:v>36000</x:v>
      </x:c>
      <x:c r="D20" s="19" t="n">
        <x:f>B20-C20</x:f>
        <x:v>313000</x:v>
      </x:c>
      <x:c r="E20" s="19" t="n">
        <x:f>E19+D20</x:f>
        <x:v>883000</x:v>
      </x:c>
      <x:c r="F20" s="19" t="n">
        <x:v>7000</x:v>
      </x:c>
      <x:c r="G20" s="19" t="n">
        <x:f>D20-F20</x:f>
        <x:v>306000</x:v>
      </x:c>
      <x:c r="H20" s="19" t="n">
        <x:v>7000</x:v>
      </x:c>
      <x:c r="I20" s="19" t="n">
        <x:v>0</x:v>
      </x:c>
      <x:c r="J20" s="19" t="n">
        <x:v>0</x:v>
      </x:c>
      <x:c r="K20" s="19" t="n">
        <x:v>0</x:v>
      </x:c>
      <x:c r="L20" s="19" t="n">
        <x:v>5000</x:v>
      </x:c>
      <x:c r="M20" s="19" t="n">
        <x:v>5000</x:v>
      </x:c>
      <x:c r="N20" s="20" t="n">
        <x:v>8</x:v>
      </x:c>
      <x:c r="O20" s="20" t="n">
        <x:v>8</x:v>
      </x:c>
      <x:c r="P20" s="20" t="n">
        <x:v>17</x:v>
      </x:c>
      <x:c r="Q20" s="20" t="n">
        <x:v>2</x:v>
      </x:c>
      <x:c r="R20" s="20" t="n">
        <x:v>30</x:v>
      </x:c>
      <x:c r="S20" s="21" t="n">
        <x:f>712/60</x:f>
        <x:v>11.866666666666667</x:v>
      </x:c>
      <x:c r="T20" s="21" t="n">
        <x:f>0/60</x:f>
        <x:v>0</x:v>
      </x:c>
      <x:c r="U20" s="21" t="n">
        <x:f>0/60</x:f>
        <x:v>0</x:v>
      </x:c>
      <x:c r="V20" s="21" t="n">
        <x:f>0/60</x:f>
        <x:v>0</x:v>
      </x:c>
      <x:c r="W20" s="20" t="n">
        <x:v>0</x:v>
      </x:c>
      <x:c r="X20" s="20" t="n">
        <x:v>0</x:v>
      </x:c>
      <x:c r="Y20" s="20" t="n">
        <x:v>0</x:v>
      </x:c>
      <x:c r="Z20" s="20" t="n">
        <x:v>0</x:v>
      </x:c>
    </x:row>
    <x:row r="21" ht="23" customHeight="1">
      <x:c r="A21" s="2" t="str">
        <x:v>2026-10-09_Night</x:v>
      </x:c>
      <x:c r="B21" s="19" t="n">
        <x:v>39000</x:v>
      </x:c>
      <x:c r="C21" s="19" t="n">
        <x:v>0</x:v>
      </x:c>
      <x:c r="D21" s="19" t="n">
        <x:f>B21-C21</x:f>
        <x:v>39000</x:v>
      </x:c>
      <x:c r="E21" s="19" t="n">
        <x:f>E20+D21</x:f>
        <x:v>922000</x:v>
      </x:c>
      <x:c r="F21" s="19" t="n">
        <x:v>25000</x:v>
      </x:c>
      <x:c r="G21" s="19" t="n">
        <x:f>D21-F21</x:f>
        <x:v>14000</x:v>
      </x:c>
      <x:c r="H21" s="19" t="n">
        <x:v>25000</x:v>
      </x:c>
      <x:c r="I21" s="19" t="n">
        <x:v>0</x:v>
      </x:c>
      <x:c r="J21" s="19" t="n">
        <x:v>0</x:v>
      </x:c>
      <x:c r="K21" s="19" t="n">
        <x:v>0</x:v>
      </x:c>
      <x:c r="L21" s="19" t="n">
        <x:v>20000</x:v>
      </x:c>
      <x:c r="M21" s="19" t="n">
        <x:v>30000</x:v>
      </x:c>
      <x:c r="N21" s="20" t="n">
        <x:v>0</x:v>
      </x:c>
      <x:c r="O21" s="20" t="n">
        <x:v>5</x:v>
      </x:c>
      <x:c r="P21" s="20" t="n">
        <x:v>3</x:v>
      </x:c>
      <x:c r="Q21" s="20" t="n">
        <x:v>2</x:v>
      </x:c>
      <x:c r="R21" s="20" t="n">
        <x:v>15</x:v>
      </x:c>
      <x:c r="S21" s="21" t="n">
        <x:f>806/60</x:f>
        <x:v>13.433333333333334</x:v>
      </x:c>
      <x:c r="T21" s="21" t="n">
        <x:f>0/60</x:f>
        <x:v>0</x:v>
      </x:c>
      <x:c r="U21" s="21" t="n">
        <x:f>0/60</x:f>
        <x:v>0</x:v>
      </x:c>
      <x:c r="V21" s="21" t="n">
        <x:f>0/60</x:f>
        <x:v>0</x:v>
      </x:c>
      <x:c r="W21" s="20" t="n">
        <x:v>0</x:v>
      </x:c>
      <x:c r="X21" s="20" t="n">
        <x:v>0</x:v>
      </x:c>
      <x:c r="Y21" s="20" t="n">
        <x:v>0</x:v>
      </x:c>
      <x:c r="Z21" s="20" t="n">
        <x:v>0</x:v>
      </x:c>
    </x:row>
    <x:row r="22" ht="23" customHeight="1">
      <x:c r="A22" s="2" t="str">
        <x:v>2026-10-12_Night</x:v>
      </x:c>
      <x:c r="B22" s="19" t="n">
        <x:v>82000</x:v>
      </x:c>
      <x:c r="C22" s="19" t="n">
        <x:v>0</x:v>
      </x:c>
      <x:c r="D22" s="19" t="n">
        <x:f>B22-C22</x:f>
        <x:v>82000</x:v>
      </x:c>
      <x:c r="E22" s="19" t="n">
        <x:f>E21+D22</x:f>
        <x:v>1004000</x:v>
      </x:c>
      <x:c r="F22" s="19" t="n">
        <x:v>0</x:v>
      </x:c>
      <x:c r="G22" s="19" t="n">
        <x:f>D22-F22</x:f>
        <x:v>82000</x:v>
      </x:c>
      <x:c r="H22" s="19" t="n">
        <x:v>0</x:v>
      </x:c>
      <x:c r="I22" s="19" t="n">
        <x:v>0</x:v>
      </x:c>
      <x:c r="J22" s="19" t="n">
        <x:v>0</x:v>
      </x:c>
      <x:c r="K22" s="19" t="n">
        <x:v>0</x:v>
      </x:c>
      <x:c r="L22" s="19" t="n">
        <x:v>0</x:v>
      </x:c>
      <x:c r="M22" s="19" t="n">
        <x:v>0</x:v>
      </x:c>
      <x:c r="N22" s="20" t="n">
        <x:v>0</x:v>
      </x:c>
      <x:c r="O22" s="20" t="n">
        <x:v>5</x:v>
      </x:c>
      <x:c r="P22" s="20" t="n">
        <x:v>1</x:v>
      </x:c>
      <x:c r="Q22" s="20" t="n">
        <x:v>0</x:v>
      </x:c>
      <x:c r="R22" s="20" t="n">
        <x:v>5</x:v>
      </x:c>
      <x:c r="S22" s="21" t="n">
        <x:f>0/60</x:f>
        <x:v>0</x:v>
      </x:c>
      <x:c r="T22" s="21" t="n">
        <x:f>0/60</x:f>
        <x:v>0</x:v>
      </x:c>
      <x:c r="U22" s="21" t="n">
        <x:f>0/60</x:f>
        <x:v>0</x:v>
      </x:c>
      <x:c r="V22" s="21" t="n">
        <x:f>0/60</x:f>
        <x:v>0</x:v>
      </x:c>
      <x:c r="W22" s="20" t="n">
        <x:v>0</x:v>
      </x:c>
      <x:c r="X22" s="20" t="n">
        <x:v>0</x:v>
      </x:c>
      <x:c r="Y22" s="20" t="n">
        <x:v>0</x:v>
      </x:c>
      <x:c r="Z22" s="20" t="n">
        <x:v>0</x:v>
      </x:c>
    </x:row>
    <x:row r="23" ht="23" customHeight="1">
      <x:c r="A23" s="2" t="str">
        <x:v>2026-10-13_Night</x:v>
      </x:c>
      <x:c r="B23" s="19" t="n">
        <x:v>15000</x:v>
      </x:c>
      <x:c r="C23" s="19" t="n">
        <x:v>53000</x:v>
      </x:c>
      <x:c r="D23" s="19" t="n">
        <x:f>B23-C23</x:f>
        <x:v>-38000</x:v>
      </x:c>
      <x:c r="E23" s="19" t="n">
        <x:f>E22+D23</x:f>
        <x:v>966000</x:v>
      </x:c>
      <x:c r="F23" s="19" t="n">
        <x:v>15000</x:v>
      </x:c>
      <x:c r="G23" s="19" t="n">
        <x:f>D23-F23</x:f>
        <x:v>-53000</x:v>
      </x:c>
      <x:c r="H23" s="19" t="n">
        <x:v>15000</x:v>
      </x:c>
      <x:c r="I23" s="19" t="n">
        <x:v>0</x:v>
      </x:c>
      <x:c r="J23" s="19" t="n">
        <x:v>0</x:v>
      </x:c>
      <x:c r="K23" s="19" t="n">
        <x:v>0</x:v>
      </x:c>
      <x:c r="L23" s="19" t="n">
        <x:v>20000</x:v>
      </x:c>
      <x:c r="M23" s="19" t="n">
        <x:v>30000</x:v>
      </x:c>
      <x:c r="N23" s="20" t="n">
        <x:v>5</x:v>
      </x:c>
      <x:c r="O23" s="20" t="n">
        <x:v>5</x:v>
      </x:c>
      <x:c r="P23" s="20" t="n">
        <x:v>3</x:v>
      </x:c>
      <x:c r="Q23" s="20" t="n">
        <x:v>1</x:v>
      </x:c>
      <x:c r="R23" s="20" t="n">
        <x:v>11</x:v>
      </x:c>
      <x:c r="S23" s="21" t="n">
        <x:f>2210/60</x:f>
        <x:v>36.833333333333336</x:v>
      </x:c>
      <x:c r="T23" s="21" t="n">
        <x:f>0/60</x:f>
        <x:v>0</x:v>
      </x:c>
      <x:c r="U23" s="21" t="n">
        <x:f>0/60</x:f>
        <x:v>0</x:v>
      </x:c>
      <x:c r="V23" s="21" t="n">
        <x:f>0/60</x:f>
        <x:v>0</x:v>
      </x:c>
      <x:c r="W23" s="20" t="n">
        <x:v>0</x:v>
      </x:c>
      <x:c r="X23" s="20" t="n">
        <x:v>0</x:v>
      </x:c>
      <x:c r="Y23" s="20" t="n">
        <x:v>0</x:v>
      </x:c>
      <x:c r="Z23" s="20" t="n">
        <x:v>0</x:v>
      </x:c>
    </x:row>
    <x:row r="24" ht="23" customHeight="1">
      <x:c r="A24" s="2" t="str">
        <x:v>2026-10-14_Night</x:v>
      </x:c>
      <x:c r="B24" s="19" t="n">
        <x:v>207000</x:v>
      </x:c>
      <x:c r="C24" s="19" t="n">
        <x:v>61000</x:v>
      </x:c>
      <x:c r="D24" s="19" t="n">
        <x:f>B24-C24</x:f>
        <x:v>146000</x:v>
      </x:c>
      <x:c r="E24" s="19" t="n">
        <x:f>E23+D24</x:f>
        <x:v>1112000</x:v>
      </x:c>
      <x:c r="F24" s="19" t="n">
        <x:v>10000</x:v>
      </x:c>
      <x:c r="G24" s="19" t="n">
        <x:f>D24-F24</x:f>
        <x:v>136000</x:v>
      </x:c>
      <x:c r="H24" s="19" t="n">
        <x:v>10000</x:v>
      </x:c>
      <x:c r="I24" s="19" t="n">
        <x:v>0</x:v>
      </x:c>
      <x:c r="J24" s="19" t="n">
        <x:v>0</x:v>
      </x:c>
      <x:c r="K24" s="19" t="n">
        <x:v>0</x:v>
      </x:c>
      <x:c r="L24" s="19" t="n">
        <x:v>10000</x:v>
      </x:c>
      <x:c r="M24" s="19" t="n">
        <x:v>10000</x:v>
      </x:c>
      <x:c r="N24" s="20" t="n">
        <x:v>1</x:v>
      </x:c>
      <x:c r="O24" s="20" t="n">
        <x:v>5</x:v>
      </x:c>
      <x:c r="P24" s="20" t="n">
        <x:v>5</x:v>
      </x:c>
      <x:c r="Q24" s="20" t="n">
        <x:v>1</x:v>
      </x:c>
      <x:c r="R24" s="20" t="n">
        <x:v>14</x:v>
      </x:c>
      <x:c r="S24" s="21" t="n">
        <x:f>156/60</x:f>
        <x:v>2.6</x:v>
      </x:c>
      <x:c r="T24" s="21" t="n">
        <x:f>0/60</x:f>
        <x:v>0</x:v>
      </x:c>
      <x:c r="U24" s="21" t="n">
        <x:f>0/60</x:f>
        <x:v>0</x:v>
      </x:c>
      <x:c r="V24" s="21" t="n">
        <x:f>0/60</x:f>
        <x:v>0</x:v>
      </x:c>
      <x:c r="W24" s="20" t="n">
        <x:v>0</x:v>
      </x:c>
      <x:c r="X24" s="20" t="n">
        <x:v>0</x:v>
      </x:c>
      <x:c r="Y24" s="20" t="n">
        <x:v>0</x:v>
      </x:c>
      <x:c r="Z24" s="20" t="n">
        <x:v>0</x:v>
      </x:c>
    </x:row>
    <x:row r="25" ht="23" customHeight="1">
      <x:c r="A25" s="2" t="str">
        <x:v>2026-10-15_Night</x:v>
      </x:c>
      <x:c r="B25" s="19" t="n">
        <x:v>86000</x:v>
      </x:c>
      <x:c r="C25" s="19" t="n">
        <x:v>64000</x:v>
      </x:c>
      <x:c r="D25" s="19" t="n">
        <x:f>B25-C25</x:f>
        <x:v>22000</x:v>
      </x:c>
      <x:c r="E25" s="19" t="n">
        <x:f>E24+D25</x:f>
        <x:v>1134000</x:v>
      </x:c>
      <x:c r="F25" s="19" t="n">
        <x:v>0</x:v>
      </x:c>
      <x:c r="G25" s="19" t="n">
        <x:f>D25-F25</x:f>
        <x:v>22000</x:v>
      </x:c>
      <x:c r="H25" s="19" t="n">
        <x:v>0</x:v>
      </x:c>
      <x:c r="I25" s="19" t="n">
        <x:v>0</x:v>
      </x:c>
      <x:c r="J25" s="19" t="n">
        <x:v>0</x:v>
      </x:c>
      <x:c r="K25" s="19" t="n">
        <x:v>0</x:v>
      </x:c>
      <x:c r="L25" s="19" t="n">
        <x:v>0</x:v>
      </x:c>
      <x:c r="M25" s="19" t="n">
        <x:v>0</x:v>
      </x:c>
      <x:c r="N25" s="20" t="n">
        <x:v>3</x:v>
      </x:c>
      <x:c r="O25" s="20" t="n">
        <x:v>2</x:v>
      </x:c>
      <x:c r="P25" s="20" t="n">
        <x:v>7</x:v>
      </x:c>
      <x:c r="Q25" s="20" t="n">
        <x:v>0</x:v>
      </x:c>
      <x:c r="R25" s="20" t="n">
        <x:v>9</x:v>
      </x:c>
      <x:c r="S25" s="21" t="n">
        <x:f>0/60</x:f>
        <x:v>0</x:v>
      </x:c>
      <x:c r="T25" s="21" t="n">
        <x:f>0/60</x:f>
        <x:v>0</x:v>
      </x:c>
      <x:c r="U25" s="21" t="n">
        <x:f>0/60</x:f>
        <x:v>0</x:v>
      </x:c>
      <x:c r="V25" s="21" t="n">
        <x:f>0/60</x:f>
        <x:v>0</x:v>
      </x:c>
      <x:c r="W25" s="20" t="n">
        <x:v>0</x:v>
      </x:c>
      <x:c r="X25" s="20" t="n">
        <x:v>0</x:v>
      </x:c>
      <x:c r="Y25" s="20" t="n">
        <x:v>0</x:v>
      </x:c>
      <x:c r="Z25" s="20" t="n">
        <x:v>0</x:v>
      </x:c>
    </x:row>
    <x:row r="26" ht="23" customHeight="1">
      <x:c r="A26" s="2" t="str">
        <x:v>2026-10-16_Night</x:v>
      </x:c>
      <x:c r="B26" s="19" t="n">
        <x:v>163000</x:v>
      </x:c>
      <x:c r="C26" s="19" t="n">
        <x:v>151000</x:v>
      </x:c>
      <x:c r="D26" s="19" t="n">
        <x:f>B26-C26</x:f>
        <x:v>12000</x:v>
      </x:c>
      <x:c r="E26" s="19" t="n">
        <x:f>E25+D26</x:f>
        <x:v>1146000</x:v>
      </x:c>
      <x:c r="F26" s="19" t="n">
        <x:v>-20000</x:v>
      </x:c>
      <x:c r="G26" s="19" t="n">
        <x:f>D26-F26</x:f>
        <x:v>32000</x:v>
      </x:c>
      <x:c r="H26" s="19" t="n">
        <x:v>0</x:v>
      </x:c>
      <x:c r="I26" s="19" t="n">
        <x:v>0</x:v>
      </x:c>
      <x:c r="J26" s="19" t="n">
        <x:v>0</x:v>
      </x:c>
      <x:c r="K26" s="19" t="n">
        <x:v>20000</x:v>
      </x:c>
      <x:c r="L26" s="19" t="n">
        <x:v>45000</x:v>
      </x:c>
      <x:c r="M26" s="19" t="n">
        <x:v>55000</x:v>
      </x:c>
      <x:c r="N26" s="20" t="n">
        <x:v>3</x:v>
      </x:c>
      <x:c r="O26" s="20" t="n">
        <x:v>7</x:v>
      </x:c>
      <x:c r="P26" s="20" t="n">
        <x:v>14</x:v>
      </x:c>
      <x:c r="Q26" s="20" t="n">
        <x:v>1</x:v>
      </x:c>
      <x:c r="R26" s="20" t="n">
        <x:v>32</x:v>
      </x:c>
      <x:c r="S26" s="21" t="n">
        <x:f>907/60</x:f>
        <x:v>15.116666666666667</x:v>
      </x:c>
      <x:c r="T26" s="21" t="n">
        <x:f>0/60</x:f>
        <x:v>0</x:v>
      </x:c>
      <x:c r="U26" s="21" t="n">
        <x:f>0/60</x:f>
        <x:v>0</x:v>
      </x:c>
      <x:c r="V26" s="21" t="n">
        <x:f>0/60</x:f>
        <x:v>0</x:v>
      </x:c>
      <x:c r="W26" s="20" t="n">
        <x:v>0</x:v>
      </x:c>
      <x:c r="X26" s="20" t="n">
        <x:v>0</x:v>
      </x:c>
      <x:c r="Y26" s="20" t="n">
        <x:v>0</x:v>
      </x:c>
      <x:c r="Z26" s="20" t="n">
        <x:v>0</x:v>
      </x:c>
    </x:row>
    <x:row r="27" ht="23" customHeight="1">
      <x:c r="A27" s="2" t="str">
        <x:v>2026-10-19_Night</x:v>
      </x:c>
      <x:c r="B27" s="19" t="n">
        <x:v>132000</x:v>
      </x:c>
      <x:c r="C27" s="19" t="n">
        <x:v>105000</x:v>
      </x:c>
      <x:c r="D27" s="19" t="n">
        <x:f>B27-C27</x:f>
        <x:v>27000</x:v>
      </x:c>
      <x:c r="E27" s="19" t="n">
        <x:f>E26+D27</x:f>
        <x:v>1173000</x:v>
      </x:c>
      <x:c r="F27" s="19" t="n">
        <x:v>35000</x:v>
      </x:c>
      <x:c r="G27" s="19" t="n">
        <x:f>D27-F27</x:f>
        <x:v>-8000</x:v>
      </x:c>
      <x:c r="H27" s="19" t="n">
        <x:v>35000</x:v>
      </x:c>
      <x:c r="I27" s="19" t="n">
        <x:v>0</x:v>
      </x:c>
      <x:c r="J27" s="19" t="n">
        <x:v>0</x:v>
      </x:c>
      <x:c r="K27" s="19" t="n">
        <x:v>0</x:v>
      </x:c>
      <x:c r="L27" s="19" t="n">
        <x:v>55000</x:v>
      </x:c>
      <x:c r="M27" s="19" t="n">
        <x:v>65000</x:v>
      </x:c>
      <x:c r="N27" s="20" t="n">
        <x:v>5</x:v>
      </x:c>
      <x:c r="O27" s="20" t="n">
        <x:v>5</x:v>
      </x:c>
      <x:c r="P27" s="20" t="n">
        <x:v>14</x:v>
      </x:c>
      <x:c r="Q27" s="20" t="n">
        <x:v>2</x:v>
      </x:c>
      <x:c r="R27" s="20" t="n">
        <x:v>31</x:v>
      </x:c>
      <x:c r="S27" s="21" t="n">
        <x:f>3530/60</x:f>
        <x:v>58.833333333333336</x:v>
      </x:c>
      <x:c r="T27" s="21" t="n">
        <x:f>0/60</x:f>
        <x:v>0</x:v>
      </x:c>
      <x:c r="U27" s="21" t="n">
        <x:f>0/60</x:f>
        <x:v>0</x:v>
      </x:c>
      <x:c r="V27" s="21" t="n">
        <x:f>0/60</x:f>
        <x:v>0</x:v>
      </x:c>
      <x:c r="W27" s="20" t="n">
        <x:v>0</x:v>
      </x:c>
      <x:c r="X27" s="20" t="n">
        <x:v>0</x:v>
      </x:c>
      <x:c r="Y27" s="20" t="n">
        <x:v>0</x:v>
      </x:c>
      <x:c r="Z27" s="20" t="n">
        <x:v>0</x:v>
      </x:c>
    </x:row>
    <x:row r="28" ht="23" customHeight="1">
      <x:c r="A28" s="2" t="str">
        <x:v>2026-10-20_Night</x:v>
      </x:c>
      <x:c r="B28" s="19" t="n">
        <x:v>148000</x:v>
      </x:c>
      <x:c r="C28" s="19" t="n">
        <x:v>33000</x:v>
      </x:c>
      <x:c r="D28" s="19" t="n">
        <x:f>B28-C28</x:f>
        <x:v>115000</x:v>
      </x:c>
      <x:c r="E28" s="19" t="n">
        <x:f>E27+D28</x:f>
        <x:v>1288000</x:v>
      </x:c>
      <x:c r="F28" s="19" t="n">
        <x:v>49000</x:v>
      </x:c>
      <x:c r="G28" s="19" t="n">
        <x:f>D28-F28</x:f>
        <x:v>66000</x:v>
      </x:c>
      <x:c r="H28" s="19" t="n">
        <x:v>49000</x:v>
      </x:c>
      <x:c r="I28" s="19" t="n">
        <x:v>0</x:v>
      </x:c>
      <x:c r="J28" s="19" t="n">
        <x:v>0</x:v>
      </x:c>
      <x:c r="K28" s="19" t="n">
        <x:v>0</x:v>
      </x:c>
      <x:c r="L28" s="19" t="n">
        <x:v>40000</x:v>
      </x:c>
      <x:c r="M28" s="19" t="n">
        <x:v>50000</x:v>
      </x:c>
      <x:c r="N28" s="20" t="n">
        <x:v>5</x:v>
      </x:c>
      <x:c r="O28" s="20" t="n">
        <x:v>5</x:v>
      </x:c>
      <x:c r="P28" s="20" t="n">
        <x:v>11</x:v>
      </x:c>
      <x:c r="Q28" s="20" t="n">
        <x:v>4</x:v>
      </x:c>
      <x:c r="R28" s="20" t="n">
        <x:v>22</x:v>
      </x:c>
      <x:c r="S28" s="21" t="n">
        <x:f>665/60</x:f>
        <x:v>11.083333333333334</x:v>
      </x:c>
      <x:c r="T28" s="21" t="n">
        <x:f>0/60</x:f>
        <x:v>0</x:v>
      </x:c>
      <x:c r="U28" s="21" t="n">
        <x:f>0/60</x:f>
        <x:v>0</x:v>
      </x:c>
      <x:c r="V28" s="21" t="n">
        <x:f>0/60</x:f>
        <x:v>0</x:v>
      </x:c>
      <x:c r="W28" s="20" t="n">
        <x:v>0</x:v>
      </x:c>
      <x:c r="X28" s="20" t="n">
        <x:v>0</x:v>
      </x:c>
      <x:c r="Y28" s="20" t="n">
        <x:v>0</x:v>
      </x:c>
      <x:c r="Z28" s="20" t="n">
        <x:v>0</x:v>
      </x:c>
    </x:row>
    <x:row r="29" ht="23" customHeight="1">
      <x:c r="A29" s="2" t="str">
        <x:v>2026-10-21_Night</x:v>
      </x:c>
      <x:c r="B29" s="19" t="n">
        <x:v>80000</x:v>
      </x:c>
      <x:c r="C29" s="19" t="n">
        <x:v>89000</x:v>
      </x:c>
      <x:c r="D29" s="19" t="n">
        <x:f>B29-C29</x:f>
        <x:v>-9000</x:v>
      </x:c>
      <x:c r="E29" s="19" t="n">
        <x:f>E28+D29</x:f>
        <x:v>1279000</x:v>
      </x:c>
      <x:c r="F29" s="19" t="n">
        <x:v>15000</x:v>
      </x:c>
      <x:c r="G29" s="19" t="n">
        <x:f>D29-F29</x:f>
        <x:v>-24000</x:v>
      </x:c>
      <x:c r="H29" s="19" t="n">
        <x:v>15000</x:v>
      </x:c>
      <x:c r="I29" s="19" t="n">
        <x:v>0</x:v>
      </x:c>
      <x:c r="J29" s="19" t="n">
        <x:v>0</x:v>
      </x:c>
      <x:c r="K29" s="19" t="n">
        <x:v>0</x:v>
      </x:c>
      <x:c r="L29" s="19" t="n">
        <x:v>5000</x:v>
      </x:c>
      <x:c r="M29" s="19" t="n">
        <x:v>15000</x:v>
      </x:c>
      <x:c r="N29" s="20" t="n">
        <x:v>7</x:v>
      </x:c>
      <x:c r="O29" s="20" t="n">
        <x:v>5</x:v>
      </x:c>
      <x:c r="P29" s="20" t="n">
        <x:v>6</x:v>
      </x:c>
      <x:c r="Q29" s="20" t="n">
        <x:v>1</x:v>
      </x:c>
      <x:c r="R29" s="20" t="n">
        <x:v>22</x:v>
      </x:c>
      <x:c r="S29" s="21" t="n">
        <x:f>111/60</x:f>
        <x:v>1.85</x:v>
      </x:c>
      <x:c r="T29" s="21" t="n">
        <x:f>0/60</x:f>
        <x:v>0</x:v>
      </x:c>
      <x:c r="U29" s="21" t="n">
        <x:f>0/60</x:f>
        <x:v>0</x:v>
      </x:c>
      <x:c r="V29" s="21" t="n">
        <x:f>0/60</x:f>
        <x:v>0</x:v>
      </x:c>
      <x:c r="W29" s="20" t="n">
        <x:v>0</x:v>
      </x:c>
      <x:c r="X29" s="20" t="n">
        <x:v>0</x:v>
      </x:c>
      <x:c r="Y29" s="20" t="n">
        <x:v>0</x:v>
      </x:c>
      <x:c r="Z29" s="20" t="n">
        <x:v>0</x:v>
      </x:c>
    </x:row>
    <x:row r="30" ht="23" customHeight="1">
      <x:c r="A30" s="2" t="str">
        <x:v>2026-10-22_Night</x:v>
      </x:c>
      <x:c r="B30" s="19" t="n">
        <x:v>156000</x:v>
      </x:c>
      <x:c r="C30" s="19" t="n">
        <x:v>0</x:v>
      </x:c>
      <x:c r="D30" s="19" t="n">
        <x:f>B30-C30</x:f>
        <x:v>156000</x:v>
      </x:c>
      <x:c r="E30" s="19" t="n">
        <x:f>E29+D30</x:f>
        <x:v>1435000</x:v>
      </x:c>
      <x:c r="F30" s="19" t="n">
        <x:v>0</x:v>
      </x:c>
      <x:c r="G30" s="19" t="n">
        <x:f>D30-F30</x:f>
        <x:v>156000</x:v>
      </x:c>
      <x:c r="H30" s="19" t="n">
        <x:v>0</x:v>
      </x:c>
      <x:c r="I30" s="19" t="n">
        <x:v>0</x:v>
      </x:c>
      <x:c r="J30" s="19" t="n">
        <x:v>0</x:v>
      </x:c>
      <x:c r="K30" s="19" t="n">
        <x:v>0</x:v>
      </x:c>
      <x:c r="L30" s="19" t="n">
        <x:v>0</x:v>
      </x:c>
      <x:c r="M30" s="19" t="n">
        <x:v>0</x:v>
      </x:c>
      <x:c r="N30" s="20" t="n">
        <x:v>0</x:v>
      </x:c>
      <x:c r="O30" s="20" t="n">
        <x:v>6</x:v>
      </x:c>
      <x:c r="P30" s="20" t="n">
        <x:v>3</x:v>
      </x:c>
      <x:c r="Q30" s="20" t="n">
        <x:v>0</x:v>
      </x:c>
      <x:c r="R30" s="20" t="n">
        <x:v>7</x:v>
      </x:c>
      <x:c r="S30" s="21" t="n">
        <x:f>0/60</x:f>
        <x:v>0</x:v>
      </x:c>
      <x:c r="T30" s="21" t="n">
        <x:f>0/60</x:f>
        <x:v>0</x:v>
      </x:c>
      <x:c r="U30" s="21" t="n">
        <x:f>0/60</x:f>
        <x:v>0</x:v>
      </x:c>
      <x:c r="V30" s="21" t="n">
        <x:f>0/60</x:f>
        <x:v>0</x:v>
      </x:c>
      <x:c r="W30" s="20" t="n">
        <x:v>0</x:v>
      </x:c>
      <x:c r="X30" s="20" t="n">
        <x:v>0</x:v>
      </x:c>
      <x:c r="Y30" s="20" t="n">
        <x:v>0</x:v>
      </x:c>
      <x:c r="Z30" s="20" t="n">
        <x:v>0</x:v>
      </x:c>
    </x:row>
    <x:row r="31" ht="23" customHeight="1">
      <x:c r="A31" s="2" t="str">
        <x:v>2026-10-23_Night</x:v>
      </x:c>
      <x:c r="B31" s="19" t="n">
        <x:v>77000</x:v>
      </x:c>
      <x:c r="C31" s="19" t="n">
        <x:v>64000</x:v>
      </x:c>
      <x:c r="D31" s="19" t="n">
        <x:f>B31-C31</x:f>
        <x:v>13000</x:v>
      </x:c>
      <x:c r="E31" s="19" t="n">
        <x:f>E30+D31</x:f>
        <x:v>1448000</x:v>
      </x:c>
      <x:c r="F31" s="19" t="n">
        <x:v>-2000</x:v>
      </x:c>
      <x:c r="G31" s="19" t="n">
        <x:f>D31-F31</x:f>
        <x:v>15000</x:v>
      </x:c>
      <x:c r="H31" s="19" t="n">
        <x:v>30000</x:v>
      </x:c>
      <x:c r="I31" s="19" t="n">
        <x:v>0</x:v>
      </x:c>
      <x:c r="J31" s="19" t="n">
        <x:v>0</x:v>
      </x:c>
      <x:c r="K31" s="19" t="n">
        <x:v>32000</x:v>
      </x:c>
      <x:c r="L31" s="19" t="n">
        <x:v>39000</x:v>
      </x:c>
      <x:c r="M31" s="19" t="n">
        <x:v>47000</x:v>
      </x:c>
      <x:c r="N31" s="20" t="n">
        <x:v>5</x:v>
      </x:c>
      <x:c r="O31" s="20" t="n">
        <x:v>5</x:v>
      </x:c>
      <x:c r="P31" s="20" t="n">
        <x:v>11</x:v>
      </x:c>
      <x:c r="Q31" s="20" t="n">
        <x:v>5</x:v>
      </x:c>
      <x:c r="R31" s="20" t="n">
        <x:v>20</x:v>
      </x:c>
      <x:c r="S31" s="21" t="n">
        <x:f>12840/60</x:f>
        <x:v>214</x:v>
      </x:c>
      <x:c r="T31" s="21" t="n">
        <x:f>0/60</x:f>
        <x:v>0</x:v>
      </x:c>
      <x:c r="U31" s="21" t="n">
        <x:f>0/60</x:f>
        <x:v>0</x:v>
      </x:c>
      <x:c r="V31" s="21" t="n">
        <x:f>0/60</x:f>
        <x:v>0</x:v>
      </x:c>
      <x:c r="W31" s="20" t="n">
        <x:v>0</x:v>
      </x:c>
      <x:c r="X31" s="20" t="n">
        <x:v>0</x:v>
      </x:c>
      <x:c r="Y31" s="20" t="n">
        <x:v>0</x:v>
      </x:c>
      <x:c r="Z31" s="20" t="n">
        <x:v>0</x:v>
      </x:c>
    </x:row>
    <x:row r="32" ht="23" customHeight="1">
      <x:c r="A32" s="26" t="str">
        <x:v>25夜累計／最大</x:v>
      </x:c>
      <x:c r="B32" s="27" t="n">
        <x:f>SUM(B7:B31)</x:f>
        <x:v>2579000</x:v>
      </x:c>
      <x:c r="C32" s="27" t="n">
        <x:f>SUM(C7:C31)</x:f>
        <x:v>1131000</x:v>
      </x:c>
      <x:c r="D32" s="27" t="n">
        <x:f>B32-C32</x:f>
        <x:v>1448000</x:v>
      </x:c>
      <x:c r="E32" s="27" t="n">
        <x:f>E31</x:f>
        <x:v>1448000</x:v>
      </x:c>
      <x:c r="F32" s="27" t="n">
        <x:f>SUM(F7:F31)</x:f>
        <x:v>305000</x:v>
      </x:c>
      <x:c r="G32" s="27" t="n">
        <x:f>SUM(G7:G31)</x:f>
        <x:v>1143000</x:v>
      </x:c>
      <x:c r="H32" s="27" t="n">
        <x:f>SUM(H7:H31)</x:f>
        <x:v>367000</x:v>
      </x:c>
      <x:c r="I32" s="27" t="n">
        <x:f>SUM(I7:I31)</x:f>
        <x:v>0</x:v>
      </x:c>
      <x:c r="J32" s="27" t="n">
        <x:f>SUM(J7:J31)</x:f>
        <x:v>15000</x:v>
      </x:c>
      <x:c r="K32" s="27" t="n">
        <x:f>SUM(K7:K31)</x:f>
        <x:v>77000</x:v>
      </x:c>
      <x:c r="L32" s="27" t="n">
        <x:f>MAX(L7:L31)</x:f>
        <x:v>90000</x:v>
      </x:c>
      <x:c r="M32" s="27" t="n">
        <x:f>MAX(M7:M31)</x:f>
        <x:v>95000</x:v>
      </x:c>
      <x:c r="N32" s="28" t="n">
        <x:f>MAX(N7:N31)</x:f>
        <x:v>8</x:v>
      </x:c>
      <x:c r="O32" s="28" t="n">
        <x:f>MAX(O7:O31)</x:f>
        <x:v>10</x:v>
      </x:c>
      <x:c r="P32" s="28" t="n">
        <x:f>SUM(P7:P31)</x:f>
        <x:v>172</x:v>
      </x:c>
      <x:c r="Q32" s="28" t="n">
        <x:f>SUM(Q7:Q31)</x:f>
        <x:v>38</x:v>
      </x:c>
      <x:c r="R32" s="28" t="n">
        <x:f>SUM(R7:R31)</x:f>
        <x:v>401</x:v>
      </x:c>
      <x:c r="S32" s="29" t="n">
        <x:f>SUM(S7:S31)</x:f>
        <x:v>729.1166666666667</x:v>
      </x:c>
      <x:c r="T32" s="29" t="n">
        <x:f>SUM(T7:T31)</x:f>
        <x:v>0</x:v>
      </x:c>
      <x:c r="U32" s="29" t="n">
        <x:f>SUM(U7:U31)</x:f>
        <x:v>0</x:v>
      </x:c>
      <x:c r="V32" s="29" t="n">
        <x:f>SUM(V7:V31)</x:f>
        <x:v>0</x:v>
      </x:c>
      <x:c r="W32" s="28" t="n">
        <x:f>SUM(W7:W31)</x:f>
        <x:v>0</x:v>
      </x:c>
      <x:c r="X32" s="28" t="n">
        <x:f>SUM(X7:X31)</x:f>
        <x:v>0</x:v>
      </x:c>
      <x:c r="Y32" s="28" t="n">
        <x:f>SUM(Y7:Y31)</x:f>
        <x:v>0</x:v>
      </x:c>
      <x:c r="Z32" s="28" t="n">
        <x:f>SUM(Z7:Z31)</x:f>
        <x:v>0</x:v>
      </x:c>
    </x:row>
  </x:sheetData>
  <x:conditionalFormatting sqref="B7:M32">
    <x:cfRule type="cellIs" dxfId="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8d12c2457994233"/>
  </x:tableParts>
</x:worksheet>
</file>

<file path=xl/worksheets/sheet5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3" customHeight="1">
      <x:c r="A2" s="4" t="str">
        <x:v>P02　全夜間の利益・損失・収支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3" ht="23" customHeight="1">
      <x:c r="A3" s="6" t="str">
        <x:v>日経mini・片方向上限10枚・手数料0・次正常ラージ気配代理。2026/09/21〜10/23の完了25夜。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3" customHeight="1">
      <x:c r="A4" s="6" t="str">
        <x:v>利益・損失は新規実約定IDごとの全返済収支で分類。旧親単位の利益損失とは異なります。未測定は空欄。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3" customHeight="1">
      <x:c r="A5" s="6" t="str">
        <x:v>前半・利益80ptから40pt追尾。P：新手法は米国開始15分前まで、後半は保存S04。含み損・DD・保有時間・返済内訳は前半だけ。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4" customHeight="1">
      <x:c r="A6" s="15" t="str">
        <x:v>セッション</x:v>
      </x:c>
      <x:c r="B6" s="16" t="str">
        <x:v>利益（円）</x:v>
      </x:c>
      <x:c r="C6" s="16" t="str">
        <x:v>損失（円）</x:v>
      </x:c>
      <x:c r="D6" s="16" t="str">
        <x:v>全夜収支（円）</x:v>
      </x:c>
      <x:c r="E6" s="16" t="str">
        <x:v>累計（円）</x:v>
      </x:c>
      <x:c r="F6" s="16" t="str">
        <x:v>対象区間収支</x:v>
      </x:c>
      <x:c r="G6" s="16" t="str">
        <x:v>保存後半収支</x:v>
      </x:c>
      <x:c r="H6" s="16" t="str">
        <x:v>利益追尾の利益</x:v>
      </x:c>
      <x:c r="I6" s="16" t="str">
        <x:v>利益追尾の損失</x:v>
      </x:c>
      <x:c r="J6" s="16" t="str">
        <x:v>境界清算の利益</x:v>
      </x:c>
      <x:c r="K6" s="16" t="str">
        <x:v>境界清算の損失</x:v>
      </x:c>
      <x:c r="L6" s="16" t="str">
        <x:v>最大含み損（円）</x:v>
      </x:c>
      <x:c r="M6" s="16" t="str">
        <x:v>対象区間DD</x:v>
      </x:c>
      <x:c r="N6" s="16" t="str">
        <x:v>最大買い枚数</x:v>
      </x:c>
      <x:c r="O6" s="16" t="str">
        <x:v>最大売り枚数</x:v>
      </x:c>
      <x:c r="P6" s="16" t="str">
        <x:v>全夜新規件数</x:v>
      </x:c>
      <x:c r="Q6" s="16" t="str">
        <x:v>対象区間新規</x:v>
      </x:c>
      <x:c r="R6" s="16" t="str">
        <x:v>全新規枚数</x:v>
      </x:c>
      <x:c r="S6" s="16" t="str">
        <x:v>保有（分）</x:v>
      </x:c>
      <x:c r="T6" s="16" t="str">
        <x:v>両建て（分）</x:v>
      </x:c>
      <x:c r="U6" s="16" t="str">
        <x:v>買い上限（分）</x:v>
      </x:c>
      <x:c r="V6" s="16" t="str">
        <x:v>売り上限（分）</x:v>
      </x:c>
      <x:c r="W6" s="16" t="str">
        <x:v>上限拒否・縮小件数</x:v>
      </x:c>
      <x:c r="X6" s="16" t="str">
        <x:v>通知全拒否件数</x:v>
      </x:c>
      <x:c r="Y6" s="16" t="str">
        <x:v>実再参加件数</x:v>
      </x:c>
      <x:c r="Z6" s="17" t="str">
        <x:v>判断利益→実損失</x:v>
      </x:c>
    </x:row>
    <x:row r="7" ht="23" customHeight="1">
      <x:c r="A7" s="2" t="str">
        <x:v>2026-09-21_Night</x:v>
      </x:c>
      <x:c r="B7" s="19" t="n">
        <x:v>0</x:v>
      </x:c>
      <x:c r="C7" s="19" t="n">
        <x:v>45000</x:v>
      </x:c>
      <x:c r="D7" s="19" t="n">
        <x:f>B7-C7</x:f>
        <x:v>-45000</x:v>
      </x:c>
      <x:c r="E7" s="19" t="n">
        <x:f>D7</x:f>
        <x:v>-45000</x:v>
      </x:c>
      <x:c r="F7" s="19" t="n">
        <x:v>0</x:v>
      </x:c>
      <x:c r="G7" s="19" t="n">
        <x:f>D7-F7</x:f>
        <x:v>-45000</x:v>
      </x:c>
      <x:c r="H7" s="19" t="n">
        <x:v>0</x:v>
      </x:c>
      <x:c r="I7" s="19" t="n">
        <x:v>0</x:v>
      </x:c>
      <x:c r="J7" s="19" t="n">
        <x:v>0</x:v>
      </x:c>
      <x:c r="K7" s="19" t="n">
        <x:v>0</x:v>
      </x:c>
      <x:c r="L7" s="19" t="n">
        <x:v>0</x:v>
      </x:c>
      <x:c r="M7" s="19" t="n">
        <x:v>0</x:v>
      </x:c>
      <x:c r="N7" s="20" t="n">
        <x:v>5</x:v>
      </x:c>
      <x:c r="O7" s="20" t="n">
        <x:v>0</x:v>
      </x:c>
      <x:c r="P7" s="20" t="n">
        <x:v>1</x:v>
      </x:c>
      <x:c r="Q7" s="20" t="n">
        <x:v>0</x:v>
      </x:c>
      <x:c r="R7" s="20" t="n">
        <x:v>5</x:v>
      </x:c>
      <x:c r="S7" s="21" t="n">
        <x:f>0/60</x:f>
        <x:v>0</x:v>
      </x:c>
      <x:c r="T7" s="21" t="n">
        <x:f>0/60</x:f>
        <x:v>0</x:v>
      </x:c>
      <x:c r="U7" s="21" t="n">
        <x:f>0/60</x:f>
        <x:v>0</x:v>
      </x:c>
      <x:c r="V7" s="21" t="n">
        <x:f>0/60</x:f>
        <x:v>0</x:v>
      </x:c>
      <x:c r="W7" s="20" t="n">
        <x:v>0</x:v>
      </x:c>
      <x:c r="X7" s="20" t="n">
        <x:v>0</x:v>
      </x:c>
      <x:c r="Y7" s="20" t="n">
        <x:v>0</x:v>
      </x:c>
      <x:c r="Z7" s="20" t="n">
        <x:v>0</x:v>
      </x:c>
    </x:row>
    <x:row r="8" ht="23" customHeight="1">
      <x:c r="A8" s="2" t="str">
        <x:v>2026-09-22_Night</x:v>
      </x:c>
      <x:c r="B8" s="19" t="n">
        <x:v>59000</x:v>
      </x:c>
      <x:c r="C8" s="19" t="n">
        <x:v>0</x:v>
      </x:c>
      <x:c r="D8" s="19" t="n">
        <x:f>B8-C8</x:f>
        <x:v>59000</x:v>
      </x:c>
      <x:c r="E8" s="19" t="n">
        <x:f>E7+D8</x:f>
        <x:v>14000</x:v>
      </x:c>
      <x:c r="F8" s="19" t="n">
        <x:v>35000</x:v>
      </x:c>
      <x:c r="G8" s="19" t="n">
        <x:f>D8-F8</x:f>
        <x:v>24000</x:v>
      </x:c>
      <x:c r="H8" s="19" t="n">
        <x:v>35000</x:v>
      </x:c>
      <x:c r="I8" s="19" t="n">
        <x:v>0</x:v>
      </x:c>
      <x:c r="J8" s="19" t="n">
        <x:v>0</x:v>
      </x:c>
      <x:c r="K8" s="19" t="n">
        <x:v>0</x:v>
      </x:c>
      <x:c r="L8" s="19" t="n">
        <x:v>45000</x:v>
      </x:c>
      <x:c r="M8" s="19" t="n">
        <x:v>55000</x:v>
      </x:c>
      <x:c r="N8" s="20" t="n">
        <x:v>5</x:v>
      </x:c>
      <x:c r="O8" s="20" t="n">
        <x:v>0</x:v>
      </x:c>
      <x:c r="P8" s="20" t="n">
        <x:v>2</x:v>
      </x:c>
      <x:c r="Q8" s="20" t="n">
        <x:v>1</x:v>
      </x:c>
      <x:c r="R8" s="20" t="n">
        <x:v>10</x:v>
      </x:c>
      <x:c r="S8" s="21" t="n">
        <x:f>2453/60</x:f>
        <x:v>40.88333333333333</x:v>
      </x:c>
      <x:c r="T8" s="21" t="n">
        <x:f>0/60</x:f>
        <x:v>0</x:v>
      </x:c>
      <x:c r="U8" s="21" t="n">
        <x:f>0/60</x:f>
        <x:v>0</x:v>
      </x:c>
      <x:c r="V8" s="21" t="n">
        <x:f>0/60</x:f>
        <x:v>0</x:v>
      </x:c>
      <x:c r="W8" s="20" t="n">
        <x:v>0</x:v>
      </x:c>
      <x:c r="X8" s="20" t="n">
        <x:v>0</x:v>
      </x:c>
      <x:c r="Y8" s="20" t="n">
        <x:v>0</x:v>
      </x:c>
      <x:c r="Z8" s="20" t="n">
        <x:v>0</x:v>
      </x:c>
    </x:row>
    <x:row r="9" ht="23" customHeight="1">
      <x:c r="A9" s="2" t="str">
        <x:v>2026-09-23_Night</x:v>
      </x:c>
      <x:c r="B9" s="19" t="n">
        <x:v>5000</x:v>
      </x:c>
      <x:c r="C9" s="19" t="n">
        <x:v>41000</x:v>
      </x:c>
      <x:c r="D9" s="19" t="n">
        <x:f>B9-C9</x:f>
        <x:v>-36000</x:v>
      </x:c>
      <x:c r="E9" s="19" t="n">
        <x:f>E8+D9</x:f>
        <x:v>-22000</x:v>
      </x:c>
      <x:c r="F9" s="19" t="n">
        <x:v>0</x:v>
      </x:c>
      <x:c r="G9" s="19" t="n">
        <x:f>D9-F9</x:f>
        <x:v>-36000</x:v>
      </x:c>
      <x:c r="H9" s="19" t="n">
        <x:v>0</x:v>
      </x:c>
      <x:c r="I9" s="19" t="n">
        <x:v>0</x:v>
      </x:c>
      <x:c r="J9" s="19" t="n">
        <x:v>0</x:v>
      </x:c>
      <x:c r="K9" s="19" t="n">
        <x:v>0</x:v>
      </x:c>
      <x:c r="L9" s="19" t="n">
        <x:v>0</x:v>
      </x:c>
      <x:c r="M9" s="19" t="n">
        <x:v>0</x:v>
      </x:c>
      <x:c r="N9" s="20" t="n">
        <x:v>2</x:v>
      </x:c>
      <x:c r="O9" s="20" t="n">
        <x:v>5</x:v>
      </x:c>
      <x:c r="P9" s="20" t="n">
        <x:v>3</x:v>
      </x:c>
      <x:c r="Q9" s="20" t="n">
        <x:v>0</x:v>
      </x:c>
      <x:c r="R9" s="20" t="n">
        <x:v>7</x:v>
      </x:c>
      <x:c r="S9" s="21" t="n">
        <x:f>0/60</x:f>
        <x:v>0</x:v>
      </x:c>
      <x:c r="T9" s="21" t="n">
        <x:f>0/60</x:f>
        <x:v>0</x:v>
      </x:c>
      <x:c r="U9" s="21" t="n">
        <x:f>0/60</x:f>
        <x:v>0</x:v>
      </x:c>
      <x:c r="V9" s="21" t="n">
        <x:f>0/60</x:f>
        <x:v>0</x:v>
      </x:c>
      <x:c r="W9" s="20" t="n">
        <x:v>0</x:v>
      </x:c>
      <x:c r="X9" s="20" t="n">
        <x:v>0</x:v>
      </x:c>
      <x:c r="Y9" s="20" t="n">
        <x:v>0</x:v>
      </x:c>
      <x:c r="Z9" s="20" t="n">
        <x:v>0</x:v>
      </x:c>
    </x:row>
    <x:row r="10" ht="23" customHeight="1">
      <x:c r="A10" s="2" t="str">
        <x:v>2026-09-24_Night</x:v>
      </x:c>
      <x:c r="B10" s="19" t="n">
        <x:v>70000</x:v>
      </x:c>
      <x:c r="C10" s="19" t="n">
        <x:v>0</x:v>
      </x:c>
      <x:c r="D10" s="19" t="n">
        <x:f>B10-C10</x:f>
        <x:v>70000</x:v>
      </x:c>
      <x:c r="E10" s="19" t="n">
        <x:f>E9+D10</x:f>
        <x:v>48000</x:v>
      </x:c>
      <x:c r="F10" s="19" t="n">
        <x:v>50000</x:v>
      </x:c>
      <x:c r="G10" s="19" t="n">
        <x:f>D10-F10</x:f>
        <x:v>20000</x:v>
      </x:c>
      <x:c r="H10" s="19" t="n">
        <x:v>25000</x:v>
      </x:c>
      <x:c r="I10" s="19" t="n">
        <x:v>0</x:v>
      </x:c>
      <x:c r="J10" s="19" t="n">
        <x:v>25000</x:v>
      </x:c>
      <x:c r="K10" s="19" t="n">
        <x:v>0</x:v>
      </x:c>
      <x:c r="L10" s="19" t="n">
        <x:v>85000</x:v>
      </x:c>
      <x:c r="M10" s="19" t="n">
        <x:v>90000</x:v>
      </x:c>
      <x:c r="N10" s="20" t="n">
        <x:v>5</x:v>
      </x:c>
      <x:c r="O10" s="20" t="n">
        <x:v>2</x:v>
      </x:c>
      <x:c r="P10" s="20" t="n">
        <x:v>4</x:v>
      </x:c>
      <x:c r="Q10" s="20" t="n">
        <x:v>2</x:v>
      </x:c>
      <x:c r="R10" s="20" t="n">
        <x:v>12</x:v>
      </x:c>
      <x:c r="S10" s="21" t="n">
        <x:f>6601/60</x:f>
        <x:v>110.01666666666667</x:v>
      </x:c>
      <x:c r="T10" s="21" t="n">
        <x:f>0/60</x:f>
        <x:v>0</x:v>
      </x:c>
      <x:c r="U10" s="21" t="n">
        <x:f>0/60</x:f>
        <x:v>0</x:v>
      </x:c>
      <x:c r="V10" s="21" t="n">
        <x:f>0/60</x:f>
        <x:v>0</x:v>
      </x:c>
      <x:c r="W10" s="20" t="n">
        <x:v>0</x:v>
      </x:c>
      <x:c r="X10" s="20" t="n">
        <x:v>0</x:v>
      </x:c>
      <x:c r="Y10" s="20" t="n">
        <x:v>0</x:v>
      </x:c>
      <x:c r="Z10" s="20" t="n">
        <x:v>0</x:v>
      </x:c>
    </x:row>
    <x:row r="11" ht="23" customHeight="1">
      <x:c r="A11" s="2" t="str">
        <x:v>2026-09-25_Night</x:v>
      </x:c>
      <x:c r="B11" s="19" t="n">
        <x:v>17000</x:v>
      </x:c>
      <x:c r="C11" s="19" t="n">
        <x:v>16000</x:v>
      </x:c>
      <x:c r="D11" s="19" t="n">
        <x:f>B11-C11</x:f>
        <x:v>1000</x:v>
      </x:c>
      <x:c r="E11" s="19" t="n">
        <x:f>E10+D11</x:f>
        <x:v>49000</x:v>
      </x:c>
      <x:c r="F11" s="19" t="n">
        <x:v>0</x:v>
      </x:c>
      <x:c r="G11" s="19" t="n">
        <x:f>D11-F11</x:f>
        <x:v>1000</x:v>
      </x:c>
      <x:c r="H11" s="19" t="n">
        <x:v>0</x:v>
      </x:c>
      <x:c r="I11" s="19" t="n">
        <x:v>0</x:v>
      </x:c>
      <x:c r="J11" s="19" t="n">
        <x:v>0</x:v>
      </x:c>
      <x:c r="K11" s="19" t="n">
        <x:v>0</x:v>
      </x:c>
      <x:c r="L11" s="19" t="n">
        <x:v>0</x:v>
      </x:c>
      <x:c r="M11" s="19" t="n">
        <x:v>0</x:v>
      </x:c>
      <x:c r="N11" s="20" t="n">
        <x:v>1</x:v>
      </x:c>
      <x:c r="O11" s="20" t="n">
        <x:v>5</x:v>
      </x:c>
      <x:c r="P11" s="20" t="n">
        <x:v>2</x:v>
      </x:c>
      <x:c r="Q11" s="20" t="n">
        <x:v>0</x:v>
      </x:c>
      <x:c r="R11" s="20" t="n">
        <x:v>6</x:v>
      </x:c>
      <x:c r="S11" s="21" t="n">
        <x:f>0/60</x:f>
        <x:v>0</x:v>
      </x:c>
      <x:c r="T11" s="21" t="n">
        <x:f>0/60</x:f>
        <x:v>0</x:v>
      </x:c>
      <x:c r="U11" s="21" t="n">
        <x:f>0/60</x:f>
        <x:v>0</x:v>
      </x:c>
      <x:c r="V11" s="21" t="n">
        <x:f>0/60</x:f>
        <x:v>0</x:v>
      </x:c>
      <x:c r="W11" s="20" t="n">
        <x:v>0</x:v>
      </x:c>
      <x:c r="X11" s="20" t="n">
        <x:v>0</x:v>
      </x:c>
      <x:c r="Y11" s="20" t="n">
        <x:v>0</x:v>
      </x:c>
      <x:c r="Z11" s="20" t="n">
        <x:v>0</x:v>
      </x:c>
    </x:row>
    <x:row r="12" ht="23" customHeight="1">
      <x:c r="A12" s="2" t="str">
        <x:v>2026-09-28_Night</x:v>
      </x:c>
      <x:c r="B12" s="19" t="n">
        <x:v>21000</x:v>
      </x:c>
      <x:c r="C12" s="19" t="n">
        <x:v>39000</x:v>
      </x:c>
      <x:c r="D12" s="19" t="n">
        <x:f>B12-C12</x:f>
        <x:v>-18000</x:v>
      </x:c>
      <x:c r="E12" s="19" t="n">
        <x:f>E11+D12</x:f>
        <x:v>31000</x:v>
      </x:c>
      <x:c r="F12" s="19" t="n">
        <x:v>11000</x:v>
      </x:c>
      <x:c r="G12" s="19" t="n">
        <x:f>D12-F12</x:f>
        <x:v>-29000</x:v>
      </x:c>
      <x:c r="H12" s="19" t="n">
        <x:v>11000</x:v>
      </x:c>
      <x:c r="I12" s="19" t="n">
        <x:v>0</x:v>
      </x:c>
      <x:c r="J12" s="19" t="n">
        <x:v>0</x:v>
      </x:c>
      <x:c r="K12" s="19" t="n">
        <x:v>0</x:v>
      </x:c>
      <x:c r="L12" s="19" t="n">
        <x:v>6000</x:v>
      </x:c>
      <x:c r="M12" s="19" t="n">
        <x:v>6000</x:v>
      </x:c>
      <x:c r="N12" s="20" t="n">
        <x:v>3</x:v>
      </x:c>
      <x:c r="O12" s="20" t="n">
        <x:v>3</x:v>
      </x:c>
      <x:c r="P12" s="20" t="n">
        <x:v>5</x:v>
      </x:c>
      <x:c r="Q12" s="20" t="n">
        <x:v>1</x:v>
      </x:c>
      <x:c r="R12" s="20" t="n">
        <x:v>7</x:v>
      </x:c>
      <x:c r="S12" s="21" t="n">
        <x:f>2260/60</x:f>
        <x:v>37.666666666666664</x:v>
      </x:c>
      <x:c r="T12" s="21" t="n">
        <x:f>0/60</x:f>
        <x:v>0</x:v>
      </x:c>
      <x:c r="U12" s="21" t="n">
        <x:f>0/60</x:f>
        <x:v>0</x:v>
      </x:c>
      <x:c r="V12" s="21" t="n">
        <x:f>0/60</x:f>
        <x:v>0</x:v>
      </x:c>
      <x:c r="W12" s="20" t="n">
        <x:v>0</x:v>
      </x:c>
      <x:c r="X12" s="20" t="n">
        <x:v>0</x:v>
      </x:c>
      <x:c r="Y12" s="20" t="n">
        <x:v>0</x:v>
      </x:c>
      <x:c r="Z12" s="20" t="n">
        <x:v>0</x:v>
      </x:c>
    </x:row>
    <x:row r="13" ht="23" customHeight="1">
      <x:c r="A13" s="2" t="str">
        <x:v>2026-09-29_Night</x:v>
      </x:c>
      <x:c r="B13" s="19" t="n">
        <x:v>90000</x:v>
      </x:c>
      <x:c r="C13" s="19" t="n">
        <x:v>25000</x:v>
      </x:c>
      <x:c r="D13" s="19" t="n">
        <x:f>B13-C13</x:f>
        <x:v>65000</x:v>
      </x:c>
      <x:c r="E13" s="19" t="n">
        <x:f>E12+D13</x:f>
        <x:v>96000</x:v>
      </x:c>
      <x:c r="F13" s="19" t="n">
        <x:v>0</x:v>
      </x:c>
      <x:c r="G13" s="19" t="n">
        <x:f>D13-F13</x:f>
        <x:v>65000</x:v>
      </x:c>
      <x:c r="H13" s="19" t="n">
        <x:v>0</x:v>
      </x:c>
      <x:c r="I13" s="19" t="n">
        <x:v>0</x:v>
      </x:c>
      <x:c r="J13" s="19" t="n">
        <x:v>0</x:v>
      </x:c>
      <x:c r="K13" s="19" t="n">
        <x:v>0</x:v>
      </x:c>
      <x:c r="L13" s="19" t="n">
        <x:v>0</x:v>
      </x:c>
      <x:c r="M13" s="19" t="n">
        <x:v>0</x:v>
      </x:c>
      <x:c r="N13" s="20" t="n">
        <x:v>5</x:v>
      </x:c>
      <x:c r="O13" s="20" t="n">
        <x:v>5</x:v>
      </x:c>
      <x:c r="P13" s="20" t="n">
        <x:v>6</x:v>
      </x:c>
      <x:c r="Q13" s="20" t="n">
        <x:v>0</x:v>
      </x:c>
      <x:c r="R13" s="20" t="n">
        <x:v>14</x:v>
      </x:c>
      <x:c r="S13" s="21" t="n">
        <x:f>0/60</x:f>
        <x:v>0</x:v>
      </x:c>
      <x:c r="T13" s="21" t="n">
        <x:f>0/60</x:f>
        <x:v>0</x:v>
      </x:c>
      <x:c r="U13" s="21" t="n">
        <x:f>0/60</x:f>
        <x:v>0</x:v>
      </x:c>
      <x:c r="V13" s="21" t="n">
        <x:f>0/60</x:f>
        <x:v>0</x:v>
      </x:c>
      <x:c r="W13" s="20" t="n">
        <x:v>0</x:v>
      </x:c>
      <x:c r="X13" s="20" t="n">
        <x:v>0</x:v>
      </x:c>
      <x:c r="Y13" s="20" t="n">
        <x:v>0</x:v>
      </x:c>
      <x:c r="Z13" s="20" t="n">
        <x:v>0</x:v>
      </x:c>
    </x:row>
    <x:row r="14" ht="23" customHeight="1">
      <x:c r="A14" s="2" t="str">
        <x:v>2026-09-30_Night</x:v>
      </x:c>
      <x:c r="B14" s="19" t="n">
        <x:v>194000</x:v>
      </x:c>
      <x:c r="C14" s="19" t="n">
        <x:v>6000</x:v>
      </x:c>
      <x:c r="D14" s="19" t="n">
        <x:f>B14-C14</x:f>
        <x:v>188000</x:v>
      </x:c>
      <x:c r="E14" s="19" t="n">
        <x:f>E13+D14</x:f>
        <x:v>284000</x:v>
      </x:c>
      <x:c r="F14" s="19" t="n">
        <x:v>145000</x:v>
      </x:c>
      <x:c r="G14" s="19" t="n">
        <x:f>D14-F14</x:f>
        <x:v>43000</x:v>
      </x:c>
      <x:c r="H14" s="19" t="n">
        <x:v>145000</x:v>
      </x:c>
      <x:c r="I14" s="19" t="n">
        <x:v>0</x:v>
      </x:c>
      <x:c r="J14" s="19" t="n">
        <x:v>0</x:v>
      </x:c>
      <x:c r="K14" s="19" t="n">
        <x:v>0</x:v>
      </x:c>
      <x:c r="L14" s="19" t="n">
        <x:v>90000</x:v>
      </x:c>
      <x:c r="M14" s="19" t="n">
        <x:v>110000</x:v>
      </x:c>
      <x:c r="N14" s="20" t="n">
        <x:v>7</x:v>
      </x:c>
      <x:c r="O14" s="20" t="n">
        <x:v>5</x:v>
      </x:c>
      <x:c r="P14" s="20" t="n">
        <x:v>6</x:v>
      </x:c>
      <x:c r="Q14" s="20" t="n">
        <x:v>3</x:v>
      </x:c>
      <x:c r="R14" s="20" t="n">
        <x:v>22</x:v>
      </x:c>
      <x:c r="S14" s="21" t="n">
        <x:f>3319/60</x:f>
        <x:v>55.31666666666667</x:v>
      </x:c>
      <x:c r="T14" s="21" t="n">
        <x:f>0/60</x:f>
        <x:v>0</x:v>
      </x:c>
      <x:c r="U14" s="21" t="n">
        <x:f>0/60</x:f>
        <x:v>0</x:v>
      </x:c>
      <x:c r="V14" s="21" t="n">
        <x:f>0/60</x:f>
        <x:v>0</x:v>
      </x:c>
      <x:c r="W14" s="20" t="n">
        <x:v>0</x:v>
      </x:c>
      <x:c r="X14" s="20" t="n">
        <x:v>0</x:v>
      </x:c>
      <x:c r="Y14" s="20" t="n">
        <x:v>0</x:v>
      </x:c>
      <x:c r="Z14" s="20" t="n">
        <x:v>0</x:v>
      </x:c>
    </x:row>
    <x:row r="15" ht="23" customHeight="1">
      <x:c r="A15" s="2" t="str">
        <x:v>2026-10-01_Night</x:v>
      </x:c>
      <x:c r="B15" s="19" t="n">
        <x:v>279000</x:v>
      </x:c>
      <x:c r="C15" s="19" t="n">
        <x:v>212000</x:v>
      </x:c>
      <x:c r="D15" s="19" t="n">
        <x:f>B15-C15</x:f>
        <x:v>67000</x:v>
      </x:c>
      <x:c r="E15" s="19" t="n">
        <x:f>E14+D15</x:f>
        <x:v>351000</x:v>
      </x:c>
      <x:c r="F15" s="19" t="n">
        <x:v>-31000</x:v>
      </x:c>
      <x:c r="G15" s="19" t="n">
        <x:f>D15-F15</x:f>
        <x:v>98000</x:v>
      </x:c>
      <x:c r="H15" s="19" t="n">
        <x:v>74000</x:v>
      </x:c>
      <x:c r="I15" s="19" t="n">
        <x:v>0</x:v>
      </x:c>
      <x:c r="J15" s="19" t="n">
        <x:v>15000</x:v>
      </x:c>
      <x:c r="K15" s="19" t="n">
        <x:v>120000</x:v>
      </x:c>
      <x:c r="L15" s="19" t="n">
        <x:v>117000</x:v>
      </x:c>
      <x:c r="M15" s="19" t="n">
        <x:v>127000</x:v>
      </x:c>
      <x:c r="N15" s="20" t="n">
        <x:v>5</x:v>
      </x:c>
      <x:c r="O15" s="20" t="n">
        <x:v>6</x:v>
      </x:c>
      <x:c r="P15" s="20" t="n">
        <x:v>16</x:v>
      </x:c>
      <x:c r="Q15" s="20" t="n">
        <x:v>8</x:v>
      </x:c>
      <x:c r="R15" s="20" t="n">
        <x:v>36</x:v>
      </x:c>
      <x:c r="S15" s="21" t="n">
        <x:f>12720/60</x:f>
        <x:v>212</x:v>
      </x:c>
      <x:c r="T15" s="21" t="n">
        <x:f>4431/60</x:f>
        <x:v>73.85</x:v>
      </x:c>
      <x:c r="U15" s="21" t="n">
        <x:f>0/60</x:f>
        <x:v>0</x:v>
      </x:c>
      <x:c r="V15" s="21" t="n">
        <x:f>0/60</x:f>
        <x:v>0</x:v>
      </x:c>
      <x:c r="W15" s="20" t="n">
        <x:v>0</x:v>
      </x:c>
      <x:c r="X15" s="20" t="n">
        <x:v>0</x:v>
      </x:c>
      <x:c r="Y15" s="20" t="n">
        <x:v>0</x:v>
      </x:c>
      <x:c r="Z15" s="20" t="n">
        <x:v>0</x:v>
      </x:c>
    </x:row>
    <x:row r="16" ht="23" customHeight="1">
      <x:c r="A16" s="2" t="str">
        <x:v>2026-10-02_Night</x:v>
      </x:c>
      <x:c r="B16" s="19" t="n">
        <x:v>313000</x:v>
      </x:c>
      <x:c r="C16" s="19" t="n">
        <x:v>57000</x:v>
      </x:c>
      <x:c r="D16" s="19" t="n">
        <x:f>B16-C16</x:f>
        <x:v>256000</x:v>
      </x:c>
      <x:c r="E16" s="19" t="n">
        <x:f>E15+D16</x:f>
        <x:v>607000</x:v>
      </x:c>
      <x:c r="F16" s="19" t="n">
        <x:v>0</x:v>
      </x:c>
      <x:c r="G16" s="19" t="n">
        <x:f>D16-F16</x:f>
        <x:v>256000</x:v>
      </x:c>
      <x:c r="H16" s="19" t="n">
        <x:v>0</x:v>
      </x:c>
      <x:c r="I16" s="19" t="n">
        <x:v>0</x:v>
      </x:c>
      <x:c r="J16" s="19" t="n">
        <x:v>0</x:v>
      </x:c>
      <x:c r="K16" s="19" t="n">
        <x:v>0</x:v>
      </x:c>
      <x:c r="L16" s="19" t="n">
        <x:v>0</x:v>
      </x:c>
      <x:c r="M16" s="19" t="n">
        <x:v>0</x:v>
      </x:c>
      <x:c r="N16" s="20" t="n">
        <x:v>7</x:v>
      </x:c>
      <x:c r="O16" s="20" t="n">
        <x:v>10</x:v>
      </x:c>
      <x:c r="P16" s="20" t="n">
        <x:v>15</x:v>
      </x:c>
      <x:c r="Q16" s="20" t="n">
        <x:v>0</x:v>
      </x:c>
      <x:c r="R16" s="20" t="n">
        <x:v>28</x:v>
      </x:c>
      <x:c r="S16" s="21" t="n">
        <x:f>0/60</x:f>
        <x:v>0</x:v>
      </x:c>
      <x:c r="T16" s="21" t="n">
        <x:f>0/60</x:f>
        <x:v>0</x:v>
      </x:c>
      <x:c r="U16" s="21" t="n">
        <x:f>0/60</x:f>
        <x:v>0</x:v>
      </x:c>
      <x:c r="V16" s="21" t="n">
        <x:f>0/60</x:f>
        <x:v>0</x:v>
      </x:c>
      <x:c r="W16" s="20" t="n">
        <x:v>0</x:v>
      </x:c>
      <x:c r="X16" s="20" t="n">
        <x:v>0</x:v>
      </x:c>
      <x:c r="Y16" s="20" t="n">
        <x:v>0</x:v>
      </x:c>
      <x:c r="Z16" s="20" t="n">
        <x:v>0</x:v>
      </x:c>
    </x:row>
    <x:row r="17" ht="23" customHeight="1">
      <x:c r="A17" s="2" t="str">
        <x:v>2026-10-05_Night</x:v>
      </x:c>
      <x:c r="B17" s="19" t="n">
        <x:v>123000</x:v>
      </x:c>
      <x:c r="C17" s="19" t="n">
        <x:v>64000</x:v>
      </x:c>
      <x:c r="D17" s="19" t="n">
        <x:f>B17-C17</x:f>
        <x:v>59000</x:v>
      </x:c>
      <x:c r="E17" s="19" t="n">
        <x:f>E16+D17</x:f>
        <x:v>666000</x:v>
      </x:c>
      <x:c r="F17" s="19" t="n">
        <x:v>25000</x:v>
      </x:c>
      <x:c r="G17" s="19" t="n">
        <x:f>D17-F17</x:f>
        <x:v>34000</x:v>
      </x:c>
      <x:c r="H17" s="19" t="n">
        <x:v>25000</x:v>
      </x:c>
      <x:c r="I17" s="19" t="n">
        <x:v>0</x:v>
      </x:c>
      <x:c r="J17" s="19" t="n">
        <x:v>0</x:v>
      </x:c>
      <x:c r="K17" s="19" t="n">
        <x:v>0</x:v>
      </x:c>
      <x:c r="L17" s="19" t="n">
        <x:v>10000</x:v>
      </x:c>
      <x:c r="M17" s="19" t="n">
        <x:v>20000</x:v>
      </x:c>
      <x:c r="N17" s="20" t="n">
        <x:v>5</x:v>
      </x:c>
      <x:c r="O17" s="20" t="n">
        <x:v>5</x:v>
      </x:c>
      <x:c r="P17" s="20" t="n">
        <x:v>8</x:v>
      </x:c>
      <x:c r="Q17" s="20" t="n">
        <x:v>1</x:v>
      </x:c>
      <x:c r="R17" s="20" t="n">
        <x:v>19</x:v>
      </x:c>
      <x:c r="S17" s="21" t="n">
        <x:f>219/60</x:f>
        <x:v>3.65</x:v>
      </x:c>
      <x:c r="T17" s="21" t="n">
        <x:f>0/60</x:f>
        <x:v>0</x:v>
      </x:c>
      <x:c r="U17" s="21" t="n">
        <x:f>0/60</x:f>
        <x:v>0</x:v>
      </x:c>
      <x:c r="V17" s="21" t="n">
        <x:f>0/60</x:f>
        <x:v>0</x:v>
      </x:c>
      <x:c r="W17" s="20" t="n">
        <x:v>0</x:v>
      </x:c>
      <x:c r="X17" s="20" t="n">
        <x:v>0</x:v>
      </x:c>
      <x:c r="Y17" s="20" t="n">
        <x:v>0</x:v>
      </x:c>
      <x:c r="Z17" s="20" t="n">
        <x:v>0</x:v>
      </x:c>
    </x:row>
    <x:row r="18" ht="23" customHeight="1">
      <x:c r="A18" s="2" t="str">
        <x:v>2026-10-06_Night</x:v>
      </x:c>
      <x:c r="B18" s="19" t="n">
        <x:v>33000</x:v>
      </x:c>
      <x:c r="C18" s="19" t="n">
        <x:v>43000</x:v>
      </x:c>
      <x:c r="D18" s="19" t="n">
        <x:f>B18-C18</x:f>
        <x:v>-10000</x:v>
      </x:c>
      <x:c r="E18" s="19" t="n">
        <x:f>E17+D18</x:f>
        <x:v>656000</x:v>
      </x:c>
      <x:c r="F18" s="19" t="n">
        <x:v>0</x:v>
      </x:c>
      <x:c r="G18" s="19" t="n">
        <x:f>D18-F18</x:f>
        <x:v>-10000</x:v>
      </x:c>
      <x:c r="H18" s="19" t="n">
        <x:v>0</x:v>
      </x:c>
      <x:c r="I18" s="19" t="n">
        <x:v>0</x:v>
      </x:c>
      <x:c r="J18" s="19" t="n">
        <x:v>0</x:v>
      </x:c>
      <x:c r="K18" s="19" t="n">
        <x:v>0</x:v>
      </x:c>
      <x:c r="L18" s="19" t="n">
        <x:v>0</x:v>
      </x:c>
      <x:c r="M18" s="19" t="n">
        <x:v>0</x:v>
      </x:c>
      <x:c r="N18" s="20" t="n">
        <x:v>0</x:v>
      </x:c>
      <x:c r="O18" s="20" t="n">
        <x:v>7</x:v>
      </x:c>
      <x:c r="P18" s="20" t="n">
        <x:v>4</x:v>
      </x:c>
      <x:c r="Q18" s="20" t="n">
        <x:v>0</x:v>
      </x:c>
      <x:c r="R18" s="20" t="n">
        <x:v>8</x:v>
      </x:c>
      <x:c r="S18" s="21" t="n">
        <x:f>0/60</x:f>
        <x:v>0</x:v>
      </x:c>
      <x:c r="T18" s="21" t="n">
        <x:f>0/60</x:f>
        <x:v>0</x:v>
      </x:c>
      <x:c r="U18" s="21" t="n">
        <x:f>0/60</x:f>
        <x:v>0</x:v>
      </x:c>
      <x:c r="V18" s="21" t="n">
        <x:f>0/60</x:f>
        <x:v>0</x:v>
      </x:c>
      <x:c r="W18" s="20" t="n">
        <x:v>0</x:v>
      </x:c>
      <x:c r="X18" s="20" t="n">
        <x:v>0</x:v>
      </x:c>
      <x:c r="Y18" s="20" t="n">
        <x:v>0</x:v>
      </x:c>
      <x:c r="Z18" s="20" t="n">
        <x:v>0</x:v>
      </x:c>
    </x:row>
    <x:row r="19" ht="23" customHeight="1">
      <x:c r="A19" s="2" t="str">
        <x:v>2026-10-07_Night</x:v>
      </x:c>
      <x:c r="B19" s="19" t="n">
        <x:v>25000</x:v>
      </x:c>
      <x:c r="C19" s="19" t="n">
        <x:v>67000</x:v>
      </x:c>
      <x:c r="D19" s="19" t="n">
        <x:f>B19-C19</x:f>
        <x:v>-42000</x:v>
      </x:c>
      <x:c r="E19" s="19" t="n">
        <x:f>E18+D19</x:f>
        <x:v>614000</x:v>
      </x:c>
      <x:c r="F19" s="19" t="n">
        <x:v>-20000</x:v>
      </x:c>
      <x:c r="G19" s="19" t="n">
        <x:f>D19-F19</x:f>
        <x:v>-22000</x:v>
      </x:c>
      <x:c r="H19" s="19" t="n">
        <x:v>25000</x:v>
      </x:c>
      <x:c r="I19" s="19" t="n">
        <x:v>0</x:v>
      </x:c>
      <x:c r="J19" s="19" t="n">
        <x:v>0</x:v>
      </x:c>
      <x:c r="K19" s="19" t="n">
        <x:v>45000</x:v>
      </x:c>
      <x:c r="L19" s="19" t="n">
        <x:v>49000</x:v>
      </x:c>
      <x:c r="M19" s="19" t="n">
        <x:v>69000</x:v>
      </x:c>
      <x:c r="N19" s="20" t="n">
        <x:v>2</x:v>
      </x:c>
      <x:c r="O19" s="20" t="n">
        <x:v>5</x:v>
      </x:c>
      <x:c r="P19" s="20" t="n">
        <x:v>5</x:v>
      </x:c>
      <x:c r="Q19" s="20" t="n">
        <x:v>3</x:v>
      </x:c>
      <x:c r="R19" s="20" t="n">
        <x:v>9</x:v>
      </x:c>
      <x:c r="S19" s="21" t="n">
        <x:f>7391/60</x:f>
        <x:v>123.18333333333334</x:v>
      </x:c>
      <x:c r="T19" s="21" t="n">
        <x:f>0/60</x:f>
        <x:v>0</x:v>
      </x:c>
      <x:c r="U19" s="21" t="n">
        <x:f>0/60</x:f>
        <x:v>0</x:v>
      </x:c>
      <x:c r="V19" s="21" t="n">
        <x:f>0/60</x:f>
        <x:v>0</x:v>
      </x:c>
      <x:c r="W19" s="20" t="n">
        <x:v>0</x:v>
      </x:c>
      <x:c r="X19" s="20" t="n">
        <x:v>0</x:v>
      </x:c>
      <x:c r="Y19" s="20" t="n">
        <x:v>0</x:v>
      </x:c>
      <x:c r="Z19" s="20" t="n">
        <x:v>0</x:v>
      </x:c>
    </x:row>
    <x:row r="20" ht="23" customHeight="1">
      <x:c r="A20" s="2" t="str">
        <x:v>2026-10-08_Night</x:v>
      </x:c>
      <x:c r="B20" s="19" t="n">
        <x:v>360000</x:v>
      </x:c>
      <x:c r="C20" s="19" t="n">
        <x:v>36000</x:v>
      </x:c>
      <x:c r="D20" s="19" t="n">
        <x:f>B20-C20</x:f>
        <x:v>324000</x:v>
      </x:c>
      <x:c r="E20" s="19" t="n">
        <x:f>E19+D20</x:f>
        <x:v>938000</x:v>
      </x:c>
      <x:c r="F20" s="19" t="n">
        <x:v>18000</x:v>
      </x:c>
      <x:c r="G20" s="19" t="n">
        <x:f>D20-F20</x:f>
        <x:v>306000</x:v>
      </x:c>
      <x:c r="H20" s="19" t="n">
        <x:v>18000</x:v>
      </x:c>
      <x:c r="I20" s="19" t="n">
        <x:v>0</x:v>
      </x:c>
      <x:c r="J20" s="19" t="n">
        <x:v>0</x:v>
      </x:c>
      <x:c r="K20" s="19" t="n">
        <x:v>0</x:v>
      </x:c>
      <x:c r="L20" s="19" t="n">
        <x:v>5000</x:v>
      </x:c>
      <x:c r="M20" s="19" t="n">
        <x:v>9000</x:v>
      </x:c>
      <x:c r="N20" s="20" t="n">
        <x:v>8</x:v>
      </x:c>
      <x:c r="O20" s="20" t="n">
        <x:v>8</x:v>
      </x:c>
      <x:c r="P20" s="20" t="n">
        <x:v>17</x:v>
      </x:c>
      <x:c r="Q20" s="20" t="n">
        <x:v>2</x:v>
      </x:c>
      <x:c r="R20" s="20" t="n">
        <x:v>30</x:v>
      </x:c>
      <x:c r="S20" s="21" t="n">
        <x:f>2603/60</x:f>
        <x:v>43.38333333333333</x:v>
      </x:c>
      <x:c r="T20" s="21" t="n">
        <x:f>0/60</x:f>
        <x:v>0</x:v>
      </x:c>
      <x:c r="U20" s="21" t="n">
        <x:f>0/60</x:f>
        <x:v>0</x:v>
      </x:c>
      <x:c r="V20" s="21" t="n">
        <x:f>0/60</x:f>
        <x:v>0</x:v>
      </x:c>
      <x:c r="W20" s="20" t="n">
        <x:v>0</x:v>
      </x:c>
      <x:c r="X20" s="20" t="n">
        <x:v>0</x:v>
      </x:c>
      <x:c r="Y20" s="20" t="n">
        <x:v>0</x:v>
      </x:c>
      <x:c r="Z20" s="20" t="n">
        <x:v>0</x:v>
      </x:c>
    </x:row>
    <x:row r="21" ht="23" customHeight="1">
      <x:c r="A21" s="2" t="str">
        <x:v>2026-10-09_Night</x:v>
      </x:c>
      <x:c r="B21" s="19" t="n">
        <x:v>34000</x:v>
      </x:c>
      <x:c r="C21" s="19" t="n">
        <x:v>95000</x:v>
      </x:c>
      <x:c r="D21" s="19" t="n">
        <x:f>B21-C21</x:f>
        <x:v>-61000</x:v>
      </x:c>
      <x:c r="E21" s="19" t="n">
        <x:f>E20+D21</x:f>
        <x:v>877000</x:v>
      </x:c>
      <x:c r="F21" s="19" t="n">
        <x:v>-75000</x:v>
      </x:c>
      <x:c r="G21" s="19" t="n">
        <x:f>D21-F21</x:f>
        <x:v>14000</x:v>
      </x:c>
      <x:c r="H21" s="19" t="n">
        <x:v>20000</x:v>
      </x:c>
      <x:c r="I21" s="19" t="n">
        <x:v>0</x:v>
      </x:c>
      <x:c r="J21" s="19" t="n">
        <x:v>0</x:v>
      </x:c>
      <x:c r="K21" s="19" t="n">
        <x:v>95000</x:v>
      </x:c>
      <x:c r="L21" s="19" t="n">
        <x:v>110000</x:v>
      </x:c>
      <x:c r="M21" s="19" t="n">
        <x:v>135000</x:v>
      </x:c>
      <x:c r="N21" s="20" t="n">
        <x:v>0</x:v>
      </x:c>
      <x:c r="O21" s="20" t="n">
        <x:v>5</x:v>
      </x:c>
      <x:c r="P21" s="20" t="n">
        <x:v>3</x:v>
      </x:c>
      <x:c r="Q21" s="20" t="n">
        <x:v>2</x:v>
      </x:c>
      <x:c r="R21" s="20" t="n">
        <x:v>15</x:v>
      </x:c>
      <x:c r="S21" s="21" t="n">
        <x:f>4100/60</x:f>
        <x:v>68.33333333333333</x:v>
      </x:c>
      <x:c r="T21" s="21" t="n">
        <x:f>0/60</x:f>
        <x:v>0</x:v>
      </x:c>
      <x:c r="U21" s="21" t="n">
        <x:f>0/60</x:f>
        <x:v>0</x:v>
      </x:c>
      <x:c r="V21" s="21" t="n">
        <x:f>0/60</x:f>
        <x:v>0</x:v>
      </x:c>
      <x:c r="W21" s="20" t="n">
        <x:v>0</x:v>
      </x:c>
      <x:c r="X21" s="20" t="n">
        <x:v>0</x:v>
      </x:c>
      <x:c r="Y21" s="20" t="n">
        <x:v>0</x:v>
      </x:c>
      <x:c r="Z21" s="20" t="n">
        <x:v>0</x:v>
      </x:c>
    </x:row>
    <x:row r="22" ht="23" customHeight="1">
      <x:c r="A22" s="2" t="str">
        <x:v>2026-10-12_Night</x:v>
      </x:c>
      <x:c r="B22" s="19" t="n">
        <x:v>82000</x:v>
      </x:c>
      <x:c r="C22" s="19" t="n">
        <x:v>0</x:v>
      </x:c>
      <x:c r="D22" s="19" t="n">
        <x:f>B22-C22</x:f>
        <x:v>82000</x:v>
      </x:c>
      <x:c r="E22" s="19" t="n">
        <x:f>E21+D22</x:f>
        <x:v>959000</x:v>
      </x:c>
      <x:c r="F22" s="19" t="n">
        <x:v>0</x:v>
      </x:c>
      <x:c r="G22" s="19" t="n">
        <x:f>D22-F22</x:f>
        <x:v>82000</x:v>
      </x:c>
      <x:c r="H22" s="19" t="n">
        <x:v>0</x:v>
      </x:c>
      <x:c r="I22" s="19" t="n">
        <x:v>0</x:v>
      </x:c>
      <x:c r="J22" s="19" t="n">
        <x:v>0</x:v>
      </x:c>
      <x:c r="K22" s="19" t="n">
        <x:v>0</x:v>
      </x:c>
      <x:c r="L22" s="19" t="n">
        <x:v>0</x:v>
      </x:c>
      <x:c r="M22" s="19" t="n">
        <x:v>0</x:v>
      </x:c>
      <x:c r="N22" s="20" t="n">
        <x:v>0</x:v>
      </x:c>
      <x:c r="O22" s="20" t="n">
        <x:v>5</x:v>
      </x:c>
      <x:c r="P22" s="20" t="n">
        <x:v>1</x:v>
      </x:c>
      <x:c r="Q22" s="20" t="n">
        <x:v>0</x:v>
      </x:c>
      <x:c r="R22" s="20" t="n">
        <x:v>5</x:v>
      </x:c>
      <x:c r="S22" s="21" t="n">
        <x:f>0/60</x:f>
        <x:v>0</x:v>
      </x:c>
      <x:c r="T22" s="21" t="n">
        <x:f>0/60</x:f>
        <x:v>0</x:v>
      </x:c>
      <x:c r="U22" s="21" t="n">
        <x:f>0/60</x:f>
        <x:v>0</x:v>
      </x:c>
      <x:c r="V22" s="21" t="n">
        <x:f>0/60</x:f>
        <x:v>0</x:v>
      </x:c>
      <x:c r="W22" s="20" t="n">
        <x:v>0</x:v>
      </x:c>
      <x:c r="X22" s="20" t="n">
        <x:v>0</x:v>
      </x:c>
      <x:c r="Y22" s="20" t="n">
        <x:v>0</x:v>
      </x:c>
      <x:c r="Z22" s="20" t="n">
        <x:v>0</x:v>
      </x:c>
    </x:row>
    <x:row r="23" ht="23" customHeight="1">
      <x:c r="A23" s="2" t="str">
        <x:v>2026-10-13_Night</x:v>
      </x:c>
      <x:c r="B23" s="19" t="n">
        <x:v>0</x:v>
      </x:c>
      <x:c r="C23" s="19" t="n">
        <x:v>203000</x:v>
      </x:c>
      <x:c r="D23" s="19" t="n">
        <x:f>B23-C23</x:f>
        <x:v>-203000</x:v>
      </x:c>
      <x:c r="E23" s="19" t="n">
        <x:f>E22+D23</x:f>
        <x:v>756000</x:v>
      </x:c>
      <x:c r="F23" s="19" t="n">
        <x:v>-150000</x:v>
      </x:c>
      <x:c r="G23" s="19" t="n">
        <x:f>D23-F23</x:f>
        <x:v>-53000</x:v>
      </x:c>
      <x:c r="H23" s="19" t="n">
        <x:v>0</x:v>
      </x:c>
      <x:c r="I23" s="19" t="n">
        <x:v>0</x:v>
      </x:c>
      <x:c r="J23" s="19" t="n">
        <x:v>0</x:v>
      </x:c>
      <x:c r="K23" s="19" t="n">
        <x:v>150000</x:v>
      </x:c>
      <x:c r="L23" s="19" t="n">
        <x:v>175000</x:v>
      </x:c>
      <x:c r="M23" s="19" t="n">
        <x:v>200000</x:v>
      </x:c>
      <x:c r="N23" s="20" t="n">
        <x:v>5</x:v>
      </x:c>
      <x:c r="O23" s="20" t="n">
        <x:v>5</x:v>
      </x:c>
      <x:c r="P23" s="20" t="n">
        <x:v>3</x:v>
      </x:c>
      <x:c r="Q23" s="20" t="n">
        <x:v>1</x:v>
      </x:c>
      <x:c r="R23" s="20" t="n">
        <x:v>11</x:v>
      </x:c>
      <x:c r="S23" s="21" t="n">
        <x:f>14137/60</x:f>
        <x:v>235.61666666666667</x:v>
      </x:c>
      <x:c r="T23" s="21" t="n">
        <x:f>0/60</x:f>
        <x:v>0</x:v>
      </x:c>
      <x:c r="U23" s="21" t="n">
        <x:f>0/60</x:f>
        <x:v>0</x:v>
      </x:c>
      <x:c r="V23" s="21" t="n">
        <x:f>0/60</x:f>
        <x:v>0</x:v>
      </x:c>
      <x:c r="W23" s="20" t="n">
        <x:v>0</x:v>
      </x:c>
      <x:c r="X23" s="20" t="n">
        <x:v>0</x:v>
      </x:c>
      <x:c r="Y23" s="20" t="n">
        <x:v>0</x:v>
      </x:c>
      <x:c r="Z23" s="20" t="n">
        <x:v>0</x:v>
      </x:c>
    </x:row>
    <x:row r="24" ht="23" customHeight="1">
      <x:c r="A24" s="2" t="str">
        <x:v>2026-10-14_Night</x:v>
      </x:c>
      <x:c r="B24" s="19" t="n">
        <x:v>217000</x:v>
      </x:c>
      <x:c r="C24" s="19" t="n">
        <x:v>61000</x:v>
      </x:c>
      <x:c r="D24" s="19" t="n">
        <x:f>B24-C24</x:f>
        <x:v>156000</x:v>
      </x:c>
      <x:c r="E24" s="19" t="n">
        <x:f>E23+D24</x:f>
        <x:v>912000</x:v>
      </x:c>
      <x:c r="F24" s="19" t="n">
        <x:v>20000</x:v>
      </x:c>
      <x:c r="G24" s="19" t="n">
        <x:f>D24-F24</x:f>
        <x:v>136000</x:v>
      </x:c>
      <x:c r="H24" s="19" t="n">
        <x:v>20000</x:v>
      </x:c>
      <x:c r="I24" s="19" t="n">
        <x:v>0</x:v>
      </x:c>
      <x:c r="J24" s="19" t="n">
        <x:v>0</x:v>
      </x:c>
      <x:c r="K24" s="19" t="n">
        <x:v>0</x:v>
      </x:c>
      <x:c r="L24" s="19" t="n">
        <x:v>55000</x:v>
      </x:c>
      <x:c r="M24" s="19" t="n">
        <x:v>75000</x:v>
      </x:c>
      <x:c r="N24" s="20" t="n">
        <x:v>1</x:v>
      </x:c>
      <x:c r="O24" s="20" t="n">
        <x:v>5</x:v>
      </x:c>
      <x:c r="P24" s="20" t="n">
        <x:v>5</x:v>
      </x:c>
      <x:c r="Q24" s="20" t="n">
        <x:v>1</x:v>
      </x:c>
      <x:c r="R24" s="20" t="n">
        <x:v>14</x:v>
      </x:c>
      <x:c r="S24" s="21" t="n">
        <x:f>2685/60</x:f>
        <x:v>44.75</x:v>
      </x:c>
      <x:c r="T24" s="21" t="n">
        <x:f>0/60</x:f>
        <x:v>0</x:v>
      </x:c>
      <x:c r="U24" s="21" t="n">
        <x:f>0/60</x:f>
        <x:v>0</x:v>
      </x:c>
      <x:c r="V24" s="21" t="n">
        <x:f>0/60</x:f>
        <x:v>0</x:v>
      </x:c>
      <x:c r="W24" s="20" t="n">
        <x:v>0</x:v>
      </x:c>
      <x:c r="X24" s="20" t="n">
        <x:v>0</x:v>
      </x:c>
      <x:c r="Y24" s="20" t="n">
        <x:v>0</x:v>
      </x:c>
      <x:c r="Z24" s="20" t="n">
        <x:v>0</x:v>
      </x:c>
    </x:row>
    <x:row r="25" ht="23" customHeight="1">
      <x:c r="A25" s="2" t="str">
        <x:v>2026-10-15_Night</x:v>
      </x:c>
      <x:c r="B25" s="19" t="n">
        <x:v>86000</x:v>
      </x:c>
      <x:c r="C25" s="19" t="n">
        <x:v>64000</x:v>
      </x:c>
      <x:c r="D25" s="19" t="n">
        <x:f>B25-C25</x:f>
        <x:v>22000</x:v>
      </x:c>
      <x:c r="E25" s="19" t="n">
        <x:f>E24+D25</x:f>
        <x:v>934000</x:v>
      </x:c>
      <x:c r="F25" s="19" t="n">
        <x:v>0</x:v>
      </x:c>
      <x:c r="G25" s="19" t="n">
        <x:f>D25-F25</x:f>
        <x:v>22000</x:v>
      </x:c>
      <x:c r="H25" s="19" t="n">
        <x:v>0</x:v>
      </x:c>
      <x:c r="I25" s="19" t="n">
        <x:v>0</x:v>
      </x:c>
      <x:c r="J25" s="19" t="n">
        <x:v>0</x:v>
      </x:c>
      <x:c r="K25" s="19" t="n">
        <x:v>0</x:v>
      </x:c>
      <x:c r="L25" s="19" t="n">
        <x:v>0</x:v>
      </x:c>
      <x:c r="M25" s="19" t="n">
        <x:v>0</x:v>
      </x:c>
      <x:c r="N25" s="20" t="n">
        <x:v>3</x:v>
      </x:c>
      <x:c r="O25" s="20" t="n">
        <x:v>2</x:v>
      </x:c>
      <x:c r="P25" s="20" t="n">
        <x:v>7</x:v>
      </x:c>
      <x:c r="Q25" s="20" t="n">
        <x:v>0</x:v>
      </x:c>
      <x:c r="R25" s="20" t="n">
        <x:v>9</x:v>
      </x:c>
      <x:c r="S25" s="21" t="n">
        <x:f>0/60</x:f>
        <x:v>0</x:v>
      </x:c>
      <x:c r="T25" s="21" t="n">
        <x:f>0/60</x:f>
        <x:v>0</x:v>
      </x:c>
      <x:c r="U25" s="21" t="n">
        <x:f>0/60</x:f>
        <x:v>0</x:v>
      </x:c>
      <x:c r="V25" s="21" t="n">
        <x:f>0/60</x:f>
        <x:v>0</x:v>
      </x:c>
      <x:c r="W25" s="20" t="n">
        <x:v>0</x:v>
      </x:c>
      <x:c r="X25" s="20" t="n">
        <x:v>0</x:v>
      </x:c>
      <x:c r="Y25" s="20" t="n">
        <x:v>0</x:v>
      </x:c>
      <x:c r="Z25" s="20" t="n">
        <x:v>0</x:v>
      </x:c>
    </x:row>
    <x:row r="26" ht="23" customHeight="1">
      <x:c r="A26" s="2" t="str">
        <x:v>2026-10-16_Night</x:v>
      </x:c>
      <x:c r="B26" s="19" t="n">
        <x:v>163000</x:v>
      </x:c>
      <x:c r="C26" s="19" t="n">
        <x:v>151000</x:v>
      </x:c>
      <x:c r="D26" s="19" t="n">
        <x:f>B26-C26</x:f>
        <x:v>12000</x:v>
      </x:c>
      <x:c r="E26" s="19" t="n">
        <x:f>E25+D26</x:f>
        <x:v>946000</x:v>
      </x:c>
      <x:c r="F26" s="19" t="n">
        <x:v>-20000</x:v>
      </x:c>
      <x:c r="G26" s="19" t="n">
        <x:f>D26-F26</x:f>
        <x:v>32000</x:v>
      </x:c>
      <x:c r="H26" s="19" t="n">
        <x:v>0</x:v>
      </x:c>
      <x:c r="I26" s="19" t="n">
        <x:v>0</x:v>
      </x:c>
      <x:c r="J26" s="19" t="n">
        <x:v>0</x:v>
      </x:c>
      <x:c r="K26" s="19" t="n">
        <x:v>20000</x:v>
      </x:c>
      <x:c r="L26" s="19" t="n">
        <x:v>45000</x:v>
      </x:c>
      <x:c r="M26" s="19" t="n">
        <x:v>55000</x:v>
      </x:c>
      <x:c r="N26" s="20" t="n">
        <x:v>3</x:v>
      </x:c>
      <x:c r="O26" s="20" t="n">
        <x:v>7</x:v>
      </x:c>
      <x:c r="P26" s="20" t="n">
        <x:v>14</x:v>
      </x:c>
      <x:c r="Q26" s="20" t="n">
        <x:v>1</x:v>
      </x:c>
      <x:c r="R26" s="20" t="n">
        <x:v>32</x:v>
      </x:c>
      <x:c r="S26" s="21" t="n">
        <x:f>907/60</x:f>
        <x:v>15.116666666666667</x:v>
      </x:c>
      <x:c r="T26" s="21" t="n">
        <x:f>0/60</x:f>
        <x:v>0</x:v>
      </x:c>
      <x:c r="U26" s="21" t="n">
        <x:f>0/60</x:f>
        <x:v>0</x:v>
      </x:c>
      <x:c r="V26" s="21" t="n">
        <x:f>0/60</x:f>
        <x:v>0</x:v>
      </x:c>
      <x:c r="W26" s="20" t="n">
        <x:v>0</x:v>
      </x:c>
      <x:c r="X26" s="20" t="n">
        <x:v>0</x:v>
      </x:c>
      <x:c r="Y26" s="20" t="n">
        <x:v>0</x:v>
      </x:c>
      <x:c r="Z26" s="20" t="n">
        <x:v>0</x:v>
      </x:c>
    </x:row>
    <x:row r="27" ht="23" customHeight="1">
      <x:c r="A27" s="2" t="str">
        <x:v>2026-10-19_Night</x:v>
      </x:c>
      <x:c r="B27" s="19" t="n">
        <x:v>152000</x:v>
      </x:c>
      <x:c r="C27" s="19" t="n">
        <x:v>105000</x:v>
      </x:c>
      <x:c r="D27" s="19" t="n">
        <x:f>B27-C27</x:f>
        <x:v>47000</x:v>
      </x:c>
      <x:c r="E27" s="19" t="n">
        <x:f>E26+D27</x:f>
        <x:v>993000</x:v>
      </x:c>
      <x:c r="F27" s="19" t="n">
        <x:v>55000</x:v>
      </x:c>
      <x:c r="G27" s="19" t="n">
        <x:f>D27-F27</x:f>
        <x:v>-8000</x:v>
      </x:c>
      <x:c r="H27" s="19" t="n">
        <x:v>25000</x:v>
      </x:c>
      <x:c r="I27" s="19" t="n">
        <x:v>0</x:v>
      </x:c>
      <x:c r="J27" s="19" t="n">
        <x:v>30000</x:v>
      </x:c>
      <x:c r="K27" s="19" t="n">
        <x:v>0</x:v>
      </x:c>
      <x:c r="L27" s="19" t="n">
        <x:v>55000</x:v>
      </x:c>
      <x:c r="M27" s="19" t="n">
        <x:v>75000</x:v>
      </x:c>
      <x:c r="N27" s="20" t="n">
        <x:v>5</x:v>
      </x:c>
      <x:c r="O27" s="20" t="n">
        <x:v>5</x:v>
      </x:c>
      <x:c r="P27" s="20" t="n">
        <x:v>14</x:v>
      </x:c>
      <x:c r="Q27" s="20" t="n">
        <x:v>2</x:v>
      </x:c>
      <x:c r="R27" s="20" t="n">
        <x:v>31</x:v>
      </x:c>
      <x:c r="S27" s="21" t="n">
        <x:f>3947/60</x:f>
        <x:v>65.78333333333333</x:v>
      </x:c>
      <x:c r="T27" s="21" t="n">
        <x:f>0/60</x:f>
        <x:v>0</x:v>
      </x:c>
      <x:c r="U27" s="21" t="n">
        <x:f>0/60</x:f>
        <x:v>0</x:v>
      </x:c>
      <x:c r="V27" s="21" t="n">
        <x:f>0/60</x:f>
        <x:v>0</x:v>
      </x:c>
      <x:c r="W27" s="20" t="n">
        <x:v>0</x:v>
      </x:c>
      <x:c r="X27" s="20" t="n">
        <x:v>0</x:v>
      </x:c>
      <x:c r="Y27" s="20" t="n">
        <x:v>0</x:v>
      </x:c>
      <x:c r="Z27" s="20" t="n">
        <x:v>0</x:v>
      </x:c>
    </x:row>
    <x:row r="28" ht="23" customHeight="1">
      <x:c r="A28" s="2" t="str">
        <x:v>2026-10-20_Night</x:v>
      </x:c>
      <x:c r="B28" s="19" t="n">
        <x:v>139000</x:v>
      </x:c>
      <x:c r="C28" s="19" t="n">
        <x:v>33000</x:v>
      </x:c>
      <x:c r="D28" s="19" t="n">
        <x:f>B28-C28</x:f>
        <x:v>106000</x:v>
      </x:c>
      <x:c r="E28" s="19" t="n">
        <x:f>E27+D28</x:f>
        <x:v>1099000</x:v>
      </x:c>
      <x:c r="F28" s="19" t="n">
        <x:v>40000</x:v>
      </x:c>
      <x:c r="G28" s="19" t="n">
        <x:f>D28-F28</x:f>
        <x:v>66000</x:v>
      </x:c>
      <x:c r="H28" s="19" t="n">
        <x:v>30000</x:v>
      </x:c>
      <x:c r="I28" s="19" t="n">
        <x:v>0</x:v>
      </x:c>
      <x:c r="J28" s="19" t="n">
        <x:v>10000</x:v>
      </x:c>
      <x:c r="K28" s="19" t="n">
        <x:v>0</x:v>
      </x:c>
      <x:c r="L28" s="19" t="n">
        <x:v>40000</x:v>
      </x:c>
      <x:c r="M28" s="19" t="n">
        <x:v>65000</x:v>
      </x:c>
      <x:c r="N28" s="20" t="n">
        <x:v>5</x:v>
      </x:c>
      <x:c r="O28" s="20" t="n">
        <x:v>5</x:v>
      </x:c>
      <x:c r="P28" s="20" t="n">
        <x:v>11</x:v>
      </x:c>
      <x:c r="Q28" s="20" t="n">
        <x:v>4</x:v>
      </x:c>
      <x:c r="R28" s="20" t="n">
        <x:v>22</x:v>
      </x:c>
      <x:c r="S28" s="21" t="n">
        <x:f>2277/60</x:f>
        <x:v>37.95</x:v>
      </x:c>
      <x:c r="T28" s="21" t="n">
        <x:f>0/60</x:f>
        <x:v>0</x:v>
      </x:c>
      <x:c r="U28" s="21" t="n">
        <x:f>0/60</x:f>
        <x:v>0</x:v>
      </x:c>
      <x:c r="V28" s="21" t="n">
        <x:f>0/60</x:f>
        <x:v>0</x:v>
      </x:c>
      <x:c r="W28" s="20" t="n">
        <x:v>0</x:v>
      </x:c>
      <x:c r="X28" s="20" t="n">
        <x:v>0</x:v>
      </x:c>
      <x:c r="Y28" s="20" t="n">
        <x:v>0</x:v>
      </x:c>
      <x:c r="Z28" s="20" t="n">
        <x:v>0</x:v>
      </x:c>
    </x:row>
    <x:row r="29" ht="23" customHeight="1">
      <x:c r="A29" s="2" t="str">
        <x:v>2026-10-21_Night</x:v>
      </x:c>
      <x:c r="B29" s="19" t="n">
        <x:v>65000</x:v>
      </x:c>
      <x:c r="C29" s="19" t="n">
        <x:v>314000</x:v>
      </x:c>
      <x:c r="D29" s="19" t="n">
        <x:f>B29-C29</x:f>
        <x:v>-249000</x:v>
      </x:c>
      <x:c r="E29" s="19" t="n">
        <x:f>E28+D29</x:f>
        <x:v>850000</x:v>
      </x:c>
      <x:c r="F29" s="19" t="n">
        <x:v>-225000</x:v>
      </x:c>
      <x:c r="G29" s="19" t="n">
        <x:f>D29-F29</x:f>
        <x:v>-24000</x:v>
      </x:c>
      <x:c r="H29" s="19" t="n">
        <x:v>0</x:v>
      </x:c>
      <x:c r="I29" s="19" t="n">
        <x:v>0</x:v>
      </x:c>
      <x:c r="J29" s="19" t="n">
        <x:v>0</x:v>
      </x:c>
      <x:c r="K29" s="19" t="n">
        <x:v>225000</x:v>
      </x:c>
      <x:c r="L29" s="19" t="n">
        <x:v>280000</x:v>
      </x:c>
      <x:c r="M29" s="19" t="n">
        <x:v>310000</x:v>
      </x:c>
      <x:c r="N29" s="20" t="n">
        <x:v>7</x:v>
      </x:c>
      <x:c r="O29" s="20" t="n">
        <x:v>5</x:v>
      </x:c>
      <x:c r="P29" s="20" t="n">
        <x:v>6</x:v>
      </x:c>
      <x:c r="Q29" s="20" t="n">
        <x:v>1</x:v>
      </x:c>
      <x:c r="R29" s="20" t="n">
        <x:v>22</x:v>
      </x:c>
      <x:c r="S29" s="21" t="n">
        <x:f>10901/60</x:f>
        <x:v>181.68333333333334</x:v>
      </x:c>
      <x:c r="T29" s="21" t="n">
        <x:f>0/60</x:f>
        <x:v>0</x:v>
      </x:c>
      <x:c r="U29" s="21" t="n">
        <x:f>0/60</x:f>
        <x:v>0</x:v>
      </x:c>
      <x:c r="V29" s="21" t="n">
        <x:f>0/60</x:f>
        <x:v>0</x:v>
      </x:c>
      <x:c r="W29" s="20" t="n">
        <x:v>0</x:v>
      </x:c>
      <x:c r="X29" s="20" t="n">
        <x:v>0</x:v>
      </x:c>
      <x:c r="Y29" s="20" t="n">
        <x:v>0</x:v>
      </x:c>
      <x:c r="Z29" s="20" t="n">
        <x:v>0</x:v>
      </x:c>
    </x:row>
    <x:row r="30" ht="23" customHeight="1">
      <x:c r="A30" s="2" t="str">
        <x:v>2026-10-22_Night</x:v>
      </x:c>
      <x:c r="B30" s="19" t="n">
        <x:v>156000</x:v>
      </x:c>
      <x:c r="C30" s="19" t="n">
        <x:v>0</x:v>
      </x:c>
      <x:c r="D30" s="19" t="n">
        <x:f>B30-C30</x:f>
        <x:v>156000</x:v>
      </x:c>
      <x:c r="E30" s="19" t="n">
        <x:f>E29+D30</x:f>
        <x:v>1006000</x:v>
      </x:c>
      <x:c r="F30" s="19" t="n">
        <x:v>0</x:v>
      </x:c>
      <x:c r="G30" s="19" t="n">
        <x:f>D30-F30</x:f>
        <x:v>156000</x:v>
      </x:c>
      <x:c r="H30" s="19" t="n">
        <x:v>0</x:v>
      </x:c>
      <x:c r="I30" s="19" t="n">
        <x:v>0</x:v>
      </x:c>
      <x:c r="J30" s="19" t="n">
        <x:v>0</x:v>
      </x:c>
      <x:c r="K30" s="19" t="n">
        <x:v>0</x:v>
      </x:c>
      <x:c r="L30" s="19" t="n">
        <x:v>0</x:v>
      </x:c>
      <x:c r="M30" s="19" t="n">
        <x:v>0</x:v>
      </x:c>
      <x:c r="N30" s="20" t="n">
        <x:v>0</x:v>
      </x:c>
      <x:c r="O30" s="20" t="n">
        <x:v>6</x:v>
      </x:c>
      <x:c r="P30" s="20" t="n">
        <x:v>3</x:v>
      </x:c>
      <x:c r="Q30" s="20" t="n">
        <x:v>0</x:v>
      </x:c>
      <x:c r="R30" s="20" t="n">
        <x:v>7</x:v>
      </x:c>
      <x:c r="S30" s="21" t="n">
        <x:f>0/60</x:f>
        <x:v>0</x:v>
      </x:c>
      <x:c r="T30" s="21" t="n">
        <x:f>0/60</x:f>
        <x:v>0</x:v>
      </x:c>
      <x:c r="U30" s="21" t="n">
        <x:f>0/60</x:f>
        <x:v>0</x:v>
      </x:c>
      <x:c r="V30" s="21" t="n">
        <x:f>0/60</x:f>
        <x:v>0</x:v>
      </x:c>
      <x:c r="W30" s="20" t="n">
        <x:v>0</x:v>
      </x:c>
      <x:c r="X30" s="20" t="n">
        <x:v>0</x:v>
      </x:c>
      <x:c r="Y30" s="20" t="n">
        <x:v>0</x:v>
      </x:c>
      <x:c r="Z30" s="20" t="n">
        <x:v>0</x:v>
      </x:c>
    </x:row>
    <x:row r="31" ht="23" customHeight="1">
      <x:c r="A31" s="2" t="str">
        <x:v>2026-10-23_Night</x:v>
      </x:c>
      <x:c r="B31" s="19" t="n">
        <x:v>88000</x:v>
      </x:c>
      <x:c r="C31" s="19" t="n">
        <x:v>95000</x:v>
      </x:c>
      <x:c r="D31" s="19" t="n">
        <x:f>B31-C31</x:f>
        <x:v>-7000</x:v>
      </x:c>
      <x:c r="E31" s="19" t="n">
        <x:f>E30+D31</x:f>
        <x:v>999000</x:v>
      </x:c>
      <x:c r="F31" s="19" t="n">
        <x:v>-22000</x:v>
      </x:c>
      <x:c r="G31" s="19" t="n">
        <x:f>D31-F31</x:f>
        <x:v>15000</x:v>
      </x:c>
      <x:c r="H31" s="19" t="n">
        <x:v>41000</x:v>
      </x:c>
      <x:c r="I31" s="19" t="n">
        <x:v>0</x:v>
      </x:c>
      <x:c r="J31" s="19" t="n">
        <x:v>0</x:v>
      </x:c>
      <x:c r="K31" s="19" t="n">
        <x:v>63000</x:v>
      </x:c>
      <x:c r="L31" s="19" t="n">
        <x:v>67000</x:v>
      </x:c>
      <x:c r="M31" s="19" t="n">
        <x:v>82000</x:v>
      </x:c>
      <x:c r="N31" s="20" t="n">
        <x:v>5</x:v>
      </x:c>
      <x:c r="O31" s="20" t="n">
        <x:v>5</x:v>
      </x:c>
      <x:c r="P31" s="20" t="n">
        <x:v>11</x:v>
      </x:c>
      <x:c r="Q31" s="20" t="n">
        <x:v>5</x:v>
      </x:c>
      <x:c r="R31" s="20" t="n">
        <x:v>20</x:v>
      </x:c>
      <x:c r="S31" s="21" t="n">
        <x:f>13625/60</x:f>
        <x:v>227.08333333333334</x:v>
      </x:c>
      <x:c r="T31" s="21" t="n">
        <x:f>0/60</x:f>
        <x:v>0</x:v>
      </x:c>
      <x:c r="U31" s="21" t="n">
        <x:f>0/60</x:f>
        <x:v>0</x:v>
      </x:c>
      <x:c r="V31" s="21" t="n">
        <x:f>0/60</x:f>
        <x:v>0</x:v>
      </x:c>
      <x:c r="W31" s="20" t="n">
        <x:v>0</x:v>
      </x:c>
      <x:c r="X31" s="20" t="n">
        <x:v>0</x:v>
      </x:c>
      <x:c r="Y31" s="20" t="n">
        <x:v>0</x:v>
      </x:c>
      <x:c r="Z31" s="20" t="n">
        <x:v>0</x:v>
      </x:c>
    </x:row>
    <x:row r="32" ht="23" customHeight="1">
      <x:c r="A32" s="26" t="str">
        <x:v>25夜累計／最大</x:v>
      </x:c>
      <x:c r="B32" s="27" t="n">
        <x:f>SUM(B7:B31)</x:f>
        <x:v>2771000</x:v>
      </x:c>
      <x:c r="C32" s="27" t="n">
        <x:f>SUM(C7:C31)</x:f>
        <x:v>1772000</x:v>
      </x:c>
      <x:c r="D32" s="27" t="n">
        <x:f>B32-C32</x:f>
        <x:v>999000</x:v>
      </x:c>
      <x:c r="E32" s="27" t="n">
        <x:f>E31</x:f>
        <x:v>999000</x:v>
      </x:c>
      <x:c r="F32" s="27" t="n">
        <x:f>SUM(F7:F31)</x:f>
        <x:v>-144000</x:v>
      </x:c>
      <x:c r="G32" s="27" t="n">
        <x:f>SUM(G7:G31)</x:f>
        <x:v>1143000</x:v>
      </x:c>
      <x:c r="H32" s="27" t="n">
        <x:f>SUM(H7:H31)</x:f>
        <x:v>494000</x:v>
      </x:c>
      <x:c r="I32" s="27" t="n">
        <x:f>SUM(I7:I31)</x:f>
        <x:v>0</x:v>
      </x:c>
      <x:c r="J32" s="27" t="n">
        <x:f>SUM(J7:J31)</x:f>
        <x:v>80000</x:v>
      </x:c>
      <x:c r="K32" s="27" t="n">
        <x:f>SUM(K7:K31)</x:f>
        <x:v>718000</x:v>
      </x:c>
      <x:c r="L32" s="27" t="n">
        <x:f>MAX(L7:L31)</x:f>
        <x:v>280000</x:v>
      </x:c>
      <x:c r="M32" s="27" t="n">
        <x:f>MAX(M7:M31)</x:f>
        <x:v>310000</x:v>
      </x:c>
      <x:c r="N32" s="28" t="n">
        <x:f>MAX(N7:N31)</x:f>
        <x:v>8</x:v>
      </x:c>
      <x:c r="O32" s="28" t="n">
        <x:f>MAX(O7:O31)</x:f>
        <x:v>10</x:v>
      </x:c>
      <x:c r="P32" s="28" t="n">
        <x:f>SUM(P7:P31)</x:f>
        <x:v>172</x:v>
      </x:c>
      <x:c r="Q32" s="28" t="n">
        <x:f>SUM(Q7:Q31)</x:f>
        <x:v>38</x:v>
      </x:c>
      <x:c r="R32" s="28" t="n">
        <x:f>SUM(R7:R31)</x:f>
        <x:v>401</x:v>
      </x:c>
      <x:c r="S32" s="29" t="n">
        <x:f>SUM(S7:S31)</x:f>
        <x:v>1502.4166666666667</x:v>
      </x:c>
      <x:c r="T32" s="29" t="n">
        <x:f>SUM(T7:T31)</x:f>
        <x:v>73.85</x:v>
      </x:c>
      <x:c r="U32" s="29" t="n">
        <x:f>SUM(U7:U31)</x:f>
        <x:v>0</x:v>
      </x:c>
      <x:c r="V32" s="29" t="n">
        <x:f>SUM(V7:V31)</x:f>
        <x:v>0</x:v>
      </x:c>
      <x:c r="W32" s="28" t="n">
        <x:f>SUM(W7:W31)</x:f>
        <x:v>0</x:v>
      </x:c>
      <x:c r="X32" s="28" t="n">
        <x:f>SUM(X7:X31)</x:f>
        <x:v>0</x:v>
      </x:c>
      <x:c r="Y32" s="28" t="n">
        <x:f>SUM(Y7:Y31)</x:f>
        <x:v>0</x:v>
      </x:c>
      <x:c r="Z32" s="28" t="n">
        <x:f>SUM(Z7:Z31)</x:f>
        <x:v>0</x:v>
      </x:c>
    </x:row>
  </x:sheetData>
  <x:conditionalFormatting sqref="B7:M32">
    <x:cfRule type="cellIs" dxfId="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83020e7e0c640e9"/>
  </x:tableParts>
</x:worksheet>
</file>

<file path=xl/worksheets/sheet6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3" customHeight="1">
      <x:c r="A2" s="4" t="str">
        <x:v>P03　全夜間の利益・損失・収支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3" ht="23" customHeight="1">
      <x:c r="A3" s="6" t="str">
        <x:v>日経mini・片方向上限10枚・手数料0・次正常ラージ気配代理。2026/09/21〜10/23の完了25夜。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3" customHeight="1">
      <x:c r="A4" s="6" t="str">
        <x:v>利益・損失は新規実約定IDごとの全返済収支で分類。旧親単位の利益損失とは異なります。未測定は空欄。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3" customHeight="1">
      <x:c r="A5" s="6" t="str">
        <x:v>前半・利益160ptから80pt追尾。P：新手法は米国開始15分前まで、後半は保存S04。含み損・DD・保有時間・返済内訳は前半だけ。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4" customHeight="1">
      <x:c r="A6" s="15" t="str">
        <x:v>セッション</x:v>
      </x:c>
      <x:c r="B6" s="16" t="str">
        <x:v>利益（円）</x:v>
      </x:c>
      <x:c r="C6" s="16" t="str">
        <x:v>損失（円）</x:v>
      </x:c>
      <x:c r="D6" s="16" t="str">
        <x:v>全夜収支（円）</x:v>
      </x:c>
      <x:c r="E6" s="16" t="str">
        <x:v>累計（円）</x:v>
      </x:c>
      <x:c r="F6" s="16" t="str">
        <x:v>対象区間収支</x:v>
      </x:c>
      <x:c r="G6" s="16" t="str">
        <x:v>保存後半収支</x:v>
      </x:c>
      <x:c r="H6" s="16" t="str">
        <x:v>利益追尾の利益</x:v>
      </x:c>
      <x:c r="I6" s="16" t="str">
        <x:v>利益追尾の損失</x:v>
      </x:c>
      <x:c r="J6" s="16" t="str">
        <x:v>境界清算の利益</x:v>
      </x:c>
      <x:c r="K6" s="16" t="str">
        <x:v>境界清算の損失</x:v>
      </x:c>
      <x:c r="L6" s="16" t="str">
        <x:v>最大含み損（円）</x:v>
      </x:c>
      <x:c r="M6" s="16" t="str">
        <x:v>対象区間DD</x:v>
      </x:c>
      <x:c r="N6" s="16" t="str">
        <x:v>最大買い枚数</x:v>
      </x:c>
      <x:c r="O6" s="16" t="str">
        <x:v>最大売り枚数</x:v>
      </x:c>
      <x:c r="P6" s="16" t="str">
        <x:v>全夜新規件数</x:v>
      </x:c>
      <x:c r="Q6" s="16" t="str">
        <x:v>対象区間新規</x:v>
      </x:c>
      <x:c r="R6" s="16" t="str">
        <x:v>全新規枚数</x:v>
      </x:c>
      <x:c r="S6" s="16" t="str">
        <x:v>保有（分）</x:v>
      </x:c>
      <x:c r="T6" s="16" t="str">
        <x:v>両建て（分）</x:v>
      </x:c>
      <x:c r="U6" s="16" t="str">
        <x:v>買い上限（分）</x:v>
      </x:c>
      <x:c r="V6" s="16" t="str">
        <x:v>売り上限（分）</x:v>
      </x:c>
      <x:c r="W6" s="16" t="str">
        <x:v>上限拒否・縮小件数</x:v>
      </x:c>
      <x:c r="X6" s="16" t="str">
        <x:v>通知全拒否件数</x:v>
      </x:c>
      <x:c r="Y6" s="16" t="str">
        <x:v>実再参加件数</x:v>
      </x:c>
      <x:c r="Z6" s="17" t="str">
        <x:v>判断利益→実損失</x:v>
      </x:c>
    </x:row>
    <x:row r="7" ht="23" customHeight="1">
      <x:c r="A7" s="2" t="str">
        <x:v>2026-09-21_Night</x:v>
      </x:c>
      <x:c r="B7" s="19" t="n">
        <x:v>0</x:v>
      </x:c>
      <x:c r="C7" s="19" t="n">
        <x:v>45000</x:v>
      </x:c>
      <x:c r="D7" s="19" t="n">
        <x:f>B7-C7</x:f>
        <x:v>-45000</x:v>
      </x:c>
      <x:c r="E7" s="19" t="n">
        <x:f>D7</x:f>
        <x:v>-45000</x:v>
      </x:c>
      <x:c r="F7" s="19" t="n">
        <x:v>0</x:v>
      </x:c>
      <x:c r="G7" s="19" t="n">
        <x:f>D7-F7</x:f>
        <x:v>-45000</x:v>
      </x:c>
      <x:c r="H7" s="19" t="n">
        <x:v>0</x:v>
      </x:c>
      <x:c r="I7" s="19" t="n">
        <x:v>0</x:v>
      </x:c>
      <x:c r="J7" s="19" t="n">
        <x:v>0</x:v>
      </x:c>
      <x:c r="K7" s="19" t="n">
        <x:v>0</x:v>
      </x:c>
      <x:c r="L7" s="19" t="n">
        <x:v>0</x:v>
      </x:c>
      <x:c r="M7" s="19" t="n">
        <x:v>0</x:v>
      </x:c>
      <x:c r="N7" s="20" t="n">
        <x:v>5</x:v>
      </x:c>
      <x:c r="O7" s="20" t="n">
        <x:v>0</x:v>
      </x:c>
      <x:c r="P7" s="20" t="n">
        <x:v>1</x:v>
      </x:c>
      <x:c r="Q7" s="20" t="n">
        <x:v>0</x:v>
      </x:c>
      <x:c r="R7" s="20" t="n">
        <x:v>5</x:v>
      </x:c>
      <x:c r="S7" s="21" t="n">
        <x:f>0/60</x:f>
        <x:v>0</x:v>
      </x:c>
      <x:c r="T7" s="21" t="n">
        <x:f>0/60</x:f>
        <x:v>0</x:v>
      </x:c>
      <x:c r="U7" s="21" t="n">
        <x:f>0/60</x:f>
        <x:v>0</x:v>
      </x:c>
      <x:c r="V7" s="21" t="n">
        <x:f>0/60</x:f>
        <x:v>0</x:v>
      </x:c>
      <x:c r="W7" s="20" t="n">
        <x:v>0</x:v>
      </x:c>
      <x:c r="X7" s="20" t="n">
        <x:v>0</x:v>
      </x:c>
      <x:c r="Y7" s="20" t="n">
        <x:v>0</x:v>
      </x:c>
      <x:c r="Z7" s="20" t="n">
        <x:v>0</x:v>
      </x:c>
    </x:row>
    <x:row r="8" ht="23" customHeight="1">
      <x:c r="A8" s="2" t="str">
        <x:v>2026-09-22_Night</x:v>
      </x:c>
      <x:c r="B8" s="19" t="n">
        <x:v>74000</x:v>
      </x:c>
      <x:c r="C8" s="19" t="n">
        <x:v>0</x:v>
      </x:c>
      <x:c r="D8" s="19" t="n">
        <x:f>B8-C8</x:f>
        <x:v>74000</x:v>
      </x:c>
      <x:c r="E8" s="19" t="n">
        <x:f>E7+D8</x:f>
        <x:v>29000</x:v>
      </x:c>
      <x:c r="F8" s="19" t="n">
        <x:v>50000</x:v>
      </x:c>
      <x:c r="G8" s="19" t="n">
        <x:f>D8-F8</x:f>
        <x:v>24000</x:v>
      </x:c>
      <x:c r="H8" s="19" t="n">
        <x:v>50000</x:v>
      </x:c>
      <x:c r="I8" s="19" t="n">
        <x:v>0</x:v>
      </x:c>
      <x:c r="J8" s="19" t="n">
        <x:v>0</x:v>
      </x:c>
      <x:c r="K8" s="19" t="n">
        <x:v>0</x:v>
      </x:c>
      <x:c r="L8" s="19" t="n">
        <x:v>45000</x:v>
      </x:c>
      <x:c r="M8" s="19" t="n">
        <x:v>55000</x:v>
      </x:c>
      <x:c r="N8" s="20" t="n">
        <x:v>5</x:v>
      </x:c>
      <x:c r="O8" s="20" t="n">
        <x:v>0</x:v>
      </x:c>
      <x:c r="P8" s="20" t="n">
        <x:v>2</x:v>
      </x:c>
      <x:c r="Q8" s="20" t="n">
        <x:v>1</x:v>
      </x:c>
      <x:c r="R8" s="20" t="n">
        <x:v>10</x:v>
      </x:c>
      <x:c r="S8" s="21" t="n">
        <x:f>2513/60</x:f>
        <x:v>41.88333333333333</x:v>
      </x:c>
      <x:c r="T8" s="21" t="n">
        <x:f>0/60</x:f>
        <x:v>0</x:v>
      </x:c>
      <x:c r="U8" s="21" t="n">
        <x:f>0/60</x:f>
        <x:v>0</x:v>
      </x:c>
      <x:c r="V8" s="21" t="n">
        <x:f>0/60</x:f>
        <x:v>0</x:v>
      </x:c>
      <x:c r="W8" s="20" t="n">
        <x:v>0</x:v>
      </x:c>
      <x:c r="X8" s="20" t="n">
        <x:v>0</x:v>
      </x:c>
      <x:c r="Y8" s="20" t="n">
        <x:v>0</x:v>
      </x:c>
      <x:c r="Z8" s="20" t="n">
        <x:v>0</x:v>
      </x:c>
    </x:row>
    <x:row r="9" ht="23" customHeight="1">
      <x:c r="A9" s="2" t="str">
        <x:v>2026-09-23_Night</x:v>
      </x:c>
      <x:c r="B9" s="19" t="n">
        <x:v>5000</x:v>
      </x:c>
      <x:c r="C9" s="19" t="n">
        <x:v>41000</x:v>
      </x:c>
      <x:c r="D9" s="19" t="n">
        <x:f>B9-C9</x:f>
        <x:v>-36000</x:v>
      </x:c>
      <x:c r="E9" s="19" t="n">
        <x:f>E8+D9</x:f>
        <x:v>-7000</x:v>
      </x:c>
      <x:c r="F9" s="19" t="n">
        <x:v>0</x:v>
      </x:c>
      <x:c r="G9" s="19" t="n">
        <x:f>D9-F9</x:f>
        <x:v>-36000</x:v>
      </x:c>
      <x:c r="H9" s="19" t="n">
        <x:v>0</x:v>
      </x:c>
      <x:c r="I9" s="19" t="n">
        <x:v>0</x:v>
      </x:c>
      <x:c r="J9" s="19" t="n">
        <x:v>0</x:v>
      </x:c>
      <x:c r="K9" s="19" t="n">
        <x:v>0</x:v>
      </x:c>
      <x:c r="L9" s="19" t="n">
        <x:v>0</x:v>
      </x:c>
      <x:c r="M9" s="19" t="n">
        <x:v>0</x:v>
      </x:c>
      <x:c r="N9" s="20" t="n">
        <x:v>2</x:v>
      </x:c>
      <x:c r="O9" s="20" t="n">
        <x:v>5</x:v>
      </x:c>
      <x:c r="P9" s="20" t="n">
        <x:v>3</x:v>
      </x:c>
      <x:c r="Q9" s="20" t="n">
        <x:v>0</x:v>
      </x:c>
      <x:c r="R9" s="20" t="n">
        <x:v>7</x:v>
      </x:c>
      <x:c r="S9" s="21" t="n">
        <x:f>0/60</x:f>
        <x:v>0</x:v>
      </x:c>
      <x:c r="T9" s="21" t="n">
        <x:f>0/60</x:f>
        <x:v>0</x:v>
      </x:c>
      <x:c r="U9" s="21" t="n">
        <x:f>0/60</x:f>
        <x:v>0</x:v>
      </x:c>
      <x:c r="V9" s="21" t="n">
        <x:f>0/60</x:f>
        <x:v>0</x:v>
      </x:c>
      <x:c r="W9" s="20" t="n">
        <x:v>0</x:v>
      </x:c>
      <x:c r="X9" s="20" t="n">
        <x:v>0</x:v>
      </x:c>
      <x:c r="Y9" s="20" t="n">
        <x:v>0</x:v>
      </x:c>
      <x:c r="Z9" s="20" t="n">
        <x:v>0</x:v>
      </x:c>
    </x:row>
    <x:row r="10" ht="23" customHeight="1">
      <x:c r="A10" s="2" t="str">
        <x:v>2026-09-24_Night</x:v>
      </x:c>
      <x:c r="B10" s="19" t="n">
        <x:v>105000</x:v>
      </x:c>
      <x:c r="C10" s="19" t="n">
        <x:v>0</x:v>
      </x:c>
      <x:c r="D10" s="19" t="n">
        <x:f>B10-C10</x:f>
        <x:v>105000</x:v>
      </x:c>
      <x:c r="E10" s="19" t="n">
        <x:f>E9+D10</x:f>
        <x:v>98000</x:v>
      </x:c>
      <x:c r="F10" s="19" t="n">
        <x:v>85000</x:v>
      </x:c>
      <x:c r="G10" s="19" t="n">
        <x:f>D10-F10</x:f>
        <x:v>20000</x:v>
      </x:c>
      <x:c r="H10" s="19" t="n">
        <x:v>0</x:v>
      </x:c>
      <x:c r="I10" s="19" t="n">
        <x:v>0</x:v>
      </x:c>
      <x:c r="J10" s="19" t="n">
        <x:v>85000</x:v>
      </x:c>
      <x:c r="K10" s="19" t="n">
        <x:v>0</x:v>
      </x:c>
      <x:c r="L10" s="19" t="n">
        <x:v>85000</x:v>
      </x:c>
      <x:c r="M10" s="19" t="n">
        <x:v>115000</x:v>
      </x:c>
      <x:c r="N10" s="20" t="n">
        <x:v>10</x:v>
      </x:c>
      <x:c r="O10" s="20" t="n">
        <x:v>2</x:v>
      </x:c>
      <x:c r="P10" s="20" t="n">
        <x:v>4</x:v>
      </x:c>
      <x:c r="Q10" s="20" t="n">
        <x:v>2</x:v>
      </x:c>
      <x:c r="R10" s="20" t="n">
        <x:v>12</x:v>
      </x:c>
      <x:c r="S10" s="21" t="n">
        <x:f>8644/60</x:f>
        <x:v>144.06666666666666</x:v>
      </x:c>
      <x:c r="T10" s="21" t="n">
        <x:f>0/60</x:f>
        <x:v>0</x:v>
      </x:c>
      <x:c r="U10" s="21" t="n">
        <x:f>1083/60</x:f>
        <x:v>18.05</x:v>
      </x:c>
      <x:c r="V10" s="21" t="n">
        <x:f>0/60</x:f>
        <x:v>0</x:v>
      </x:c>
      <x:c r="W10" s="20" t="n">
        <x:v>0</x:v>
      </x:c>
      <x:c r="X10" s="20" t="n">
        <x:v>0</x:v>
      </x:c>
      <x:c r="Y10" s="20" t="n">
        <x:v>0</x:v>
      </x:c>
      <x:c r="Z10" s="20" t="n">
        <x:v>0</x:v>
      </x:c>
    </x:row>
    <x:row r="11" ht="23" customHeight="1">
      <x:c r="A11" s="2" t="str">
        <x:v>2026-09-25_Night</x:v>
      </x:c>
      <x:c r="B11" s="19" t="n">
        <x:v>17000</x:v>
      </x:c>
      <x:c r="C11" s="19" t="n">
        <x:v>16000</x:v>
      </x:c>
      <x:c r="D11" s="19" t="n">
        <x:f>B11-C11</x:f>
        <x:v>1000</x:v>
      </x:c>
      <x:c r="E11" s="19" t="n">
        <x:f>E10+D11</x:f>
        <x:v>99000</x:v>
      </x:c>
      <x:c r="F11" s="19" t="n">
        <x:v>0</x:v>
      </x:c>
      <x:c r="G11" s="19" t="n">
        <x:f>D11-F11</x:f>
        <x:v>1000</x:v>
      </x:c>
      <x:c r="H11" s="19" t="n">
        <x:v>0</x:v>
      </x:c>
      <x:c r="I11" s="19" t="n">
        <x:v>0</x:v>
      </x:c>
      <x:c r="J11" s="19" t="n">
        <x:v>0</x:v>
      </x:c>
      <x:c r="K11" s="19" t="n">
        <x:v>0</x:v>
      </x:c>
      <x:c r="L11" s="19" t="n">
        <x:v>0</x:v>
      </x:c>
      <x:c r="M11" s="19" t="n">
        <x:v>0</x:v>
      </x:c>
      <x:c r="N11" s="20" t="n">
        <x:v>1</x:v>
      </x:c>
      <x:c r="O11" s="20" t="n">
        <x:v>5</x:v>
      </x:c>
      <x:c r="P11" s="20" t="n">
        <x:v>2</x:v>
      </x:c>
      <x:c r="Q11" s="20" t="n">
        <x:v>0</x:v>
      </x:c>
      <x:c r="R11" s="20" t="n">
        <x:v>6</x:v>
      </x:c>
      <x:c r="S11" s="21" t="n">
        <x:f>0/60</x:f>
        <x:v>0</x:v>
      </x:c>
      <x:c r="T11" s="21" t="n">
        <x:f>0/60</x:f>
        <x:v>0</x:v>
      </x:c>
      <x:c r="U11" s="21" t="n">
        <x:f>0/60</x:f>
        <x:v>0</x:v>
      </x:c>
      <x:c r="V11" s="21" t="n">
        <x:f>0/60</x:f>
        <x:v>0</x:v>
      </x:c>
      <x:c r="W11" s="20" t="n">
        <x:v>0</x:v>
      </x:c>
      <x:c r="X11" s="20" t="n">
        <x:v>0</x:v>
      </x:c>
      <x:c r="Y11" s="20" t="n">
        <x:v>0</x:v>
      </x:c>
      <x:c r="Z11" s="20" t="n">
        <x:v>0</x:v>
      </x:c>
    </x:row>
    <x:row r="12" ht="23" customHeight="1">
      <x:c r="A12" s="2" t="str">
        <x:v>2026-09-28_Night</x:v>
      </x:c>
      <x:c r="B12" s="19" t="n">
        <x:v>21000</x:v>
      </x:c>
      <x:c r="C12" s="19" t="n">
        <x:v>39000</x:v>
      </x:c>
      <x:c r="D12" s="19" t="n">
        <x:f>B12-C12</x:f>
        <x:v>-18000</x:v>
      </x:c>
      <x:c r="E12" s="19" t="n">
        <x:f>E11+D12</x:f>
        <x:v>81000</x:v>
      </x:c>
      <x:c r="F12" s="19" t="n">
        <x:v>11000</x:v>
      </x:c>
      <x:c r="G12" s="19" t="n">
        <x:f>D12-F12</x:f>
        <x:v>-29000</x:v>
      </x:c>
      <x:c r="H12" s="19" t="n">
        <x:v>11000</x:v>
      </x:c>
      <x:c r="I12" s="19" t="n">
        <x:v>0</x:v>
      </x:c>
      <x:c r="J12" s="19" t="n">
        <x:v>0</x:v>
      </x:c>
      <x:c r="K12" s="19" t="n">
        <x:v>0</x:v>
      </x:c>
      <x:c r="L12" s="19" t="n">
        <x:v>6000</x:v>
      </x:c>
      <x:c r="M12" s="19" t="n">
        <x:v>11000</x:v>
      </x:c>
      <x:c r="N12" s="20" t="n">
        <x:v>3</x:v>
      </x:c>
      <x:c r="O12" s="20" t="n">
        <x:v>3</x:v>
      </x:c>
      <x:c r="P12" s="20" t="n">
        <x:v>5</x:v>
      </x:c>
      <x:c r="Q12" s="20" t="n">
        <x:v>1</x:v>
      </x:c>
      <x:c r="R12" s="20" t="n">
        <x:v>7</x:v>
      </x:c>
      <x:c r="S12" s="21" t="n">
        <x:f>2705/60</x:f>
        <x:v>45.083333333333336</x:v>
      </x:c>
      <x:c r="T12" s="21" t="n">
        <x:f>0/60</x:f>
        <x:v>0</x:v>
      </x:c>
      <x:c r="U12" s="21" t="n">
        <x:f>0/60</x:f>
        <x:v>0</x:v>
      </x:c>
      <x:c r="V12" s="21" t="n">
        <x:f>0/60</x:f>
        <x:v>0</x:v>
      </x:c>
      <x:c r="W12" s="20" t="n">
        <x:v>0</x:v>
      </x:c>
      <x:c r="X12" s="20" t="n">
        <x:v>0</x:v>
      </x:c>
      <x:c r="Y12" s="20" t="n">
        <x:v>0</x:v>
      </x:c>
      <x:c r="Z12" s="20" t="n">
        <x:v>0</x:v>
      </x:c>
    </x:row>
    <x:row r="13" ht="23" customHeight="1">
      <x:c r="A13" s="2" t="str">
        <x:v>2026-09-29_Night</x:v>
      </x:c>
      <x:c r="B13" s="19" t="n">
        <x:v>90000</x:v>
      </x:c>
      <x:c r="C13" s="19" t="n">
        <x:v>25000</x:v>
      </x:c>
      <x:c r="D13" s="19" t="n">
        <x:f>B13-C13</x:f>
        <x:v>65000</x:v>
      </x:c>
      <x:c r="E13" s="19" t="n">
        <x:f>E12+D13</x:f>
        <x:v>146000</x:v>
      </x:c>
      <x:c r="F13" s="19" t="n">
        <x:v>0</x:v>
      </x:c>
      <x:c r="G13" s="19" t="n">
        <x:f>D13-F13</x:f>
        <x:v>65000</x:v>
      </x:c>
      <x:c r="H13" s="19" t="n">
        <x:v>0</x:v>
      </x:c>
      <x:c r="I13" s="19" t="n">
        <x:v>0</x:v>
      </x:c>
      <x:c r="J13" s="19" t="n">
        <x:v>0</x:v>
      </x:c>
      <x:c r="K13" s="19" t="n">
        <x:v>0</x:v>
      </x:c>
      <x:c r="L13" s="19" t="n">
        <x:v>0</x:v>
      </x:c>
      <x:c r="M13" s="19" t="n">
        <x:v>0</x:v>
      </x:c>
      <x:c r="N13" s="20" t="n">
        <x:v>5</x:v>
      </x:c>
      <x:c r="O13" s="20" t="n">
        <x:v>5</x:v>
      </x:c>
      <x:c r="P13" s="20" t="n">
        <x:v>6</x:v>
      </x:c>
      <x:c r="Q13" s="20" t="n">
        <x:v>0</x:v>
      </x:c>
      <x:c r="R13" s="20" t="n">
        <x:v>14</x:v>
      </x:c>
      <x:c r="S13" s="21" t="n">
        <x:f>0/60</x:f>
        <x:v>0</x:v>
      </x:c>
      <x:c r="T13" s="21" t="n">
        <x:f>0/60</x:f>
        <x:v>0</x:v>
      </x:c>
      <x:c r="U13" s="21" t="n">
        <x:f>0/60</x:f>
        <x:v>0</x:v>
      </x:c>
      <x:c r="V13" s="21" t="n">
        <x:f>0/60</x:f>
        <x:v>0</x:v>
      </x:c>
      <x:c r="W13" s="20" t="n">
        <x:v>0</x:v>
      </x:c>
      <x:c r="X13" s="20" t="n">
        <x:v>0</x:v>
      </x:c>
      <x:c r="Y13" s="20" t="n">
        <x:v>0</x:v>
      </x:c>
      <x:c r="Z13" s="20" t="n">
        <x:v>0</x:v>
      </x:c>
    </x:row>
    <x:row r="14" ht="23" customHeight="1">
      <x:c r="A14" s="2" t="str">
        <x:v>2026-09-30_Night</x:v>
      </x:c>
      <x:c r="B14" s="19" t="n">
        <x:v>159000</x:v>
      </x:c>
      <x:c r="C14" s="19" t="n">
        <x:v>256000</x:v>
      </x:c>
      <x:c r="D14" s="19" t="n">
        <x:f>B14-C14</x:f>
        <x:v>-97000</x:v>
      </x:c>
      <x:c r="E14" s="19" t="n">
        <x:f>E13+D14</x:f>
        <x:v>49000</x:v>
      </x:c>
      <x:c r="F14" s="19" t="n">
        <x:v>-140000</x:v>
      </x:c>
      <x:c r="G14" s="19" t="n">
        <x:f>D14-F14</x:f>
        <x:v>43000</x:v>
      </x:c>
      <x:c r="H14" s="19" t="n">
        <x:v>110000</x:v>
      </x:c>
      <x:c r="I14" s="19" t="n">
        <x:v>0</x:v>
      </x:c>
      <x:c r="J14" s="19" t="n">
        <x:v>0</x:v>
      </x:c>
      <x:c r="K14" s="19" t="n">
        <x:v>250000</x:v>
      </x:c>
      <x:c r="L14" s="19" t="n">
        <x:v>330000</x:v>
      </x:c>
      <x:c r="M14" s="19" t="n">
        <x:v>275000</x:v>
      </x:c>
      <x:c r="N14" s="20" t="n">
        <x:v>7</x:v>
      </x:c>
      <x:c r="O14" s="20" t="n">
        <x:v>5</x:v>
      </x:c>
      <x:c r="P14" s="20" t="n">
        <x:v>6</x:v>
      </x:c>
      <x:c r="Q14" s="20" t="n">
        <x:v>3</x:v>
      </x:c>
      <x:c r="R14" s="20" t="n">
        <x:v>22</x:v>
      </x:c>
      <x:c r="S14" s="21" t="n">
        <x:f>7532/60</x:f>
        <x:v>125.53333333333333</x:v>
      </x:c>
      <x:c r="T14" s="21" t="n">
        <x:f>3256/60</x:f>
        <x:v>54.266666666666666</x:v>
      </x:c>
      <x:c r="U14" s="21" t="n">
        <x:f>0/60</x:f>
        <x:v>0</x:v>
      </x:c>
      <x:c r="V14" s="21" t="n">
        <x:f>0/60</x:f>
        <x:v>0</x:v>
      </x:c>
      <x:c r="W14" s="20" t="n">
        <x:v>0</x:v>
      </x:c>
      <x:c r="X14" s="20" t="n">
        <x:v>0</x:v>
      </x:c>
      <x:c r="Y14" s="20" t="n">
        <x:v>0</x:v>
      </x:c>
      <x:c r="Z14" s="20" t="n">
        <x:v>0</x:v>
      </x:c>
    </x:row>
    <x:row r="15" ht="23" customHeight="1">
      <x:c r="A15" s="2" t="str">
        <x:v>2026-10-01_Night</x:v>
      </x:c>
      <x:c r="B15" s="19" t="n">
        <x:v>397000</x:v>
      </x:c>
      <x:c r="C15" s="19" t="n">
        <x:v>212000</x:v>
      </x:c>
      <x:c r="D15" s="19" t="n">
        <x:f>B15-C15</x:f>
        <x:v>185000</x:v>
      </x:c>
      <x:c r="E15" s="19" t="n">
        <x:f>E14+D15</x:f>
        <x:v>234000</x:v>
      </x:c>
      <x:c r="F15" s="19" t="n">
        <x:v>87000</x:v>
      </x:c>
      <x:c r="G15" s="19" t="n">
        <x:f>D15-F15</x:f>
        <x:v>98000</x:v>
      </x:c>
      <x:c r="H15" s="19" t="n">
        <x:v>178000</x:v>
      </x:c>
      <x:c r="I15" s="19" t="n">
        <x:v>0</x:v>
      </x:c>
      <x:c r="J15" s="19" t="n">
        <x:v>29000</x:v>
      </x:c>
      <x:c r="K15" s="19" t="n">
        <x:v>120000</x:v>
      </x:c>
      <x:c r="L15" s="19" t="n">
        <x:v>117000</x:v>
      </x:c>
      <x:c r="M15" s="19" t="n">
        <x:v>119000</x:v>
      </x:c>
      <x:c r="N15" s="20" t="n">
        <x:v>5</x:v>
      </x:c>
      <x:c r="O15" s="20" t="n">
        <x:v>8</x:v>
      </x:c>
      <x:c r="P15" s="20" t="n">
        <x:v>16</x:v>
      </x:c>
      <x:c r="Q15" s="20" t="n">
        <x:v>8</x:v>
      </x:c>
      <x:c r="R15" s="20" t="n">
        <x:v>36</x:v>
      </x:c>
      <x:c r="S15" s="21" t="n">
        <x:f>14218/60</x:f>
        <x:v>236.96666666666667</x:v>
      </x:c>
      <x:c r="T15" s="21" t="n">
        <x:f>8414/60</x:f>
        <x:v>140.23333333333332</x:v>
      </x:c>
      <x:c r="U15" s="21" t="n">
        <x:f>0/60</x:f>
        <x:v>0</x:v>
      </x:c>
      <x:c r="V15" s="21" t="n">
        <x:f>0/60</x:f>
        <x:v>0</x:v>
      </x:c>
      <x:c r="W15" s="20" t="n">
        <x:v>0</x:v>
      </x:c>
      <x:c r="X15" s="20" t="n">
        <x:v>0</x:v>
      </x:c>
      <x:c r="Y15" s="20" t="n">
        <x:v>0</x:v>
      </x:c>
      <x:c r="Z15" s="20" t="n">
        <x:v>0</x:v>
      </x:c>
    </x:row>
    <x:row r="16" ht="23" customHeight="1">
      <x:c r="A16" s="2" t="str">
        <x:v>2026-10-02_Night</x:v>
      </x:c>
      <x:c r="B16" s="19" t="n">
        <x:v>313000</x:v>
      </x:c>
      <x:c r="C16" s="19" t="n">
        <x:v>57000</x:v>
      </x:c>
      <x:c r="D16" s="19" t="n">
        <x:f>B16-C16</x:f>
        <x:v>256000</x:v>
      </x:c>
      <x:c r="E16" s="19" t="n">
        <x:f>E15+D16</x:f>
        <x:v>490000</x:v>
      </x:c>
      <x:c r="F16" s="19" t="n">
        <x:v>0</x:v>
      </x:c>
      <x:c r="G16" s="19" t="n">
        <x:f>D16-F16</x:f>
        <x:v>256000</x:v>
      </x:c>
      <x:c r="H16" s="19" t="n">
        <x:v>0</x:v>
      </x:c>
      <x:c r="I16" s="19" t="n">
        <x:v>0</x:v>
      </x:c>
      <x:c r="J16" s="19" t="n">
        <x:v>0</x:v>
      </x:c>
      <x:c r="K16" s="19" t="n">
        <x:v>0</x:v>
      </x:c>
      <x:c r="L16" s="19" t="n">
        <x:v>0</x:v>
      </x:c>
      <x:c r="M16" s="19" t="n">
        <x:v>0</x:v>
      </x:c>
      <x:c r="N16" s="20" t="n">
        <x:v>7</x:v>
      </x:c>
      <x:c r="O16" s="20" t="n">
        <x:v>10</x:v>
      </x:c>
      <x:c r="P16" s="20" t="n">
        <x:v>15</x:v>
      </x:c>
      <x:c r="Q16" s="20" t="n">
        <x:v>0</x:v>
      </x:c>
      <x:c r="R16" s="20" t="n">
        <x:v>28</x:v>
      </x:c>
      <x:c r="S16" s="21" t="n">
        <x:f>0/60</x:f>
        <x:v>0</x:v>
      </x:c>
      <x:c r="T16" s="21" t="n">
        <x:f>0/60</x:f>
        <x:v>0</x:v>
      </x:c>
      <x:c r="U16" s="21" t="n">
        <x:f>0/60</x:f>
        <x:v>0</x:v>
      </x:c>
      <x:c r="V16" s="21" t="n">
        <x:f>0/60</x:f>
        <x:v>0</x:v>
      </x:c>
      <x:c r="W16" s="20" t="n">
        <x:v>0</x:v>
      </x:c>
      <x:c r="X16" s="20" t="n">
        <x:v>0</x:v>
      </x:c>
      <x:c r="Y16" s="20" t="n">
        <x:v>0</x:v>
      </x:c>
      <x:c r="Z16" s="20" t="n">
        <x:v>0</x:v>
      </x:c>
    </x:row>
    <x:row r="17" ht="23" customHeight="1">
      <x:c r="A17" s="2" t="str">
        <x:v>2026-10-05_Night</x:v>
      </x:c>
      <x:c r="B17" s="19" t="n">
        <x:v>98000</x:v>
      </x:c>
      <x:c r="C17" s="19" t="n">
        <x:v>179000</x:v>
      </x:c>
      <x:c r="D17" s="19" t="n">
        <x:f>B17-C17</x:f>
        <x:v>-81000</x:v>
      </x:c>
      <x:c r="E17" s="19" t="n">
        <x:f>E16+D17</x:f>
        <x:v>409000</x:v>
      </x:c>
      <x:c r="F17" s="19" t="n">
        <x:v>-115000</x:v>
      </x:c>
      <x:c r="G17" s="19" t="n">
        <x:f>D17-F17</x:f>
        <x:v>34000</x:v>
      </x:c>
      <x:c r="H17" s="19" t="n">
        <x:v>0</x:v>
      </x:c>
      <x:c r="I17" s="19" t="n">
        <x:v>0</x:v>
      </x:c>
      <x:c r="J17" s="19" t="n">
        <x:v>0</x:v>
      </x:c>
      <x:c r="K17" s="19" t="n">
        <x:v>115000</x:v>
      </x:c>
      <x:c r="L17" s="19" t="n">
        <x:v>170000</x:v>
      </x:c>
      <x:c r="M17" s="19" t="n">
        <x:v>215000</x:v>
      </x:c>
      <x:c r="N17" s="20" t="n">
        <x:v>5</x:v>
      </x:c>
      <x:c r="O17" s="20" t="n">
        <x:v>5</x:v>
      </x:c>
      <x:c r="P17" s="20" t="n">
        <x:v>8</x:v>
      </x:c>
      <x:c r="Q17" s="20" t="n">
        <x:v>1</x:v>
      </x:c>
      <x:c r="R17" s="20" t="n">
        <x:v>19</x:v>
      </x:c>
      <x:c r="S17" s="21" t="n">
        <x:f>16247/60</x:f>
        <x:v>270.78333333333336</x:v>
      </x:c>
      <x:c r="T17" s="21" t="n">
        <x:f>0/60</x:f>
        <x:v>0</x:v>
      </x:c>
      <x:c r="U17" s="21" t="n">
        <x:f>0/60</x:f>
        <x:v>0</x:v>
      </x:c>
      <x:c r="V17" s="21" t="n">
        <x:f>0/60</x:f>
        <x:v>0</x:v>
      </x:c>
      <x:c r="W17" s="20" t="n">
        <x:v>0</x:v>
      </x:c>
      <x:c r="X17" s="20" t="n">
        <x:v>0</x:v>
      </x:c>
      <x:c r="Y17" s="20" t="n">
        <x:v>0</x:v>
      </x:c>
      <x:c r="Z17" s="20" t="n">
        <x:v>0</x:v>
      </x:c>
    </x:row>
    <x:row r="18" ht="23" customHeight="1">
      <x:c r="A18" s="2" t="str">
        <x:v>2026-10-06_Night</x:v>
      </x:c>
      <x:c r="B18" s="19" t="n">
        <x:v>33000</x:v>
      </x:c>
      <x:c r="C18" s="19" t="n">
        <x:v>43000</x:v>
      </x:c>
      <x:c r="D18" s="19" t="n">
        <x:f>B18-C18</x:f>
        <x:v>-10000</x:v>
      </x:c>
      <x:c r="E18" s="19" t="n">
        <x:f>E17+D18</x:f>
        <x:v>399000</x:v>
      </x:c>
      <x:c r="F18" s="19" t="n">
        <x:v>0</x:v>
      </x:c>
      <x:c r="G18" s="19" t="n">
        <x:f>D18-F18</x:f>
        <x:v>-10000</x:v>
      </x:c>
      <x:c r="H18" s="19" t="n">
        <x:v>0</x:v>
      </x:c>
      <x:c r="I18" s="19" t="n">
        <x:v>0</x:v>
      </x:c>
      <x:c r="J18" s="19" t="n">
        <x:v>0</x:v>
      </x:c>
      <x:c r="K18" s="19" t="n">
        <x:v>0</x:v>
      </x:c>
      <x:c r="L18" s="19" t="n">
        <x:v>0</x:v>
      </x:c>
      <x:c r="M18" s="19" t="n">
        <x:v>0</x:v>
      </x:c>
      <x:c r="N18" s="20" t="n">
        <x:v>0</x:v>
      </x:c>
      <x:c r="O18" s="20" t="n">
        <x:v>7</x:v>
      </x:c>
      <x:c r="P18" s="20" t="n">
        <x:v>4</x:v>
      </x:c>
      <x:c r="Q18" s="20" t="n">
        <x:v>0</x:v>
      </x:c>
      <x:c r="R18" s="20" t="n">
        <x:v>8</x:v>
      </x:c>
      <x:c r="S18" s="21" t="n">
        <x:f>0/60</x:f>
        <x:v>0</x:v>
      </x:c>
      <x:c r="T18" s="21" t="n">
        <x:f>0/60</x:f>
        <x:v>0</x:v>
      </x:c>
      <x:c r="U18" s="21" t="n">
        <x:f>0/60</x:f>
        <x:v>0</x:v>
      </x:c>
      <x:c r="V18" s="21" t="n">
        <x:f>0/60</x:f>
        <x:v>0</x:v>
      </x:c>
      <x:c r="W18" s="20" t="n">
        <x:v>0</x:v>
      </x:c>
      <x:c r="X18" s="20" t="n">
        <x:v>0</x:v>
      </x:c>
      <x:c r="Y18" s="20" t="n">
        <x:v>0</x:v>
      </x:c>
      <x:c r="Z18" s="20" t="n">
        <x:v>0</x:v>
      </x:c>
    </x:row>
    <x:row r="19" ht="23" customHeight="1">
      <x:c r="A19" s="2" t="str">
        <x:v>2026-10-07_Night</x:v>
      </x:c>
      <x:c r="B19" s="19" t="n">
        <x:v>105000</x:v>
      </x:c>
      <x:c r="C19" s="19" t="n">
        <x:v>67000</x:v>
      </x:c>
      <x:c r="D19" s="19" t="n">
        <x:f>B19-C19</x:f>
        <x:v>38000</x:v>
      </x:c>
      <x:c r="E19" s="19" t="n">
        <x:f>E18+D19</x:f>
        <x:v>437000</x:v>
      </x:c>
      <x:c r="F19" s="19" t="n">
        <x:v>60000</x:v>
      </x:c>
      <x:c r="G19" s="19" t="n">
        <x:f>D19-F19</x:f>
        <x:v>-22000</x:v>
      </x:c>
      <x:c r="H19" s="19" t="n">
        <x:v>105000</x:v>
      </x:c>
      <x:c r="I19" s="19" t="n">
        <x:v>0</x:v>
      </x:c>
      <x:c r="J19" s="19" t="n">
        <x:v>0</x:v>
      </x:c>
      <x:c r="K19" s="19" t="n">
        <x:v>45000</x:v>
      </x:c>
      <x:c r="L19" s="19" t="n">
        <x:v>49000</x:v>
      </x:c>
      <x:c r="M19" s="19" t="n">
        <x:v>89000</x:v>
      </x:c>
      <x:c r="N19" s="20" t="n">
        <x:v>2</x:v>
      </x:c>
      <x:c r="O19" s="20" t="n">
        <x:v>5</x:v>
      </x:c>
      <x:c r="P19" s="20" t="n">
        <x:v>5</x:v>
      </x:c>
      <x:c r="Q19" s="20" t="n">
        <x:v>3</x:v>
      </x:c>
      <x:c r="R19" s="20" t="n">
        <x:v>9</x:v>
      </x:c>
      <x:c r="S19" s="21" t="n">
        <x:f>11019/60</x:f>
        <x:v>183.65</x:v>
      </x:c>
      <x:c r="T19" s="21" t="n">
        <x:f>0/60</x:f>
        <x:v>0</x:v>
      </x:c>
      <x:c r="U19" s="21" t="n">
        <x:f>0/60</x:f>
        <x:v>0</x:v>
      </x:c>
      <x:c r="V19" s="21" t="n">
        <x:f>0/60</x:f>
        <x:v>0</x:v>
      </x:c>
      <x:c r="W19" s="20" t="n">
        <x:v>0</x:v>
      </x:c>
      <x:c r="X19" s="20" t="n">
        <x:v>0</x:v>
      </x:c>
      <x:c r="Y19" s="20" t="n">
        <x:v>0</x:v>
      </x:c>
      <x:c r="Z19" s="20" t="n">
        <x:v>0</x:v>
      </x:c>
    </x:row>
    <x:row r="20" ht="23" customHeight="1">
      <x:c r="A20" s="2" t="str">
        <x:v>2026-10-08_Night</x:v>
      </x:c>
      <x:c r="B20" s="19" t="n">
        <x:v>366000</x:v>
      </x:c>
      <x:c r="C20" s="19" t="n">
        <x:v>36000</x:v>
      </x:c>
      <x:c r="D20" s="19" t="n">
        <x:f>B20-C20</x:f>
        <x:v>330000</x:v>
      </x:c>
      <x:c r="E20" s="19" t="n">
        <x:f>E19+D20</x:f>
        <x:v>767000</x:v>
      </x:c>
      <x:c r="F20" s="19" t="n">
        <x:v>24000</x:v>
      </x:c>
      <x:c r="G20" s="19" t="n">
        <x:f>D20-F20</x:f>
        <x:v>306000</x:v>
      </x:c>
      <x:c r="H20" s="19" t="n">
        <x:v>24000</x:v>
      </x:c>
      <x:c r="I20" s="19" t="n">
        <x:v>0</x:v>
      </x:c>
      <x:c r="J20" s="19" t="n">
        <x:v>0</x:v>
      </x:c>
      <x:c r="K20" s="19" t="n">
        <x:v>0</x:v>
      </x:c>
      <x:c r="L20" s="19" t="n">
        <x:v>5000</x:v>
      </x:c>
      <x:c r="M20" s="19" t="n">
        <x:v>16000</x:v>
      </x:c>
      <x:c r="N20" s="20" t="n">
        <x:v>8</x:v>
      </x:c>
      <x:c r="O20" s="20" t="n">
        <x:v>8</x:v>
      </x:c>
      <x:c r="P20" s="20" t="n">
        <x:v>17</x:v>
      </x:c>
      <x:c r="Q20" s="20" t="n">
        <x:v>2</x:v>
      </x:c>
      <x:c r="R20" s="20" t="n">
        <x:v>30</x:v>
      </x:c>
      <x:c r="S20" s="21" t="n">
        <x:f>2634/60</x:f>
        <x:v>43.9</x:v>
      </x:c>
      <x:c r="T20" s="21" t="n">
        <x:f>0/60</x:f>
        <x:v>0</x:v>
      </x:c>
      <x:c r="U20" s="21" t="n">
        <x:f>0/60</x:f>
        <x:v>0</x:v>
      </x:c>
      <x:c r="V20" s="21" t="n">
        <x:f>0/60</x:f>
        <x:v>0</x:v>
      </x:c>
      <x:c r="W20" s="20" t="n">
        <x:v>0</x:v>
      </x:c>
      <x:c r="X20" s="20" t="n">
        <x:v>0</x:v>
      </x:c>
      <x:c r="Y20" s="20" t="n">
        <x:v>0</x:v>
      </x:c>
      <x:c r="Z20" s="20" t="n">
        <x:v>0</x:v>
      </x:c>
    </x:row>
    <x:row r="21" ht="23" customHeight="1">
      <x:c r="A21" s="2" t="str">
        <x:v>2026-10-09_Night</x:v>
      </x:c>
      <x:c r="B21" s="19" t="n">
        <x:v>74000</x:v>
      </x:c>
      <x:c r="C21" s="19" t="n">
        <x:v>95000</x:v>
      </x:c>
      <x:c r="D21" s="19" t="n">
        <x:f>B21-C21</x:f>
        <x:v>-21000</x:v>
      </x:c>
      <x:c r="E21" s="19" t="n">
        <x:f>E20+D21</x:f>
        <x:v>746000</x:v>
      </x:c>
      <x:c r="F21" s="19" t="n">
        <x:v>-35000</x:v>
      </x:c>
      <x:c r="G21" s="19" t="n">
        <x:f>D21-F21</x:f>
        <x:v>14000</x:v>
      </x:c>
      <x:c r="H21" s="19" t="n">
        <x:v>60000</x:v>
      </x:c>
      <x:c r="I21" s="19" t="n">
        <x:v>0</x:v>
      </x:c>
      <x:c r="J21" s="19" t="n">
        <x:v>0</x:v>
      </x:c>
      <x:c r="K21" s="19" t="n">
        <x:v>95000</x:v>
      </x:c>
      <x:c r="L21" s="19" t="n">
        <x:v>110000</x:v>
      </x:c>
      <x:c r="M21" s="19" t="n">
        <x:v>150000</x:v>
      </x:c>
      <x:c r="N21" s="20" t="n">
        <x:v>0</x:v>
      </x:c>
      <x:c r="O21" s="20" t="n">
        <x:v>5</x:v>
      </x:c>
      <x:c r="P21" s="20" t="n">
        <x:v>3</x:v>
      </x:c>
      <x:c r="Q21" s="20" t="n">
        <x:v>2</x:v>
      </x:c>
      <x:c r="R21" s="20" t="n">
        <x:v>15</x:v>
      </x:c>
      <x:c r="S21" s="21" t="n">
        <x:f>8099/60</x:f>
        <x:v>134.98333333333332</x:v>
      </x:c>
      <x:c r="T21" s="21" t="n">
        <x:f>0/60</x:f>
        <x:v>0</x:v>
      </x:c>
      <x:c r="U21" s="21" t="n">
        <x:f>0/60</x:f>
        <x:v>0</x:v>
      </x:c>
      <x:c r="V21" s="21" t="n">
        <x:f>0/60</x:f>
        <x:v>0</x:v>
      </x:c>
      <x:c r="W21" s="20" t="n">
        <x:v>0</x:v>
      </x:c>
      <x:c r="X21" s="20" t="n">
        <x:v>0</x:v>
      </x:c>
      <x:c r="Y21" s="20" t="n">
        <x:v>0</x:v>
      </x:c>
      <x:c r="Z21" s="20" t="n">
        <x:v>0</x:v>
      </x:c>
    </x:row>
    <x:row r="22" ht="23" customHeight="1">
      <x:c r="A22" s="2" t="str">
        <x:v>2026-10-12_Night</x:v>
      </x:c>
      <x:c r="B22" s="19" t="n">
        <x:v>82000</x:v>
      </x:c>
      <x:c r="C22" s="19" t="n">
        <x:v>0</x:v>
      </x:c>
      <x:c r="D22" s="19" t="n">
        <x:f>B22-C22</x:f>
        <x:v>82000</x:v>
      </x:c>
      <x:c r="E22" s="19" t="n">
        <x:f>E21+D22</x:f>
        <x:v>828000</x:v>
      </x:c>
      <x:c r="F22" s="19" t="n">
        <x:v>0</x:v>
      </x:c>
      <x:c r="G22" s="19" t="n">
        <x:f>D22-F22</x:f>
        <x:v>82000</x:v>
      </x:c>
      <x:c r="H22" s="19" t="n">
        <x:v>0</x:v>
      </x:c>
      <x:c r="I22" s="19" t="n">
        <x:v>0</x:v>
      </x:c>
      <x:c r="J22" s="19" t="n">
        <x:v>0</x:v>
      </x:c>
      <x:c r="K22" s="19" t="n">
        <x:v>0</x:v>
      </x:c>
      <x:c r="L22" s="19" t="n">
        <x:v>0</x:v>
      </x:c>
      <x:c r="M22" s="19" t="n">
        <x:v>0</x:v>
      </x:c>
      <x:c r="N22" s="20" t="n">
        <x:v>0</x:v>
      </x:c>
      <x:c r="O22" s="20" t="n">
        <x:v>5</x:v>
      </x:c>
      <x:c r="P22" s="20" t="n">
        <x:v>1</x:v>
      </x:c>
      <x:c r="Q22" s="20" t="n">
        <x:v>0</x:v>
      </x:c>
      <x:c r="R22" s="20" t="n">
        <x:v>5</x:v>
      </x:c>
      <x:c r="S22" s="21" t="n">
        <x:f>0/60</x:f>
        <x:v>0</x:v>
      </x:c>
      <x:c r="T22" s="21" t="n">
        <x:f>0/60</x:f>
        <x:v>0</x:v>
      </x:c>
      <x:c r="U22" s="21" t="n">
        <x:f>0/60</x:f>
        <x:v>0</x:v>
      </x:c>
      <x:c r="V22" s="21" t="n">
        <x:f>0/60</x:f>
        <x:v>0</x:v>
      </x:c>
      <x:c r="W22" s="20" t="n">
        <x:v>0</x:v>
      </x:c>
      <x:c r="X22" s="20" t="n">
        <x:v>0</x:v>
      </x:c>
      <x:c r="Y22" s="20" t="n">
        <x:v>0</x:v>
      </x:c>
      <x:c r="Z22" s="20" t="n">
        <x:v>0</x:v>
      </x:c>
    </x:row>
    <x:row r="23" ht="23" customHeight="1">
      <x:c r="A23" s="2" t="str">
        <x:v>2026-10-13_Night</x:v>
      </x:c>
      <x:c r="B23" s="19" t="n">
        <x:v>0</x:v>
      </x:c>
      <x:c r="C23" s="19" t="n">
        <x:v>203000</x:v>
      </x:c>
      <x:c r="D23" s="19" t="n">
        <x:f>B23-C23</x:f>
        <x:v>-203000</x:v>
      </x:c>
      <x:c r="E23" s="19" t="n">
        <x:f>E22+D23</x:f>
        <x:v>625000</x:v>
      </x:c>
      <x:c r="F23" s="19" t="n">
        <x:v>-150000</x:v>
      </x:c>
      <x:c r="G23" s="19" t="n">
        <x:f>D23-F23</x:f>
        <x:v>-53000</x:v>
      </x:c>
      <x:c r="H23" s="19" t="n">
        <x:v>0</x:v>
      </x:c>
      <x:c r="I23" s="19" t="n">
        <x:v>0</x:v>
      </x:c>
      <x:c r="J23" s="19" t="n">
        <x:v>0</x:v>
      </x:c>
      <x:c r="K23" s="19" t="n">
        <x:v>150000</x:v>
      </x:c>
      <x:c r="L23" s="19" t="n">
        <x:v>175000</x:v>
      </x:c>
      <x:c r="M23" s="19" t="n">
        <x:v>200000</x:v>
      </x:c>
      <x:c r="N23" s="20" t="n">
        <x:v>5</x:v>
      </x:c>
      <x:c r="O23" s="20" t="n">
        <x:v>5</x:v>
      </x:c>
      <x:c r="P23" s="20" t="n">
        <x:v>3</x:v>
      </x:c>
      <x:c r="Q23" s="20" t="n">
        <x:v>1</x:v>
      </x:c>
      <x:c r="R23" s="20" t="n">
        <x:v>11</x:v>
      </x:c>
      <x:c r="S23" s="21" t="n">
        <x:f>14137/60</x:f>
        <x:v>235.61666666666667</x:v>
      </x:c>
      <x:c r="T23" s="21" t="n">
        <x:f>0/60</x:f>
        <x:v>0</x:v>
      </x:c>
      <x:c r="U23" s="21" t="n">
        <x:f>0/60</x:f>
        <x:v>0</x:v>
      </x:c>
      <x:c r="V23" s="21" t="n">
        <x:f>0/60</x:f>
        <x:v>0</x:v>
      </x:c>
      <x:c r="W23" s="20" t="n">
        <x:v>0</x:v>
      </x:c>
      <x:c r="X23" s="20" t="n">
        <x:v>0</x:v>
      </x:c>
      <x:c r="Y23" s="20" t="n">
        <x:v>0</x:v>
      </x:c>
      <x:c r="Z23" s="20" t="n">
        <x:v>0</x:v>
      </x:c>
    </x:row>
    <x:row r="24" ht="23" customHeight="1">
      <x:c r="A24" s="2" t="str">
        <x:v>2026-10-14_Night</x:v>
      </x:c>
      <x:c r="B24" s="19" t="n">
        <x:v>292000</x:v>
      </x:c>
      <x:c r="C24" s="19" t="n">
        <x:v>61000</x:v>
      </x:c>
      <x:c r="D24" s="19" t="n">
        <x:f>B24-C24</x:f>
        <x:v>231000</x:v>
      </x:c>
      <x:c r="E24" s="19" t="n">
        <x:f>E23+D24</x:f>
        <x:v>856000</x:v>
      </x:c>
      <x:c r="F24" s="19" t="n">
        <x:v>95000</x:v>
      </x:c>
      <x:c r="G24" s="19" t="n">
        <x:f>D24-F24</x:f>
        <x:v>136000</x:v>
      </x:c>
      <x:c r="H24" s="19" t="n">
        <x:v>95000</x:v>
      </x:c>
      <x:c r="I24" s="19" t="n">
        <x:v>0</x:v>
      </x:c>
      <x:c r="J24" s="19" t="n">
        <x:v>0</x:v>
      </x:c>
      <x:c r="K24" s="19" t="n">
        <x:v>0</x:v>
      </x:c>
      <x:c r="L24" s="19" t="n">
        <x:v>55000</x:v>
      </x:c>
      <x:c r="M24" s="19" t="n">
        <x:v>75000</x:v>
      </x:c>
      <x:c r="N24" s="20" t="n">
        <x:v>1</x:v>
      </x:c>
      <x:c r="O24" s="20" t="n">
        <x:v>5</x:v>
      </x:c>
      <x:c r="P24" s="20" t="n">
        <x:v>5</x:v>
      </x:c>
      <x:c r="Q24" s="20" t="n">
        <x:v>1</x:v>
      </x:c>
      <x:c r="R24" s="20" t="n">
        <x:v>14</x:v>
      </x:c>
      <x:c r="S24" s="21" t="n">
        <x:f>8330/60</x:f>
        <x:v>138.83333333333334</x:v>
      </x:c>
      <x:c r="T24" s="21" t="n">
        <x:f>0/60</x:f>
        <x:v>0</x:v>
      </x:c>
      <x:c r="U24" s="21" t="n">
        <x:f>0/60</x:f>
        <x:v>0</x:v>
      </x:c>
      <x:c r="V24" s="21" t="n">
        <x:f>0/60</x:f>
        <x:v>0</x:v>
      </x:c>
      <x:c r="W24" s="20" t="n">
        <x:v>0</x:v>
      </x:c>
      <x:c r="X24" s="20" t="n">
        <x:v>0</x:v>
      </x:c>
      <x:c r="Y24" s="20" t="n">
        <x:v>0</x:v>
      </x:c>
      <x:c r="Z24" s="20" t="n">
        <x:v>0</x:v>
      </x:c>
    </x:row>
    <x:row r="25" ht="23" customHeight="1">
      <x:c r="A25" s="2" t="str">
        <x:v>2026-10-15_Night</x:v>
      </x:c>
      <x:c r="B25" s="19" t="n">
        <x:v>86000</x:v>
      </x:c>
      <x:c r="C25" s="19" t="n">
        <x:v>64000</x:v>
      </x:c>
      <x:c r="D25" s="19" t="n">
        <x:f>B25-C25</x:f>
        <x:v>22000</x:v>
      </x:c>
      <x:c r="E25" s="19" t="n">
        <x:f>E24+D25</x:f>
        <x:v>878000</x:v>
      </x:c>
      <x:c r="F25" s="19" t="n">
        <x:v>0</x:v>
      </x:c>
      <x:c r="G25" s="19" t="n">
        <x:f>D25-F25</x:f>
        <x:v>22000</x:v>
      </x:c>
      <x:c r="H25" s="19" t="n">
        <x:v>0</x:v>
      </x:c>
      <x:c r="I25" s="19" t="n">
        <x:v>0</x:v>
      </x:c>
      <x:c r="J25" s="19" t="n">
        <x:v>0</x:v>
      </x:c>
      <x:c r="K25" s="19" t="n">
        <x:v>0</x:v>
      </x:c>
      <x:c r="L25" s="19" t="n">
        <x:v>0</x:v>
      </x:c>
      <x:c r="M25" s="19" t="n">
        <x:v>0</x:v>
      </x:c>
      <x:c r="N25" s="20" t="n">
        <x:v>3</x:v>
      </x:c>
      <x:c r="O25" s="20" t="n">
        <x:v>2</x:v>
      </x:c>
      <x:c r="P25" s="20" t="n">
        <x:v>7</x:v>
      </x:c>
      <x:c r="Q25" s="20" t="n">
        <x:v>0</x:v>
      </x:c>
      <x:c r="R25" s="20" t="n">
        <x:v>9</x:v>
      </x:c>
      <x:c r="S25" s="21" t="n">
        <x:f>0/60</x:f>
        <x:v>0</x:v>
      </x:c>
      <x:c r="T25" s="21" t="n">
        <x:f>0/60</x:f>
        <x:v>0</x:v>
      </x:c>
      <x:c r="U25" s="21" t="n">
        <x:f>0/60</x:f>
        <x:v>0</x:v>
      </x:c>
      <x:c r="V25" s="21" t="n">
        <x:f>0/60</x:f>
        <x:v>0</x:v>
      </x:c>
      <x:c r="W25" s="20" t="n">
        <x:v>0</x:v>
      </x:c>
      <x:c r="X25" s="20" t="n">
        <x:v>0</x:v>
      </x:c>
      <x:c r="Y25" s="20" t="n">
        <x:v>0</x:v>
      </x:c>
      <x:c r="Z25" s="20" t="n">
        <x:v>0</x:v>
      </x:c>
    </x:row>
    <x:row r="26" ht="23" customHeight="1">
      <x:c r="A26" s="2" t="str">
        <x:v>2026-10-16_Night</x:v>
      </x:c>
      <x:c r="B26" s="19" t="n">
        <x:v>163000</x:v>
      </x:c>
      <x:c r="C26" s="19" t="n">
        <x:v>151000</x:v>
      </x:c>
      <x:c r="D26" s="19" t="n">
        <x:f>B26-C26</x:f>
        <x:v>12000</x:v>
      </x:c>
      <x:c r="E26" s="19" t="n">
        <x:f>E25+D26</x:f>
        <x:v>890000</x:v>
      </x:c>
      <x:c r="F26" s="19" t="n">
        <x:v>-20000</x:v>
      </x:c>
      <x:c r="G26" s="19" t="n">
        <x:f>D26-F26</x:f>
        <x:v>32000</x:v>
      </x:c>
      <x:c r="H26" s="19" t="n">
        <x:v>0</x:v>
      </x:c>
      <x:c r="I26" s="19" t="n">
        <x:v>0</x:v>
      </x:c>
      <x:c r="J26" s="19" t="n">
        <x:v>0</x:v>
      </x:c>
      <x:c r="K26" s="19" t="n">
        <x:v>20000</x:v>
      </x:c>
      <x:c r="L26" s="19" t="n">
        <x:v>45000</x:v>
      </x:c>
      <x:c r="M26" s="19" t="n">
        <x:v>55000</x:v>
      </x:c>
      <x:c r="N26" s="20" t="n">
        <x:v>3</x:v>
      </x:c>
      <x:c r="O26" s="20" t="n">
        <x:v>7</x:v>
      </x:c>
      <x:c r="P26" s="20" t="n">
        <x:v>14</x:v>
      </x:c>
      <x:c r="Q26" s="20" t="n">
        <x:v>1</x:v>
      </x:c>
      <x:c r="R26" s="20" t="n">
        <x:v>32</x:v>
      </x:c>
      <x:c r="S26" s="21" t="n">
        <x:f>907/60</x:f>
        <x:v>15.116666666666667</x:v>
      </x:c>
      <x:c r="T26" s="21" t="n">
        <x:f>0/60</x:f>
        <x:v>0</x:v>
      </x:c>
      <x:c r="U26" s="21" t="n">
        <x:f>0/60</x:f>
        <x:v>0</x:v>
      </x:c>
      <x:c r="V26" s="21" t="n">
        <x:f>0/60</x:f>
        <x:v>0</x:v>
      </x:c>
      <x:c r="W26" s="20" t="n">
        <x:v>0</x:v>
      </x:c>
      <x:c r="X26" s="20" t="n">
        <x:v>0</x:v>
      </x:c>
      <x:c r="Y26" s="20" t="n">
        <x:v>0</x:v>
      </x:c>
      <x:c r="Z26" s="20" t="n">
        <x:v>0</x:v>
      </x:c>
    </x:row>
    <x:row r="27" ht="23" customHeight="1">
      <x:c r="A27" s="2" t="str">
        <x:v>2026-10-19_Night</x:v>
      </x:c>
      <x:c r="B27" s="19" t="n">
        <x:v>127000</x:v>
      </x:c>
      <x:c r="C27" s="19" t="n">
        <x:v>185000</x:v>
      </x:c>
      <x:c r="D27" s="19" t="n">
        <x:f>B27-C27</x:f>
        <x:v>-58000</x:v>
      </x:c>
      <x:c r="E27" s="19" t="n">
        <x:f>E26+D27</x:f>
        <x:v>832000</x:v>
      </x:c>
      <x:c r="F27" s="19" t="n">
        <x:v>-50000</x:v>
      </x:c>
      <x:c r="G27" s="19" t="n">
        <x:f>D27-F27</x:f>
        <x:v>-8000</x:v>
      </x:c>
      <x:c r="H27" s="19" t="n">
        <x:v>0</x:v>
      </x:c>
      <x:c r="I27" s="19" t="n">
        <x:v>0</x:v>
      </x:c>
      <x:c r="J27" s="19" t="n">
        <x:v>30000</x:v>
      </x:c>
      <x:c r="K27" s="19" t="n">
        <x:v>80000</x:v>
      </x:c>
      <x:c r="L27" s="19" t="n">
        <x:v>55000</x:v>
      </x:c>
      <x:c r="M27" s="19" t="n">
        <x:v>115000</x:v>
      </x:c>
      <x:c r="N27" s="20" t="n">
        <x:v>5</x:v>
      </x:c>
      <x:c r="O27" s="20" t="n">
        <x:v>5</x:v>
      </x:c>
      <x:c r="P27" s="20" t="n">
        <x:v>14</x:v>
      </x:c>
      <x:c r="Q27" s="20" t="n">
        <x:v>2</x:v>
      </x:c>
      <x:c r="R27" s="20" t="n">
        <x:v>31</x:v>
      </x:c>
      <x:c r="S27" s="21" t="n">
        <x:f>7597/60</x:f>
        <x:v>126.61666666666666</x:v>
      </x:c>
      <x:c r="T27" s="21" t="n">
        <x:f>2430/60</x:f>
        <x:v>40.5</x:v>
      </x:c>
      <x:c r="U27" s="21" t="n">
        <x:f>0/60</x:f>
        <x:v>0</x:v>
      </x:c>
      <x:c r="V27" s="21" t="n">
        <x:f>0/60</x:f>
        <x:v>0</x:v>
      </x:c>
      <x:c r="W27" s="20" t="n">
        <x:v>0</x:v>
      </x:c>
      <x:c r="X27" s="20" t="n">
        <x:v>0</x:v>
      </x:c>
      <x:c r="Y27" s="20" t="n">
        <x:v>0</x:v>
      </x:c>
      <x:c r="Z27" s="20" t="n">
        <x:v>0</x:v>
      </x:c>
    </x:row>
    <x:row r="28" ht="23" customHeight="1">
      <x:c r="A28" s="2" t="str">
        <x:v>2026-10-20_Night</x:v>
      </x:c>
      <x:c r="B28" s="19" t="n">
        <x:v>135000</x:v>
      </x:c>
      <x:c r="C28" s="19" t="n">
        <x:v>163000</x:v>
      </x:c>
      <x:c r="D28" s="19" t="n">
        <x:f>B28-C28</x:f>
        <x:v>-28000</x:v>
      </x:c>
      <x:c r="E28" s="19" t="n">
        <x:f>E27+D28</x:f>
        <x:v>804000</x:v>
      </x:c>
      <x:c r="F28" s="19" t="n">
        <x:v>-94000</x:v>
      </x:c>
      <x:c r="G28" s="19" t="n">
        <x:f>D28-F28</x:f>
        <x:v>66000</x:v>
      </x:c>
      <x:c r="H28" s="19" t="n">
        <x:v>26000</x:v>
      </x:c>
      <x:c r="I28" s="19" t="n">
        <x:v>0</x:v>
      </x:c>
      <x:c r="J28" s="19" t="n">
        <x:v>10000</x:v>
      </x:c>
      <x:c r="K28" s="19" t="n">
        <x:v>130000</x:v>
      </x:c>
      <x:c r="L28" s="19" t="n">
        <x:v>150000</x:v>
      </x:c>
      <x:c r="M28" s="19" t="n">
        <x:v>195000</x:v>
      </x:c>
      <x:c r="N28" s="20" t="n">
        <x:v>5</x:v>
      </x:c>
      <x:c r="O28" s="20" t="n">
        <x:v>5</x:v>
      </x:c>
      <x:c r="P28" s="20" t="n">
        <x:v>11</x:v>
      </x:c>
      <x:c r="Q28" s="20" t="n">
        <x:v>4</x:v>
      </x:c>
      <x:c r="R28" s="20" t="n">
        <x:v>22</x:v>
      </x:c>
      <x:c r="S28" s="21" t="n">
        <x:f>14915/60</x:f>
        <x:v>248.58333333333334</x:v>
      </x:c>
      <x:c r="T28" s="21" t="n">
        <x:f>2421/60</x:f>
        <x:v>40.35</x:v>
      </x:c>
      <x:c r="U28" s="21" t="n">
        <x:f>0/60</x:f>
        <x:v>0</x:v>
      </x:c>
      <x:c r="V28" s="21" t="n">
        <x:f>0/60</x:f>
        <x:v>0</x:v>
      </x:c>
      <x:c r="W28" s="20" t="n">
        <x:v>0</x:v>
      </x:c>
      <x:c r="X28" s="20" t="n">
        <x:v>0</x:v>
      </x:c>
      <x:c r="Y28" s="20" t="n">
        <x:v>0</x:v>
      </x:c>
      <x:c r="Z28" s="20" t="n">
        <x:v>0</x:v>
      </x:c>
    </x:row>
    <x:row r="29" ht="23" customHeight="1">
      <x:c r="A29" s="2" t="str">
        <x:v>2026-10-21_Night</x:v>
      </x:c>
      <x:c r="B29" s="19" t="n">
        <x:v>65000</x:v>
      </x:c>
      <x:c r="C29" s="19" t="n">
        <x:v>314000</x:v>
      </x:c>
      <x:c r="D29" s="19" t="n">
        <x:f>B29-C29</x:f>
        <x:v>-249000</x:v>
      </x:c>
      <x:c r="E29" s="19" t="n">
        <x:f>E28+D29</x:f>
        <x:v>555000</x:v>
      </x:c>
      <x:c r="F29" s="19" t="n">
        <x:v>-225000</x:v>
      </x:c>
      <x:c r="G29" s="19" t="n">
        <x:f>D29-F29</x:f>
        <x:v>-24000</x:v>
      </x:c>
      <x:c r="H29" s="19" t="n">
        <x:v>0</x:v>
      </x:c>
      <x:c r="I29" s="19" t="n">
        <x:v>0</x:v>
      </x:c>
      <x:c r="J29" s="19" t="n">
        <x:v>0</x:v>
      </x:c>
      <x:c r="K29" s="19" t="n">
        <x:v>225000</x:v>
      </x:c>
      <x:c r="L29" s="19" t="n">
        <x:v>280000</x:v>
      </x:c>
      <x:c r="M29" s="19" t="n">
        <x:v>310000</x:v>
      </x:c>
      <x:c r="N29" s="20" t="n">
        <x:v>7</x:v>
      </x:c>
      <x:c r="O29" s="20" t="n">
        <x:v>5</x:v>
      </x:c>
      <x:c r="P29" s="20" t="n">
        <x:v>6</x:v>
      </x:c>
      <x:c r="Q29" s="20" t="n">
        <x:v>1</x:v>
      </x:c>
      <x:c r="R29" s="20" t="n">
        <x:v>22</x:v>
      </x:c>
      <x:c r="S29" s="21" t="n">
        <x:f>10901/60</x:f>
        <x:v>181.68333333333334</x:v>
      </x:c>
      <x:c r="T29" s="21" t="n">
        <x:f>0/60</x:f>
        <x:v>0</x:v>
      </x:c>
      <x:c r="U29" s="21" t="n">
        <x:f>0/60</x:f>
        <x:v>0</x:v>
      </x:c>
      <x:c r="V29" s="21" t="n">
        <x:f>0/60</x:f>
        <x:v>0</x:v>
      </x:c>
      <x:c r="W29" s="20" t="n">
        <x:v>0</x:v>
      </x:c>
      <x:c r="X29" s="20" t="n">
        <x:v>0</x:v>
      </x:c>
      <x:c r="Y29" s="20" t="n">
        <x:v>0</x:v>
      </x:c>
      <x:c r="Z29" s="20" t="n">
        <x:v>0</x:v>
      </x:c>
    </x:row>
    <x:row r="30" ht="23" customHeight="1">
      <x:c r="A30" s="2" t="str">
        <x:v>2026-10-22_Night</x:v>
      </x:c>
      <x:c r="B30" s="19" t="n">
        <x:v>156000</x:v>
      </x:c>
      <x:c r="C30" s="19" t="n">
        <x:v>0</x:v>
      </x:c>
      <x:c r="D30" s="19" t="n">
        <x:f>B30-C30</x:f>
        <x:v>156000</x:v>
      </x:c>
      <x:c r="E30" s="19" t="n">
        <x:f>E29+D30</x:f>
        <x:v>711000</x:v>
      </x:c>
      <x:c r="F30" s="19" t="n">
        <x:v>0</x:v>
      </x:c>
      <x:c r="G30" s="19" t="n">
        <x:f>D30-F30</x:f>
        <x:v>156000</x:v>
      </x:c>
      <x:c r="H30" s="19" t="n">
        <x:v>0</x:v>
      </x:c>
      <x:c r="I30" s="19" t="n">
        <x:v>0</x:v>
      </x:c>
      <x:c r="J30" s="19" t="n">
        <x:v>0</x:v>
      </x:c>
      <x:c r="K30" s="19" t="n">
        <x:v>0</x:v>
      </x:c>
      <x:c r="L30" s="19" t="n">
        <x:v>0</x:v>
      </x:c>
      <x:c r="M30" s="19" t="n">
        <x:v>0</x:v>
      </x:c>
      <x:c r="N30" s="20" t="n">
        <x:v>0</x:v>
      </x:c>
      <x:c r="O30" s="20" t="n">
        <x:v>6</x:v>
      </x:c>
      <x:c r="P30" s="20" t="n">
        <x:v>3</x:v>
      </x:c>
      <x:c r="Q30" s="20" t="n">
        <x:v>0</x:v>
      </x:c>
      <x:c r="R30" s="20" t="n">
        <x:v>7</x:v>
      </x:c>
      <x:c r="S30" s="21" t="n">
        <x:f>0/60</x:f>
        <x:v>0</x:v>
      </x:c>
      <x:c r="T30" s="21" t="n">
        <x:f>0/60</x:f>
        <x:v>0</x:v>
      </x:c>
      <x:c r="U30" s="21" t="n">
        <x:f>0/60</x:f>
        <x:v>0</x:v>
      </x:c>
      <x:c r="V30" s="21" t="n">
        <x:f>0/60</x:f>
        <x:v>0</x:v>
      </x:c>
      <x:c r="W30" s="20" t="n">
        <x:v>0</x:v>
      </x:c>
      <x:c r="X30" s="20" t="n">
        <x:v>0</x:v>
      </x:c>
      <x:c r="Y30" s="20" t="n">
        <x:v>0</x:v>
      </x:c>
      <x:c r="Z30" s="20" t="n">
        <x:v>0</x:v>
      </x:c>
    </x:row>
    <x:row r="31" ht="23" customHeight="1">
      <x:c r="A31" s="2" t="str">
        <x:v>2026-10-23_Night</x:v>
      </x:c>
      <x:c r="B31" s="19" t="n">
        <x:v>107000</x:v>
      </x:c>
      <x:c r="C31" s="19" t="n">
        <x:v>96000</x:v>
      </x:c>
      <x:c r="D31" s="19" t="n">
        <x:f>B31-C31</x:f>
        <x:v>11000</x:v>
      </x:c>
      <x:c r="E31" s="19" t="n">
        <x:f>E30+D31</x:f>
        <x:v>722000</x:v>
      </x:c>
      <x:c r="F31" s="19" t="n">
        <x:v>-4000</x:v>
      </x:c>
      <x:c r="G31" s="19" t="n">
        <x:f>D31-F31</x:f>
        <x:v>15000</x:v>
      </x:c>
      <x:c r="H31" s="19" t="n">
        <x:v>60000</x:v>
      </x:c>
      <x:c r="I31" s="19" t="n">
        <x:v>0</x:v>
      </x:c>
      <x:c r="J31" s="19" t="n">
        <x:v>0</x:v>
      </x:c>
      <x:c r="K31" s="19" t="n">
        <x:v>64000</x:v>
      </x:c>
      <x:c r="L31" s="19" t="n">
        <x:v>67000</x:v>
      </x:c>
      <x:c r="M31" s="19" t="n">
        <x:v>107000</x:v>
      </x:c>
      <x:c r="N31" s="20" t="n">
        <x:v>5</x:v>
      </x:c>
      <x:c r="O31" s="20" t="n">
        <x:v>5</x:v>
      </x:c>
      <x:c r="P31" s="20" t="n">
        <x:v>11</x:v>
      </x:c>
      <x:c r="Q31" s="20" t="n">
        <x:v>5</x:v>
      </x:c>
      <x:c r="R31" s="20" t="n">
        <x:v>20</x:v>
      </x:c>
      <x:c r="S31" s="21" t="n">
        <x:f>14517/60</x:f>
        <x:v>241.95</x:v>
      </x:c>
      <x:c r="T31" s="21" t="n">
        <x:f>0/60</x:f>
        <x:v>0</x:v>
      </x:c>
      <x:c r="U31" s="21" t="n">
        <x:f>0/60</x:f>
        <x:v>0</x:v>
      </x:c>
      <x:c r="V31" s="21" t="n">
        <x:f>0/60</x:f>
        <x:v>0</x:v>
      </x:c>
      <x:c r="W31" s="20" t="n">
        <x:v>0</x:v>
      </x:c>
      <x:c r="X31" s="20" t="n">
        <x:v>0</x:v>
      </x:c>
      <x:c r="Y31" s="20" t="n">
        <x:v>0</x:v>
      </x:c>
      <x:c r="Z31" s="20" t="n">
        <x:v>0</x:v>
      </x:c>
    </x:row>
    <x:row r="32" ht="23" customHeight="1">
      <x:c r="A32" s="26" t="str">
        <x:v>25夜累計／最大</x:v>
      </x:c>
      <x:c r="B32" s="27" t="n">
        <x:f>SUM(B7:B31)</x:f>
        <x:v>3070000</x:v>
      </x:c>
      <x:c r="C32" s="27" t="n">
        <x:f>SUM(C7:C31)</x:f>
        <x:v>2348000</x:v>
      </x:c>
      <x:c r="D32" s="27" t="n">
        <x:f>B32-C32</x:f>
        <x:v>722000</x:v>
      </x:c>
      <x:c r="E32" s="27" t="n">
        <x:f>E31</x:f>
        <x:v>722000</x:v>
      </x:c>
      <x:c r="F32" s="27" t="n">
        <x:f>SUM(F7:F31)</x:f>
        <x:v>-421000</x:v>
      </x:c>
      <x:c r="G32" s="27" t="n">
        <x:f>SUM(G7:G31)</x:f>
        <x:v>1143000</x:v>
      </x:c>
      <x:c r="H32" s="27" t="n">
        <x:f>SUM(H7:H31)</x:f>
        <x:v>719000</x:v>
      </x:c>
      <x:c r="I32" s="27" t="n">
        <x:f>SUM(I7:I31)</x:f>
        <x:v>0</x:v>
      </x:c>
      <x:c r="J32" s="27" t="n">
        <x:f>SUM(J7:J31)</x:f>
        <x:v>154000</x:v>
      </x:c>
      <x:c r="K32" s="27" t="n">
        <x:f>SUM(K7:K31)</x:f>
        <x:v>1294000</x:v>
      </x:c>
      <x:c r="L32" s="27" t="n">
        <x:f>MAX(L7:L31)</x:f>
        <x:v>330000</x:v>
      </x:c>
      <x:c r="M32" s="27" t="n">
        <x:f>MAX(M7:M31)</x:f>
        <x:v>310000</x:v>
      </x:c>
      <x:c r="N32" s="28" t="n">
        <x:f>MAX(N7:N31)</x:f>
        <x:v>10</x:v>
      </x:c>
      <x:c r="O32" s="28" t="n">
        <x:f>MAX(O7:O31)</x:f>
        <x:v>10</x:v>
      </x:c>
      <x:c r="P32" s="28" t="n">
        <x:f>SUM(P7:P31)</x:f>
        <x:v>172</x:v>
      </x:c>
      <x:c r="Q32" s="28" t="n">
        <x:f>SUM(Q7:Q31)</x:f>
        <x:v>38</x:v>
      </x:c>
      <x:c r="R32" s="28" t="n">
        <x:f>SUM(R7:R31)</x:f>
        <x:v>401</x:v>
      </x:c>
      <x:c r="S32" s="29" t="n">
        <x:f>SUM(S7:S31)</x:f>
        <x:v>2415.2499999999995</x:v>
      </x:c>
      <x:c r="T32" s="29" t="n">
        <x:f>SUM(T7:T31)</x:f>
        <x:v>275.35</x:v>
      </x:c>
      <x:c r="U32" s="29" t="n">
        <x:f>SUM(U7:U31)</x:f>
        <x:v>18.05</x:v>
      </x:c>
      <x:c r="V32" s="29" t="n">
        <x:f>SUM(V7:V31)</x:f>
        <x:v>0</x:v>
      </x:c>
      <x:c r="W32" s="28" t="n">
        <x:f>SUM(W7:W31)</x:f>
        <x:v>0</x:v>
      </x:c>
      <x:c r="X32" s="28" t="n">
        <x:f>SUM(X7:X31)</x:f>
        <x:v>0</x:v>
      </x:c>
      <x:c r="Y32" s="28" t="n">
        <x:f>SUM(Y7:Y31)</x:f>
        <x:v>0</x:v>
      </x:c>
      <x:c r="Z32" s="28" t="n">
        <x:f>SUM(Z7:Z31)</x:f>
        <x:v>0</x:v>
      </x:c>
    </x:row>
  </x:sheetData>
  <x:conditionalFormatting sqref="B7:M32">
    <x:cfRule type="cellIs" dxfId="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aae74adedfa4c01"/>
  </x:tableParts>
</x:worksheet>
</file>

<file path=xl/worksheets/sheet7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3" customHeight="1">
      <x:c r="A2" s="4" t="str">
        <x:v>P04　全夜間の利益・損失・収支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3" ht="23" customHeight="1">
      <x:c r="A3" s="6" t="str">
        <x:v>日経mini・片方向上限10枚・手数料0・次正常ラージ気配代理。2026/09/21〜10/23の完了25夜。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3" customHeight="1">
      <x:c r="A4" s="6" t="str">
        <x:v>利益・損失は新規実約定IDごとの全返済収支で分類。旧親単位の利益損失とは異なります。未測定は空欄。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3" customHeight="1">
      <x:c r="A5" s="6" t="str">
        <x:v>前半・利益80ptから20pt追尾。P：新手法は米国開始15分前まで、後半は保存S04。含み損・DD・保有時間・返済内訳は前半だけ。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4" customHeight="1">
      <x:c r="A6" s="15" t="str">
        <x:v>セッション</x:v>
      </x:c>
      <x:c r="B6" s="16" t="str">
        <x:v>利益（円）</x:v>
      </x:c>
      <x:c r="C6" s="16" t="str">
        <x:v>損失（円）</x:v>
      </x:c>
      <x:c r="D6" s="16" t="str">
        <x:v>全夜収支（円）</x:v>
      </x:c>
      <x:c r="E6" s="16" t="str">
        <x:v>累計（円）</x:v>
      </x:c>
      <x:c r="F6" s="16" t="str">
        <x:v>対象区間収支</x:v>
      </x:c>
      <x:c r="G6" s="16" t="str">
        <x:v>保存後半収支</x:v>
      </x:c>
      <x:c r="H6" s="16" t="str">
        <x:v>利益追尾の利益</x:v>
      </x:c>
      <x:c r="I6" s="16" t="str">
        <x:v>利益追尾の損失</x:v>
      </x:c>
      <x:c r="J6" s="16" t="str">
        <x:v>境界清算の利益</x:v>
      </x:c>
      <x:c r="K6" s="16" t="str">
        <x:v>境界清算の損失</x:v>
      </x:c>
      <x:c r="L6" s="16" t="str">
        <x:v>最大含み損（円）</x:v>
      </x:c>
      <x:c r="M6" s="16" t="str">
        <x:v>対象区間DD</x:v>
      </x:c>
      <x:c r="N6" s="16" t="str">
        <x:v>最大買い枚数</x:v>
      </x:c>
      <x:c r="O6" s="16" t="str">
        <x:v>最大売り枚数</x:v>
      </x:c>
      <x:c r="P6" s="16" t="str">
        <x:v>全夜新規件数</x:v>
      </x:c>
      <x:c r="Q6" s="16" t="str">
        <x:v>対象区間新規</x:v>
      </x:c>
      <x:c r="R6" s="16" t="str">
        <x:v>全新規枚数</x:v>
      </x:c>
      <x:c r="S6" s="16" t="str">
        <x:v>保有（分）</x:v>
      </x:c>
      <x:c r="T6" s="16" t="str">
        <x:v>両建て（分）</x:v>
      </x:c>
      <x:c r="U6" s="16" t="str">
        <x:v>買い上限（分）</x:v>
      </x:c>
      <x:c r="V6" s="16" t="str">
        <x:v>売り上限（分）</x:v>
      </x:c>
      <x:c r="W6" s="16" t="str">
        <x:v>上限拒否・縮小件数</x:v>
      </x:c>
      <x:c r="X6" s="16" t="str">
        <x:v>通知全拒否件数</x:v>
      </x:c>
      <x:c r="Y6" s="16" t="str">
        <x:v>実再参加件数</x:v>
      </x:c>
      <x:c r="Z6" s="17" t="str">
        <x:v>判断利益→実損失</x:v>
      </x:c>
    </x:row>
    <x:row r="7" ht="23" customHeight="1">
      <x:c r="A7" s="2" t="str">
        <x:v>2026-09-21_Night</x:v>
      </x:c>
      <x:c r="B7" s="19" t="n">
        <x:v>0</x:v>
      </x:c>
      <x:c r="C7" s="19" t="n">
        <x:v>45000</x:v>
      </x:c>
      <x:c r="D7" s="19" t="n">
        <x:f>B7-C7</x:f>
        <x:v>-45000</x:v>
      </x:c>
      <x:c r="E7" s="19" t="n">
        <x:f>D7</x:f>
        <x:v>-45000</x:v>
      </x:c>
      <x:c r="F7" s="19" t="n">
        <x:v>0</x:v>
      </x:c>
      <x:c r="G7" s="19" t="n">
        <x:f>D7-F7</x:f>
        <x:v>-45000</x:v>
      </x:c>
      <x:c r="H7" s="19" t="n">
        <x:v>0</x:v>
      </x:c>
      <x:c r="I7" s="19" t="n">
        <x:v>0</x:v>
      </x:c>
      <x:c r="J7" s="19" t="n">
        <x:v>0</x:v>
      </x:c>
      <x:c r="K7" s="19" t="n">
        <x:v>0</x:v>
      </x:c>
      <x:c r="L7" s="19" t="n">
        <x:v>0</x:v>
      </x:c>
      <x:c r="M7" s="19" t="n">
        <x:v>0</x:v>
      </x:c>
      <x:c r="N7" s="20" t="n">
        <x:v>5</x:v>
      </x:c>
      <x:c r="O7" s="20" t="n">
        <x:v>0</x:v>
      </x:c>
      <x:c r="P7" s="20" t="n">
        <x:v>1</x:v>
      </x:c>
      <x:c r="Q7" s="20" t="n">
        <x:v>0</x:v>
      </x:c>
      <x:c r="R7" s="20" t="n">
        <x:v>5</x:v>
      </x:c>
      <x:c r="S7" s="21" t="n">
        <x:f>0/60</x:f>
        <x:v>0</x:v>
      </x:c>
      <x:c r="T7" s="21" t="n">
        <x:f>0/60</x:f>
        <x:v>0</x:v>
      </x:c>
      <x:c r="U7" s="21" t="n">
        <x:f>0/60</x:f>
        <x:v>0</x:v>
      </x:c>
      <x:c r="V7" s="21" t="n">
        <x:f>0/60</x:f>
        <x:v>0</x:v>
      </x:c>
      <x:c r="W7" s="20" t="n">
        <x:v>0</x:v>
      </x:c>
      <x:c r="X7" s="20" t="n">
        <x:v>0</x:v>
      </x:c>
      <x:c r="Y7" s="20" t="n">
        <x:v>0</x:v>
      </x:c>
      <x:c r="Z7" s="20" t="n">
        <x:v>0</x:v>
      </x:c>
    </x:row>
    <x:row r="8" ht="23" customHeight="1">
      <x:c r="A8" s="2" t="str">
        <x:v>2026-09-22_Night</x:v>
      </x:c>
      <x:c r="B8" s="19" t="n">
        <x:v>64000</x:v>
      </x:c>
      <x:c r="C8" s="19" t="n">
        <x:v>0</x:v>
      </x:c>
      <x:c r="D8" s="19" t="n">
        <x:f>B8-C8</x:f>
        <x:v>64000</x:v>
      </x:c>
      <x:c r="E8" s="19" t="n">
        <x:f>E7+D8</x:f>
        <x:v>19000</x:v>
      </x:c>
      <x:c r="F8" s="19" t="n">
        <x:v>40000</x:v>
      </x:c>
      <x:c r="G8" s="19" t="n">
        <x:f>D8-F8</x:f>
        <x:v>24000</x:v>
      </x:c>
      <x:c r="H8" s="19" t="n">
        <x:v>40000</x:v>
      </x:c>
      <x:c r="I8" s="19" t="n">
        <x:v>0</x:v>
      </x:c>
      <x:c r="J8" s="19" t="n">
        <x:v>0</x:v>
      </x:c>
      <x:c r="K8" s="19" t="n">
        <x:v>0</x:v>
      </x:c>
      <x:c r="L8" s="19" t="n">
        <x:v>45000</x:v>
      </x:c>
      <x:c r="M8" s="19" t="n">
        <x:v>55000</x:v>
      </x:c>
      <x:c r="N8" s="20" t="n">
        <x:v>5</x:v>
      </x:c>
      <x:c r="O8" s="20" t="n">
        <x:v>0</x:v>
      </x:c>
      <x:c r="P8" s="20" t="n">
        <x:v>2</x:v>
      </x:c>
      <x:c r="Q8" s="20" t="n">
        <x:v>1</x:v>
      </x:c>
      <x:c r="R8" s="20" t="n">
        <x:v>10</x:v>
      </x:c>
      <x:c r="S8" s="21" t="n">
        <x:f>2453/60</x:f>
        <x:v>40.88333333333333</x:v>
      </x:c>
      <x:c r="T8" s="21" t="n">
        <x:f>0/60</x:f>
        <x:v>0</x:v>
      </x:c>
      <x:c r="U8" s="21" t="n">
        <x:f>0/60</x:f>
        <x:v>0</x:v>
      </x:c>
      <x:c r="V8" s="21" t="n">
        <x:f>0/60</x:f>
        <x:v>0</x:v>
      </x:c>
      <x:c r="W8" s="20" t="n">
        <x:v>0</x:v>
      </x:c>
      <x:c r="X8" s="20" t="n">
        <x:v>0</x:v>
      </x:c>
      <x:c r="Y8" s="20" t="n">
        <x:v>0</x:v>
      </x:c>
      <x:c r="Z8" s="20" t="n">
        <x:v>0</x:v>
      </x:c>
    </x:row>
    <x:row r="9" ht="23" customHeight="1">
      <x:c r="A9" s="2" t="str">
        <x:v>2026-09-23_Night</x:v>
      </x:c>
      <x:c r="B9" s="19" t="n">
        <x:v>5000</x:v>
      </x:c>
      <x:c r="C9" s="19" t="n">
        <x:v>41000</x:v>
      </x:c>
      <x:c r="D9" s="19" t="n">
        <x:f>B9-C9</x:f>
        <x:v>-36000</x:v>
      </x:c>
      <x:c r="E9" s="19" t="n">
        <x:f>E8+D9</x:f>
        <x:v>-17000</x:v>
      </x:c>
      <x:c r="F9" s="19" t="n">
        <x:v>0</x:v>
      </x:c>
      <x:c r="G9" s="19" t="n">
        <x:f>D9-F9</x:f>
        <x:v>-36000</x:v>
      </x:c>
      <x:c r="H9" s="19" t="n">
        <x:v>0</x:v>
      </x:c>
      <x:c r="I9" s="19" t="n">
        <x:v>0</x:v>
      </x:c>
      <x:c r="J9" s="19" t="n">
        <x:v>0</x:v>
      </x:c>
      <x:c r="K9" s="19" t="n">
        <x:v>0</x:v>
      </x:c>
      <x:c r="L9" s="19" t="n">
        <x:v>0</x:v>
      </x:c>
      <x:c r="M9" s="19" t="n">
        <x:v>0</x:v>
      </x:c>
      <x:c r="N9" s="20" t="n">
        <x:v>2</x:v>
      </x:c>
      <x:c r="O9" s="20" t="n">
        <x:v>5</x:v>
      </x:c>
      <x:c r="P9" s="20" t="n">
        <x:v>3</x:v>
      </x:c>
      <x:c r="Q9" s="20" t="n">
        <x:v>0</x:v>
      </x:c>
      <x:c r="R9" s="20" t="n">
        <x:v>7</x:v>
      </x:c>
      <x:c r="S9" s="21" t="n">
        <x:f>0/60</x:f>
        <x:v>0</x:v>
      </x:c>
      <x:c r="T9" s="21" t="n">
        <x:f>0/60</x:f>
        <x:v>0</x:v>
      </x:c>
      <x:c r="U9" s="21" t="n">
        <x:f>0/60</x:f>
        <x:v>0</x:v>
      </x:c>
      <x:c r="V9" s="21" t="n">
        <x:f>0/60</x:f>
        <x:v>0</x:v>
      </x:c>
      <x:c r="W9" s="20" t="n">
        <x:v>0</x:v>
      </x:c>
      <x:c r="X9" s="20" t="n">
        <x:v>0</x:v>
      </x:c>
      <x:c r="Y9" s="20" t="n">
        <x:v>0</x:v>
      </x:c>
      <x:c r="Z9" s="20" t="n">
        <x:v>0</x:v>
      </x:c>
    </x:row>
    <x:row r="10" ht="23" customHeight="1">
      <x:c r="A10" s="2" t="str">
        <x:v>2026-09-24_Night</x:v>
      </x:c>
      <x:c r="B10" s="19" t="n">
        <x:v>75000</x:v>
      </x:c>
      <x:c r="C10" s="19" t="n">
        <x:v>0</x:v>
      </x:c>
      <x:c r="D10" s="19" t="n">
        <x:f>B10-C10</x:f>
        <x:v>75000</x:v>
      </x:c>
      <x:c r="E10" s="19" t="n">
        <x:f>E9+D10</x:f>
        <x:v>58000</x:v>
      </x:c>
      <x:c r="F10" s="19" t="n">
        <x:v>55000</x:v>
      </x:c>
      <x:c r="G10" s="19" t="n">
        <x:f>D10-F10</x:f>
        <x:v>20000</x:v>
      </x:c>
      <x:c r="H10" s="19" t="n">
        <x:v>30000</x:v>
      </x:c>
      <x:c r="I10" s="19" t="n">
        <x:v>0</x:v>
      </x:c>
      <x:c r="J10" s="19" t="n">
        <x:v>25000</x:v>
      </x:c>
      <x:c r="K10" s="19" t="n">
        <x:v>0</x:v>
      </x:c>
      <x:c r="L10" s="19" t="n">
        <x:v>85000</x:v>
      </x:c>
      <x:c r="M10" s="19" t="n">
        <x:v>90000</x:v>
      </x:c>
      <x:c r="N10" s="20" t="n">
        <x:v>5</x:v>
      </x:c>
      <x:c r="O10" s="20" t="n">
        <x:v>2</x:v>
      </x:c>
      <x:c r="P10" s="20" t="n">
        <x:v>4</x:v>
      </x:c>
      <x:c r="Q10" s="20" t="n">
        <x:v>2</x:v>
      </x:c>
      <x:c r="R10" s="20" t="n">
        <x:v>12</x:v>
      </x:c>
      <x:c r="S10" s="21" t="n">
        <x:f>6443/60</x:f>
        <x:v>107.38333333333334</x:v>
      </x:c>
      <x:c r="T10" s="21" t="n">
        <x:f>0/60</x:f>
        <x:v>0</x:v>
      </x:c>
      <x:c r="U10" s="21" t="n">
        <x:f>0/60</x:f>
        <x:v>0</x:v>
      </x:c>
      <x:c r="V10" s="21" t="n">
        <x:f>0/60</x:f>
        <x:v>0</x:v>
      </x:c>
      <x:c r="W10" s="20" t="n">
        <x:v>0</x:v>
      </x:c>
      <x:c r="X10" s="20" t="n">
        <x:v>0</x:v>
      </x:c>
      <x:c r="Y10" s="20" t="n">
        <x:v>0</x:v>
      </x:c>
      <x:c r="Z10" s="20" t="n">
        <x:v>0</x:v>
      </x:c>
    </x:row>
    <x:row r="11" ht="23" customHeight="1">
      <x:c r="A11" s="2" t="str">
        <x:v>2026-09-25_Night</x:v>
      </x:c>
      <x:c r="B11" s="19" t="n">
        <x:v>17000</x:v>
      </x:c>
      <x:c r="C11" s="19" t="n">
        <x:v>16000</x:v>
      </x:c>
      <x:c r="D11" s="19" t="n">
        <x:f>B11-C11</x:f>
        <x:v>1000</x:v>
      </x:c>
      <x:c r="E11" s="19" t="n">
        <x:f>E10+D11</x:f>
        <x:v>59000</x:v>
      </x:c>
      <x:c r="F11" s="19" t="n">
        <x:v>0</x:v>
      </x:c>
      <x:c r="G11" s="19" t="n">
        <x:f>D11-F11</x:f>
        <x:v>1000</x:v>
      </x:c>
      <x:c r="H11" s="19" t="n">
        <x:v>0</x:v>
      </x:c>
      <x:c r="I11" s="19" t="n">
        <x:v>0</x:v>
      </x:c>
      <x:c r="J11" s="19" t="n">
        <x:v>0</x:v>
      </x:c>
      <x:c r="K11" s="19" t="n">
        <x:v>0</x:v>
      </x:c>
      <x:c r="L11" s="19" t="n">
        <x:v>0</x:v>
      </x:c>
      <x:c r="M11" s="19" t="n">
        <x:v>0</x:v>
      </x:c>
      <x:c r="N11" s="20" t="n">
        <x:v>1</x:v>
      </x:c>
      <x:c r="O11" s="20" t="n">
        <x:v>5</x:v>
      </x:c>
      <x:c r="P11" s="20" t="n">
        <x:v>2</x:v>
      </x:c>
      <x:c r="Q11" s="20" t="n">
        <x:v>0</x:v>
      </x:c>
      <x:c r="R11" s="20" t="n">
        <x:v>6</x:v>
      </x:c>
      <x:c r="S11" s="21" t="n">
        <x:f>0/60</x:f>
        <x:v>0</x:v>
      </x:c>
      <x:c r="T11" s="21" t="n">
        <x:f>0/60</x:f>
        <x:v>0</x:v>
      </x:c>
      <x:c r="U11" s="21" t="n">
        <x:f>0/60</x:f>
        <x:v>0</x:v>
      </x:c>
      <x:c r="V11" s="21" t="n">
        <x:f>0/60</x:f>
        <x:v>0</x:v>
      </x:c>
      <x:c r="W11" s="20" t="n">
        <x:v>0</x:v>
      </x:c>
      <x:c r="X11" s="20" t="n">
        <x:v>0</x:v>
      </x:c>
      <x:c r="Y11" s="20" t="n">
        <x:v>0</x:v>
      </x:c>
      <x:c r="Z11" s="20" t="n">
        <x:v>0</x:v>
      </x:c>
    </x:row>
    <x:row r="12" ht="23" customHeight="1">
      <x:c r="A12" s="2" t="str">
        <x:v>2026-09-28_Night</x:v>
      </x:c>
      <x:c r="B12" s="19" t="n">
        <x:v>20000</x:v>
      </x:c>
      <x:c r="C12" s="19" t="n">
        <x:v>39000</x:v>
      </x:c>
      <x:c r="D12" s="19" t="n">
        <x:f>B12-C12</x:f>
        <x:v>-19000</x:v>
      </x:c>
      <x:c r="E12" s="19" t="n">
        <x:f>E11+D12</x:f>
        <x:v>40000</x:v>
      </x:c>
      <x:c r="F12" s="19" t="n">
        <x:v>10000</x:v>
      </x:c>
      <x:c r="G12" s="19" t="n">
        <x:f>D12-F12</x:f>
        <x:v>-29000</x:v>
      </x:c>
      <x:c r="H12" s="19" t="n">
        <x:v>10000</x:v>
      </x:c>
      <x:c r="I12" s="19" t="n">
        <x:v>0</x:v>
      </x:c>
      <x:c r="J12" s="19" t="n">
        <x:v>0</x:v>
      </x:c>
      <x:c r="K12" s="19" t="n">
        <x:v>0</x:v>
      </x:c>
      <x:c r="L12" s="19" t="n">
        <x:v>6000</x:v>
      </x:c>
      <x:c r="M12" s="19" t="n">
        <x:v>6000</x:v>
      </x:c>
      <x:c r="N12" s="20" t="n">
        <x:v>3</x:v>
      </x:c>
      <x:c r="O12" s="20" t="n">
        <x:v>3</x:v>
      </x:c>
      <x:c r="P12" s="20" t="n">
        <x:v>5</x:v>
      </x:c>
      <x:c r="Q12" s="20" t="n">
        <x:v>1</x:v>
      </x:c>
      <x:c r="R12" s="20" t="n">
        <x:v>7</x:v>
      </x:c>
      <x:c r="S12" s="21" t="n">
        <x:f>2235/60</x:f>
        <x:v>37.25</x:v>
      </x:c>
      <x:c r="T12" s="21" t="n">
        <x:f>0/60</x:f>
        <x:v>0</x:v>
      </x:c>
      <x:c r="U12" s="21" t="n">
        <x:f>0/60</x:f>
        <x:v>0</x:v>
      </x:c>
      <x:c r="V12" s="21" t="n">
        <x:f>0/60</x:f>
        <x:v>0</x:v>
      </x:c>
      <x:c r="W12" s="20" t="n">
        <x:v>0</x:v>
      </x:c>
      <x:c r="X12" s="20" t="n">
        <x:v>0</x:v>
      </x:c>
      <x:c r="Y12" s="20" t="n">
        <x:v>0</x:v>
      </x:c>
      <x:c r="Z12" s="20" t="n">
        <x:v>0</x:v>
      </x:c>
    </x:row>
    <x:row r="13" ht="23" customHeight="1">
      <x:c r="A13" s="2" t="str">
        <x:v>2026-09-29_Night</x:v>
      </x:c>
      <x:c r="B13" s="19" t="n">
        <x:v>90000</x:v>
      </x:c>
      <x:c r="C13" s="19" t="n">
        <x:v>25000</x:v>
      </x:c>
      <x:c r="D13" s="19" t="n">
        <x:f>B13-C13</x:f>
        <x:v>65000</x:v>
      </x:c>
      <x:c r="E13" s="19" t="n">
        <x:f>E12+D13</x:f>
        <x:v>105000</x:v>
      </x:c>
      <x:c r="F13" s="19" t="n">
        <x:v>0</x:v>
      </x:c>
      <x:c r="G13" s="19" t="n">
        <x:f>D13-F13</x:f>
        <x:v>65000</x:v>
      </x:c>
      <x:c r="H13" s="19" t="n">
        <x:v>0</x:v>
      </x:c>
      <x:c r="I13" s="19" t="n">
        <x:v>0</x:v>
      </x:c>
      <x:c r="J13" s="19" t="n">
        <x:v>0</x:v>
      </x:c>
      <x:c r="K13" s="19" t="n">
        <x:v>0</x:v>
      </x:c>
      <x:c r="L13" s="19" t="n">
        <x:v>0</x:v>
      </x:c>
      <x:c r="M13" s="19" t="n">
        <x:v>0</x:v>
      </x:c>
      <x:c r="N13" s="20" t="n">
        <x:v>5</x:v>
      </x:c>
      <x:c r="O13" s="20" t="n">
        <x:v>5</x:v>
      </x:c>
      <x:c r="P13" s="20" t="n">
        <x:v>6</x:v>
      </x:c>
      <x:c r="Q13" s="20" t="n">
        <x:v>0</x:v>
      </x:c>
      <x:c r="R13" s="20" t="n">
        <x:v>14</x:v>
      </x:c>
      <x:c r="S13" s="21" t="n">
        <x:f>0/60</x:f>
        <x:v>0</x:v>
      </x:c>
      <x:c r="T13" s="21" t="n">
        <x:f>0/60</x:f>
        <x:v>0</x:v>
      </x:c>
      <x:c r="U13" s="21" t="n">
        <x:f>0/60</x:f>
        <x:v>0</x:v>
      </x:c>
      <x:c r="V13" s="21" t="n">
        <x:f>0/60</x:f>
        <x:v>0</x:v>
      </x:c>
      <x:c r="W13" s="20" t="n">
        <x:v>0</x:v>
      </x:c>
      <x:c r="X13" s="20" t="n">
        <x:v>0</x:v>
      </x:c>
      <x:c r="Y13" s="20" t="n">
        <x:v>0</x:v>
      </x:c>
      <x:c r="Z13" s="20" t="n">
        <x:v>0</x:v>
      </x:c>
    </x:row>
    <x:row r="14" ht="23" customHeight="1">
      <x:c r="A14" s="2" t="str">
        <x:v>2026-09-30_Night</x:v>
      </x:c>
      <x:c r="B14" s="19" t="n">
        <x:v>174000</x:v>
      </x:c>
      <x:c r="C14" s="19" t="n">
        <x:v>6000</x:v>
      </x:c>
      <x:c r="D14" s="19" t="n">
        <x:f>B14-C14</x:f>
        <x:v>168000</x:v>
      </x:c>
      <x:c r="E14" s="19" t="n">
        <x:f>E13+D14</x:f>
        <x:v>273000</x:v>
      </x:c>
      <x:c r="F14" s="19" t="n">
        <x:v>125000</x:v>
      </x:c>
      <x:c r="G14" s="19" t="n">
        <x:f>D14-F14</x:f>
        <x:v>43000</x:v>
      </x:c>
      <x:c r="H14" s="19" t="n">
        <x:v>125000</x:v>
      </x:c>
      <x:c r="I14" s="19" t="n">
        <x:v>0</x:v>
      </x:c>
      <x:c r="J14" s="19" t="n">
        <x:v>0</x:v>
      </x:c>
      <x:c r="K14" s="19" t="n">
        <x:v>0</x:v>
      </x:c>
      <x:c r="L14" s="19" t="n">
        <x:v>90000</x:v>
      </x:c>
      <x:c r="M14" s="19" t="n">
        <x:v>95000</x:v>
      </x:c>
      <x:c r="N14" s="20" t="n">
        <x:v>7</x:v>
      </x:c>
      <x:c r="O14" s="20" t="n">
        <x:v>5</x:v>
      </x:c>
      <x:c r="P14" s="20" t="n">
        <x:v>6</x:v>
      </x:c>
      <x:c r="Q14" s="20" t="n">
        <x:v>3</x:v>
      </x:c>
      <x:c r="R14" s="20" t="n">
        <x:v>22</x:v>
      </x:c>
      <x:c r="S14" s="21" t="n">
        <x:f>3258/60</x:f>
        <x:v>54.3</x:v>
      </x:c>
      <x:c r="T14" s="21" t="n">
        <x:f>0/60</x:f>
        <x:v>0</x:v>
      </x:c>
      <x:c r="U14" s="21" t="n">
        <x:f>0/60</x:f>
        <x:v>0</x:v>
      </x:c>
      <x:c r="V14" s="21" t="n">
        <x:f>0/60</x:f>
        <x:v>0</x:v>
      </x:c>
      <x:c r="W14" s="20" t="n">
        <x:v>0</x:v>
      </x:c>
      <x:c r="X14" s="20" t="n">
        <x:v>0</x:v>
      </x:c>
      <x:c r="Y14" s="20" t="n">
        <x:v>0</x:v>
      </x:c>
      <x:c r="Z14" s="20" t="n">
        <x:v>0</x:v>
      </x:c>
    </x:row>
    <x:row r="15" ht="23" customHeight="1">
      <x:c r="A15" s="2" t="str">
        <x:v>2026-10-01_Night</x:v>
      </x:c>
      <x:c r="B15" s="19" t="n">
        <x:v>292000</x:v>
      </x:c>
      <x:c r="C15" s="19" t="n">
        <x:v>212000</x:v>
      </x:c>
      <x:c r="D15" s="19" t="n">
        <x:f>B15-C15</x:f>
        <x:v>80000</x:v>
      </x:c>
      <x:c r="E15" s="19" t="n">
        <x:f>E14+D15</x:f>
        <x:v>353000</x:v>
      </x:c>
      <x:c r="F15" s="19" t="n">
        <x:v>-18000</x:v>
      </x:c>
      <x:c r="G15" s="19" t="n">
        <x:f>D15-F15</x:f>
        <x:v>98000</x:v>
      </x:c>
      <x:c r="H15" s="19" t="n">
        <x:v>87000</x:v>
      </x:c>
      <x:c r="I15" s="19" t="n">
        <x:v>0</x:v>
      </x:c>
      <x:c r="J15" s="19" t="n">
        <x:v>15000</x:v>
      </x:c>
      <x:c r="K15" s="19" t="n">
        <x:v>120000</x:v>
      </x:c>
      <x:c r="L15" s="19" t="n">
        <x:v>117000</x:v>
      </x:c>
      <x:c r="M15" s="19" t="n">
        <x:v>111000</x:v>
      </x:c>
      <x:c r="N15" s="20" t="n">
        <x:v>5</x:v>
      </x:c>
      <x:c r="O15" s="20" t="n">
        <x:v>6</x:v>
      </x:c>
      <x:c r="P15" s="20" t="n">
        <x:v>16</x:v>
      </x:c>
      <x:c r="Q15" s="20" t="n">
        <x:v>8</x:v>
      </x:c>
      <x:c r="R15" s="20" t="n">
        <x:v>36</x:v>
      </x:c>
      <x:c r="S15" s="21" t="n">
        <x:f>12709/60</x:f>
        <x:v>211.81666666666666</x:v>
      </x:c>
      <x:c r="T15" s="21" t="n">
        <x:f>4431/60</x:f>
        <x:v>73.85</x:v>
      </x:c>
      <x:c r="U15" s="21" t="n">
        <x:f>0/60</x:f>
        <x:v>0</x:v>
      </x:c>
      <x:c r="V15" s="21" t="n">
        <x:f>0/60</x:f>
        <x:v>0</x:v>
      </x:c>
      <x:c r="W15" s="20" t="n">
        <x:v>0</x:v>
      </x:c>
      <x:c r="X15" s="20" t="n">
        <x:v>0</x:v>
      </x:c>
      <x:c r="Y15" s="20" t="n">
        <x:v>0</x:v>
      </x:c>
      <x:c r="Z15" s="20" t="n">
        <x:v>0</x:v>
      </x:c>
    </x:row>
    <x:row r="16" ht="23" customHeight="1">
      <x:c r="A16" s="2" t="str">
        <x:v>2026-10-02_Night</x:v>
      </x:c>
      <x:c r="B16" s="19" t="n">
        <x:v>313000</x:v>
      </x:c>
      <x:c r="C16" s="19" t="n">
        <x:v>57000</x:v>
      </x:c>
      <x:c r="D16" s="19" t="n">
        <x:f>B16-C16</x:f>
        <x:v>256000</x:v>
      </x:c>
      <x:c r="E16" s="19" t="n">
        <x:f>E15+D16</x:f>
        <x:v>609000</x:v>
      </x:c>
      <x:c r="F16" s="19" t="n">
        <x:v>0</x:v>
      </x:c>
      <x:c r="G16" s="19" t="n">
        <x:f>D16-F16</x:f>
        <x:v>256000</x:v>
      </x:c>
      <x:c r="H16" s="19" t="n">
        <x:v>0</x:v>
      </x:c>
      <x:c r="I16" s="19" t="n">
        <x:v>0</x:v>
      </x:c>
      <x:c r="J16" s="19" t="n">
        <x:v>0</x:v>
      </x:c>
      <x:c r="K16" s="19" t="n">
        <x:v>0</x:v>
      </x:c>
      <x:c r="L16" s="19" t="n">
        <x:v>0</x:v>
      </x:c>
      <x:c r="M16" s="19" t="n">
        <x:v>0</x:v>
      </x:c>
      <x:c r="N16" s="20" t="n">
        <x:v>7</x:v>
      </x:c>
      <x:c r="O16" s="20" t="n">
        <x:v>10</x:v>
      </x:c>
      <x:c r="P16" s="20" t="n">
        <x:v>15</x:v>
      </x:c>
      <x:c r="Q16" s="20" t="n">
        <x:v>0</x:v>
      </x:c>
      <x:c r="R16" s="20" t="n">
        <x:v>28</x:v>
      </x:c>
      <x:c r="S16" s="21" t="n">
        <x:f>0/60</x:f>
        <x:v>0</x:v>
      </x:c>
      <x:c r="T16" s="21" t="n">
        <x:f>0/60</x:f>
        <x:v>0</x:v>
      </x:c>
      <x:c r="U16" s="21" t="n">
        <x:f>0/60</x:f>
        <x:v>0</x:v>
      </x:c>
      <x:c r="V16" s="21" t="n">
        <x:f>0/60</x:f>
        <x:v>0</x:v>
      </x:c>
      <x:c r="W16" s="20" t="n">
        <x:v>0</x:v>
      </x:c>
      <x:c r="X16" s="20" t="n">
        <x:v>0</x:v>
      </x:c>
      <x:c r="Y16" s="20" t="n">
        <x:v>0</x:v>
      </x:c>
      <x:c r="Z16" s="20" t="n">
        <x:v>0</x:v>
      </x:c>
    </x:row>
    <x:row r="17" ht="23" customHeight="1">
      <x:c r="A17" s="2" t="str">
        <x:v>2026-10-05_Night</x:v>
      </x:c>
      <x:c r="B17" s="19" t="n">
        <x:v>133000</x:v>
      </x:c>
      <x:c r="C17" s="19" t="n">
        <x:v>64000</x:v>
      </x:c>
      <x:c r="D17" s="19" t="n">
        <x:f>B17-C17</x:f>
        <x:v>69000</x:v>
      </x:c>
      <x:c r="E17" s="19" t="n">
        <x:f>E16+D17</x:f>
        <x:v>678000</x:v>
      </x:c>
      <x:c r="F17" s="19" t="n">
        <x:v>35000</x:v>
      </x:c>
      <x:c r="G17" s="19" t="n">
        <x:f>D17-F17</x:f>
        <x:v>34000</x:v>
      </x:c>
      <x:c r="H17" s="19" t="n">
        <x:v>35000</x:v>
      </x:c>
      <x:c r="I17" s="19" t="n">
        <x:v>0</x:v>
      </x:c>
      <x:c r="J17" s="19" t="n">
        <x:v>0</x:v>
      </x:c>
      <x:c r="K17" s="19" t="n">
        <x:v>0</x:v>
      </x:c>
      <x:c r="L17" s="19" t="n">
        <x:v>10000</x:v>
      </x:c>
      <x:c r="M17" s="19" t="n">
        <x:v>15000</x:v>
      </x:c>
      <x:c r="N17" s="20" t="n">
        <x:v>5</x:v>
      </x:c>
      <x:c r="O17" s="20" t="n">
        <x:v>5</x:v>
      </x:c>
      <x:c r="P17" s="20" t="n">
        <x:v>8</x:v>
      </x:c>
      <x:c r="Q17" s="20" t="n">
        <x:v>1</x:v>
      </x:c>
      <x:c r="R17" s="20" t="n">
        <x:v>19</x:v>
      </x:c>
      <x:c r="S17" s="21" t="n">
        <x:f>176/60</x:f>
        <x:v>2.933333333333333</x:v>
      </x:c>
      <x:c r="T17" s="21" t="n">
        <x:f>0/60</x:f>
        <x:v>0</x:v>
      </x:c>
      <x:c r="U17" s="21" t="n">
        <x:f>0/60</x:f>
        <x:v>0</x:v>
      </x:c>
      <x:c r="V17" s="21" t="n">
        <x:f>0/60</x:f>
        <x:v>0</x:v>
      </x:c>
      <x:c r="W17" s="20" t="n">
        <x:v>0</x:v>
      </x:c>
      <x:c r="X17" s="20" t="n">
        <x:v>0</x:v>
      </x:c>
      <x:c r="Y17" s="20" t="n">
        <x:v>0</x:v>
      </x:c>
      <x:c r="Z17" s="20" t="n">
        <x:v>0</x:v>
      </x:c>
    </x:row>
    <x:row r="18" ht="23" customHeight="1">
      <x:c r="A18" s="2" t="str">
        <x:v>2026-10-06_Night</x:v>
      </x:c>
      <x:c r="B18" s="19" t="n">
        <x:v>33000</x:v>
      </x:c>
      <x:c r="C18" s="19" t="n">
        <x:v>43000</x:v>
      </x:c>
      <x:c r="D18" s="19" t="n">
        <x:f>B18-C18</x:f>
        <x:v>-10000</x:v>
      </x:c>
      <x:c r="E18" s="19" t="n">
        <x:f>E17+D18</x:f>
        <x:v>668000</x:v>
      </x:c>
      <x:c r="F18" s="19" t="n">
        <x:v>0</x:v>
      </x:c>
      <x:c r="G18" s="19" t="n">
        <x:f>D18-F18</x:f>
        <x:v>-10000</x:v>
      </x:c>
      <x:c r="H18" s="19" t="n">
        <x:v>0</x:v>
      </x:c>
      <x:c r="I18" s="19" t="n">
        <x:v>0</x:v>
      </x:c>
      <x:c r="J18" s="19" t="n">
        <x:v>0</x:v>
      </x:c>
      <x:c r="K18" s="19" t="n">
        <x:v>0</x:v>
      </x:c>
      <x:c r="L18" s="19" t="n">
        <x:v>0</x:v>
      </x:c>
      <x:c r="M18" s="19" t="n">
        <x:v>0</x:v>
      </x:c>
      <x:c r="N18" s="20" t="n">
        <x:v>0</x:v>
      </x:c>
      <x:c r="O18" s="20" t="n">
        <x:v>7</x:v>
      </x:c>
      <x:c r="P18" s="20" t="n">
        <x:v>4</x:v>
      </x:c>
      <x:c r="Q18" s="20" t="n">
        <x:v>0</x:v>
      </x:c>
      <x:c r="R18" s="20" t="n">
        <x:v>8</x:v>
      </x:c>
      <x:c r="S18" s="21" t="n">
        <x:f>0/60</x:f>
        <x:v>0</x:v>
      </x:c>
      <x:c r="T18" s="21" t="n">
        <x:f>0/60</x:f>
        <x:v>0</x:v>
      </x:c>
      <x:c r="U18" s="21" t="n">
        <x:f>0/60</x:f>
        <x:v>0</x:v>
      </x:c>
      <x:c r="V18" s="21" t="n">
        <x:f>0/60</x:f>
        <x:v>0</x:v>
      </x:c>
      <x:c r="W18" s="20" t="n">
        <x:v>0</x:v>
      </x:c>
      <x:c r="X18" s="20" t="n">
        <x:v>0</x:v>
      </x:c>
      <x:c r="Y18" s="20" t="n">
        <x:v>0</x:v>
      </x:c>
      <x:c r="Z18" s="20" t="n">
        <x:v>0</x:v>
      </x:c>
    </x:row>
    <x:row r="19" ht="23" customHeight="1">
      <x:c r="A19" s="2" t="str">
        <x:v>2026-10-07_Night</x:v>
      </x:c>
      <x:c r="B19" s="19" t="n">
        <x:v>35000</x:v>
      </x:c>
      <x:c r="C19" s="19" t="n">
        <x:v>67000</x:v>
      </x:c>
      <x:c r="D19" s="19" t="n">
        <x:f>B19-C19</x:f>
        <x:v>-32000</x:v>
      </x:c>
      <x:c r="E19" s="19" t="n">
        <x:f>E18+D19</x:f>
        <x:v>636000</x:v>
      </x:c>
      <x:c r="F19" s="19" t="n">
        <x:v>-10000</x:v>
      </x:c>
      <x:c r="G19" s="19" t="n">
        <x:f>D19-F19</x:f>
        <x:v>-22000</x:v>
      </x:c>
      <x:c r="H19" s="19" t="n">
        <x:v>35000</x:v>
      </x:c>
      <x:c r="I19" s="19" t="n">
        <x:v>0</x:v>
      </x:c>
      <x:c r="J19" s="19" t="n">
        <x:v>0</x:v>
      </x:c>
      <x:c r="K19" s="19" t="n">
        <x:v>45000</x:v>
      </x:c>
      <x:c r="L19" s="19" t="n">
        <x:v>49000</x:v>
      </x:c>
      <x:c r="M19" s="19" t="n">
        <x:v>59000</x:v>
      </x:c>
      <x:c r="N19" s="20" t="n">
        <x:v>2</x:v>
      </x:c>
      <x:c r="O19" s="20" t="n">
        <x:v>5</x:v>
      </x:c>
      <x:c r="P19" s="20" t="n">
        <x:v>5</x:v>
      </x:c>
      <x:c r="Q19" s="20" t="n">
        <x:v>3</x:v>
      </x:c>
      <x:c r="R19" s="20" t="n">
        <x:v>9</x:v>
      </x:c>
      <x:c r="S19" s="21" t="n">
        <x:f>7336/60</x:f>
        <x:v>122.26666666666667</x:v>
      </x:c>
      <x:c r="T19" s="21" t="n">
        <x:f>0/60</x:f>
        <x:v>0</x:v>
      </x:c>
      <x:c r="U19" s="21" t="n">
        <x:f>0/60</x:f>
        <x:v>0</x:v>
      </x:c>
      <x:c r="V19" s="21" t="n">
        <x:f>0/60</x:f>
        <x:v>0</x:v>
      </x:c>
      <x:c r="W19" s="20" t="n">
        <x:v>0</x:v>
      </x:c>
      <x:c r="X19" s="20" t="n">
        <x:v>0</x:v>
      </x:c>
      <x:c r="Y19" s="20" t="n">
        <x:v>0</x:v>
      </x:c>
      <x:c r="Z19" s="20" t="n">
        <x:v>0</x:v>
      </x:c>
    </x:row>
    <x:row r="20" ht="23" customHeight="1">
      <x:c r="A20" s="2" t="str">
        <x:v>2026-10-08_Night</x:v>
      </x:c>
      <x:c r="B20" s="19" t="n">
        <x:v>362000</x:v>
      </x:c>
      <x:c r="C20" s="19" t="n">
        <x:v>36000</x:v>
      </x:c>
      <x:c r="D20" s="19" t="n">
        <x:f>B20-C20</x:f>
        <x:v>326000</x:v>
      </x:c>
      <x:c r="E20" s="19" t="n">
        <x:f>E19+D20</x:f>
        <x:v>962000</x:v>
      </x:c>
      <x:c r="F20" s="19" t="n">
        <x:v>20000</x:v>
      </x:c>
      <x:c r="G20" s="19" t="n">
        <x:f>D20-F20</x:f>
        <x:v>306000</x:v>
      </x:c>
      <x:c r="H20" s="19" t="n">
        <x:v>20000</x:v>
      </x:c>
      <x:c r="I20" s="19" t="n">
        <x:v>0</x:v>
      </x:c>
      <x:c r="J20" s="19" t="n">
        <x:v>0</x:v>
      </x:c>
      <x:c r="K20" s="19" t="n">
        <x:v>0</x:v>
      </x:c>
      <x:c r="L20" s="19" t="n">
        <x:v>5000</x:v>
      </x:c>
      <x:c r="M20" s="19" t="n">
        <x:v>9000</x:v>
      </x:c>
      <x:c r="N20" s="20" t="n">
        <x:v>8</x:v>
      </x:c>
      <x:c r="O20" s="20" t="n">
        <x:v>8</x:v>
      </x:c>
      <x:c r="P20" s="20" t="n">
        <x:v>17</x:v>
      </x:c>
      <x:c r="Q20" s="20" t="n">
        <x:v>2</x:v>
      </x:c>
      <x:c r="R20" s="20" t="n">
        <x:v>30</x:v>
      </x:c>
      <x:c r="S20" s="21" t="n">
        <x:f>2542/60</x:f>
        <x:v>42.36666666666667</x:v>
      </x:c>
      <x:c r="T20" s="21" t="n">
        <x:f>0/60</x:f>
        <x:v>0</x:v>
      </x:c>
      <x:c r="U20" s="21" t="n">
        <x:f>0/60</x:f>
        <x:v>0</x:v>
      </x:c>
      <x:c r="V20" s="21" t="n">
        <x:f>0/60</x:f>
        <x:v>0</x:v>
      </x:c>
      <x:c r="W20" s="20" t="n">
        <x:v>0</x:v>
      </x:c>
      <x:c r="X20" s="20" t="n">
        <x:v>0</x:v>
      </x:c>
      <x:c r="Y20" s="20" t="n">
        <x:v>0</x:v>
      </x:c>
      <x:c r="Z20" s="20" t="n">
        <x:v>0</x:v>
      </x:c>
    </x:row>
    <x:row r="21" ht="23" customHeight="1">
      <x:c r="A21" s="2" t="str">
        <x:v>2026-10-09_Night</x:v>
      </x:c>
      <x:c r="B21" s="19" t="n">
        <x:v>44000</x:v>
      </x:c>
      <x:c r="C21" s="19" t="n">
        <x:v>95000</x:v>
      </x:c>
      <x:c r="D21" s="19" t="n">
        <x:f>B21-C21</x:f>
        <x:v>-51000</x:v>
      </x:c>
      <x:c r="E21" s="19" t="n">
        <x:f>E20+D21</x:f>
        <x:v>911000</x:v>
      </x:c>
      <x:c r="F21" s="19" t="n">
        <x:v>-65000</x:v>
      </x:c>
      <x:c r="G21" s="19" t="n">
        <x:f>D21-F21</x:f>
        <x:v>14000</x:v>
      </x:c>
      <x:c r="H21" s="19" t="n">
        <x:v>30000</x:v>
      </x:c>
      <x:c r="I21" s="19" t="n">
        <x:v>0</x:v>
      </x:c>
      <x:c r="J21" s="19" t="n">
        <x:v>0</x:v>
      </x:c>
      <x:c r="K21" s="19" t="n">
        <x:v>95000</x:v>
      </x:c>
      <x:c r="L21" s="19" t="n">
        <x:v>110000</x:v>
      </x:c>
      <x:c r="M21" s="19" t="n">
        <x:v>135000</x:v>
      </x:c>
      <x:c r="N21" s="20" t="n">
        <x:v>0</x:v>
      </x:c>
      <x:c r="O21" s="20" t="n">
        <x:v>5</x:v>
      </x:c>
      <x:c r="P21" s="20" t="n">
        <x:v>3</x:v>
      </x:c>
      <x:c r="Q21" s="20" t="n">
        <x:v>2</x:v>
      </x:c>
      <x:c r="R21" s="20" t="n">
        <x:v>15</x:v>
      </x:c>
      <x:c r="S21" s="21" t="n">
        <x:f>3931/60</x:f>
        <x:v>65.51666666666667</x:v>
      </x:c>
      <x:c r="T21" s="21" t="n">
        <x:f>0/60</x:f>
        <x:v>0</x:v>
      </x:c>
      <x:c r="U21" s="21" t="n">
        <x:f>0/60</x:f>
        <x:v>0</x:v>
      </x:c>
      <x:c r="V21" s="21" t="n">
        <x:f>0/60</x:f>
        <x:v>0</x:v>
      </x:c>
      <x:c r="W21" s="20" t="n">
        <x:v>0</x:v>
      </x:c>
      <x:c r="X21" s="20" t="n">
        <x:v>0</x:v>
      </x:c>
      <x:c r="Y21" s="20" t="n">
        <x:v>0</x:v>
      </x:c>
      <x:c r="Z21" s="20" t="n">
        <x:v>0</x:v>
      </x:c>
    </x:row>
    <x:row r="22" ht="23" customHeight="1">
      <x:c r="A22" s="2" t="str">
        <x:v>2026-10-12_Night</x:v>
      </x:c>
      <x:c r="B22" s="19" t="n">
        <x:v>82000</x:v>
      </x:c>
      <x:c r="C22" s="19" t="n">
        <x:v>0</x:v>
      </x:c>
      <x:c r="D22" s="19" t="n">
        <x:f>B22-C22</x:f>
        <x:v>82000</x:v>
      </x:c>
      <x:c r="E22" s="19" t="n">
        <x:f>E21+D22</x:f>
        <x:v>993000</x:v>
      </x:c>
      <x:c r="F22" s="19" t="n">
        <x:v>0</x:v>
      </x:c>
      <x:c r="G22" s="19" t="n">
        <x:f>D22-F22</x:f>
        <x:v>82000</x:v>
      </x:c>
      <x:c r="H22" s="19" t="n">
        <x:v>0</x:v>
      </x:c>
      <x:c r="I22" s="19" t="n">
        <x:v>0</x:v>
      </x:c>
      <x:c r="J22" s="19" t="n">
        <x:v>0</x:v>
      </x:c>
      <x:c r="K22" s="19" t="n">
        <x:v>0</x:v>
      </x:c>
      <x:c r="L22" s="19" t="n">
        <x:v>0</x:v>
      </x:c>
      <x:c r="M22" s="19" t="n">
        <x:v>0</x:v>
      </x:c>
      <x:c r="N22" s="20" t="n">
        <x:v>0</x:v>
      </x:c>
      <x:c r="O22" s="20" t="n">
        <x:v>5</x:v>
      </x:c>
      <x:c r="P22" s="20" t="n">
        <x:v>1</x:v>
      </x:c>
      <x:c r="Q22" s="20" t="n">
        <x:v>0</x:v>
      </x:c>
      <x:c r="R22" s="20" t="n">
        <x:v>5</x:v>
      </x:c>
      <x:c r="S22" s="21" t="n">
        <x:f>0/60</x:f>
        <x:v>0</x:v>
      </x:c>
      <x:c r="T22" s="21" t="n">
        <x:f>0/60</x:f>
        <x:v>0</x:v>
      </x:c>
      <x:c r="U22" s="21" t="n">
        <x:f>0/60</x:f>
        <x:v>0</x:v>
      </x:c>
      <x:c r="V22" s="21" t="n">
        <x:f>0/60</x:f>
        <x:v>0</x:v>
      </x:c>
      <x:c r="W22" s="20" t="n">
        <x:v>0</x:v>
      </x:c>
      <x:c r="X22" s="20" t="n">
        <x:v>0</x:v>
      </x:c>
      <x:c r="Y22" s="20" t="n">
        <x:v>0</x:v>
      </x:c>
      <x:c r="Z22" s="20" t="n">
        <x:v>0</x:v>
      </x:c>
    </x:row>
    <x:row r="23" ht="23" customHeight="1">
      <x:c r="A23" s="2" t="str">
        <x:v>2026-10-13_Night</x:v>
      </x:c>
      <x:c r="B23" s="19" t="n">
        <x:v>0</x:v>
      </x:c>
      <x:c r="C23" s="19" t="n">
        <x:v>203000</x:v>
      </x:c>
      <x:c r="D23" s="19" t="n">
        <x:f>B23-C23</x:f>
        <x:v>-203000</x:v>
      </x:c>
      <x:c r="E23" s="19" t="n">
        <x:f>E22+D23</x:f>
        <x:v>790000</x:v>
      </x:c>
      <x:c r="F23" s="19" t="n">
        <x:v>-150000</x:v>
      </x:c>
      <x:c r="G23" s="19" t="n">
        <x:f>D23-F23</x:f>
        <x:v>-53000</x:v>
      </x:c>
      <x:c r="H23" s="19" t="n">
        <x:v>0</x:v>
      </x:c>
      <x:c r="I23" s="19" t="n">
        <x:v>0</x:v>
      </x:c>
      <x:c r="J23" s="19" t="n">
        <x:v>0</x:v>
      </x:c>
      <x:c r="K23" s="19" t="n">
        <x:v>150000</x:v>
      </x:c>
      <x:c r="L23" s="19" t="n">
        <x:v>175000</x:v>
      </x:c>
      <x:c r="M23" s="19" t="n">
        <x:v>200000</x:v>
      </x:c>
      <x:c r="N23" s="20" t="n">
        <x:v>5</x:v>
      </x:c>
      <x:c r="O23" s="20" t="n">
        <x:v>5</x:v>
      </x:c>
      <x:c r="P23" s="20" t="n">
        <x:v>3</x:v>
      </x:c>
      <x:c r="Q23" s="20" t="n">
        <x:v>1</x:v>
      </x:c>
      <x:c r="R23" s="20" t="n">
        <x:v>11</x:v>
      </x:c>
      <x:c r="S23" s="21" t="n">
        <x:f>14137/60</x:f>
        <x:v>235.61666666666667</x:v>
      </x:c>
      <x:c r="T23" s="21" t="n">
        <x:f>0/60</x:f>
        <x:v>0</x:v>
      </x:c>
      <x:c r="U23" s="21" t="n">
        <x:f>0/60</x:f>
        <x:v>0</x:v>
      </x:c>
      <x:c r="V23" s="21" t="n">
        <x:f>0/60</x:f>
        <x:v>0</x:v>
      </x:c>
      <x:c r="W23" s="20" t="n">
        <x:v>0</x:v>
      </x:c>
      <x:c r="X23" s="20" t="n">
        <x:v>0</x:v>
      </x:c>
      <x:c r="Y23" s="20" t="n">
        <x:v>0</x:v>
      </x:c>
      <x:c r="Z23" s="20" t="n">
        <x:v>0</x:v>
      </x:c>
    </x:row>
    <x:row r="24" ht="23" customHeight="1">
      <x:c r="A24" s="2" t="str">
        <x:v>2026-10-14_Night</x:v>
      </x:c>
      <x:c r="B24" s="19" t="n">
        <x:v>232000</x:v>
      </x:c>
      <x:c r="C24" s="19" t="n">
        <x:v>61000</x:v>
      </x:c>
      <x:c r="D24" s="19" t="n">
        <x:f>B24-C24</x:f>
        <x:v>171000</x:v>
      </x:c>
      <x:c r="E24" s="19" t="n">
        <x:f>E23+D24</x:f>
        <x:v>961000</x:v>
      </x:c>
      <x:c r="F24" s="19" t="n">
        <x:v>35000</x:v>
      </x:c>
      <x:c r="G24" s="19" t="n">
        <x:f>D24-F24</x:f>
        <x:v>136000</x:v>
      </x:c>
      <x:c r="H24" s="19" t="n">
        <x:v>35000</x:v>
      </x:c>
      <x:c r="I24" s="19" t="n">
        <x:v>0</x:v>
      </x:c>
      <x:c r="J24" s="19" t="n">
        <x:v>0</x:v>
      </x:c>
      <x:c r="K24" s="19" t="n">
        <x:v>0</x:v>
      </x:c>
      <x:c r="L24" s="19" t="n">
        <x:v>55000</x:v>
      </x:c>
      <x:c r="M24" s="19" t="n">
        <x:v>75000</x:v>
      </x:c>
      <x:c r="N24" s="20" t="n">
        <x:v>1</x:v>
      </x:c>
      <x:c r="O24" s="20" t="n">
        <x:v>5</x:v>
      </x:c>
      <x:c r="P24" s="20" t="n">
        <x:v>5</x:v>
      </x:c>
      <x:c r="Q24" s="20" t="n">
        <x:v>1</x:v>
      </x:c>
      <x:c r="R24" s="20" t="n">
        <x:v>14</x:v>
      </x:c>
      <x:c r="S24" s="21" t="n">
        <x:f>2654/60</x:f>
        <x:v>44.233333333333334</x:v>
      </x:c>
      <x:c r="T24" s="21" t="n">
        <x:f>0/60</x:f>
        <x:v>0</x:v>
      </x:c>
      <x:c r="U24" s="21" t="n">
        <x:f>0/60</x:f>
        <x:v>0</x:v>
      </x:c>
      <x:c r="V24" s="21" t="n">
        <x:f>0/60</x:f>
        <x:v>0</x:v>
      </x:c>
      <x:c r="W24" s="20" t="n">
        <x:v>0</x:v>
      </x:c>
      <x:c r="X24" s="20" t="n">
        <x:v>0</x:v>
      </x:c>
      <x:c r="Y24" s="20" t="n">
        <x:v>0</x:v>
      </x:c>
      <x:c r="Z24" s="20" t="n">
        <x:v>0</x:v>
      </x:c>
    </x:row>
    <x:row r="25" ht="23" customHeight="1">
      <x:c r="A25" s="2" t="str">
        <x:v>2026-10-15_Night</x:v>
      </x:c>
      <x:c r="B25" s="19" t="n">
        <x:v>86000</x:v>
      </x:c>
      <x:c r="C25" s="19" t="n">
        <x:v>64000</x:v>
      </x:c>
      <x:c r="D25" s="19" t="n">
        <x:f>B25-C25</x:f>
        <x:v>22000</x:v>
      </x:c>
      <x:c r="E25" s="19" t="n">
        <x:f>E24+D25</x:f>
        <x:v>983000</x:v>
      </x:c>
      <x:c r="F25" s="19" t="n">
        <x:v>0</x:v>
      </x:c>
      <x:c r="G25" s="19" t="n">
        <x:f>D25-F25</x:f>
        <x:v>22000</x:v>
      </x:c>
      <x:c r="H25" s="19" t="n">
        <x:v>0</x:v>
      </x:c>
      <x:c r="I25" s="19" t="n">
        <x:v>0</x:v>
      </x:c>
      <x:c r="J25" s="19" t="n">
        <x:v>0</x:v>
      </x:c>
      <x:c r="K25" s="19" t="n">
        <x:v>0</x:v>
      </x:c>
      <x:c r="L25" s="19" t="n">
        <x:v>0</x:v>
      </x:c>
      <x:c r="M25" s="19" t="n">
        <x:v>0</x:v>
      </x:c>
      <x:c r="N25" s="20" t="n">
        <x:v>3</x:v>
      </x:c>
      <x:c r="O25" s="20" t="n">
        <x:v>2</x:v>
      </x:c>
      <x:c r="P25" s="20" t="n">
        <x:v>7</x:v>
      </x:c>
      <x:c r="Q25" s="20" t="n">
        <x:v>0</x:v>
      </x:c>
      <x:c r="R25" s="20" t="n">
        <x:v>9</x:v>
      </x:c>
      <x:c r="S25" s="21" t="n">
        <x:f>0/60</x:f>
        <x:v>0</x:v>
      </x:c>
      <x:c r="T25" s="21" t="n">
        <x:f>0/60</x:f>
        <x:v>0</x:v>
      </x:c>
      <x:c r="U25" s="21" t="n">
        <x:f>0/60</x:f>
        <x:v>0</x:v>
      </x:c>
      <x:c r="V25" s="21" t="n">
        <x:f>0/60</x:f>
        <x:v>0</x:v>
      </x:c>
      <x:c r="W25" s="20" t="n">
        <x:v>0</x:v>
      </x:c>
      <x:c r="X25" s="20" t="n">
        <x:v>0</x:v>
      </x:c>
      <x:c r="Y25" s="20" t="n">
        <x:v>0</x:v>
      </x:c>
      <x:c r="Z25" s="20" t="n">
        <x:v>0</x:v>
      </x:c>
    </x:row>
    <x:row r="26" ht="23" customHeight="1">
      <x:c r="A26" s="2" t="str">
        <x:v>2026-10-16_Night</x:v>
      </x:c>
      <x:c r="B26" s="19" t="n">
        <x:v>163000</x:v>
      </x:c>
      <x:c r="C26" s="19" t="n">
        <x:v>151000</x:v>
      </x:c>
      <x:c r="D26" s="19" t="n">
        <x:f>B26-C26</x:f>
        <x:v>12000</x:v>
      </x:c>
      <x:c r="E26" s="19" t="n">
        <x:f>E25+D26</x:f>
        <x:v>995000</x:v>
      </x:c>
      <x:c r="F26" s="19" t="n">
        <x:v>-20000</x:v>
      </x:c>
      <x:c r="G26" s="19" t="n">
        <x:f>D26-F26</x:f>
        <x:v>32000</x:v>
      </x:c>
      <x:c r="H26" s="19" t="n">
        <x:v>0</x:v>
      </x:c>
      <x:c r="I26" s="19" t="n">
        <x:v>0</x:v>
      </x:c>
      <x:c r="J26" s="19" t="n">
        <x:v>0</x:v>
      </x:c>
      <x:c r="K26" s="19" t="n">
        <x:v>20000</x:v>
      </x:c>
      <x:c r="L26" s="19" t="n">
        <x:v>45000</x:v>
      </x:c>
      <x:c r="M26" s="19" t="n">
        <x:v>55000</x:v>
      </x:c>
      <x:c r="N26" s="20" t="n">
        <x:v>3</x:v>
      </x:c>
      <x:c r="O26" s="20" t="n">
        <x:v>7</x:v>
      </x:c>
      <x:c r="P26" s="20" t="n">
        <x:v>14</x:v>
      </x:c>
      <x:c r="Q26" s="20" t="n">
        <x:v>1</x:v>
      </x:c>
      <x:c r="R26" s="20" t="n">
        <x:v>32</x:v>
      </x:c>
      <x:c r="S26" s="21" t="n">
        <x:f>907/60</x:f>
        <x:v>15.116666666666667</x:v>
      </x:c>
      <x:c r="T26" s="21" t="n">
        <x:f>0/60</x:f>
        <x:v>0</x:v>
      </x:c>
      <x:c r="U26" s="21" t="n">
        <x:f>0/60</x:f>
        <x:v>0</x:v>
      </x:c>
      <x:c r="V26" s="21" t="n">
        <x:f>0/60</x:f>
        <x:v>0</x:v>
      </x:c>
      <x:c r="W26" s="20" t="n">
        <x:v>0</x:v>
      </x:c>
      <x:c r="X26" s="20" t="n">
        <x:v>0</x:v>
      </x:c>
      <x:c r="Y26" s="20" t="n">
        <x:v>0</x:v>
      </x:c>
      <x:c r="Z26" s="20" t="n">
        <x:v>0</x:v>
      </x:c>
    </x:row>
    <x:row r="27" ht="23" customHeight="1">
      <x:c r="A27" s="2" t="str">
        <x:v>2026-10-19_Night</x:v>
      </x:c>
      <x:c r="B27" s="19" t="n">
        <x:v>167000</x:v>
      </x:c>
      <x:c r="C27" s="19" t="n">
        <x:v>105000</x:v>
      </x:c>
      <x:c r="D27" s="19" t="n">
        <x:f>B27-C27</x:f>
        <x:v>62000</x:v>
      </x:c>
      <x:c r="E27" s="19" t="n">
        <x:f>E26+D27</x:f>
        <x:v>1057000</x:v>
      </x:c>
      <x:c r="F27" s="19" t="n">
        <x:v>70000</x:v>
      </x:c>
      <x:c r="G27" s="19" t="n">
        <x:f>D27-F27</x:f>
        <x:v>-8000</x:v>
      </x:c>
      <x:c r="H27" s="19" t="n">
        <x:v>40000</x:v>
      </x:c>
      <x:c r="I27" s="19" t="n">
        <x:v>0</x:v>
      </x:c>
      <x:c r="J27" s="19" t="n">
        <x:v>30000</x:v>
      </x:c>
      <x:c r="K27" s="19" t="n">
        <x:v>0</x:v>
      </x:c>
      <x:c r="L27" s="19" t="n">
        <x:v>55000</x:v>
      </x:c>
      <x:c r="M27" s="19" t="n">
        <x:v>60000</x:v>
      </x:c>
      <x:c r="N27" s="20" t="n">
        <x:v>5</x:v>
      </x:c>
      <x:c r="O27" s="20" t="n">
        <x:v>5</x:v>
      </x:c>
      <x:c r="P27" s="20" t="n">
        <x:v>14</x:v>
      </x:c>
      <x:c r="Q27" s="20" t="n">
        <x:v>2</x:v>
      </x:c>
      <x:c r="R27" s="20" t="n">
        <x:v>31</x:v>
      </x:c>
      <x:c r="S27" s="21" t="n">
        <x:f>3902/60</x:f>
        <x:v>65.03333333333333</x:v>
      </x:c>
      <x:c r="T27" s="21" t="n">
        <x:f>0/60</x:f>
        <x:v>0</x:v>
      </x:c>
      <x:c r="U27" s="21" t="n">
        <x:f>0/60</x:f>
        <x:v>0</x:v>
      </x:c>
      <x:c r="V27" s="21" t="n">
        <x:f>0/60</x:f>
        <x:v>0</x:v>
      </x:c>
      <x:c r="W27" s="20" t="n">
        <x:v>0</x:v>
      </x:c>
      <x:c r="X27" s="20" t="n">
        <x:v>0</x:v>
      </x:c>
      <x:c r="Y27" s="20" t="n">
        <x:v>0</x:v>
      </x:c>
      <x:c r="Z27" s="20" t="n">
        <x:v>0</x:v>
      </x:c>
    </x:row>
    <x:row r="28" ht="23" customHeight="1">
      <x:c r="A28" s="2" t="str">
        <x:v>2026-10-20_Night</x:v>
      </x:c>
      <x:c r="B28" s="19" t="n">
        <x:v>154000</x:v>
      </x:c>
      <x:c r="C28" s="19" t="n">
        <x:v>33000</x:v>
      </x:c>
      <x:c r="D28" s="19" t="n">
        <x:f>B28-C28</x:f>
        <x:v>121000</x:v>
      </x:c>
      <x:c r="E28" s="19" t="n">
        <x:f>E27+D28</x:f>
        <x:v>1178000</x:v>
      </x:c>
      <x:c r="F28" s="19" t="n">
        <x:v>55000</x:v>
      </x:c>
      <x:c r="G28" s="19" t="n">
        <x:f>D28-F28</x:f>
        <x:v>66000</x:v>
      </x:c>
      <x:c r="H28" s="19" t="n">
        <x:v>45000</x:v>
      </x:c>
      <x:c r="I28" s="19" t="n">
        <x:v>0</x:v>
      </x:c>
      <x:c r="J28" s="19" t="n">
        <x:v>10000</x:v>
      </x:c>
      <x:c r="K28" s="19" t="n">
        <x:v>0</x:v>
      </x:c>
      <x:c r="L28" s="19" t="n">
        <x:v>40000</x:v>
      </x:c>
      <x:c r="M28" s="19" t="n">
        <x:v>65000</x:v>
      </x:c>
      <x:c r="N28" s="20" t="n">
        <x:v>5</x:v>
      </x:c>
      <x:c r="O28" s="20" t="n">
        <x:v>5</x:v>
      </x:c>
      <x:c r="P28" s="20" t="n">
        <x:v>11</x:v>
      </x:c>
      <x:c r="Q28" s="20" t="n">
        <x:v>4</x:v>
      </x:c>
      <x:c r="R28" s="20" t="n">
        <x:v>22</x:v>
      </x:c>
      <x:c r="S28" s="21" t="n">
        <x:f>2254/60</x:f>
        <x:v>37.56666666666667</x:v>
      </x:c>
      <x:c r="T28" s="21" t="n">
        <x:f>0/60</x:f>
        <x:v>0</x:v>
      </x:c>
      <x:c r="U28" s="21" t="n">
        <x:f>0/60</x:f>
        <x:v>0</x:v>
      </x:c>
      <x:c r="V28" s="21" t="n">
        <x:f>0/60</x:f>
        <x:v>0</x:v>
      </x:c>
      <x:c r="W28" s="20" t="n">
        <x:v>0</x:v>
      </x:c>
      <x:c r="X28" s="20" t="n">
        <x:v>0</x:v>
      </x:c>
      <x:c r="Y28" s="20" t="n">
        <x:v>0</x:v>
      </x:c>
      <x:c r="Z28" s="20" t="n">
        <x:v>0</x:v>
      </x:c>
    </x:row>
    <x:row r="29" ht="23" customHeight="1">
      <x:c r="A29" s="2" t="str">
        <x:v>2026-10-21_Night</x:v>
      </x:c>
      <x:c r="B29" s="19" t="n">
        <x:v>65000</x:v>
      </x:c>
      <x:c r="C29" s="19" t="n">
        <x:v>314000</x:v>
      </x:c>
      <x:c r="D29" s="19" t="n">
        <x:f>B29-C29</x:f>
        <x:v>-249000</x:v>
      </x:c>
      <x:c r="E29" s="19" t="n">
        <x:f>E28+D29</x:f>
        <x:v>929000</x:v>
      </x:c>
      <x:c r="F29" s="19" t="n">
        <x:v>-225000</x:v>
      </x:c>
      <x:c r="G29" s="19" t="n">
        <x:f>D29-F29</x:f>
        <x:v>-24000</x:v>
      </x:c>
      <x:c r="H29" s="19" t="n">
        <x:v>0</x:v>
      </x:c>
      <x:c r="I29" s="19" t="n">
        <x:v>0</x:v>
      </x:c>
      <x:c r="J29" s="19" t="n">
        <x:v>0</x:v>
      </x:c>
      <x:c r="K29" s="19" t="n">
        <x:v>225000</x:v>
      </x:c>
      <x:c r="L29" s="19" t="n">
        <x:v>280000</x:v>
      </x:c>
      <x:c r="M29" s="19" t="n">
        <x:v>310000</x:v>
      </x:c>
      <x:c r="N29" s="20" t="n">
        <x:v>7</x:v>
      </x:c>
      <x:c r="O29" s="20" t="n">
        <x:v>5</x:v>
      </x:c>
      <x:c r="P29" s="20" t="n">
        <x:v>6</x:v>
      </x:c>
      <x:c r="Q29" s="20" t="n">
        <x:v>1</x:v>
      </x:c>
      <x:c r="R29" s="20" t="n">
        <x:v>22</x:v>
      </x:c>
      <x:c r="S29" s="21" t="n">
        <x:f>10901/60</x:f>
        <x:v>181.68333333333334</x:v>
      </x:c>
      <x:c r="T29" s="21" t="n">
        <x:f>0/60</x:f>
        <x:v>0</x:v>
      </x:c>
      <x:c r="U29" s="21" t="n">
        <x:f>0/60</x:f>
        <x:v>0</x:v>
      </x:c>
      <x:c r="V29" s="21" t="n">
        <x:f>0/60</x:f>
        <x:v>0</x:v>
      </x:c>
      <x:c r="W29" s="20" t="n">
        <x:v>0</x:v>
      </x:c>
      <x:c r="X29" s="20" t="n">
        <x:v>0</x:v>
      </x:c>
      <x:c r="Y29" s="20" t="n">
        <x:v>0</x:v>
      </x:c>
      <x:c r="Z29" s="20" t="n">
        <x:v>0</x:v>
      </x:c>
    </x:row>
    <x:row r="30" ht="23" customHeight="1">
      <x:c r="A30" s="2" t="str">
        <x:v>2026-10-22_Night</x:v>
      </x:c>
      <x:c r="B30" s="19" t="n">
        <x:v>156000</x:v>
      </x:c>
      <x:c r="C30" s="19" t="n">
        <x:v>0</x:v>
      </x:c>
      <x:c r="D30" s="19" t="n">
        <x:f>B30-C30</x:f>
        <x:v>156000</x:v>
      </x:c>
      <x:c r="E30" s="19" t="n">
        <x:f>E29+D30</x:f>
        <x:v>1085000</x:v>
      </x:c>
      <x:c r="F30" s="19" t="n">
        <x:v>0</x:v>
      </x:c>
      <x:c r="G30" s="19" t="n">
        <x:f>D30-F30</x:f>
        <x:v>156000</x:v>
      </x:c>
      <x:c r="H30" s="19" t="n">
        <x:v>0</x:v>
      </x:c>
      <x:c r="I30" s="19" t="n">
        <x:v>0</x:v>
      </x:c>
      <x:c r="J30" s="19" t="n">
        <x:v>0</x:v>
      </x:c>
      <x:c r="K30" s="19" t="n">
        <x:v>0</x:v>
      </x:c>
      <x:c r="L30" s="19" t="n">
        <x:v>0</x:v>
      </x:c>
      <x:c r="M30" s="19" t="n">
        <x:v>0</x:v>
      </x:c>
      <x:c r="N30" s="20" t="n">
        <x:v>0</x:v>
      </x:c>
      <x:c r="O30" s="20" t="n">
        <x:v>6</x:v>
      </x:c>
      <x:c r="P30" s="20" t="n">
        <x:v>3</x:v>
      </x:c>
      <x:c r="Q30" s="20" t="n">
        <x:v>0</x:v>
      </x:c>
      <x:c r="R30" s="20" t="n">
        <x:v>7</x:v>
      </x:c>
      <x:c r="S30" s="21" t="n">
        <x:f>0/60</x:f>
        <x:v>0</x:v>
      </x:c>
      <x:c r="T30" s="21" t="n">
        <x:f>0/60</x:f>
        <x:v>0</x:v>
      </x:c>
      <x:c r="U30" s="21" t="n">
        <x:f>0/60</x:f>
        <x:v>0</x:v>
      </x:c>
      <x:c r="V30" s="21" t="n">
        <x:f>0/60</x:f>
        <x:v>0</x:v>
      </x:c>
      <x:c r="W30" s="20" t="n">
        <x:v>0</x:v>
      </x:c>
      <x:c r="X30" s="20" t="n">
        <x:v>0</x:v>
      </x:c>
      <x:c r="Y30" s="20" t="n">
        <x:v>0</x:v>
      </x:c>
      <x:c r="Z30" s="20" t="n">
        <x:v>0</x:v>
      </x:c>
    </x:row>
    <x:row r="31" ht="23" customHeight="1">
      <x:c r="A31" s="2" t="str">
        <x:v>2026-10-23_Night</x:v>
      </x:c>
      <x:c r="B31" s="19" t="n">
        <x:v>96000</x:v>
      </x:c>
      <x:c r="C31" s="19" t="n">
        <x:v>95000</x:v>
      </x:c>
      <x:c r="D31" s="19" t="n">
        <x:f>B31-C31</x:f>
        <x:v>1000</x:v>
      </x:c>
      <x:c r="E31" s="19" t="n">
        <x:f>E30+D31</x:f>
        <x:v>1086000</x:v>
      </x:c>
      <x:c r="F31" s="19" t="n">
        <x:v>-14000</x:v>
      </x:c>
      <x:c r="G31" s="19" t="n">
        <x:f>D31-F31</x:f>
        <x:v>15000</x:v>
      </x:c>
      <x:c r="H31" s="19" t="n">
        <x:v>49000</x:v>
      </x:c>
      <x:c r="I31" s="19" t="n">
        <x:v>0</x:v>
      </x:c>
      <x:c r="J31" s="19" t="n">
        <x:v>0</x:v>
      </x:c>
      <x:c r="K31" s="19" t="n">
        <x:v>63000</x:v>
      </x:c>
      <x:c r="L31" s="19" t="n">
        <x:v>67000</x:v>
      </x:c>
      <x:c r="M31" s="19" t="n">
        <x:v>77000</x:v>
      </x:c>
      <x:c r="N31" s="20" t="n">
        <x:v>5</x:v>
      </x:c>
      <x:c r="O31" s="20" t="n">
        <x:v>5</x:v>
      </x:c>
      <x:c r="P31" s="20" t="n">
        <x:v>11</x:v>
      </x:c>
      <x:c r="Q31" s="20" t="n">
        <x:v>5</x:v>
      </x:c>
      <x:c r="R31" s="20" t="n">
        <x:v>20</x:v>
      </x:c>
      <x:c r="S31" s="21" t="n">
        <x:f>13504/60</x:f>
        <x:v>225.06666666666666</x:v>
      </x:c>
      <x:c r="T31" s="21" t="n">
        <x:f>0/60</x:f>
        <x:v>0</x:v>
      </x:c>
      <x:c r="U31" s="21" t="n">
        <x:f>0/60</x:f>
        <x:v>0</x:v>
      </x:c>
      <x:c r="V31" s="21" t="n">
        <x:f>0/60</x:f>
        <x:v>0</x:v>
      </x:c>
      <x:c r="W31" s="20" t="n">
        <x:v>0</x:v>
      </x:c>
      <x:c r="X31" s="20" t="n">
        <x:v>0</x:v>
      </x:c>
      <x:c r="Y31" s="20" t="n">
        <x:v>0</x:v>
      </x:c>
      <x:c r="Z31" s="20" t="n">
        <x:v>0</x:v>
      </x:c>
    </x:row>
    <x:row r="32" ht="23" customHeight="1">
      <x:c r="A32" s="26" t="str">
        <x:v>25夜累計／最大</x:v>
      </x:c>
      <x:c r="B32" s="27" t="n">
        <x:f>SUM(B7:B31)</x:f>
        <x:v>2858000</x:v>
      </x:c>
      <x:c r="C32" s="27" t="n">
        <x:f>SUM(C7:C31)</x:f>
        <x:v>1772000</x:v>
      </x:c>
      <x:c r="D32" s="27" t="n">
        <x:f>B32-C32</x:f>
        <x:v>1086000</x:v>
      </x:c>
      <x:c r="E32" s="27" t="n">
        <x:f>E31</x:f>
        <x:v>1086000</x:v>
      </x:c>
      <x:c r="F32" s="27" t="n">
        <x:f>SUM(F7:F31)</x:f>
        <x:v>-57000</x:v>
      </x:c>
      <x:c r="G32" s="27" t="n">
        <x:f>SUM(G7:G31)</x:f>
        <x:v>1143000</x:v>
      </x:c>
      <x:c r="H32" s="27" t="n">
        <x:f>SUM(H7:H31)</x:f>
        <x:v>581000</x:v>
      </x:c>
      <x:c r="I32" s="27" t="n">
        <x:f>SUM(I7:I31)</x:f>
        <x:v>0</x:v>
      </x:c>
      <x:c r="J32" s="27" t="n">
        <x:f>SUM(J7:J31)</x:f>
        <x:v>80000</x:v>
      </x:c>
      <x:c r="K32" s="27" t="n">
        <x:f>SUM(K7:K31)</x:f>
        <x:v>718000</x:v>
      </x:c>
      <x:c r="L32" s="27" t="n">
        <x:f>MAX(L7:L31)</x:f>
        <x:v>280000</x:v>
      </x:c>
      <x:c r="M32" s="27" t="n">
        <x:f>MAX(M7:M31)</x:f>
        <x:v>310000</x:v>
      </x:c>
      <x:c r="N32" s="28" t="n">
        <x:f>MAX(N7:N31)</x:f>
        <x:v>8</x:v>
      </x:c>
      <x:c r="O32" s="28" t="n">
        <x:f>MAX(O7:O31)</x:f>
        <x:v>10</x:v>
      </x:c>
      <x:c r="P32" s="28" t="n">
        <x:f>SUM(P7:P31)</x:f>
        <x:v>172</x:v>
      </x:c>
      <x:c r="Q32" s="28" t="n">
        <x:f>SUM(Q7:Q31)</x:f>
        <x:v>38</x:v>
      </x:c>
      <x:c r="R32" s="28" t="n">
        <x:f>SUM(R7:R31)</x:f>
        <x:v>401</x:v>
      </x:c>
      <x:c r="S32" s="29" t="n">
        <x:f>SUM(S7:S31)</x:f>
        <x:v>1489.0333333333333</x:v>
      </x:c>
      <x:c r="T32" s="29" t="n">
        <x:f>SUM(T7:T31)</x:f>
        <x:v>73.85</x:v>
      </x:c>
      <x:c r="U32" s="29" t="n">
        <x:f>SUM(U7:U31)</x:f>
        <x:v>0</x:v>
      </x:c>
      <x:c r="V32" s="29" t="n">
        <x:f>SUM(V7:V31)</x:f>
        <x:v>0</x:v>
      </x:c>
      <x:c r="W32" s="28" t="n">
        <x:f>SUM(W7:W31)</x:f>
        <x:v>0</x:v>
      </x:c>
      <x:c r="X32" s="28" t="n">
        <x:f>SUM(X7:X31)</x:f>
        <x:v>0</x:v>
      </x:c>
      <x:c r="Y32" s="28" t="n">
        <x:f>SUM(Y7:Y31)</x:f>
        <x:v>0</x:v>
      </x:c>
      <x:c r="Z32" s="28" t="n">
        <x:f>SUM(Z7:Z31)</x:f>
        <x:v>0</x:v>
      </x:c>
    </x:row>
  </x:sheetData>
  <x:conditionalFormatting sqref="B7:M32">
    <x:cfRule type="cellIs" dxfId="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ac8bc1a7423451e"/>
  </x:tableParts>
</x:worksheet>
</file>

<file path=xl/worksheets/sheet8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3" customHeight="1">
      <x:c r="A2" s="4" t="str">
        <x:v>P05　全夜間の利益・損失・収支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3" ht="23" customHeight="1">
      <x:c r="A3" s="6" t="str">
        <x:v>日経mini・片方向上限10枚・手数料0・次正常ラージ気配代理。2026/09/21〜10/23の完了25夜。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3" customHeight="1">
      <x:c r="A4" s="6" t="str">
        <x:v>利益・損失は新規実約定IDごとの全返済収支で分類。旧親単位の利益損失とは異なります。未測定は空欄。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3" customHeight="1">
      <x:c r="A5" s="6" t="str">
        <x:v>前半・利益40ptから10pt追尾。P：新手法は米国開始15分前まで、後半は保存S04。含み損・DD・保有時間・返済内訳は前半だけ。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4" customHeight="1">
      <x:c r="A6" s="15" t="str">
        <x:v>セッション</x:v>
      </x:c>
      <x:c r="B6" s="16" t="str">
        <x:v>利益（円）</x:v>
      </x:c>
      <x:c r="C6" s="16" t="str">
        <x:v>損失（円）</x:v>
      </x:c>
      <x:c r="D6" s="16" t="str">
        <x:v>全夜収支（円）</x:v>
      </x:c>
      <x:c r="E6" s="16" t="str">
        <x:v>累計（円）</x:v>
      </x:c>
      <x:c r="F6" s="16" t="str">
        <x:v>対象区間収支</x:v>
      </x:c>
      <x:c r="G6" s="16" t="str">
        <x:v>保存後半収支</x:v>
      </x:c>
      <x:c r="H6" s="16" t="str">
        <x:v>利益追尾の利益</x:v>
      </x:c>
      <x:c r="I6" s="16" t="str">
        <x:v>利益追尾の損失</x:v>
      </x:c>
      <x:c r="J6" s="16" t="str">
        <x:v>境界清算の利益</x:v>
      </x:c>
      <x:c r="K6" s="16" t="str">
        <x:v>境界清算の損失</x:v>
      </x:c>
      <x:c r="L6" s="16" t="str">
        <x:v>最大含み損（円）</x:v>
      </x:c>
      <x:c r="M6" s="16" t="str">
        <x:v>対象区間DD</x:v>
      </x:c>
      <x:c r="N6" s="16" t="str">
        <x:v>最大買い枚数</x:v>
      </x:c>
      <x:c r="O6" s="16" t="str">
        <x:v>最大売り枚数</x:v>
      </x:c>
      <x:c r="P6" s="16" t="str">
        <x:v>全夜新規件数</x:v>
      </x:c>
      <x:c r="Q6" s="16" t="str">
        <x:v>対象区間新規</x:v>
      </x:c>
      <x:c r="R6" s="16" t="str">
        <x:v>全新規枚数</x:v>
      </x:c>
      <x:c r="S6" s="16" t="str">
        <x:v>保有（分）</x:v>
      </x:c>
      <x:c r="T6" s="16" t="str">
        <x:v>両建て（分）</x:v>
      </x:c>
      <x:c r="U6" s="16" t="str">
        <x:v>買い上限（分）</x:v>
      </x:c>
      <x:c r="V6" s="16" t="str">
        <x:v>売り上限（分）</x:v>
      </x:c>
      <x:c r="W6" s="16" t="str">
        <x:v>上限拒否・縮小件数</x:v>
      </x:c>
      <x:c r="X6" s="16" t="str">
        <x:v>通知全拒否件数</x:v>
      </x:c>
      <x:c r="Y6" s="16" t="str">
        <x:v>実再参加件数</x:v>
      </x:c>
      <x:c r="Z6" s="17" t="str">
        <x:v>判断利益→実損失</x:v>
      </x:c>
    </x:row>
    <x:row r="7" ht="23" customHeight="1">
      <x:c r="A7" s="2" t="str">
        <x:v>2026-09-21_Night</x:v>
      </x:c>
      <x:c r="B7" s="19" t="n">
        <x:v>0</x:v>
      </x:c>
      <x:c r="C7" s="19" t="n">
        <x:v>45000</x:v>
      </x:c>
      <x:c r="D7" s="19" t="n">
        <x:f>B7-C7</x:f>
        <x:v>-45000</x:v>
      </x:c>
      <x:c r="E7" s="19" t="n">
        <x:f>D7</x:f>
        <x:v>-45000</x:v>
      </x:c>
      <x:c r="F7" s="19" t="n">
        <x:v>0</x:v>
      </x:c>
      <x:c r="G7" s="19" t="n">
        <x:f>D7-F7</x:f>
        <x:v>-45000</x:v>
      </x:c>
      <x:c r="H7" s="19" t="n">
        <x:v>0</x:v>
      </x:c>
      <x:c r="I7" s="19" t="n">
        <x:v>0</x:v>
      </x:c>
      <x:c r="J7" s="19" t="n">
        <x:v>0</x:v>
      </x:c>
      <x:c r="K7" s="19" t="n">
        <x:v>0</x:v>
      </x:c>
      <x:c r="L7" s="19" t="n">
        <x:v>0</x:v>
      </x:c>
      <x:c r="M7" s="19" t="n">
        <x:v>0</x:v>
      </x:c>
      <x:c r="N7" s="20" t="n">
        <x:v>5</x:v>
      </x:c>
      <x:c r="O7" s="20" t="n">
        <x:v>0</x:v>
      </x:c>
      <x:c r="P7" s="20" t="n">
        <x:v>1</x:v>
      </x:c>
      <x:c r="Q7" s="20" t="n">
        <x:v>0</x:v>
      </x:c>
      <x:c r="R7" s="20" t="n">
        <x:v>5</x:v>
      </x:c>
      <x:c r="S7" s="21" t="n">
        <x:f>0/60</x:f>
        <x:v>0</x:v>
      </x:c>
      <x:c r="T7" s="21" t="n">
        <x:f>0/60</x:f>
        <x:v>0</x:v>
      </x:c>
      <x:c r="U7" s="21" t="n">
        <x:f>0/60</x:f>
        <x:v>0</x:v>
      </x:c>
      <x:c r="V7" s="21" t="n">
        <x:f>0/60</x:f>
        <x:v>0</x:v>
      </x:c>
      <x:c r="W7" s="20" t="n">
        <x:v>0</x:v>
      </x:c>
      <x:c r="X7" s="20" t="n">
        <x:v>0</x:v>
      </x:c>
      <x:c r="Y7" s="20" t="n">
        <x:v>0</x:v>
      </x:c>
      <x:c r="Z7" s="20" t="n">
        <x:v>0</x:v>
      </x:c>
    </x:row>
    <x:row r="8" ht="23" customHeight="1">
      <x:c r="A8" s="2" t="str">
        <x:v>2026-09-22_Night</x:v>
      </x:c>
      <x:c r="B8" s="19" t="n">
        <x:v>39000</x:v>
      </x:c>
      <x:c r="C8" s="19" t="n">
        <x:v>0</x:v>
      </x:c>
      <x:c r="D8" s="19" t="n">
        <x:f>B8-C8</x:f>
        <x:v>39000</x:v>
      </x:c>
      <x:c r="E8" s="19" t="n">
        <x:f>E7+D8</x:f>
        <x:v>-6000</x:v>
      </x:c>
      <x:c r="F8" s="19" t="n">
        <x:v>15000</x:v>
      </x:c>
      <x:c r="G8" s="19" t="n">
        <x:f>D8-F8</x:f>
        <x:v>24000</x:v>
      </x:c>
      <x:c r="H8" s="19" t="n">
        <x:v>15000</x:v>
      </x:c>
      <x:c r="I8" s="19" t="n">
        <x:v>0</x:v>
      </x:c>
      <x:c r="J8" s="19" t="n">
        <x:v>0</x:v>
      </x:c>
      <x:c r="K8" s="19" t="n">
        <x:v>0</x:v>
      </x:c>
      <x:c r="L8" s="19" t="n">
        <x:v>45000</x:v>
      </x:c>
      <x:c r="M8" s="19" t="n">
        <x:v>55000</x:v>
      </x:c>
      <x:c r="N8" s="20" t="n">
        <x:v>5</x:v>
      </x:c>
      <x:c r="O8" s="20" t="n">
        <x:v>0</x:v>
      </x:c>
      <x:c r="P8" s="20" t="n">
        <x:v>2</x:v>
      </x:c>
      <x:c r="Q8" s="20" t="n">
        <x:v>1</x:v>
      </x:c>
      <x:c r="R8" s="20" t="n">
        <x:v>10</x:v>
      </x:c>
      <x:c r="S8" s="21" t="n">
        <x:f>2451/60</x:f>
        <x:v>40.85</x:v>
      </x:c>
      <x:c r="T8" s="21" t="n">
        <x:f>0/60</x:f>
        <x:v>0</x:v>
      </x:c>
      <x:c r="U8" s="21" t="n">
        <x:f>0/60</x:f>
        <x:v>0</x:v>
      </x:c>
      <x:c r="V8" s="21" t="n">
        <x:f>0/60</x:f>
        <x:v>0</x:v>
      </x:c>
      <x:c r="W8" s="20" t="n">
        <x:v>0</x:v>
      </x:c>
      <x:c r="X8" s="20" t="n">
        <x:v>0</x:v>
      </x:c>
      <x:c r="Y8" s="20" t="n">
        <x:v>0</x:v>
      </x:c>
      <x:c r="Z8" s="20" t="n">
        <x:v>0</x:v>
      </x:c>
    </x:row>
    <x:row r="9" ht="23" customHeight="1">
      <x:c r="A9" s="2" t="str">
        <x:v>2026-09-23_Night</x:v>
      </x:c>
      <x:c r="B9" s="19" t="n">
        <x:v>5000</x:v>
      </x:c>
      <x:c r="C9" s="19" t="n">
        <x:v>41000</x:v>
      </x:c>
      <x:c r="D9" s="19" t="n">
        <x:f>B9-C9</x:f>
        <x:v>-36000</x:v>
      </x:c>
      <x:c r="E9" s="19" t="n">
        <x:f>E8+D9</x:f>
        <x:v>-42000</x:v>
      </x:c>
      <x:c r="F9" s="19" t="n">
        <x:v>0</x:v>
      </x:c>
      <x:c r="G9" s="19" t="n">
        <x:f>D9-F9</x:f>
        <x:v>-36000</x:v>
      </x:c>
      <x:c r="H9" s="19" t="n">
        <x:v>0</x:v>
      </x:c>
      <x:c r="I9" s="19" t="n">
        <x:v>0</x:v>
      </x:c>
      <x:c r="J9" s="19" t="n">
        <x:v>0</x:v>
      </x:c>
      <x:c r="K9" s="19" t="n">
        <x:v>0</x:v>
      </x:c>
      <x:c r="L9" s="19" t="n">
        <x:v>0</x:v>
      </x:c>
      <x:c r="M9" s="19" t="n">
        <x:v>0</x:v>
      </x:c>
      <x:c r="N9" s="20" t="n">
        <x:v>2</x:v>
      </x:c>
      <x:c r="O9" s="20" t="n">
        <x:v>5</x:v>
      </x:c>
      <x:c r="P9" s="20" t="n">
        <x:v>3</x:v>
      </x:c>
      <x:c r="Q9" s="20" t="n">
        <x:v>0</x:v>
      </x:c>
      <x:c r="R9" s="20" t="n">
        <x:v>7</x:v>
      </x:c>
      <x:c r="S9" s="21" t="n">
        <x:f>0/60</x:f>
        <x:v>0</x:v>
      </x:c>
      <x:c r="T9" s="21" t="n">
        <x:f>0/60</x:f>
        <x:v>0</x:v>
      </x:c>
      <x:c r="U9" s="21" t="n">
        <x:f>0/60</x:f>
        <x:v>0</x:v>
      </x:c>
      <x:c r="V9" s="21" t="n">
        <x:f>0/60</x:f>
        <x:v>0</x:v>
      </x:c>
      <x:c r="W9" s="20" t="n">
        <x:v>0</x:v>
      </x:c>
      <x:c r="X9" s="20" t="n">
        <x:v>0</x:v>
      </x:c>
      <x:c r="Y9" s="20" t="n">
        <x:v>0</x:v>
      </x:c>
      <x:c r="Z9" s="20" t="n">
        <x:v>0</x:v>
      </x:c>
    </x:row>
    <x:row r="10" ht="23" customHeight="1">
      <x:c r="A10" s="2" t="str">
        <x:v>2026-09-24_Night</x:v>
      </x:c>
      <x:c r="B10" s="19" t="n">
        <x:v>50000</x:v>
      </x:c>
      <x:c r="C10" s="19" t="n">
        <x:v>0</x:v>
      </x:c>
      <x:c r="D10" s="19" t="n">
        <x:f>B10-C10</x:f>
        <x:v>50000</x:v>
      </x:c>
      <x:c r="E10" s="19" t="n">
        <x:f>E9+D10</x:f>
        <x:v>8000</x:v>
      </x:c>
      <x:c r="F10" s="19" t="n">
        <x:v>30000</x:v>
      </x:c>
      <x:c r="G10" s="19" t="n">
        <x:f>D10-F10</x:f>
        <x:v>20000</x:v>
      </x:c>
      <x:c r="H10" s="19" t="n">
        <x:v>30000</x:v>
      </x:c>
      <x:c r="I10" s="19" t="n">
        <x:v>0</x:v>
      </x:c>
      <x:c r="J10" s="19" t="n">
        <x:v>0</x:v>
      </x:c>
      <x:c r="K10" s="19" t="n">
        <x:v>0</x:v>
      </x:c>
      <x:c r="L10" s="19" t="n">
        <x:v>85000</x:v>
      </x:c>
      <x:c r="M10" s="19" t="n">
        <x:v>90000</x:v>
      </x:c>
      <x:c r="N10" s="20" t="n">
        <x:v>5</x:v>
      </x:c>
      <x:c r="O10" s="20" t="n">
        <x:v>2</x:v>
      </x:c>
      <x:c r="P10" s="20" t="n">
        <x:v>4</x:v>
      </x:c>
      <x:c r="Q10" s="20" t="n">
        <x:v>2</x:v>
      </x:c>
      <x:c r="R10" s="20" t="n">
        <x:v>12</x:v>
      </x:c>
      <x:c r="S10" s="21" t="n">
        <x:f>5513/60</x:f>
        <x:v>91.88333333333334</x:v>
      </x:c>
      <x:c r="T10" s="21" t="n">
        <x:f>0/60</x:f>
        <x:v>0</x:v>
      </x:c>
      <x:c r="U10" s="21" t="n">
        <x:f>0/60</x:f>
        <x:v>0</x:v>
      </x:c>
      <x:c r="V10" s="21" t="n">
        <x:f>0/60</x:f>
        <x:v>0</x:v>
      </x:c>
      <x:c r="W10" s="20" t="n">
        <x:v>0</x:v>
      </x:c>
      <x:c r="X10" s="20" t="n">
        <x:v>0</x:v>
      </x:c>
      <x:c r="Y10" s="20" t="n">
        <x:v>0</x:v>
      </x:c>
      <x:c r="Z10" s="20" t="n">
        <x:v>0</x:v>
      </x:c>
    </x:row>
    <x:row r="11" ht="23" customHeight="1">
      <x:c r="A11" s="2" t="str">
        <x:v>2026-09-25_Night</x:v>
      </x:c>
      <x:c r="B11" s="19" t="n">
        <x:v>17000</x:v>
      </x:c>
      <x:c r="C11" s="19" t="n">
        <x:v>16000</x:v>
      </x:c>
      <x:c r="D11" s="19" t="n">
        <x:f>B11-C11</x:f>
        <x:v>1000</x:v>
      </x:c>
      <x:c r="E11" s="19" t="n">
        <x:f>E10+D11</x:f>
        <x:v>9000</x:v>
      </x:c>
      <x:c r="F11" s="19" t="n">
        <x:v>0</x:v>
      </x:c>
      <x:c r="G11" s="19" t="n">
        <x:f>D11-F11</x:f>
        <x:v>1000</x:v>
      </x:c>
      <x:c r="H11" s="19" t="n">
        <x:v>0</x:v>
      </x:c>
      <x:c r="I11" s="19" t="n">
        <x:v>0</x:v>
      </x:c>
      <x:c r="J11" s="19" t="n">
        <x:v>0</x:v>
      </x:c>
      <x:c r="K11" s="19" t="n">
        <x:v>0</x:v>
      </x:c>
      <x:c r="L11" s="19" t="n">
        <x:v>0</x:v>
      </x:c>
      <x:c r="M11" s="19" t="n">
        <x:v>0</x:v>
      </x:c>
      <x:c r="N11" s="20" t="n">
        <x:v>1</x:v>
      </x:c>
      <x:c r="O11" s="20" t="n">
        <x:v>5</x:v>
      </x:c>
      <x:c r="P11" s="20" t="n">
        <x:v>2</x:v>
      </x:c>
      <x:c r="Q11" s="20" t="n">
        <x:v>0</x:v>
      </x:c>
      <x:c r="R11" s="20" t="n">
        <x:v>6</x:v>
      </x:c>
      <x:c r="S11" s="21" t="n">
        <x:f>0/60</x:f>
        <x:v>0</x:v>
      </x:c>
      <x:c r="T11" s="21" t="n">
        <x:f>0/60</x:f>
        <x:v>0</x:v>
      </x:c>
      <x:c r="U11" s="21" t="n">
        <x:f>0/60</x:f>
        <x:v>0</x:v>
      </x:c>
      <x:c r="V11" s="21" t="n">
        <x:f>0/60</x:f>
        <x:v>0</x:v>
      </x:c>
      <x:c r="W11" s="20" t="n">
        <x:v>0</x:v>
      </x:c>
      <x:c r="X11" s="20" t="n">
        <x:v>0</x:v>
      </x:c>
      <x:c r="Y11" s="20" t="n">
        <x:v>0</x:v>
      </x:c>
      <x:c r="Z11" s="20" t="n">
        <x:v>0</x:v>
      </x:c>
    </x:row>
    <x:row r="12" ht="23" customHeight="1">
      <x:c r="A12" s="2" t="str">
        <x:v>2026-09-28_Night</x:v>
      </x:c>
      <x:c r="B12" s="19" t="n">
        <x:v>14000</x:v>
      </x:c>
      <x:c r="C12" s="19" t="n">
        <x:v>39000</x:v>
      </x:c>
      <x:c r="D12" s="19" t="n">
        <x:f>B12-C12</x:f>
        <x:v>-25000</x:v>
      </x:c>
      <x:c r="E12" s="19" t="n">
        <x:f>E11+D12</x:f>
        <x:v>-16000</x:v>
      </x:c>
      <x:c r="F12" s="19" t="n">
        <x:v>4000</x:v>
      </x:c>
      <x:c r="G12" s="19" t="n">
        <x:f>D12-F12</x:f>
        <x:v>-29000</x:v>
      </x:c>
      <x:c r="H12" s="19" t="n">
        <x:v>4000</x:v>
      </x:c>
      <x:c r="I12" s="19" t="n">
        <x:v>0</x:v>
      </x:c>
      <x:c r="J12" s="19" t="n">
        <x:v>0</x:v>
      </x:c>
      <x:c r="K12" s="19" t="n">
        <x:v>0</x:v>
      </x:c>
      <x:c r="L12" s="19" t="n">
        <x:v>6000</x:v>
      </x:c>
      <x:c r="M12" s="19" t="n">
        <x:v>6000</x:v>
      </x:c>
      <x:c r="N12" s="20" t="n">
        <x:v>3</x:v>
      </x:c>
      <x:c r="O12" s="20" t="n">
        <x:v>3</x:v>
      </x:c>
      <x:c r="P12" s="20" t="n">
        <x:v>5</x:v>
      </x:c>
      <x:c r="Q12" s="20" t="n">
        <x:v>1</x:v>
      </x:c>
      <x:c r="R12" s="20" t="n">
        <x:v>7</x:v>
      </x:c>
      <x:c r="S12" s="21" t="n">
        <x:f>1179/60</x:f>
        <x:v>19.65</x:v>
      </x:c>
      <x:c r="T12" s="21" t="n">
        <x:f>0/60</x:f>
        <x:v>0</x:v>
      </x:c>
      <x:c r="U12" s="21" t="n">
        <x:f>0/60</x:f>
        <x:v>0</x:v>
      </x:c>
      <x:c r="V12" s="21" t="n">
        <x:f>0/60</x:f>
        <x:v>0</x:v>
      </x:c>
      <x:c r="W12" s="20" t="n">
        <x:v>0</x:v>
      </x:c>
      <x:c r="X12" s="20" t="n">
        <x:v>0</x:v>
      </x:c>
      <x:c r="Y12" s="20" t="n">
        <x:v>0</x:v>
      </x:c>
      <x:c r="Z12" s="20" t="n">
        <x:v>0</x:v>
      </x:c>
    </x:row>
    <x:row r="13" ht="23" customHeight="1">
      <x:c r="A13" s="2" t="str">
        <x:v>2026-09-29_Night</x:v>
      </x:c>
      <x:c r="B13" s="19" t="n">
        <x:v>90000</x:v>
      </x:c>
      <x:c r="C13" s="19" t="n">
        <x:v>25000</x:v>
      </x:c>
      <x:c r="D13" s="19" t="n">
        <x:f>B13-C13</x:f>
        <x:v>65000</x:v>
      </x:c>
      <x:c r="E13" s="19" t="n">
        <x:f>E12+D13</x:f>
        <x:v>49000</x:v>
      </x:c>
      <x:c r="F13" s="19" t="n">
        <x:v>0</x:v>
      </x:c>
      <x:c r="G13" s="19" t="n">
        <x:f>D13-F13</x:f>
        <x:v>65000</x:v>
      </x:c>
      <x:c r="H13" s="19" t="n">
        <x:v>0</x:v>
      </x:c>
      <x:c r="I13" s="19" t="n">
        <x:v>0</x:v>
      </x:c>
      <x:c r="J13" s="19" t="n">
        <x:v>0</x:v>
      </x:c>
      <x:c r="K13" s="19" t="n">
        <x:v>0</x:v>
      </x:c>
      <x:c r="L13" s="19" t="n">
        <x:v>0</x:v>
      </x:c>
      <x:c r="M13" s="19" t="n">
        <x:v>0</x:v>
      </x:c>
      <x:c r="N13" s="20" t="n">
        <x:v>5</x:v>
      </x:c>
      <x:c r="O13" s="20" t="n">
        <x:v>5</x:v>
      </x:c>
      <x:c r="P13" s="20" t="n">
        <x:v>6</x:v>
      </x:c>
      <x:c r="Q13" s="20" t="n">
        <x:v>0</x:v>
      </x:c>
      <x:c r="R13" s="20" t="n">
        <x:v>14</x:v>
      </x:c>
      <x:c r="S13" s="21" t="n">
        <x:f>0/60</x:f>
        <x:v>0</x:v>
      </x:c>
      <x:c r="T13" s="21" t="n">
        <x:f>0/60</x:f>
        <x:v>0</x:v>
      </x:c>
      <x:c r="U13" s="21" t="n">
        <x:f>0/60</x:f>
        <x:v>0</x:v>
      </x:c>
      <x:c r="V13" s="21" t="n">
        <x:f>0/60</x:f>
        <x:v>0</x:v>
      </x:c>
      <x:c r="W13" s="20" t="n">
        <x:v>0</x:v>
      </x:c>
      <x:c r="X13" s="20" t="n">
        <x:v>0</x:v>
      </x:c>
      <x:c r="Y13" s="20" t="n">
        <x:v>0</x:v>
      </x:c>
      <x:c r="Z13" s="20" t="n">
        <x:v>0</x:v>
      </x:c>
    </x:row>
    <x:row r="14" ht="23" customHeight="1">
      <x:c r="A14" s="2" t="str">
        <x:v>2026-09-30_Night</x:v>
      </x:c>
      <x:c r="B14" s="19" t="n">
        <x:v>109000</x:v>
      </x:c>
      <x:c r="C14" s="19" t="n">
        <x:v>6000</x:v>
      </x:c>
      <x:c r="D14" s="19" t="n">
        <x:f>B14-C14</x:f>
        <x:v>103000</x:v>
      </x:c>
      <x:c r="E14" s="19" t="n">
        <x:f>E13+D14</x:f>
        <x:v>152000</x:v>
      </x:c>
      <x:c r="F14" s="19" t="n">
        <x:v>60000</x:v>
      </x:c>
      <x:c r="G14" s="19" t="n">
        <x:f>D14-F14</x:f>
        <x:v>43000</x:v>
      </x:c>
      <x:c r="H14" s="19" t="n">
        <x:v>60000</x:v>
      </x:c>
      <x:c r="I14" s="19" t="n">
        <x:v>0</x:v>
      </x:c>
      <x:c r="J14" s="19" t="n">
        <x:v>0</x:v>
      </x:c>
      <x:c r="K14" s="19" t="n">
        <x:v>0</x:v>
      </x:c>
      <x:c r="L14" s="19" t="n">
        <x:v>90000</x:v>
      </x:c>
      <x:c r="M14" s="19" t="n">
        <x:v>95000</x:v>
      </x:c>
      <x:c r="N14" s="20" t="n">
        <x:v>7</x:v>
      </x:c>
      <x:c r="O14" s="20" t="n">
        <x:v>5</x:v>
      </x:c>
      <x:c r="P14" s="20" t="n">
        <x:v>6</x:v>
      </x:c>
      <x:c r="Q14" s="20" t="n">
        <x:v>3</x:v>
      </x:c>
      <x:c r="R14" s="20" t="n">
        <x:v>22</x:v>
      </x:c>
      <x:c r="S14" s="21" t="n">
        <x:f>3126/60</x:f>
        <x:v>52.1</x:v>
      </x:c>
      <x:c r="T14" s="21" t="n">
        <x:f>0/60</x:f>
        <x:v>0</x:v>
      </x:c>
      <x:c r="U14" s="21" t="n">
        <x:f>0/60</x:f>
        <x:v>0</x:v>
      </x:c>
      <x:c r="V14" s="21" t="n">
        <x:f>0/60</x:f>
        <x:v>0</x:v>
      </x:c>
      <x:c r="W14" s="20" t="n">
        <x:v>0</x:v>
      </x:c>
      <x:c r="X14" s="20" t="n">
        <x:v>0</x:v>
      </x:c>
      <x:c r="Y14" s="20" t="n">
        <x:v>0</x:v>
      </x:c>
      <x:c r="Z14" s="20" t="n">
        <x:v>0</x:v>
      </x:c>
    </x:row>
    <x:row r="15" ht="23" customHeight="1">
      <x:c r="A15" s="2" t="str">
        <x:v>2026-10-01_Night</x:v>
      </x:c>
      <x:c r="B15" s="19" t="n">
        <x:v>263000</x:v>
      </x:c>
      <x:c r="C15" s="19" t="n">
        <x:v>92000</x:v>
      </x:c>
      <x:c r="D15" s="19" t="n">
        <x:f>B15-C15</x:f>
        <x:v>171000</x:v>
      </x:c>
      <x:c r="E15" s="19" t="n">
        <x:f>E14+D15</x:f>
        <x:v>323000</x:v>
      </x:c>
      <x:c r="F15" s="19" t="n">
        <x:v>73000</x:v>
      </x:c>
      <x:c r="G15" s="19" t="n">
        <x:f>D15-F15</x:f>
        <x:v>98000</x:v>
      </x:c>
      <x:c r="H15" s="19" t="n">
        <x:v>58000</x:v>
      </x:c>
      <x:c r="I15" s="19" t="n">
        <x:v>0</x:v>
      </x:c>
      <x:c r="J15" s="19" t="n">
        <x:v>15000</x:v>
      </x:c>
      <x:c r="K15" s="19" t="n">
        <x:v>0</x:v>
      </x:c>
      <x:c r="L15" s="19" t="n">
        <x:v>50000</x:v>
      </x:c>
      <x:c r="M15" s="19" t="n">
        <x:v>52000</x:v>
      </x:c>
      <x:c r="N15" s="20" t="n">
        <x:v>5</x:v>
      </x:c>
      <x:c r="O15" s="20" t="n">
        <x:v>5</x:v>
      </x:c>
      <x:c r="P15" s="20" t="n">
        <x:v>16</x:v>
      </x:c>
      <x:c r="Q15" s="20" t="n">
        <x:v>8</x:v>
      </x:c>
      <x:c r="R15" s="20" t="n">
        <x:v>36</x:v>
      </x:c>
      <x:c r="S15" s="21" t="n">
        <x:f>3758/60</x:f>
        <x:v>62.63333333333333</x:v>
      </x:c>
      <x:c r="T15" s="21" t="n">
        <x:f>0/60</x:f>
        <x:v>0</x:v>
      </x:c>
      <x:c r="U15" s="21" t="n">
        <x:f>0/60</x:f>
        <x:v>0</x:v>
      </x:c>
      <x:c r="V15" s="21" t="n">
        <x:f>0/60</x:f>
        <x:v>0</x:v>
      </x:c>
      <x:c r="W15" s="20" t="n">
        <x:v>0</x:v>
      </x:c>
      <x:c r="X15" s="20" t="n">
        <x:v>0</x:v>
      </x:c>
      <x:c r="Y15" s="20" t="n">
        <x:v>0</x:v>
      </x:c>
      <x:c r="Z15" s="20" t="n">
        <x:v>0</x:v>
      </x:c>
    </x:row>
    <x:row r="16" ht="23" customHeight="1">
      <x:c r="A16" s="2" t="str">
        <x:v>2026-10-02_Night</x:v>
      </x:c>
      <x:c r="B16" s="19" t="n">
        <x:v>313000</x:v>
      </x:c>
      <x:c r="C16" s="19" t="n">
        <x:v>57000</x:v>
      </x:c>
      <x:c r="D16" s="19" t="n">
        <x:f>B16-C16</x:f>
        <x:v>256000</x:v>
      </x:c>
      <x:c r="E16" s="19" t="n">
        <x:f>E15+D16</x:f>
        <x:v>579000</x:v>
      </x:c>
      <x:c r="F16" s="19" t="n">
        <x:v>0</x:v>
      </x:c>
      <x:c r="G16" s="19" t="n">
        <x:f>D16-F16</x:f>
        <x:v>256000</x:v>
      </x:c>
      <x:c r="H16" s="19" t="n">
        <x:v>0</x:v>
      </x:c>
      <x:c r="I16" s="19" t="n">
        <x:v>0</x:v>
      </x:c>
      <x:c r="J16" s="19" t="n">
        <x:v>0</x:v>
      </x:c>
      <x:c r="K16" s="19" t="n">
        <x:v>0</x:v>
      </x:c>
      <x:c r="L16" s="19" t="n">
        <x:v>0</x:v>
      </x:c>
      <x:c r="M16" s="19" t="n">
        <x:v>0</x:v>
      </x:c>
      <x:c r="N16" s="20" t="n">
        <x:v>7</x:v>
      </x:c>
      <x:c r="O16" s="20" t="n">
        <x:v>10</x:v>
      </x:c>
      <x:c r="P16" s="20" t="n">
        <x:v>15</x:v>
      </x:c>
      <x:c r="Q16" s="20" t="n">
        <x:v>0</x:v>
      </x:c>
      <x:c r="R16" s="20" t="n">
        <x:v>28</x:v>
      </x:c>
      <x:c r="S16" s="21" t="n">
        <x:f>0/60</x:f>
        <x:v>0</x:v>
      </x:c>
      <x:c r="T16" s="21" t="n">
        <x:f>0/60</x:f>
        <x:v>0</x:v>
      </x:c>
      <x:c r="U16" s="21" t="n">
        <x:f>0/60</x:f>
        <x:v>0</x:v>
      </x:c>
      <x:c r="V16" s="21" t="n">
        <x:f>0/60</x:f>
        <x:v>0</x:v>
      </x:c>
      <x:c r="W16" s="20" t="n">
        <x:v>0</x:v>
      </x:c>
      <x:c r="X16" s="20" t="n">
        <x:v>0</x:v>
      </x:c>
      <x:c r="Y16" s="20" t="n">
        <x:v>0</x:v>
      </x:c>
      <x:c r="Z16" s="20" t="n">
        <x:v>0</x:v>
      </x:c>
    </x:row>
    <x:row r="17" ht="23" customHeight="1">
      <x:c r="A17" s="2" t="str">
        <x:v>2026-10-05_Night</x:v>
      </x:c>
      <x:c r="B17" s="19" t="n">
        <x:v>113000</x:v>
      </x:c>
      <x:c r="C17" s="19" t="n">
        <x:v>64000</x:v>
      </x:c>
      <x:c r="D17" s="19" t="n">
        <x:f>B17-C17</x:f>
        <x:v>49000</x:v>
      </x:c>
      <x:c r="E17" s="19" t="n">
        <x:f>E16+D17</x:f>
        <x:v>628000</x:v>
      </x:c>
      <x:c r="F17" s="19" t="n">
        <x:v>15000</x:v>
      </x:c>
      <x:c r="G17" s="19" t="n">
        <x:f>D17-F17</x:f>
        <x:v>34000</x:v>
      </x:c>
      <x:c r="H17" s="19" t="n">
        <x:v>15000</x:v>
      </x:c>
      <x:c r="I17" s="19" t="n">
        <x:v>0</x:v>
      </x:c>
      <x:c r="J17" s="19" t="n">
        <x:v>0</x:v>
      </x:c>
      <x:c r="K17" s="19" t="n">
        <x:v>0</x:v>
      </x:c>
      <x:c r="L17" s="19" t="n">
        <x:v>10000</x:v>
      </x:c>
      <x:c r="M17" s="19" t="n">
        <x:v>15000</x:v>
      </x:c>
      <x:c r="N17" s="20" t="n">
        <x:v>5</x:v>
      </x:c>
      <x:c r="O17" s="20" t="n">
        <x:v>5</x:v>
      </x:c>
      <x:c r="P17" s="20" t="n">
        <x:v>8</x:v>
      </x:c>
      <x:c r="Q17" s="20" t="n">
        <x:v>1</x:v>
      </x:c>
      <x:c r="R17" s="20" t="n">
        <x:v>19</x:v>
      </x:c>
      <x:c r="S17" s="21" t="n">
        <x:f>43/60</x:f>
        <x:v>0.7166666666666667</x:v>
      </x:c>
      <x:c r="T17" s="21" t="n">
        <x:f>0/60</x:f>
        <x:v>0</x:v>
      </x:c>
      <x:c r="U17" s="21" t="n">
        <x:f>0/60</x:f>
        <x:v>0</x:v>
      </x:c>
      <x:c r="V17" s="21" t="n">
        <x:f>0/60</x:f>
        <x:v>0</x:v>
      </x:c>
      <x:c r="W17" s="20" t="n">
        <x:v>0</x:v>
      </x:c>
      <x:c r="X17" s="20" t="n">
        <x:v>0</x:v>
      </x:c>
      <x:c r="Y17" s="20" t="n">
        <x:v>0</x:v>
      </x:c>
      <x:c r="Z17" s="20" t="n">
        <x:v>0</x:v>
      </x:c>
    </x:row>
    <x:row r="18" ht="23" customHeight="1">
      <x:c r="A18" s="2" t="str">
        <x:v>2026-10-06_Night</x:v>
      </x:c>
      <x:c r="B18" s="19" t="n">
        <x:v>33000</x:v>
      </x:c>
      <x:c r="C18" s="19" t="n">
        <x:v>43000</x:v>
      </x:c>
      <x:c r="D18" s="19" t="n">
        <x:f>B18-C18</x:f>
        <x:v>-10000</x:v>
      </x:c>
      <x:c r="E18" s="19" t="n">
        <x:f>E17+D18</x:f>
        <x:v>618000</x:v>
      </x:c>
      <x:c r="F18" s="19" t="n">
        <x:v>0</x:v>
      </x:c>
      <x:c r="G18" s="19" t="n">
        <x:f>D18-F18</x:f>
        <x:v>-10000</x:v>
      </x:c>
      <x:c r="H18" s="19" t="n">
        <x:v>0</x:v>
      </x:c>
      <x:c r="I18" s="19" t="n">
        <x:v>0</x:v>
      </x:c>
      <x:c r="J18" s="19" t="n">
        <x:v>0</x:v>
      </x:c>
      <x:c r="K18" s="19" t="n">
        <x:v>0</x:v>
      </x:c>
      <x:c r="L18" s="19" t="n">
        <x:v>0</x:v>
      </x:c>
      <x:c r="M18" s="19" t="n">
        <x:v>0</x:v>
      </x:c>
      <x:c r="N18" s="20" t="n">
        <x:v>0</x:v>
      </x:c>
      <x:c r="O18" s="20" t="n">
        <x:v>7</x:v>
      </x:c>
      <x:c r="P18" s="20" t="n">
        <x:v>4</x:v>
      </x:c>
      <x:c r="Q18" s="20" t="n">
        <x:v>0</x:v>
      </x:c>
      <x:c r="R18" s="20" t="n">
        <x:v>8</x:v>
      </x:c>
      <x:c r="S18" s="21" t="n">
        <x:f>0/60</x:f>
        <x:v>0</x:v>
      </x:c>
      <x:c r="T18" s="21" t="n">
        <x:f>0/60</x:f>
        <x:v>0</x:v>
      </x:c>
      <x:c r="U18" s="21" t="n">
        <x:f>0/60</x:f>
        <x:v>0</x:v>
      </x:c>
      <x:c r="V18" s="21" t="n">
        <x:f>0/60</x:f>
        <x:v>0</x:v>
      </x:c>
      <x:c r="W18" s="20" t="n">
        <x:v>0</x:v>
      </x:c>
      <x:c r="X18" s="20" t="n">
        <x:v>0</x:v>
      </x:c>
      <x:c r="Y18" s="20" t="n">
        <x:v>0</x:v>
      </x:c>
      <x:c r="Z18" s="20" t="n">
        <x:v>0</x:v>
      </x:c>
    </x:row>
    <x:row r="19" ht="23" customHeight="1">
      <x:c r="A19" s="2" t="str">
        <x:v>2026-10-07_Night</x:v>
      </x:c>
      <x:c r="B19" s="19" t="n">
        <x:v>23000</x:v>
      </x:c>
      <x:c r="C19" s="19" t="n">
        <x:v>47000</x:v>
      </x:c>
      <x:c r="D19" s="19" t="n">
        <x:f>B19-C19</x:f>
        <x:v>-24000</x:v>
      </x:c>
      <x:c r="E19" s="19" t="n">
        <x:f>E18+D19</x:f>
        <x:v>594000</x:v>
      </x:c>
      <x:c r="F19" s="19" t="n">
        <x:v>-2000</x:v>
      </x:c>
      <x:c r="G19" s="19" t="n">
        <x:f>D19-F19</x:f>
        <x:v>-22000</x:v>
      </x:c>
      <x:c r="H19" s="19" t="n">
        <x:v>23000</x:v>
      </x:c>
      <x:c r="I19" s="19" t="n">
        <x:v>0</x:v>
      </x:c>
      <x:c r="J19" s="19" t="n">
        <x:v>0</x:v>
      </x:c>
      <x:c r="K19" s="19" t="n">
        <x:v>25000</x:v>
      </x:c>
      <x:c r="L19" s="19" t="n">
        <x:v>30000</x:v>
      </x:c>
      <x:c r="M19" s="19" t="n">
        <x:v>30000</x:v>
      </x:c>
      <x:c r="N19" s="20" t="n">
        <x:v>2</x:v>
      </x:c>
      <x:c r="O19" s="20" t="n">
        <x:v>5</x:v>
      </x:c>
      <x:c r="P19" s="20" t="n">
        <x:v>5</x:v>
      </x:c>
      <x:c r="Q19" s="20" t="n">
        <x:v>3</x:v>
      </x:c>
      <x:c r="R19" s="20" t="n">
        <x:v>9</x:v>
      </x:c>
      <x:c r="S19" s="21" t="n">
        <x:f>5350/60</x:f>
        <x:v>89.16666666666667</x:v>
      </x:c>
      <x:c r="T19" s="21" t="n">
        <x:f>0/60</x:f>
        <x:v>0</x:v>
      </x:c>
      <x:c r="U19" s="21" t="n">
        <x:f>0/60</x:f>
        <x:v>0</x:v>
      </x:c>
      <x:c r="V19" s="21" t="n">
        <x:f>0/60</x:f>
        <x:v>0</x:v>
      </x:c>
      <x:c r="W19" s="20" t="n">
        <x:v>0</x:v>
      </x:c>
      <x:c r="X19" s="20" t="n">
        <x:v>0</x:v>
      </x:c>
      <x:c r="Y19" s="20" t="n">
        <x:v>0</x:v>
      </x:c>
      <x:c r="Z19" s="20" t="n">
        <x:v>0</x:v>
      </x:c>
    </x:row>
    <x:row r="20" ht="23" customHeight="1">
      <x:c r="A20" s="2" t="str">
        <x:v>2026-10-08_Night</x:v>
      </x:c>
      <x:c r="B20" s="19" t="n">
        <x:v>350000</x:v>
      </x:c>
      <x:c r="C20" s="19" t="n">
        <x:v>36000</x:v>
      </x:c>
      <x:c r="D20" s="19" t="n">
        <x:f>B20-C20</x:f>
        <x:v>314000</x:v>
      </x:c>
      <x:c r="E20" s="19" t="n">
        <x:f>E19+D20</x:f>
        <x:v>908000</x:v>
      </x:c>
      <x:c r="F20" s="19" t="n">
        <x:v>8000</x:v>
      </x:c>
      <x:c r="G20" s="19" t="n">
        <x:f>D20-F20</x:f>
        <x:v>306000</x:v>
      </x:c>
      <x:c r="H20" s="19" t="n">
        <x:v>8000</x:v>
      </x:c>
      <x:c r="I20" s="19" t="n">
        <x:v>0</x:v>
      </x:c>
      <x:c r="J20" s="19" t="n">
        <x:v>0</x:v>
      </x:c>
      <x:c r="K20" s="19" t="n">
        <x:v>0</x:v>
      </x:c>
      <x:c r="L20" s="19" t="n">
        <x:v>5000</x:v>
      </x:c>
      <x:c r="M20" s="19" t="n">
        <x:v>5000</x:v>
      </x:c>
      <x:c r="N20" s="20" t="n">
        <x:v>8</x:v>
      </x:c>
      <x:c r="O20" s="20" t="n">
        <x:v>8</x:v>
      </x:c>
      <x:c r="P20" s="20" t="n">
        <x:v>17</x:v>
      </x:c>
      <x:c r="Q20" s="20" t="n">
        <x:v>2</x:v>
      </x:c>
      <x:c r="R20" s="20" t="n">
        <x:v>30</x:v>
      </x:c>
      <x:c r="S20" s="21" t="n">
        <x:f>682/60</x:f>
        <x:v>11.366666666666667</x:v>
      </x:c>
      <x:c r="T20" s="21" t="n">
        <x:f>0/60</x:f>
        <x:v>0</x:v>
      </x:c>
      <x:c r="U20" s="21" t="n">
        <x:f>0/60</x:f>
        <x:v>0</x:v>
      </x:c>
      <x:c r="V20" s="21" t="n">
        <x:f>0/60</x:f>
        <x:v>0</x:v>
      </x:c>
      <x:c r="W20" s="20" t="n">
        <x:v>0</x:v>
      </x:c>
      <x:c r="X20" s="20" t="n">
        <x:v>0</x:v>
      </x:c>
      <x:c r="Y20" s="20" t="n">
        <x:v>0</x:v>
      </x:c>
      <x:c r="Z20" s="20" t="n">
        <x:v>0</x:v>
      </x:c>
    </x:row>
    <x:row r="21" ht="23" customHeight="1">
      <x:c r="A21" s="2" t="str">
        <x:v>2026-10-09_Night</x:v>
      </x:c>
      <x:c r="B21" s="19" t="n">
        <x:v>54000</x:v>
      </x:c>
      <x:c r="C21" s="19" t="n">
        <x:v>0</x:v>
      </x:c>
      <x:c r="D21" s="19" t="n">
        <x:f>B21-C21</x:f>
        <x:v>54000</x:v>
      </x:c>
      <x:c r="E21" s="19" t="n">
        <x:f>E20+D21</x:f>
        <x:v>962000</x:v>
      </x:c>
      <x:c r="F21" s="19" t="n">
        <x:v>40000</x:v>
      </x:c>
      <x:c r="G21" s="19" t="n">
        <x:f>D21-F21</x:f>
        <x:v>14000</x:v>
      </x:c>
      <x:c r="H21" s="19" t="n">
        <x:v>40000</x:v>
      </x:c>
      <x:c r="I21" s="19" t="n">
        <x:v>0</x:v>
      </x:c>
      <x:c r="J21" s="19" t="n">
        <x:v>0</x:v>
      </x:c>
      <x:c r="K21" s="19" t="n">
        <x:v>0</x:v>
      </x:c>
      <x:c r="L21" s="19" t="n">
        <x:v>20000</x:v>
      </x:c>
      <x:c r="M21" s="19" t="n">
        <x:v>20000</x:v>
      </x:c>
      <x:c r="N21" s="20" t="n">
        <x:v>0</x:v>
      </x:c>
      <x:c r="O21" s="20" t="n">
        <x:v>5</x:v>
      </x:c>
      <x:c r="P21" s="20" t="n">
        <x:v>3</x:v>
      </x:c>
      <x:c r="Q21" s="20" t="n">
        <x:v>2</x:v>
      </x:c>
      <x:c r="R21" s="20" t="n">
        <x:v>15</x:v>
      </x:c>
      <x:c r="S21" s="21" t="n">
        <x:f>804/60</x:f>
        <x:v>13.4</x:v>
      </x:c>
      <x:c r="T21" s="21" t="n">
        <x:f>0/60</x:f>
        <x:v>0</x:v>
      </x:c>
      <x:c r="U21" s="21" t="n">
        <x:f>0/60</x:f>
        <x:v>0</x:v>
      </x:c>
      <x:c r="V21" s="21" t="n">
        <x:f>0/60</x:f>
        <x:v>0</x:v>
      </x:c>
      <x:c r="W21" s="20" t="n">
        <x:v>0</x:v>
      </x:c>
      <x:c r="X21" s="20" t="n">
        <x:v>0</x:v>
      </x:c>
      <x:c r="Y21" s="20" t="n">
        <x:v>0</x:v>
      </x:c>
      <x:c r="Z21" s="20" t="n">
        <x:v>0</x:v>
      </x:c>
    </x:row>
    <x:row r="22" ht="23" customHeight="1">
      <x:c r="A22" s="2" t="str">
        <x:v>2026-10-12_Night</x:v>
      </x:c>
      <x:c r="B22" s="19" t="n">
        <x:v>82000</x:v>
      </x:c>
      <x:c r="C22" s="19" t="n">
        <x:v>0</x:v>
      </x:c>
      <x:c r="D22" s="19" t="n">
        <x:f>B22-C22</x:f>
        <x:v>82000</x:v>
      </x:c>
      <x:c r="E22" s="19" t="n">
        <x:f>E21+D22</x:f>
        <x:v>1044000</x:v>
      </x:c>
      <x:c r="F22" s="19" t="n">
        <x:v>0</x:v>
      </x:c>
      <x:c r="G22" s="19" t="n">
        <x:f>D22-F22</x:f>
        <x:v>82000</x:v>
      </x:c>
      <x:c r="H22" s="19" t="n">
        <x:v>0</x:v>
      </x:c>
      <x:c r="I22" s="19" t="n">
        <x:v>0</x:v>
      </x:c>
      <x:c r="J22" s="19" t="n">
        <x:v>0</x:v>
      </x:c>
      <x:c r="K22" s="19" t="n">
        <x:v>0</x:v>
      </x:c>
      <x:c r="L22" s="19" t="n">
        <x:v>0</x:v>
      </x:c>
      <x:c r="M22" s="19" t="n">
        <x:v>0</x:v>
      </x:c>
      <x:c r="N22" s="20" t="n">
        <x:v>0</x:v>
      </x:c>
      <x:c r="O22" s="20" t="n">
        <x:v>5</x:v>
      </x:c>
      <x:c r="P22" s="20" t="n">
        <x:v>1</x:v>
      </x:c>
      <x:c r="Q22" s="20" t="n">
        <x:v>0</x:v>
      </x:c>
      <x:c r="R22" s="20" t="n">
        <x:v>5</x:v>
      </x:c>
      <x:c r="S22" s="21" t="n">
        <x:f>0/60</x:f>
        <x:v>0</x:v>
      </x:c>
      <x:c r="T22" s="21" t="n">
        <x:f>0/60</x:f>
        <x:v>0</x:v>
      </x:c>
      <x:c r="U22" s="21" t="n">
        <x:f>0/60</x:f>
        <x:v>0</x:v>
      </x:c>
      <x:c r="V22" s="21" t="n">
        <x:f>0/60</x:f>
        <x:v>0</x:v>
      </x:c>
      <x:c r="W22" s="20" t="n">
        <x:v>0</x:v>
      </x:c>
      <x:c r="X22" s="20" t="n">
        <x:v>0</x:v>
      </x:c>
      <x:c r="Y22" s="20" t="n">
        <x:v>0</x:v>
      </x:c>
      <x:c r="Z22" s="20" t="n">
        <x:v>0</x:v>
      </x:c>
    </x:row>
    <x:row r="23" ht="23" customHeight="1">
      <x:c r="A23" s="2" t="str">
        <x:v>2026-10-13_Night</x:v>
      </x:c>
      <x:c r="B23" s="19" t="n">
        <x:v>15000</x:v>
      </x:c>
      <x:c r="C23" s="19" t="n">
        <x:v>53000</x:v>
      </x:c>
      <x:c r="D23" s="19" t="n">
        <x:f>B23-C23</x:f>
        <x:v>-38000</x:v>
      </x:c>
      <x:c r="E23" s="19" t="n">
        <x:f>E22+D23</x:f>
        <x:v>1006000</x:v>
      </x:c>
      <x:c r="F23" s="19" t="n">
        <x:v>15000</x:v>
      </x:c>
      <x:c r="G23" s="19" t="n">
        <x:f>D23-F23</x:f>
        <x:v>-53000</x:v>
      </x:c>
      <x:c r="H23" s="19" t="n">
        <x:v>15000</x:v>
      </x:c>
      <x:c r="I23" s="19" t="n">
        <x:v>0</x:v>
      </x:c>
      <x:c r="J23" s="19" t="n">
        <x:v>0</x:v>
      </x:c>
      <x:c r="K23" s="19" t="n">
        <x:v>0</x:v>
      </x:c>
      <x:c r="L23" s="19" t="n">
        <x:v>20000</x:v>
      </x:c>
      <x:c r="M23" s="19" t="n">
        <x:v>30000</x:v>
      </x:c>
      <x:c r="N23" s="20" t="n">
        <x:v>5</x:v>
      </x:c>
      <x:c r="O23" s="20" t="n">
        <x:v>5</x:v>
      </x:c>
      <x:c r="P23" s="20" t="n">
        <x:v>3</x:v>
      </x:c>
      <x:c r="Q23" s="20" t="n">
        <x:v>1</x:v>
      </x:c>
      <x:c r="R23" s="20" t="n">
        <x:v>11</x:v>
      </x:c>
      <x:c r="S23" s="21" t="n">
        <x:f>2192/60</x:f>
        <x:v>36.53333333333333</x:v>
      </x:c>
      <x:c r="T23" s="21" t="n">
        <x:f>0/60</x:f>
        <x:v>0</x:v>
      </x:c>
      <x:c r="U23" s="21" t="n">
        <x:f>0/60</x:f>
        <x:v>0</x:v>
      </x:c>
      <x:c r="V23" s="21" t="n">
        <x:f>0/60</x:f>
        <x:v>0</x:v>
      </x:c>
      <x:c r="W23" s="20" t="n">
        <x:v>0</x:v>
      </x:c>
      <x:c r="X23" s="20" t="n">
        <x:v>0</x:v>
      </x:c>
      <x:c r="Y23" s="20" t="n">
        <x:v>0</x:v>
      </x:c>
      <x:c r="Z23" s="20" t="n">
        <x:v>0</x:v>
      </x:c>
    </x:row>
    <x:row r="24" ht="23" customHeight="1">
      <x:c r="A24" s="2" t="str">
        <x:v>2026-10-14_Night</x:v>
      </x:c>
      <x:c r="B24" s="19" t="n">
        <x:v>212000</x:v>
      </x:c>
      <x:c r="C24" s="19" t="n">
        <x:v>61000</x:v>
      </x:c>
      <x:c r="D24" s="19" t="n">
        <x:f>B24-C24</x:f>
        <x:v>151000</x:v>
      </x:c>
      <x:c r="E24" s="19" t="n">
        <x:f>E23+D24</x:f>
        <x:v>1157000</x:v>
      </x:c>
      <x:c r="F24" s="19" t="n">
        <x:v>15000</x:v>
      </x:c>
      <x:c r="G24" s="19" t="n">
        <x:f>D24-F24</x:f>
        <x:v>136000</x:v>
      </x:c>
      <x:c r="H24" s="19" t="n">
        <x:v>15000</x:v>
      </x:c>
      <x:c r="I24" s="19" t="n">
        <x:v>0</x:v>
      </x:c>
      <x:c r="J24" s="19" t="n">
        <x:v>0</x:v>
      </x:c>
      <x:c r="K24" s="19" t="n">
        <x:v>0</x:v>
      </x:c>
      <x:c r="L24" s="19" t="n">
        <x:v>10000</x:v>
      </x:c>
      <x:c r="M24" s="19" t="n">
        <x:v>10000</x:v>
      </x:c>
      <x:c r="N24" s="20" t="n">
        <x:v>1</x:v>
      </x:c>
      <x:c r="O24" s="20" t="n">
        <x:v>5</x:v>
      </x:c>
      <x:c r="P24" s="20" t="n">
        <x:v>5</x:v>
      </x:c>
      <x:c r="Q24" s="20" t="n">
        <x:v>1</x:v>
      </x:c>
      <x:c r="R24" s="20" t="n">
        <x:v>14</x:v>
      </x:c>
      <x:c r="S24" s="21" t="n">
        <x:f>152/60</x:f>
        <x:v>2.533333333333333</x:v>
      </x:c>
      <x:c r="T24" s="21" t="n">
        <x:f>0/60</x:f>
        <x:v>0</x:v>
      </x:c>
      <x:c r="U24" s="21" t="n">
        <x:f>0/60</x:f>
        <x:v>0</x:v>
      </x:c>
      <x:c r="V24" s="21" t="n">
        <x:f>0/60</x:f>
        <x:v>0</x:v>
      </x:c>
      <x:c r="W24" s="20" t="n">
        <x:v>0</x:v>
      </x:c>
      <x:c r="X24" s="20" t="n">
        <x:v>0</x:v>
      </x:c>
      <x:c r="Y24" s="20" t="n">
        <x:v>0</x:v>
      </x:c>
      <x:c r="Z24" s="20" t="n">
        <x:v>0</x:v>
      </x:c>
    </x:row>
    <x:row r="25" ht="23" customHeight="1">
      <x:c r="A25" s="2" t="str">
        <x:v>2026-10-15_Night</x:v>
      </x:c>
      <x:c r="B25" s="19" t="n">
        <x:v>86000</x:v>
      </x:c>
      <x:c r="C25" s="19" t="n">
        <x:v>64000</x:v>
      </x:c>
      <x:c r="D25" s="19" t="n">
        <x:f>B25-C25</x:f>
        <x:v>22000</x:v>
      </x:c>
      <x:c r="E25" s="19" t="n">
        <x:f>E24+D25</x:f>
        <x:v>1179000</x:v>
      </x:c>
      <x:c r="F25" s="19" t="n">
        <x:v>0</x:v>
      </x:c>
      <x:c r="G25" s="19" t="n">
        <x:f>D25-F25</x:f>
        <x:v>22000</x:v>
      </x:c>
      <x:c r="H25" s="19" t="n">
        <x:v>0</x:v>
      </x:c>
      <x:c r="I25" s="19" t="n">
        <x:v>0</x:v>
      </x:c>
      <x:c r="J25" s="19" t="n">
        <x:v>0</x:v>
      </x:c>
      <x:c r="K25" s="19" t="n">
        <x:v>0</x:v>
      </x:c>
      <x:c r="L25" s="19" t="n">
        <x:v>0</x:v>
      </x:c>
      <x:c r="M25" s="19" t="n">
        <x:v>0</x:v>
      </x:c>
      <x:c r="N25" s="20" t="n">
        <x:v>3</x:v>
      </x:c>
      <x:c r="O25" s="20" t="n">
        <x:v>2</x:v>
      </x:c>
      <x:c r="P25" s="20" t="n">
        <x:v>7</x:v>
      </x:c>
      <x:c r="Q25" s="20" t="n">
        <x:v>0</x:v>
      </x:c>
      <x:c r="R25" s="20" t="n">
        <x:v>9</x:v>
      </x:c>
      <x:c r="S25" s="21" t="n">
        <x:f>0/60</x:f>
        <x:v>0</x:v>
      </x:c>
      <x:c r="T25" s="21" t="n">
        <x:f>0/60</x:f>
        <x:v>0</x:v>
      </x:c>
      <x:c r="U25" s="21" t="n">
        <x:f>0/60</x:f>
        <x:v>0</x:v>
      </x:c>
      <x:c r="V25" s="21" t="n">
        <x:f>0/60</x:f>
        <x:v>0</x:v>
      </x:c>
      <x:c r="W25" s="20" t="n">
        <x:v>0</x:v>
      </x:c>
      <x:c r="X25" s="20" t="n">
        <x:v>0</x:v>
      </x:c>
      <x:c r="Y25" s="20" t="n">
        <x:v>0</x:v>
      </x:c>
      <x:c r="Z25" s="20" t="n">
        <x:v>0</x:v>
      </x:c>
    </x:row>
    <x:row r="26" ht="23" customHeight="1">
      <x:c r="A26" s="2" t="str">
        <x:v>2026-10-16_Night</x:v>
      </x:c>
      <x:c r="B26" s="19" t="n">
        <x:v>163000</x:v>
      </x:c>
      <x:c r="C26" s="19" t="n">
        <x:v>151000</x:v>
      </x:c>
      <x:c r="D26" s="19" t="n">
        <x:f>B26-C26</x:f>
        <x:v>12000</x:v>
      </x:c>
      <x:c r="E26" s="19" t="n">
        <x:f>E25+D26</x:f>
        <x:v>1191000</x:v>
      </x:c>
      <x:c r="F26" s="19" t="n">
        <x:v>-20000</x:v>
      </x:c>
      <x:c r="G26" s="19" t="n">
        <x:f>D26-F26</x:f>
        <x:v>32000</x:v>
      </x:c>
      <x:c r="H26" s="19" t="n">
        <x:v>0</x:v>
      </x:c>
      <x:c r="I26" s="19" t="n">
        <x:v>0</x:v>
      </x:c>
      <x:c r="J26" s="19" t="n">
        <x:v>0</x:v>
      </x:c>
      <x:c r="K26" s="19" t="n">
        <x:v>20000</x:v>
      </x:c>
      <x:c r="L26" s="19" t="n">
        <x:v>45000</x:v>
      </x:c>
      <x:c r="M26" s="19" t="n">
        <x:v>55000</x:v>
      </x:c>
      <x:c r="N26" s="20" t="n">
        <x:v>3</x:v>
      </x:c>
      <x:c r="O26" s="20" t="n">
        <x:v>7</x:v>
      </x:c>
      <x:c r="P26" s="20" t="n">
        <x:v>14</x:v>
      </x:c>
      <x:c r="Q26" s="20" t="n">
        <x:v>1</x:v>
      </x:c>
      <x:c r="R26" s="20" t="n">
        <x:v>32</x:v>
      </x:c>
      <x:c r="S26" s="21" t="n">
        <x:f>907/60</x:f>
        <x:v>15.116666666666667</x:v>
      </x:c>
      <x:c r="T26" s="21" t="n">
        <x:f>0/60</x:f>
        <x:v>0</x:v>
      </x:c>
      <x:c r="U26" s="21" t="n">
        <x:f>0/60</x:f>
        <x:v>0</x:v>
      </x:c>
      <x:c r="V26" s="21" t="n">
        <x:f>0/60</x:f>
        <x:v>0</x:v>
      </x:c>
      <x:c r="W26" s="20" t="n">
        <x:v>0</x:v>
      </x:c>
      <x:c r="X26" s="20" t="n">
        <x:v>0</x:v>
      </x:c>
      <x:c r="Y26" s="20" t="n">
        <x:v>0</x:v>
      </x:c>
      <x:c r="Z26" s="20" t="n">
        <x:v>0</x:v>
      </x:c>
    </x:row>
    <x:row r="27" ht="23" customHeight="1">
      <x:c r="A27" s="2" t="str">
        <x:v>2026-10-19_Night</x:v>
      </x:c>
      <x:c r="B27" s="19" t="n">
        <x:v>132000</x:v>
      </x:c>
      <x:c r="C27" s="19" t="n">
        <x:v>105000</x:v>
      </x:c>
      <x:c r="D27" s="19" t="n">
        <x:f>B27-C27</x:f>
        <x:v>27000</x:v>
      </x:c>
      <x:c r="E27" s="19" t="n">
        <x:f>E26+D27</x:f>
        <x:v>1218000</x:v>
      </x:c>
      <x:c r="F27" s="19" t="n">
        <x:v>35000</x:v>
      </x:c>
      <x:c r="G27" s="19" t="n">
        <x:f>D27-F27</x:f>
        <x:v>-8000</x:v>
      </x:c>
      <x:c r="H27" s="19" t="n">
        <x:v>35000</x:v>
      </x:c>
      <x:c r="I27" s="19" t="n">
        <x:v>0</x:v>
      </x:c>
      <x:c r="J27" s="19" t="n">
        <x:v>0</x:v>
      </x:c>
      <x:c r="K27" s="19" t="n">
        <x:v>0</x:v>
      </x:c>
      <x:c r="L27" s="19" t="n">
        <x:v>55000</x:v>
      </x:c>
      <x:c r="M27" s="19" t="n">
        <x:v>60000</x:v>
      </x:c>
      <x:c r="N27" s="20" t="n">
        <x:v>5</x:v>
      </x:c>
      <x:c r="O27" s="20" t="n">
        <x:v>5</x:v>
      </x:c>
      <x:c r="P27" s="20" t="n">
        <x:v>14</x:v>
      </x:c>
      <x:c r="Q27" s="20" t="n">
        <x:v>2</x:v>
      </x:c>
      <x:c r="R27" s="20" t="n">
        <x:v>31</x:v>
      </x:c>
      <x:c r="S27" s="21" t="n">
        <x:f>3447/60</x:f>
        <x:v>57.45</x:v>
      </x:c>
      <x:c r="T27" s="21" t="n">
        <x:f>0/60</x:f>
        <x:v>0</x:v>
      </x:c>
      <x:c r="U27" s="21" t="n">
        <x:f>0/60</x:f>
        <x:v>0</x:v>
      </x:c>
      <x:c r="V27" s="21" t="n">
        <x:f>0/60</x:f>
        <x:v>0</x:v>
      </x:c>
      <x:c r="W27" s="20" t="n">
        <x:v>0</x:v>
      </x:c>
      <x:c r="X27" s="20" t="n">
        <x:v>0</x:v>
      </x:c>
      <x:c r="Y27" s="20" t="n">
        <x:v>0</x:v>
      </x:c>
      <x:c r="Z27" s="20" t="n">
        <x:v>0</x:v>
      </x:c>
    </x:row>
    <x:row r="28" ht="23" customHeight="1">
      <x:c r="A28" s="2" t="str">
        <x:v>2026-10-20_Night</x:v>
      </x:c>
      <x:c r="B28" s="19" t="n">
        <x:v>156000</x:v>
      </x:c>
      <x:c r="C28" s="19" t="n">
        <x:v>33000</x:v>
      </x:c>
      <x:c r="D28" s="19" t="n">
        <x:f>B28-C28</x:f>
        <x:v>123000</x:v>
      </x:c>
      <x:c r="E28" s="19" t="n">
        <x:f>E27+D28</x:f>
        <x:v>1341000</x:v>
      </x:c>
      <x:c r="F28" s="19" t="n">
        <x:v>57000</x:v>
      </x:c>
      <x:c r="G28" s="19" t="n">
        <x:f>D28-F28</x:f>
        <x:v>66000</x:v>
      </x:c>
      <x:c r="H28" s="19" t="n">
        <x:v>57000</x:v>
      </x:c>
      <x:c r="I28" s="19" t="n">
        <x:v>0</x:v>
      </x:c>
      <x:c r="J28" s="19" t="n">
        <x:v>0</x:v>
      </x:c>
      <x:c r="K28" s="19" t="n">
        <x:v>0</x:v>
      </x:c>
      <x:c r="L28" s="19" t="n">
        <x:v>40000</x:v>
      </x:c>
      <x:c r="M28" s="19" t="n">
        <x:v>50000</x:v>
      </x:c>
      <x:c r="N28" s="20" t="n">
        <x:v>5</x:v>
      </x:c>
      <x:c r="O28" s="20" t="n">
        <x:v>5</x:v>
      </x:c>
      <x:c r="P28" s="20" t="n">
        <x:v>11</x:v>
      </x:c>
      <x:c r="Q28" s="20" t="n">
        <x:v>4</x:v>
      </x:c>
      <x:c r="R28" s="20" t="n">
        <x:v>22</x:v>
      </x:c>
      <x:c r="S28" s="21" t="n">
        <x:f>633/60</x:f>
        <x:v>10.55</x:v>
      </x:c>
      <x:c r="T28" s="21" t="n">
        <x:f>0/60</x:f>
        <x:v>0</x:v>
      </x:c>
      <x:c r="U28" s="21" t="n">
        <x:f>0/60</x:f>
        <x:v>0</x:v>
      </x:c>
      <x:c r="V28" s="21" t="n">
        <x:f>0/60</x:f>
        <x:v>0</x:v>
      </x:c>
      <x:c r="W28" s="20" t="n">
        <x:v>0</x:v>
      </x:c>
      <x:c r="X28" s="20" t="n">
        <x:v>0</x:v>
      </x:c>
      <x:c r="Y28" s="20" t="n">
        <x:v>0</x:v>
      </x:c>
      <x:c r="Z28" s="20" t="n">
        <x:v>0</x:v>
      </x:c>
    </x:row>
    <x:row r="29" ht="23" customHeight="1">
      <x:c r="A29" s="2" t="str">
        <x:v>2026-10-21_Night</x:v>
      </x:c>
      <x:c r="B29" s="19" t="n">
        <x:v>80000</x:v>
      </x:c>
      <x:c r="C29" s="19" t="n">
        <x:v>89000</x:v>
      </x:c>
      <x:c r="D29" s="19" t="n">
        <x:f>B29-C29</x:f>
        <x:v>-9000</x:v>
      </x:c>
      <x:c r="E29" s="19" t="n">
        <x:f>E28+D29</x:f>
        <x:v>1332000</x:v>
      </x:c>
      <x:c r="F29" s="19" t="n">
        <x:v>15000</x:v>
      </x:c>
      <x:c r="G29" s="19" t="n">
        <x:f>D29-F29</x:f>
        <x:v>-24000</x:v>
      </x:c>
      <x:c r="H29" s="19" t="n">
        <x:v>15000</x:v>
      </x:c>
      <x:c r="I29" s="19" t="n">
        <x:v>0</x:v>
      </x:c>
      <x:c r="J29" s="19" t="n">
        <x:v>0</x:v>
      </x:c>
      <x:c r="K29" s="19" t="n">
        <x:v>0</x:v>
      </x:c>
      <x:c r="L29" s="19" t="n">
        <x:v>5000</x:v>
      </x:c>
      <x:c r="M29" s="19" t="n">
        <x:v>15000</x:v>
      </x:c>
      <x:c r="N29" s="20" t="n">
        <x:v>7</x:v>
      </x:c>
      <x:c r="O29" s="20" t="n">
        <x:v>5</x:v>
      </x:c>
      <x:c r="P29" s="20" t="n">
        <x:v>6</x:v>
      </x:c>
      <x:c r="Q29" s="20" t="n">
        <x:v>1</x:v>
      </x:c>
      <x:c r="R29" s="20" t="n">
        <x:v>22</x:v>
      </x:c>
      <x:c r="S29" s="21" t="n">
        <x:f>107/60</x:f>
        <x:v>1.7833333333333334</x:v>
      </x:c>
      <x:c r="T29" s="21" t="n">
        <x:f>0/60</x:f>
        <x:v>0</x:v>
      </x:c>
      <x:c r="U29" s="21" t="n">
        <x:f>0/60</x:f>
        <x:v>0</x:v>
      </x:c>
      <x:c r="V29" s="21" t="n">
        <x:f>0/60</x:f>
        <x:v>0</x:v>
      </x:c>
      <x:c r="W29" s="20" t="n">
        <x:v>0</x:v>
      </x:c>
      <x:c r="X29" s="20" t="n">
        <x:v>0</x:v>
      </x:c>
      <x:c r="Y29" s="20" t="n">
        <x:v>0</x:v>
      </x:c>
      <x:c r="Z29" s="20" t="n">
        <x:v>0</x:v>
      </x:c>
    </x:row>
    <x:row r="30" ht="23" customHeight="1">
      <x:c r="A30" s="2" t="str">
        <x:v>2026-10-22_Night</x:v>
      </x:c>
      <x:c r="B30" s="19" t="n">
        <x:v>156000</x:v>
      </x:c>
      <x:c r="C30" s="19" t="n">
        <x:v>0</x:v>
      </x:c>
      <x:c r="D30" s="19" t="n">
        <x:f>B30-C30</x:f>
        <x:v>156000</x:v>
      </x:c>
      <x:c r="E30" s="19" t="n">
        <x:f>E29+D30</x:f>
        <x:v>1488000</x:v>
      </x:c>
      <x:c r="F30" s="19" t="n">
        <x:v>0</x:v>
      </x:c>
      <x:c r="G30" s="19" t="n">
        <x:f>D30-F30</x:f>
        <x:v>156000</x:v>
      </x:c>
      <x:c r="H30" s="19" t="n">
        <x:v>0</x:v>
      </x:c>
      <x:c r="I30" s="19" t="n">
        <x:v>0</x:v>
      </x:c>
      <x:c r="J30" s="19" t="n">
        <x:v>0</x:v>
      </x:c>
      <x:c r="K30" s="19" t="n">
        <x:v>0</x:v>
      </x:c>
      <x:c r="L30" s="19" t="n">
        <x:v>0</x:v>
      </x:c>
      <x:c r="M30" s="19" t="n">
        <x:v>0</x:v>
      </x:c>
      <x:c r="N30" s="20" t="n">
        <x:v>0</x:v>
      </x:c>
      <x:c r="O30" s="20" t="n">
        <x:v>6</x:v>
      </x:c>
      <x:c r="P30" s="20" t="n">
        <x:v>3</x:v>
      </x:c>
      <x:c r="Q30" s="20" t="n">
        <x:v>0</x:v>
      </x:c>
      <x:c r="R30" s="20" t="n">
        <x:v>7</x:v>
      </x:c>
      <x:c r="S30" s="21" t="n">
        <x:f>0/60</x:f>
        <x:v>0</x:v>
      </x:c>
      <x:c r="T30" s="21" t="n">
        <x:f>0/60</x:f>
        <x:v>0</x:v>
      </x:c>
      <x:c r="U30" s="21" t="n">
        <x:f>0/60</x:f>
        <x:v>0</x:v>
      </x:c>
      <x:c r="V30" s="21" t="n">
        <x:f>0/60</x:f>
        <x:v>0</x:v>
      </x:c>
      <x:c r="W30" s="20" t="n">
        <x:v>0</x:v>
      </x:c>
      <x:c r="X30" s="20" t="n">
        <x:v>0</x:v>
      </x:c>
      <x:c r="Y30" s="20" t="n">
        <x:v>0</x:v>
      </x:c>
      <x:c r="Z30" s="20" t="n">
        <x:v>0</x:v>
      </x:c>
    </x:row>
    <x:row r="31" ht="23" customHeight="1">
      <x:c r="A31" s="2" t="str">
        <x:v>2026-10-23_Night</x:v>
      </x:c>
      <x:c r="B31" s="19" t="n">
        <x:v>73000</x:v>
      </x:c>
      <x:c r="C31" s="19" t="n">
        <x:v>64000</x:v>
      </x:c>
      <x:c r="D31" s="19" t="n">
        <x:f>B31-C31</x:f>
        <x:v>9000</x:v>
      </x:c>
      <x:c r="E31" s="19" t="n">
        <x:f>E30+D31</x:f>
        <x:v>1497000</x:v>
      </x:c>
      <x:c r="F31" s="19" t="n">
        <x:v>-6000</x:v>
      </x:c>
      <x:c r="G31" s="19" t="n">
        <x:f>D31-F31</x:f>
        <x:v>15000</x:v>
      </x:c>
      <x:c r="H31" s="19" t="n">
        <x:v>26000</x:v>
      </x:c>
      <x:c r="I31" s="19" t="n">
        <x:v>0</x:v>
      </x:c>
      <x:c r="J31" s="19" t="n">
        <x:v>0</x:v>
      </x:c>
      <x:c r="K31" s="19" t="n">
        <x:v>32000</x:v>
      </x:c>
      <x:c r="L31" s="19" t="n">
        <x:v>39000</x:v>
      </x:c>
      <x:c r="M31" s="19" t="n">
        <x:v>45000</x:v>
      </x:c>
      <x:c r="N31" s="20" t="n">
        <x:v>5</x:v>
      </x:c>
      <x:c r="O31" s="20" t="n">
        <x:v>5</x:v>
      </x:c>
      <x:c r="P31" s="20" t="n">
        <x:v>11</x:v>
      </x:c>
      <x:c r="Q31" s="20" t="n">
        <x:v>5</x:v>
      </x:c>
      <x:c r="R31" s="20" t="n">
        <x:v>20</x:v>
      </x:c>
      <x:c r="S31" s="21" t="n">
        <x:f>12818/60</x:f>
        <x:v>213.63333333333333</x:v>
      </x:c>
      <x:c r="T31" s="21" t="n">
        <x:f>0/60</x:f>
        <x:v>0</x:v>
      </x:c>
      <x:c r="U31" s="21" t="n">
        <x:f>0/60</x:f>
        <x:v>0</x:v>
      </x:c>
      <x:c r="V31" s="21" t="n">
        <x:f>0/60</x:f>
        <x:v>0</x:v>
      </x:c>
      <x:c r="W31" s="20" t="n">
        <x:v>0</x:v>
      </x:c>
      <x:c r="X31" s="20" t="n">
        <x:v>0</x:v>
      </x:c>
      <x:c r="Y31" s="20" t="n">
        <x:v>0</x:v>
      </x:c>
      <x:c r="Z31" s="20" t="n">
        <x:v>0</x:v>
      </x:c>
    </x:row>
    <x:row r="32" ht="23" customHeight="1">
      <x:c r="A32" s="26" t="str">
        <x:v>25夜累計／最大</x:v>
      </x:c>
      <x:c r="B32" s="27" t="n">
        <x:f>SUM(B7:B31)</x:f>
        <x:v>2628000</x:v>
      </x:c>
      <x:c r="C32" s="27" t="n">
        <x:f>SUM(C7:C31)</x:f>
        <x:v>1131000</x:v>
      </x:c>
      <x:c r="D32" s="27" t="n">
        <x:f>B32-C32</x:f>
        <x:v>1497000</x:v>
      </x:c>
      <x:c r="E32" s="27" t="n">
        <x:f>E31</x:f>
        <x:v>1497000</x:v>
      </x:c>
      <x:c r="F32" s="27" t="n">
        <x:f>SUM(F7:F31)</x:f>
        <x:v>354000</x:v>
      </x:c>
      <x:c r="G32" s="27" t="n">
        <x:f>SUM(G7:G31)</x:f>
        <x:v>1143000</x:v>
      </x:c>
      <x:c r="H32" s="27" t="n">
        <x:f>SUM(H7:H31)</x:f>
        <x:v>416000</x:v>
      </x:c>
      <x:c r="I32" s="27" t="n">
        <x:f>SUM(I7:I31)</x:f>
        <x:v>0</x:v>
      </x:c>
      <x:c r="J32" s="27" t="n">
        <x:f>SUM(J7:J31)</x:f>
        <x:v>15000</x:v>
      </x:c>
      <x:c r="K32" s="27" t="n">
        <x:f>SUM(K7:K31)</x:f>
        <x:v>77000</x:v>
      </x:c>
      <x:c r="L32" s="27" t="n">
        <x:f>MAX(L7:L31)</x:f>
        <x:v>90000</x:v>
      </x:c>
      <x:c r="M32" s="27" t="n">
        <x:f>MAX(M7:M31)</x:f>
        <x:v>95000</x:v>
      </x:c>
      <x:c r="N32" s="28" t="n">
        <x:f>MAX(N7:N31)</x:f>
        <x:v>8</x:v>
      </x:c>
      <x:c r="O32" s="28" t="n">
        <x:f>MAX(O7:O31)</x:f>
        <x:v>10</x:v>
      </x:c>
      <x:c r="P32" s="28" t="n">
        <x:f>SUM(P7:P31)</x:f>
        <x:v>172</x:v>
      </x:c>
      <x:c r="Q32" s="28" t="n">
        <x:f>SUM(Q7:Q31)</x:f>
        <x:v>38</x:v>
      </x:c>
      <x:c r="R32" s="28" t="n">
        <x:f>SUM(R7:R31)</x:f>
        <x:v>401</x:v>
      </x:c>
      <x:c r="S32" s="29" t="n">
        <x:f>SUM(S7:S31)</x:f>
        <x:v>719.3666666666667</x:v>
      </x:c>
      <x:c r="T32" s="29" t="n">
        <x:f>SUM(T7:T31)</x:f>
        <x:v>0</x:v>
      </x:c>
      <x:c r="U32" s="29" t="n">
        <x:f>SUM(U7:U31)</x:f>
        <x:v>0</x:v>
      </x:c>
      <x:c r="V32" s="29" t="n">
        <x:f>SUM(V7:V31)</x:f>
        <x:v>0</x:v>
      </x:c>
      <x:c r="W32" s="28" t="n">
        <x:f>SUM(W7:W31)</x:f>
        <x:v>0</x:v>
      </x:c>
      <x:c r="X32" s="28" t="n">
        <x:f>SUM(X7:X31)</x:f>
        <x:v>0</x:v>
      </x:c>
      <x:c r="Y32" s="28" t="n">
        <x:f>SUM(Y7:Y31)</x:f>
        <x:v>0</x:v>
      </x:c>
      <x:c r="Z32" s="28" t="n">
        <x:f>SUM(Z7:Z31)</x:f>
        <x:v>0</x:v>
      </x:c>
    </x:row>
  </x:sheetData>
  <x:conditionalFormatting sqref="B7:M32">
    <x:cfRule type="cellIs" dxfId="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3886f8f95074d7c"/>
  </x:tableParts>
</x:worksheet>
</file>

<file path=xl/worksheets/sheet9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3" customHeight="1">
      <x:c r="A2" s="4" t="str">
        <x:v>P06　全夜間の利益・損失・収支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3" ht="23" customHeight="1">
      <x:c r="A3" s="6" t="str">
        <x:v>日経mini・片方向上限10枚・手数料0・次正常ラージ気配代理。2026/09/21〜10/23の完了25夜。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3" customHeight="1">
      <x:c r="A4" s="6" t="str">
        <x:v>利益・損失は新規実約定IDごとの全返済収支で分類。旧親単位の利益損失とは異なります。未測定は空欄。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3" customHeight="1">
      <x:c r="A5" s="6" t="str">
        <x:v>前半・80/40追尾・各通知最大1枚。P：新手法は米国開始15分前まで、後半は保存S04。含み損・DD・保有時間・返済内訳は前半だけ。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4" customHeight="1">
      <x:c r="A6" s="15" t="str">
        <x:v>セッション</x:v>
      </x:c>
      <x:c r="B6" s="16" t="str">
        <x:v>利益（円）</x:v>
      </x:c>
      <x:c r="C6" s="16" t="str">
        <x:v>損失（円）</x:v>
      </x:c>
      <x:c r="D6" s="16" t="str">
        <x:v>全夜収支（円）</x:v>
      </x:c>
      <x:c r="E6" s="16" t="str">
        <x:v>累計（円）</x:v>
      </x:c>
      <x:c r="F6" s="16" t="str">
        <x:v>対象区間収支</x:v>
      </x:c>
      <x:c r="G6" s="16" t="str">
        <x:v>保存後半収支</x:v>
      </x:c>
      <x:c r="H6" s="16" t="str">
        <x:v>利益追尾の利益</x:v>
      </x:c>
      <x:c r="I6" s="16" t="str">
        <x:v>利益追尾の損失</x:v>
      </x:c>
      <x:c r="J6" s="16" t="str">
        <x:v>境界清算の利益</x:v>
      </x:c>
      <x:c r="K6" s="16" t="str">
        <x:v>境界清算の損失</x:v>
      </x:c>
      <x:c r="L6" s="16" t="str">
        <x:v>最大含み損（円）</x:v>
      </x:c>
      <x:c r="M6" s="16" t="str">
        <x:v>対象区間DD</x:v>
      </x:c>
      <x:c r="N6" s="16" t="str">
        <x:v>最大買い枚数</x:v>
      </x:c>
      <x:c r="O6" s="16" t="str">
        <x:v>最大売り枚数</x:v>
      </x:c>
      <x:c r="P6" s="16" t="str">
        <x:v>全夜新規件数</x:v>
      </x:c>
      <x:c r="Q6" s="16" t="str">
        <x:v>対象区間新規</x:v>
      </x:c>
      <x:c r="R6" s="16" t="str">
        <x:v>全新規枚数</x:v>
      </x:c>
      <x:c r="S6" s="16" t="str">
        <x:v>保有（分）</x:v>
      </x:c>
      <x:c r="T6" s="16" t="str">
        <x:v>両建て（分）</x:v>
      </x:c>
      <x:c r="U6" s="16" t="str">
        <x:v>買い上限（分）</x:v>
      </x:c>
      <x:c r="V6" s="16" t="str">
        <x:v>売り上限（分）</x:v>
      </x:c>
      <x:c r="W6" s="16" t="str">
        <x:v>上限拒否・縮小件数</x:v>
      </x:c>
      <x:c r="X6" s="16" t="str">
        <x:v>通知全拒否件数</x:v>
      </x:c>
      <x:c r="Y6" s="16" t="str">
        <x:v>実再参加件数</x:v>
      </x:c>
      <x:c r="Z6" s="17" t="str">
        <x:v>判断利益→実損失</x:v>
      </x:c>
    </x:row>
    <x:row r="7" ht="23" customHeight="1">
      <x:c r="A7" s="2" t="str">
        <x:v>2026-09-21_Night</x:v>
      </x:c>
      <x:c r="B7" s="19" t="n">
        <x:v>0</x:v>
      </x:c>
      <x:c r="C7" s="19" t="n">
        <x:v>45000</x:v>
      </x:c>
      <x:c r="D7" s="19" t="n">
        <x:f>B7-C7</x:f>
        <x:v>-45000</x:v>
      </x:c>
      <x:c r="E7" s="19" t="n">
        <x:f>D7</x:f>
        <x:v>-45000</x:v>
      </x:c>
      <x:c r="F7" s="19" t="n">
        <x:v>0</x:v>
      </x:c>
      <x:c r="G7" s="19" t="n">
        <x:f>D7-F7</x:f>
        <x:v>-45000</x:v>
      </x:c>
      <x:c r="H7" s="19" t="n">
        <x:v>0</x:v>
      </x:c>
      <x:c r="I7" s="19" t="n">
        <x:v>0</x:v>
      </x:c>
      <x:c r="J7" s="19" t="n">
        <x:v>0</x:v>
      </x:c>
      <x:c r="K7" s="19" t="n">
        <x:v>0</x:v>
      </x:c>
      <x:c r="L7" s="19" t="n">
        <x:v>0</x:v>
      </x:c>
      <x:c r="M7" s="19" t="n">
        <x:v>0</x:v>
      </x:c>
      <x:c r="N7" s="20" t="n">
        <x:v>5</x:v>
      </x:c>
      <x:c r="O7" s="20" t="n">
        <x:v>0</x:v>
      </x:c>
      <x:c r="P7" s="20" t="n">
        <x:v>1</x:v>
      </x:c>
      <x:c r="Q7" s="20" t="n">
        <x:v>0</x:v>
      </x:c>
      <x:c r="R7" s="20" t="n">
        <x:v>5</x:v>
      </x:c>
      <x:c r="S7" s="21" t="n">
        <x:f>0/60</x:f>
        <x:v>0</x:v>
      </x:c>
      <x:c r="T7" s="21" t="n">
        <x:f>0/60</x:f>
        <x:v>0</x:v>
      </x:c>
      <x:c r="U7" s="21" t="n">
        <x:f>0/60</x:f>
        <x:v>0</x:v>
      </x:c>
      <x:c r="V7" s="21" t="n">
        <x:f>0/60</x:f>
        <x:v>0</x:v>
      </x:c>
      <x:c r="W7" s="20" t="n">
        <x:v>0</x:v>
      </x:c>
      <x:c r="X7" s="20" t="n">
        <x:v>0</x:v>
      </x:c>
      <x:c r="Y7" s="20" t="n">
        <x:v>0</x:v>
      </x:c>
      <x:c r="Z7" s="20" t="n">
        <x:v>0</x:v>
      </x:c>
    </x:row>
    <x:row r="8" ht="23" customHeight="1">
      <x:c r="A8" s="2" t="str">
        <x:v>2026-09-22_Night</x:v>
      </x:c>
      <x:c r="B8" s="19" t="n">
        <x:v>31000</x:v>
      </x:c>
      <x:c r="C8" s="19" t="n">
        <x:v>0</x:v>
      </x:c>
      <x:c r="D8" s="19" t="n">
        <x:f>B8-C8</x:f>
        <x:v>31000</x:v>
      </x:c>
      <x:c r="E8" s="19" t="n">
        <x:f>E7+D8</x:f>
        <x:v>-14000</x:v>
      </x:c>
      <x:c r="F8" s="19" t="n">
        <x:v>7000</x:v>
      </x:c>
      <x:c r="G8" s="19" t="n">
        <x:f>D8-F8</x:f>
        <x:v>24000</x:v>
      </x:c>
      <x:c r="H8" s="19" t="n">
        <x:v>7000</x:v>
      </x:c>
      <x:c r="I8" s="19" t="n">
        <x:v>0</x:v>
      </x:c>
      <x:c r="J8" s="19" t="n">
        <x:v>0</x:v>
      </x:c>
      <x:c r="K8" s="19" t="n">
        <x:v>0</x:v>
      </x:c>
      <x:c r="L8" s="19" t="n">
        <x:v>9000</x:v>
      </x:c>
      <x:c r="M8" s="19" t="n">
        <x:v>11000</x:v>
      </x:c>
      <x:c r="N8" s="20" t="n">
        <x:v>5</x:v>
      </x:c>
      <x:c r="O8" s="20" t="n">
        <x:v>0</x:v>
      </x:c>
      <x:c r="P8" s="20" t="n">
        <x:v>2</x:v>
      </x:c>
      <x:c r="Q8" s="20" t="n">
        <x:v>1</x:v>
      </x:c>
      <x:c r="R8" s="20" t="n">
        <x:v>6</x:v>
      </x:c>
      <x:c r="S8" s="21" t="n">
        <x:f>2453/60</x:f>
        <x:v>40.88333333333333</x:v>
      </x:c>
      <x:c r="T8" s="21" t="n">
        <x:f>0/60</x:f>
        <x:v>0</x:v>
      </x:c>
      <x:c r="U8" s="21" t="n">
        <x:f>0/60</x:f>
        <x:v>0</x:v>
      </x:c>
      <x:c r="V8" s="21" t="n">
        <x:f>0/60</x:f>
        <x:v>0</x:v>
      </x:c>
      <x:c r="W8" s="20" t="n">
        <x:v>0</x:v>
      </x:c>
      <x:c r="X8" s="20" t="n">
        <x:v>0</x:v>
      </x:c>
      <x:c r="Y8" s="20" t="n">
        <x:v>0</x:v>
      </x:c>
      <x:c r="Z8" s="20" t="n">
        <x:v>0</x:v>
      </x:c>
    </x:row>
    <x:row r="9" ht="23" customHeight="1">
      <x:c r="A9" s="2" t="str">
        <x:v>2026-09-23_Night</x:v>
      </x:c>
      <x:c r="B9" s="19" t="n">
        <x:v>5000</x:v>
      </x:c>
      <x:c r="C9" s="19" t="n">
        <x:v>41000</x:v>
      </x:c>
      <x:c r="D9" s="19" t="n">
        <x:f>B9-C9</x:f>
        <x:v>-36000</x:v>
      </x:c>
      <x:c r="E9" s="19" t="n">
        <x:f>E8+D9</x:f>
        <x:v>-50000</x:v>
      </x:c>
      <x:c r="F9" s="19" t="n">
        <x:v>0</x:v>
      </x:c>
      <x:c r="G9" s="19" t="n">
        <x:f>D9-F9</x:f>
        <x:v>-36000</x:v>
      </x:c>
      <x:c r="H9" s="19" t="n">
        <x:v>0</x:v>
      </x:c>
      <x:c r="I9" s="19" t="n">
        <x:v>0</x:v>
      </x:c>
      <x:c r="J9" s="19" t="n">
        <x:v>0</x:v>
      </x:c>
      <x:c r="K9" s="19" t="n">
        <x:v>0</x:v>
      </x:c>
      <x:c r="L9" s="19" t="n">
        <x:v>0</x:v>
      </x:c>
      <x:c r="M9" s="19" t="n">
        <x:v>0</x:v>
      </x:c>
      <x:c r="N9" s="20" t="n">
        <x:v>2</x:v>
      </x:c>
      <x:c r="O9" s="20" t="n">
        <x:v>5</x:v>
      </x:c>
      <x:c r="P9" s="20" t="n">
        <x:v>3</x:v>
      </x:c>
      <x:c r="Q9" s="20" t="n">
        <x:v>0</x:v>
      </x:c>
      <x:c r="R9" s="20" t="n">
        <x:v>7</x:v>
      </x:c>
      <x:c r="S9" s="21" t="n">
        <x:f>0/60</x:f>
        <x:v>0</x:v>
      </x:c>
      <x:c r="T9" s="21" t="n">
        <x:f>0/60</x:f>
        <x:v>0</x:v>
      </x:c>
      <x:c r="U9" s="21" t="n">
        <x:f>0/60</x:f>
        <x:v>0</x:v>
      </x:c>
      <x:c r="V9" s="21" t="n">
        <x:f>0/60</x:f>
        <x:v>0</x:v>
      </x:c>
      <x:c r="W9" s="20" t="n">
        <x:v>0</x:v>
      </x:c>
      <x:c r="X9" s="20" t="n">
        <x:v>0</x:v>
      </x:c>
      <x:c r="Y9" s="20" t="n">
        <x:v>0</x:v>
      </x:c>
      <x:c r="Z9" s="20" t="n">
        <x:v>0</x:v>
      </x:c>
    </x:row>
    <x:row r="10" ht="23" customHeight="1">
      <x:c r="A10" s="2" t="str">
        <x:v>2026-09-24_Night</x:v>
      </x:c>
      <x:c r="B10" s="19" t="n">
        <x:v>30000</x:v>
      </x:c>
      <x:c r="C10" s="19" t="n">
        <x:v>0</x:v>
      </x:c>
      <x:c r="D10" s="19" t="n">
        <x:f>B10-C10</x:f>
        <x:v>30000</x:v>
      </x:c>
      <x:c r="E10" s="19" t="n">
        <x:f>E9+D10</x:f>
        <x:v>-20000</x:v>
      </x:c>
      <x:c r="F10" s="19" t="n">
        <x:v>10000</x:v>
      </x:c>
      <x:c r="G10" s="19" t="n">
        <x:f>D10-F10</x:f>
        <x:v>20000</x:v>
      </x:c>
      <x:c r="H10" s="19" t="n">
        <x:v>5000</x:v>
      </x:c>
      <x:c r="I10" s="19" t="n">
        <x:v>0</x:v>
      </x:c>
      <x:c r="J10" s="19" t="n">
        <x:v>5000</x:v>
      </x:c>
      <x:c r="K10" s="19" t="n">
        <x:v>0</x:v>
      </x:c>
      <x:c r="L10" s="19" t="n">
        <x:v>17000</x:v>
      </x:c>
      <x:c r="M10" s="19" t="n">
        <x:v>18000</x:v>
      </x:c>
      <x:c r="N10" s="20" t="n">
        <x:v>1</x:v>
      </x:c>
      <x:c r="O10" s="20" t="n">
        <x:v>2</x:v>
      </x:c>
      <x:c r="P10" s="20" t="n">
        <x:v>4</x:v>
      </x:c>
      <x:c r="Q10" s="20" t="n">
        <x:v>2</x:v>
      </x:c>
      <x:c r="R10" s="20" t="n">
        <x:v>4</x:v>
      </x:c>
      <x:c r="S10" s="21" t="n">
        <x:f>6601/60</x:f>
        <x:v>110.01666666666667</x:v>
      </x:c>
      <x:c r="T10" s="21" t="n">
        <x:f>0/60</x:f>
        <x:v>0</x:v>
      </x:c>
      <x:c r="U10" s="21" t="n">
        <x:f>0/60</x:f>
        <x:v>0</x:v>
      </x:c>
      <x:c r="V10" s="21" t="n">
        <x:f>0/60</x:f>
        <x:v>0</x:v>
      </x:c>
      <x:c r="W10" s="20" t="n">
        <x:v>0</x:v>
      </x:c>
      <x:c r="X10" s="20" t="n">
        <x:v>0</x:v>
      </x:c>
      <x:c r="Y10" s="20" t="n">
        <x:v>0</x:v>
      </x:c>
      <x:c r="Z10" s="20" t="n">
        <x:v>0</x:v>
      </x:c>
    </x:row>
    <x:row r="11" ht="23" customHeight="1">
      <x:c r="A11" s="2" t="str">
        <x:v>2026-09-25_Night</x:v>
      </x:c>
      <x:c r="B11" s="19" t="n">
        <x:v>17000</x:v>
      </x:c>
      <x:c r="C11" s="19" t="n">
        <x:v>16000</x:v>
      </x:c>
      <x:c r="D11" s="19" t="n">
        <x:f>B11-C11</x:f>
        <x:v>1000</x:v>
      </x:c>
      <x:c r="E11" s="19" t="n">
        <x:f>E10+D11</x:f>
        <x:v>-19000</x:v>
      </x:c>
      <x:c r="F11" s="19" t="n">
        <x:v>0</x:v>
      </x:c>
      <x:c r="G11" s="19" t="n">
        <x:f>D11-F11</x:f>
        <x:v>1000</x:v>
      </x:c>
      <x:c r="H11" s="19" t="n">
        <x:v>0</x:v>
      </x:c>
      <x:c r="I11" s="19" t="n">
        <x:v>0</x:v>
      </x:c>
      <x:c r="J11" s="19" t="n">
        <x:v>0</x:v>
      </x:c>
      <x:c r="K11" s="19" t="n">
        <x:v>0</x:v>
      </x:c>
      <x:c r="L11" s="19" t="n">
        <x:v>0</x:v>
      </x:c>
      <x:c r="M11" s="19" t="n">
        <x:v>0</x:v>
      </x:c>
      <x:c r="N11" s="20" t="n">
        <x:v>1</x:v>
      </x:c>
      <x:c r="O11" s="20" t="n">
        <x:v>5</x:v>
      </x:c>
      <x:c r="P11" s="20" t="n">
        <x:v>2</x:v>
      </x:c>
      <x:c r="Q11" s="20" t="n">
        <x:v>0</x:v>
      </x:c>
      <x:c r="R11" s="20" t="n">
        <x:v>6</x:v>
      </x:c>
      <x:c r="S11" s="21" t="n">
        <x:f>0/60</x:f>
        <x:v>0</x:v>
      </x:c>
      <x:c r="T11" s="21" t="n">
        <x:f>0/60</x:f>
        <x:v>0</x:v>
      </x:c>
      <x:c r="U11" s="21" t="n">
        <x:f>0/60</x:f>
        <x:v>0</x:v>
      </x:c>
      <x:c r="V11" s="21" t="n">
        <x:f>0/60</x:f>
        <x:v>0</x:v>
      </x:c>
      <x:c r="W11" s="20" t="n">
        <x:v>0</x:v>
      </x:c>
      <x:c r="X11" s="20" t="n">
        <x:v>0</x:v>
      </x:c>
      <x:c r="Y11" s="20" t="n">
        <x:v>0</x:v>
      </x:c>
      <x:c r="Z11" s="20" t="n">
        <x:v>0</x:v>
      </x:c>
    </x:row>
    <x:row r="12" ht="23" customHeight="1">
      <x:c r="A12" s="2" t="str">
        <x:v>2026-09-28_Night</x:v>
      </x:c>
      <x:c r="B12" s="19" t="n">
        <x:v>21000</x:v>
      </x:c>
      <x:c r="C12" s="19" t="n">
        <x:v>39000</x:v>
      </x:c>
      <x:c r="D12" s="19" t="n">
        <x:f>B12-C12</x:f>
        <x:v>-18000</x:v>
      </x:c>
      <x:c r="E12" s="19" t="n">
        <x:f>E11+D12</x:f>
        <x:v>-37000</x:v>
      </x:c>
      <x:c r="F12" s="19" t="n">
        <x:v>11000</x:v>
      </x:c>
      <x:c r="G12" s="19" t="n">
        <x:f>D12-F12</x:f>
        <x:v>-29000</x:v>
      </x:c>
      <x:c r="H12" s="19" t="n">
        <x:v>11000</x:v>
      </x:c>
      <x:c r="I12" s="19" t="n">
        <x:v>0</x:v>
      </x:c>
      <x:c r="J12" s="19" t="n">
        <x:v>0</x:v>
      </x:c>
      <x:c r="K12" s="19" t="n">
        <x:v>0</x:v>
      </x:c>
      <x:c r="L12" s="19" t="n">
        <x:v>6000</x:v>
      </x:c>
      <x:c r="M12" s="19" t="n">
        <x:v>6000</x:v>
      </x:c>
      <x:c r="N12" s="20" t="n">
        <x:v>3</x:v>
      </x:c>
      <x:c r="O12" s="20" t="n">
        <x:v>3</x:v>
      </x:c>
      <x:c r="P12" s="20" t="n">
        <x:v>5</x:v>
      </x:c>
      <x:c r="Q12" s="20" t="n">
        <x:v>1</x:v>
      </x:c>
      <x:c r="R12" s="20" t="n">
        <x:v>7</x:v>
      </x:c>
      <x:c r="S12" s="21" t="n">
        <x:f>2260/60</x:f>
        <x:v>37.666666666666664</x:v>
      </x:c>
      <x:c r="T12" s="21" t="n">
        <x:f>0/60</x:f>
        <x:v>0</x:v>
      </x:c>
      <x:c r="U12" s="21" t="n">
        <x:f>0/60</x:f>
        <x:v>0</x:v>
      </x:c>
      <x:c r="V12" s="21" t="n">
        <x:f>0/60</x:f>
        <x:v>0</x:v>
      </x:c>
      <x:c r="W12" s="20" t="n">
        <x:v>0</x:v>
      </x:c>
      <x:c r="X12" s="20" t="n">
        <x:v>0</x:v>
      </x:c>
      <x:c r="Y12" s="20" t="n">
        <x:v>0</x:v>
      </x:c>
      <x:c r="Z12" s="20" t="n">
        <x:v>0</x:v>
      </x:c>
    </x:row>
    <x:row r="13" ht="23" customHeight="1">
      <x:c r="A13" s="2" t="str">
        <x:v>2026-09-29_Night</x:v>
      </x:c>
      <x:c r="B13" s="19" t="n">
        <x:v>90000</x:v>
      </x:c>
      <x:c r="C13" s="19" t="n">
        <x:v>25000</x:v>
      </x:c>
      <x:c r="D13" s="19" t="n">
        <x:f>B13-C13</x:f>
        <x:v>65000</x:v>
      </x:c>
      <x:c r="E13" s="19" t="n">
        <x:f>E12+D13</x:f>
        <x:v>28000</x:v>
      </x:c>
      <x:c r="F13" s="19" t="n">
        <x:v>0</x:v>
      </x:c>
      <x:c r="G13" s="19" t="n">
        <x:f>D13-F13</x:f>
        <x:v>65000</x:v>
      </x:c>
      <x:c r="H13" s="19" t="n">
        <x:v>0</x:v>
      </x:c>
      <x:c r="I13" s="19" t="n">
        <x:v>0</x:v>
      </x:c>
      <x:c r="J13" s="19" t="n">
        <x:v>0</x:v>
      </x:c>
      <x:c r="K13" s="19" t="n">
        <x:v>0</x:v>
      </x:c>
      <x:c r="L13" s="19" t="n">
        <x:v>0</x:v>
      </x:c>
      <x:c r="M13" s="19" t="n">
        <x:v>0</x:v>
      </x:c>
      <x:c r="N13" s="20" t="n">
        <x:v>5</x:v>
      </x:c>
      <x:c r="O13" s="20" t="n">
        <x:v>5</x:v>
      </x:c>
      <x:c r="P13" s="20" t="n">
        <x:v>6</x:v>
      </x:c>
      <x:c r="Q13" s="20" t="n">
        <x:v>0</x:v>
      </x:c>
      <x:c r="R13" s="20" t="n">
        <x:v>14</x:v>
      </x:c>
      <x:c r="S13" s="21" t="n">
        <x:f>0/60</x:f>
        <x:v>0</x:v>
      </x:c>
      <x:c r="T13" s="21" t="n">
        <x:f>0/60</x:f>
        <x:v>0</x:v>
      </x:c>
      <x:c r="U13" s="21" t="n">
        <x:f>0/60</x:f>
        <x:v>0</x:v>
      </x:c>
      <x:c r="V13" s="21" t="n">
        <x:f>0/60</x:f>
        <x:v>0</x:v>
      </x:c>
      <x:c r="W13" s="20" t="n">
        <x:v>0</x:v>
      </x:c>
      <x:c r="X13" s="20" t="n">
        <x:v>0</x:v>
      </x:c>
      <x:c r="Y13" s="20" t="n">
        <x:v>0</x:v>
      </x:c>
      <x:c r="Z13" s="20" t="n">
        <x:v>0</x:v>
      </x:c>
    </x:row>
    <x:row r="14" ht="23" customHeight="1">
      <x:c r="A14" s="2" t="str">
        <x:v>2026-09-30_Night</x:v>
      </x:c>
      <x:c r="B14" s="19" t="n">
        <x:v>78000</x:v>
      </x:c>
      <x:c r="C14" s="19" t="n">
        <x:v>6000</x:v>
      </x:c>
      <x:c r="D14" s="19" t="n">
        <x:f>B14-C14</x:f>
        <x:v>72000</x:v>
      </x:c>
      <x:c r="E14" s="19" t="n">
        <x:f>E13+D14</x:f>
        <x:v>100000</x:v>
      </x:c>
      <x:c r="F14" s="19" t="n">
        <x:v>29000</x:v>
      </x:c>
      <x:c r="G14" s="19" t="n">
        <x:f>D14-F14</x:f>
        <x:v>43000</x:v>
      </x:c>
      <x:c r="H14" s="19" t="n">
        <x:v>29000</x:v>
      </x:c>
      <x:c r="I14" s="19" t="n">
        <x:v>0</x:v>
      </x:c>
      <x:c r="J14" s="19" t="n">
        <x:v>0</x:v>
      </x:c>
      <x:c r="K14" s="19" t="n">
        <x:v>0</x:v>
      </x:c>
      <x:c r="L14" s="19" t="n">
        <x:v>18000</x:v>
      </x:c>
      <x:c r="M14" s="19" t="n">
        <x:v>22000</x:v>
      </x:c>
      <x:c r="N14" s="20" t="n">
        <x:v>7</x:v>
      </x:c>
      <x:c r="O14" s="20" t="n">
        <x:v>1</x:v>
      </x:c>
      <x:c r="P14" s="20" t="n">
        <x:v>6</x:v>
      </x:c>
      <x:c r="Q14" s="20" t="n">
        <x:v>3</x:v>
      </x:c>
      <x:c r="R14" s="20" t="n">
        <x:v>10</x:v>
      </x:c>
      <x:c r="S14" s="21" t="n">
        <x:f>3319/60</x:f>
        <x:v>55.31666666666667</x:v>
      </x:c>
      <x:c r="T14" s="21" t="n">
        <x:f>0/60</x:f>
        <x:v>0</x:v>
      </x:c>
      <x:c r="U14" s="21" t="n">
        <x:f>0/60</x:f>
        <x:v>0</x:v>
      </x:c>
      <x:c r="V14" s="21" t="n">
        <x:f>0/60</x:f>
        <x:v>0</x:v>
      </x:c>
      <x:c r="W14" s="20" t="n">
        <x:v>0</x:v>
      </x:c>
      <x:c r="X14" s="20" t="n">
        <x:v>0</x:v>
      </x:c>
      <x:c r="Y14" s="20" t="n">
        <x:v>0</x:v>
      </x:c>
      <x:c r="Z14" s="20" t="n">
        <x:v>0</x:v>
      </x:c>
    </x:row>
    <x:row r="15" ht="23" customHeight="1">
      <x:c r="A15" s="2" t="str">
        <x:v>2026-10-01_Night</x:v>
      </x:c>
      <x:c r="B15" s="19" t="n">
        <x:v>231000</x:v>
      </x:c>
      <x:c r="C15" s="19" t="n">
        <x:v>128000</x:v>
      </x:c>
      <x:c r="D15" s="19" t="n">
        <x:f>B15-C15</x:f>
        <x:v>103000</x:v>
      </x:c>
      <x:c r="E15" s="19" t="n">
        <x:f>E14+D15</x:f>
        <x:v>203000</x:v>
      </x:c>
      <x:c r="F15" s="19" t="n">
        <x:v>5000</x:v>
      </x:c>
      <x:c r="G15" s="19" t="n">
        <x:f>D15-F15</x:f>
        <x:v>98000</x:v>
      </x:c>
      <x:c r="H15" s="19" t="n">
        <x:v>38000</x:v>
      </x:c>
      <x:c r="I15" s="19" t="n">
        <x:v>0</x:v>
      </x:c>
      <x:c r="J15" s="19" t="n">
        <x:v>3000</x:v>
      </x:c>
      <x:c r="K15" s="19" t="n">
        <x:v>36000</x:v>
      </x:c>
      <x:c r="L15" s="19" t="n">
        <x:v>49000</x:v>
      </x:c>
      <x:c r="M15" s="19" t="n">
        <x:v>63000</x:v>
      </x:c>
      <x:c r="N15" s="20" t="n">
        <x:v>4</x:v>
      </x:c>
      <x:c r="O15" s="20" t="n">
        <x:v>4</x:v>
      </x:c>
      <x:c r="P15" s="20" t="n">
        <x:v>16</x:v>
      </x:c>
      <x:c r="Q15" s="20" t="n">
        <x:v>8</x:v>
      </x:c>
      <x:c r="R15" s="20" t="n">
        <x:v>22</x:v>
      </x:c>
      <x:c r="S15" s="21" t="n">
        <x:f>12720/60</x:f>
        <x:v>212</x:v>
      </x:c>
      <x:c r="T15" s="21" t="n">
        <x:f>4431/60</x:f>
        <x:v>73.85</x:v>
      </x:c>
      <x:c r="U15" s="21" t="n">
        <x:f>0/60</x:f>
        <x:v>0</x:v>
      </x:c>
      <x:c r="V15" s="21" t="n">
        <x:f>0/60</x:f>
        <x:v>0</x:v>
      </x:c>
      <x:c r="W15" s="20" t="n">
        <x:v>0</x:v>
      </x:c>
      <x:c r="X15" s="20" t="n">
        <x:v>0</x:v>
      </x:c>
      <x:c r="Y15" s="20" t="n">
        <x:v>0</x:v>
      </x:c>
      <x:c r="Z15" s="20" t="n">
        <x:v>0</x:v>
      </x:c>
    </x:row>
    <x:row r="16" ht="23" customHeight="1">
      <x:c r="A16" s="2" t="str">
        <x:v>2026-10-02_Night</x:v>
      </x:c>
      <x:c r="B16" s="19" t="n">
        <x:v>313000</x:v>
      </x:c>
      <x:c r="C16" s="19" t="n">
        <x:v>57000</x:v>
      </x:c>
      <x:c r="D16" s="19" t="n">
        <x:f>B16-C16</x:f>
        <x:v>256000</x:v>
      </x:c>
      <x:c r="E16" s="19" t="n">
        <x:f>E15+D16</x:f>
        <x:v>459000</x:v>
      </x:c>
      <x:c r="F16" s="19" t="n">
        <x:v>0</x:v>
      </x:c>
      <x:c r="G16" s="19" t="n">
        <x:f>D16-F16</x:f>
        <x:v>256000</x:v>
      </x:c>
      <x:c r="H16" s="19" t="n">
        <x:v>0</x:v>
      </x:c>
      <x:c r="I16" s="19" t="n">
        <x:v>0</x:v>
      </x:c>
      <x:c r="J16" s="19" t="n">
        <x:v>0</x:v>
      </x:c>
      <x:c r="K16" s="19" t="n">
        <x:v>0</x:v>
      </x:c>
      <x:c r="L16" s="19" t="n">
        <x:v>0</x:v>
      </x:c>
      <x:c r="M16" s="19" t="n">
        <x:v>0</x:v>
      </x:c>
      <x:c r="N16" s="20" t="n">
        <x:v>7</x:v>
      </x:c>
      <x:c r="O16" s="20" t="n">
        <x:v>10</x:v>
      </x:c>
      <x:c r="P16" s="20" t="n">
        <x:v>15</x:v>
      </x:c>
      <x:c r="Q16" s="20" t="n">
        <x:v>0</x:v>
      </x:c>
      <x:c r="R16" s="20" t="n">
        <x:v>28</x:v>
      </x:c>
      <x:c r="S16" s="21" t="n">
        <x:f>0/60</x:f>
        <x:v>0</x:v>
      </x:c>
      <x:c r="T16" s="21" t="n">
        <x:f>0/60</x:f>
        <x:v>0</x:v>
      </x:c>
      <x:c r="U16" s="21" t="n">
        <x:f>0/60</x:f>
        <x:v>0</x:v>
      </x:c>
      <x:c r="V16" s="21" t="n">
        <x:f>0/60</x:f>
        <x:v>0</x:v>
      </x:c>
      <x:c r="W16" s="20" t="n">
        <x:v>0</x:v>
      </x:c>
      <x:c r="X16" s="20" t="n">
        <x:v>0</x:v>
      </x:c>
      <x:c r="Y16" s="20" t="n">
        <x:v>0</x:v>
      </x:c>
      <x:c r="Z16" s="20" t="n">
        <x:v>0</x:v>
      </x:c>
    </x:row>
    <x:row r="17" ht="23" customHeight="1">
      <x:c r="A17" s="2" t="str">
        <x:v>2026-10-05_Night</x:v>
      </x:c>
      <x:c r="B17" s="19" t="n">
        <x:v>103000</x:v>
      </x:c>
      <x:c r="C17" s="19" t="n">
        <x:v>64000</x:v>
      </x:c>
      <x:c r="D17" s="19" t="n">
        <x:f>B17-C17</x:f>
        <x:v>39000</x:v>
      </x:c>
      <x:c r="E17" s="19" t="n">
        <x:f>E16+D17</x:f>
        <x:v>498000</x:v>
      </x:c>
      <x:c r="F17" s="19" t="n">
        <x:v>5000</x:v>
      </x:c>
      <x:c r="G17" s="19" t="n">
        <x:f>D17-F17</x:f>
        <x:v>34000</x:v>
      </x:c>
      <x:c r="H17" s="19" t="n">
        <x:v>5000</x:v>
      </x:c>
      <x:c r="I17" s="19" t="n">
        <x:v>0</x:v>
      </x:c>
      <x:c r="J17" s="19" t="n">
        <x:v>0</x:v>
      </x:c>
      <x:c r="K17" s="19" t="n">
        <x:v>0</x:v>
      </x:c>
      <x:c r="L17" s="19" t="n">
        <x:v>2000</x:v>
      </x:c>
      <x:c r="M17" s="19" t="n">
        <x:v>4000</x:v>
      </x:c>
      <x:c r="N17" s="20" t="n">
        <x:v>5</x:v>
      </x:c>
      <x:c r="O17" s="20" t="n">
        <x:v>2</x:v>
      </x:c>
      <x:c r="P17" s="20" t="n">
        <x:v>8</x:v>
      </x:c>
      <x:c r="Q17" s="20" t="n">
        <x:v>1</x:v>
      </x:c>
      <x:c r="R17" s="20" t="n">
        <x:v>15</x:v>
      </x:c>
      <x:c r="S17" s="21" t="n">
        <x:f>219/60</x:f>
        <x:v>3.65</x:v>
      </x:c>
      <x:c r="T17" s="21" t="n">
        <x:f>0/60</x:f>
        <x:v>0</x:v>
      </x:c>
      <x:c r="U17" s="21" t="n">
        <x:f>0/60</x:f>
        <x:v>0</x:v>
      </x:c>
      <x:c r="V17" s="21" t="n">
        <x:f>0/60</x:f>
        <x:v>0</x:v>
      </x:c>
      <x:c r="W17" s="20" t="n">
        <x:v>0</x:v>
      </x:c>
      <x:c r="X17" s="20" t="n">
        <x:v>0</x:v>
      </x:c>
      <x:c r="Y17" s="20" t="n">
        <x:v>0</x:v>
      </x:c>
      <x:c r="Z17" s="20" t="n">
        <x:v>0</x:v>
      </x:c>
    </x:row>
    <x:row r="18" ht="23" customHeight="1">
      <x:c r="A18" s="2" t="str">
        <x:v>2026-10-06_Night</x:v>
      </x:c>
      <x:c r="B18" s="19" t="n">
        <x:v>33000</x:v>
      </x:c>
      <x:c r="C18" s="19" t="n">
        <x:v>43000</x:v>
      </x:c>
      <x:c r="D18" s="19" t="n">
        <x:f>B18-C18</x:f>
        <x:v>-10000</x:v>
      </x:c>
      <x:c r="E18" s="19" t="n">
        <x:f>E17+D18</x:f>
        <x:v>488000</x:v>
      </x:c>
      <x:c r="F18" s="19" t="n">
        <x:v>0</x:v>
      </x:c>
      <x:c r="G18" s="19" t="n">
        <x:f>D18-F18</x:f>
        <x:v>-10000</x:v>
      </x:c>
      <x:c r="H18" s="19" t="n">
        <x:v>0</x:v>
      </x:c>
      <x:c r="I18" s="19" t="n">
        <x:v>0</x:v>
      </x:c>
      <x:c r="J18" s="19" t="n">
        <x:v>0</x:v>
      </x:c>
      <x:c r="K18" s="19" t="n">
        <x:v>0</x:v>
      </x:c>
      <x:c r="L18" s="19" t="n">
        <x:v>0</x:v>
      </x:c>
      <x:c r="M18" s="19" t="n">
        <x:v>0</x:v>
      </x:c>
      <x:c r="N18" s="20" t="n">
        <x:v>0</x:v>
      </x:c>
      <x:c r="O18" s="20" t="n">
        <x:v>7</x:v>
      </x:c>
      <x:c r="P18" s="20" t="n">
        <x:v>4</x:v>
      </x:c>
      <x:c r="Q18" s="20" t="n">
        <x:v>0</x:v>
      </x:c>
      <x:c r="R18" s="20" t="n">
        <x:v>8</x:v>
      </x:c>
      <x:c r="S18" s="21" t="n">
        <x:f>0/60</x:f>
        <x:v>0</x:v>
      </x:c>
      <x:c r="T18" s="21" t="n">
        <x:f>0/60</x:f>
        <x:v>0</x:v>
      </x:c>
      <x:c r="U18" s="21" t="n">
        <x:f>0/60</x:f>
        <x:v>0</x:v>
      </x:c>
      <x:c r="V18" s="21" t="n">
        <x:f>0/60</x:f>
        <x:v>0</x:v>
      </x:c>
      <x:c r="W18" s="20" t="n">
        <x:v>0</x:v>
      </x:c>
      <x:c r="X18" s="20" t="n">
        <x:v>0</x:v>
      </x:c>
      <x:c r="Y18" s="20" t="n">
        <x:v>0</x:v>
      </x:c>
      <x:c r="Z18" s="20" t="n">
        <x:v>0</x:v>
      </x:c>
    </x:row>
    <x:row r="19" ht="23" customHeight="1">
      <x:c r="A19" s="2" t="str">
        <x:v>2026-10-07_Night</x:v>
      </x:c>
      <x:c r="B19" s="19" t="n">
        <x:v>5000</x:v>
      </x:c>
      <x:c r="C19" s="19" t="n">
        <x:v>67000</x:v>
      </x:c>
      <x:c r="D19" s="19" t="n">
        <x:f>B19-C19</x:f>
        <x:v>-62000</x:v>
      </x:c>
      <x:c r="E19" s="19" t="n">
        <x:f>E18+D19</x:f>
        <x:v>426000</x:v>
      </x:c>
      <x:c r="F19" s="19" t="n">
        <x:v>-40000</x:v>
      </x:c>
      <x:c r="G19" s="19" t="n">
        <x:f>D19-F19</x:f>
        <x:v>-22000</x:v>
      </x:c>
      <x:c r="H19" s="19" t="n">
        <x:v>5000</x:v>
      </x:c>
      <x:c r="I19" s="19" t="n">
        <x:v>0</x:v>
      </x:c>
      <x:c r="J19" s="19" t="n">
        <x:v>0</x:v>
      </x:c>
      <x:c r="K19" s="19" t="n">
        <x:v>45000</x:v>
      </x:c>
      <x:c r="L19" s="19" t="n">
        <x:v>49000</x:v>
      </x:c>
      <x:c r="M19" s="19" t="n">
        <x:v>53000</x:v>
      </x:c>
      <x:c r="N19" s="20" t="n">
        <x:v>2</x:v>
      </x:c>
      <x:c r="O19" s="20" t="n">
        <x:v>2</x:v>
      </x:c>
      <x:c r="P19" s="20" t="n">
        <x:v>5</x:v>
      </x:c>
      <x:c r="Q19" s="20" t="n">
        <x:v>3</x:v>
      </x:c>
      <x:c r="R19" s="20" t="n">
        <x:v>5</x:v>
      </x:c>
      <x:c r="S19" s="21" t="n">
        <x:f>7391/60</x:f>
        <x:v>123.18333333333334</x:v>
      </x:c>
      <x:c r="T19" s="21" t="n">
        <x:f>0/60</x:f>
        <x:v>0</x:v>
      </x:c>
      <x:c r="U19" s="21" t="n">
        <x:f>0/60</x:f>
        <x:v>0</x:v>
      </x:c>
      <x:c r="V19" s="21" t="n">
        <x:f>0/60</x:f>
        <x:v>0</x:v>
      </x:c>
      <x:c r="W19" s="20" t="n">
        <x:v>0</x:v>
      </x:c>
      <x:c r="X19" s="20" t="n">
        <x:v>0</x:v>
      </x:c>
      <x:c r="Y19" s="20" t="n">
        <x:v>0</x:v>
      </x:c>
      <x:c r="Z19" s="20" t="n">
        <x:v>0</x:v>
      </x:c>
    </x:row>
    <x:row r="20" ht="23" customHeight="1">
      <x:c r="A20" s="2" t="str">
        <x:v>2026-10-08_Night</x:v>
      </x:c>
      <x:c r="B20" s="19" t="n">
        <x:v>360000</x:v>
      </x:c>
      <x:c r="C20" s="19" t="n">
        <x:v>36000</x:v>
      </x:c>
      <x:c r="D20" s="19" t="n">
        <x:f>B20-C20</x:f>
        <x:v>324000</x:v>
      </x:c>
      <x:c r="E20" s="19" t="n">
        <x:f>E19+D20</x:f>
        <x:v>750000</x:v>
      </x:c>
      <x:c r="F20" s="19" t="n">
        <x:v>18000</x:v>
      </x:c>
      <x:c r="G20" s="19" t="n">
        <x:f>D20-F20</x:f>
        <x:v>306000</x:v>
      </x:c>
      <x:c r="H20" s="19" t="n">
        <x:v>18000</x:v>
      </x:c>
      <x:c r="I20" s="19" t="n">
        <x:v>0</x:v>
      </x:c>
      <x:c r="J20" s="19" t="n">
        <x:v>0</x:v>
      </x:c>
      <x:c r="K20" s="19" t="n">
        <x:v>0</x:v>
      </x:c>
      <x:c r="L20" s="19" t="n">
        <x:v>5000</x:v>
      </x:c>
      <x:c r="M20" s="19" t="n">
        <x:v>9000</x:v>
      </x:c>
      <x:c r="N20" s="20" t="n">
        <x:v>8</x:v>
      </x:c>
      <x:c r="O20" s="20" t="n">
        <x:v>8</x:v>
      </x:c>
      <x:c r="P20" s="20" t="n">
        <x:v>17</x:v>
      </x:c>
      <x:c r="Q20" s="20" t="n">
        <x:v>2</x:v>
      </x:c>
      <x:c r="R20" s="20" t="n">
        <x:v>30</x:v>
      </x:c>
      <x:c r="S20" s="21" t="n">
        <x:f>2603/60</x:f>
        <x:v>43.38333333333333</x:v>
      </x:c>
      <x:c r="T20" s="21" t="n">
        <x:f>0/60</x:f>
        <x:v>0</x:v>
      </x:c>
      <x:c r="U20" s="21" t="n">
        <x:f>0/60</x:f>
        <x:v>0</x:v>
      </x:c>
      <x:c r="V20" s="21" t="n">
        <x:f>0/60</x:f>
        <x:v>0</x:v>
      </x:c>
      <x:c r="W20" s="20" t="n">
        <x:v>0</x:v>
      </x:c>
      <x:c r="X20" s="20" t="n">
        <x:v>0</x:v>
      </x:c>
      <x:c r="Y20" s="20" t="n">
        <x:v>0</x:v>
      </x:c>
      <x:c r="Z20" s="20" t="n">
        <x:v>0</x:v>
      </x:c>
    </x:row>
    <x:row r="21" ht="23" customHeight="1">
      <x:c r="A21" s="2" t="str">
        <x:v>2026-10-09_Night</x:v>
      </x:c>
      <x:c r="B21" s="19" t="n">
        <x:v>18000</x:v>
      </x:c>
      <x:c r="C21" s="19" t="n">
        <x:v>19000</x:v>
      </x:c>
      <x:c r="D21" s="19" t="n">
        <x:f>B21-C21</x:f>
        <x:v>-1000</x:v>
      </x:c>
      <x:c r="E21" s="19" t="n">
        <x:f>E20+D21</x:f>
        <x:v>749000</x:v>
      </x:c>
      <x:c r="F21" s="19" t="n">
        <x:v>-15000</x:v>
      </x:c>
      <x:c r="G21" s="19" t="n">
        <x:f>D21-F21</x:f>
        <x:v>14000</x:v>
      </x:c>
      <x:c r="H21" s="19" t="n">
        <x:v>4000</x:v>
      </x:c>
      <x:c r="I21" s="19" t="n">
        <x:v>0</x:v>
      </x:c>
      <x:c r="J21" s="19" t="n">
        <x:v>0</x:v>
      </x:c>
      <x:c r="K21" s="19" t="n">
        <x:v>19000</x:v>
      </x:c>
      <x:c r="L21" s="19" t="n">
        <x:v>22000</x:v>
      </x:c>
      <x:c r="M21" s="19" t="n">
        <x:v>27000</x:v>
      </x:c>
      <x:c r="N21" s="20" t="n">
        <x:v>0</x:v>
      </x:c>
      <x:c r="O21" s="20" t="n">
        <x:v>5</x:v>
      </x:c>
      <x:c r="P21" s="20" t="n">
        <x:v>3</x:v>
      </x:c>
      <x:c r="Q21" s="20" t="n">
        <x:v>2</x:v>
      </x:c>
      <x:c r="R21" s="20" t="n">
        <x:v>7</x:v>
      </x:c>
      <x:c r="S21" s="21" t="n">
        <x:f>4100/60</x:f>
        <x:v>68.33333333333333</x:v>
      </x:c>
      <x:c r="T21" s="21" t="n">
        <x:f>0/60</x:f>
        <x:v>0</x:v>
      </x:c>
      <x:c r="U21" s="21" t="n">
        <x:f>0/60</x:f>
        <x:v>0</x:v>
      </x:c>
      <x:c r="V21" s="21" t="n">
        <x:f>0/60</x:f>
        <x:v>0</x:v>
      </x:c>
      <x:c r="W21" s="20" t="n">
        <x:v>0</x:v>
      </x:c>
      <x:c r="X21" s="20" t="n">
        <x:v>0</x:v>
      </x:c>
      <x:c r="Y21" s="20" t="n">
        <x:v>0</x:v>
      </x:c>
      <x:c r="Z21" s="20" t="n">
        <x:v>0</x:v>
      </x:c>
    </x:row>
    <x:row r="22" ht="23" customHeight="1">
      <x:c r="A22" s="2" t="str">
        <x:v>2026-10-12_Night</x:v>
      </x:c>
      <x:c r="B22" s="19" t="n">
        <x:v>82000</x:v>
      </x:c>
      <x:c r="C22" s="19" t="n">
        <x:v>0</x:v>
      </x:c>
      <x:c r="D22" s="19" t="n">
        <x:f>B22-C22</x:f>
        <x:v>82000</x:v>
      </x:c>
      <x:c r="E22" s="19" t="n">
        <x:f>E21+D22</x:f>
        <x:v>831000</x:v>
      </x:c>
      <x:c r="F22" s="19" t="n">
        <x:v>0</x:v>
      </x:c>
      <x:c r="G22" s="19" t="n">
        <x:f>D22-F22</x:f>
        <x:v>82000</x:v>
      </x:c>
      <x:c r="H22" s="19" t="n">
        <x:v>0</x:v>
      </x:c>
      <x:c r="I22" s="19" t="n">
        <x:v>0</x:v>
      </x:c>
      <x:c r="J22" s="19" t="n">
        <x:v>0</x:v>
      </x:c>
      <x:c r="K22" s="19" t="n">
        <x:v>0</x:v>
      </x:c>
      <x:c r="L22" s="19" t="n">
        <x:v>0</x:v>
      </x:c>
      <x:c r="M22" s="19" t="n">
        <x:v>0</x:v>
      </x:c>
      <x:c r="N22" s="20" t="n">
        <x:v>0</x:v>
      </x:c>
      <x:c r="O22" s="20" t="n">
        <x:v>5</x:v>
      </x:c>
      <x:c r="P22" s="20" t="n">
        <x:v>1</x:v>
      </x:c>
      <x:c r="Q22" s="20" t="n">
        <x:v>0</x:v>
      </x:c>
      <x:c r="R22" s="20" t="n">
        <x:v>5</x:v>
      </x:c>
      <x:c r="S22" s="21" t="n">
        <x:f>0/60</x:f>
        <x:v>0</x:v>
      </x:c>
      <x:c r="T22" s="21" t="n">
        <x:f>0/60</x:f>
        <x:v>0</x:v>
      </x:c>
      <x:c r="U22" s="21" t="n">
        <x:f>0/60</x:f>
        <x:v>0</x:v>
      </x:c>
      <x:c r="V22" s="21" t="n">
        <x:f>0/60</x:f>
        <x:v>0</x:v>
      </x:c>
      <x:c r="W22" s="20" t="n">
        <x:v>0</x:v>
      </x:c>
      <x:c r="X22" s="20" t="n">
        <x:v>0</x:v>
      </x:c>
      <x:c r="Y22" s="20" t="n">
        <x:v>0</x:v>
      </x:c>
      <x:c r="Z22" s="20" t="n">
        <x:v>0</x:v>
      </x:c>
    </x:row>
    <x:row r="23" ht="23" customHeight="1">
      <x:c r="A23" s="2" t="str">
        <x:v>2026-10-13_Night</x:v>
      </x:c>
      <x:c r="B23" s="19" t="n">
        <x:v>0</x:v>
      </x:c>
      <x:c r="C23" s="19" t="n">
        <x:v>83000</x:v>
      </x:c>
      <x:c r="D23" s="19" t="n">
        <x:f>B23-C23</x:f>
        <x:v>-83000</x:v>
      </x:c>
      <x:c r="E23" s="19" t="n">
        <x:f>E22+D23</x:f>
        <x:v>748000</x:v>
      </x:c>
      <x:c r="F23" s="19" t="n">
        <x:v>-30000</x:v>
      </x:c>
      <x:c r="G23" s="19" t="n">
        <x:f>D23-F23</x:f>
        <x:v>-53000</x:v>
      </x:c>
      <x:c r="H23" s="19" t="n">
        <x:v>0</x:v>
      </x:c>
      <x:c r="I23" s="19" t="n">
        <x:v>0</x:v>
      </x:c>
      <x:c r="J23" s="19" t="n">
        <x:v>0</x:v>
      </x:c>
      <x:c r="K23" s="19" t="n">
        <x:v>30000</x:v>
      </x:c>
      <x:c r="L23" s="19" t="n">
        <x:v>35000</x:v>
      </x:c>
      <x:c r="M23" s="19" t="n">
        <x:v>40000</x:v>
      </x:c>
      <x:c r="N23" s="20" t="n">
        <x:v>1</x:v>
      </x:c>
      <x:c r="O23" s="20" t="n">
        <x:v>5</x:v>
      </x:c>
      <x:c r="P23" s="20" t="n">
        <x:v>3</x:v>
      </x:c>
      <x:c r="Q23" s="20" t="n">
        <x:v>1</x:v>
      </x:c>
      <x:c r="R23" s="20" t="n">
        <x:v>7</x:v>
      </x:c>
      <x:c r="S23" s="21" t="n">
        <x:f>14137/60</x:f>
        <x:v>235.61666666666667</x:v>
      </x:c>
      <x:c r="T23" s="21" t="n">
        <x:f>0/60</x:f>
        <x:v>0</x:v>
      </x:c>
      <x:c r="U23" s="21" t="n">
        <x:f>0/60</x:f>
        <x:v>0</x:v>
      </x:c>
      <x:c r="V23" s="21" t="n">
        <x:f>0/60</x:f>
        <x:v>0</x:v>
      </x:c>
      <x:c r="W23" s="20" t="n">
        <x:v>0</x:v>
      </x:c>
      <x:c r="X23" s="20" t="n">
        <x:v>0</x:v>
      </x:c>
      <x:c r="Y23" s="20" t="n">
        <x:v>0</x:v>
      </x:c>
      <x:c r="Z23" s="20" t="n">
        <x:v>0</x:v>
      </x:c>
    </x:row>
    <x:row r="24" ht="23" customHeight="1">
      <x:c r="A24" s="2" t="str">
        <x:v>2026-10-14_Night</x:v>
      </x:c>
      <x:c r="B24" s="19" t="n">
        <x:v>201000</x:v>
      </x:c>
      <x:c r="C24" s="19" t="n">
        <x:v>61000</x:v>
      </x:c>
      <x:c r="D24" s="19" t="n">
        <x:f>B24-C24</x:f>
        <x:v>140000</x:v>
      </x:c>
      <x:c r="E24" s="19" t="n">
        <x:f>E23+D24</x:f>
        <x:v>888000</x:v>
      </x:c>
      <x:c r="F24" s="19" t="n">
        <x:v>4000</x:v>
      </x:c>
      <x:c r="G24" s="19" t="n">
        <x:f>D24-F24</x:f>
        <x:v>136000</x:v>
      </x:c>
      <x:c r="H24" s="19" t="n">
        <x:v>4000</x:v>
      </x:c>
      <x:c r="I24" s="19" t="n">
        <x:v>0</x:v>
      </x:c>
      <x:c r="J24" s="19" t="n">
        <x:v>0</x:v>
      </x:c>
      <x:c r="K24" s="19" t="n">
        <x:v>0</x:v>
      </x:c>
      <x:c r="L24" s="19" t="n">
        <x:v>11000</x:v>
      </x:c>
      <x:c r="M24" s="19" t="n">
        <x:v>15000</x:v>
      </x:c>
      <x:c r="N24" s="20" t="n">
        <x:v>1</x:v>
      </x:c>
      <x:c r="O24" s="20" t="n">
        <x:v>5</x:v>
      </x:c>
      <x:c r="P24" s="20" t="n">
        <x:v>5</x:v>
      </x:c>
      <x:c r="Q24" s="20" t="n">
        <x:v>1</x:v>
      </x:c>
      <x:c r="R24" s="20" t="n">
        <x:v>10</x:v>
      </x:c>
      <x:c r="S24" s="21" t="n">
        <x:f>2685/60</x:f>
        <x:v>44.75</x:v>
      </x:c>
      <x:c r="T24" s="21" t="n">
        <x:f>0/60</x:f>
        <x:v>0</x:v>
      </x:c>
      <x:c r="U24" s="21" t="n">
        <x:f>0/60</x:f>
        <x:v>0</x:v>
      </x:c>
      <x:c r="V24" s="21" t="n">
        <x:f>0/60</x:f>
        <x:v>0</x:v>
      </x:c>
      <x:c r="W24" s="20" t="n">
        <x:v>0</x:v>
      </x:c>
      <x:c r="X24" s="20" t="n">
        <x:v>0</x:v>
      </x:c>
      <x:c r="Y24" s="20" t="n">
        <x:v>0</x:v>
      </x:c>
      <x:c r="Z24" s="20" t="n">
        <x:v>0</x:v>
      </x:c>
    </x:row>
    <x:row r="25" ht="23" customHeight="1">
      <x:c r="A25" s="2" t="str">
        <x:v>2026-10-15_Night</x:v>
      </x:c>
      <x:c r="B25" s="19" t="n">
        <x:v>86000</x:v>
      </x:c>
      <x:c r="C25" s="19" t="n">
        <x:v>64000</x:v>
      </x:c>
      <x:c r="D25" s="19" t="n">
        <x:f>B25-C25</x:f>
        <x:v>22000</x:v>
      </x:c>
      <x:c r="E25" s="19" t="n">
        <x:f>E24+D25</x:f>
        <x:v>910000</x:v>
      </x:c>
      <x:c r="F25" s="19" t="n">
        <x:v>0</x:v>
      </x:c>
      <x:c r="G25" s="19" t="n">
        <x:f>D25-F25</x:f>
        <x:v>22000</x:v>
      </x:c>
      <x:c r="H25" s="19" t="n">
        <x:v>0</x:v>
      </x:c>
      <x:c r="I25" s="19" t="n">
        <x:v>0</x:v>
      </x:c>
      <x:c r="J25" s="19" t="n">
        <x:v>0</x:v>
      </x:c>
      <x:c r="K25" s="19" t="n">
        <x:v>0</x:v>
      </x:c>
      <x:c r="L25" s="19" t="n">
        <x:v>0</x:v>
      </x:c>
      <x:c r="M25" s="19" t="n">
        <x:v>0</x:v>
      </x:c>
      <x:c r="N25" s="20" t="n">
        <x:v>3</x:v>
      </x:c>
      <x:c r="O25" s="20" t="n">
        <x:v>2</x:v>
      </x:c>
      <x:c r="P25" s="20" t="n">
        <x:v>7</x:v>
      </x:c>
      <x:c r="Q25" s="20" t="n">
        <x:v>0</x:v>
      </x:c>
      <x:c r="R25" s="20" t="n">
        <x:v>9</x:v>
      </x:c>
      <x:c r="S25" s="21" t="n">
        <x:f>0/60</x:f>
        <x:v>0</x:v>
      </x:c>
      <x:c r="T25" s="21" t="n">
        <x:f>0/60</x:f>
        <x:v>0</x:v>
      </x:c>
      <x:c r="U25" s="21" t="n">
        <x:f>0/60</x:f>
        <x:v>0</x:v>
      </x:c>
      <x:c r="V25" s="21" t="n">
        <x:f>0/60</x:f>
        <x:v>0</x:v>
      </x:c>
      <x:c r="W25" s="20" t="n">
        <x:v>0</x:v>
      </x:c>
      <x:c r="X25" s="20" t="n">
        <x:v>0</x:v>
      </x:c>
      <x:c r="Y25" s="20" t="n">
        <x:v>0</x:v>
      </x:c>
      <x:c r="Z25" s="20" t="n">
        <x:v>0</x:v>
      </x:c>
    </x:row>
    <x:row r="26" ht="23" customHeight="1">
      <x:c r="A26" s="2" t="str">
        <x:v>2026-10-16_Night</x:v>
      </x:c>
      <x:c r="B26" s="19" t="n">
        <x:v>163000</x:v>
      </x:c>
      <x:c r="C26" s="19" t="n">
        <x:v>135000</x:v>
      </x:c>
      <x:c r="D26" s="19" t="n">
        <x:f>B26-C26</x:f>
        <x:v>28000</x:v>
      </x:c>
      <x:c r="E26" s="19" t="n">
        <x:f>E25+D26</x:f>
        <x:v>938000</x:v>
      </x:c>
      <x:c r="F26" s="19" t="n">
        <x:v>-4000</x:v>
      </x:c>
      <x:c r="G26" s="19" t="n">
        <x:f>D26-F26</x:f>
        <x:v>32000</x:v>
      </x:c>
      <x:c r="H26" s="19" t="n">
        <x:v>0</x:v>
      </x:c>
      <x:c r="I26" s="19" t="n">
        <x:v>0</x:v>
      </x:c>
      <x:c r="J26" s="19" t="n">
        <x:v>0</x:v>
      </x:c>
      <x:c r="K26" s="19" t="n">
        <x:v>4000</x:v>
      </x:c>
      <x:c r="L26" s="19" t="n">
        <x:v>9000</x:v>
      </x:c>
      <x:c r="M26" s="19" t="n">
        <x:v>11000</x:v>
      </x:c>
      <x:c r="N26" s="20" t="n">
        <x:v>3</x:v>
      </x:c>
      <x:c r="O26" s="20" t="n">
        <x:v>7</x:v>
      </x:c>
      <x:c r="P26" s="20" t="n">
        <x:v>14</x:v>
      </x:c>
      <x:c r="Q26" s="20" t="n">
        <x:v>1</x:v>
      </x:c>
      <x:c r="R26" s="20" t="n">
        <x:v>28</x:v>
      </x:c>
      <x:c r="S26" s="21" t="n">
        <x:f>907/60</x:f>
        <x:v>15.116666666666667</x:v>
      </x:c>
      <x:c r="T26" s="21" t="n">
        <x:f>0/60</x:f>
        <x:v>0</x:v>
      </x:c>
      <x:c r="U26" s="21" t="n">
        <x:f>0/60</x:f>
        <x:v>0</x:v>
      </x:c>
      <x:c r="V26" s="21" t="n">
        <x:f>0/60</x:f>
        <x:v>0</x:v>
      </x:c>
      <x:c r="W26" s="20" t="n">
        <x:v>0</x:v>
      </x:c>
      <x:c r="X26" s="20" t="n">
        <x:v>0</x:v>
      </x:c>
      <x:c r="Y26" s="20" t="n">
        <x:v>0</x:v>
      </x:c>
      <x:c r="Z26" s="20" t="n">
        <x:v>0</x:v>
      </x:c>
    </x:row>
    <x:row r="27" ht="23" customHeight="1">
      <x:c r="A27" s="2" t="str">
        <x:v>2026-10-19_Night</x:v>
      </x:c>
      <x:c r="B27" s="19" t="n">
        <x:v>108000</x:v>
      </x:c>
      <x:c r="C27" s="19" t="n">
        <x:v>105000</x:v>
      </x:c>
      <x:c r="D27" s="19" t="n">
        <x:f>B27-C27</x:f>
        <x:v>3000</x:v>
      </x:c>
      <x:c r="E27" s="19" t="n">
        <x:f>E26+D27</x:f>
        <x:v>941000</x:v>
      </x:c>
      <x:c r="F27" s="19" t="n">
        <x:v>11000</x:v>
      </x:c>
      <x:c r="G27" s="19" t="n">
        <x:f>D27-F27</x:f>
        <x:v>-8000</x:v>
      </x:c>
      <x:c r="H27" s="19" t="n">
        <x:v>5000</x:v>
      </x:c>
      <x:c r="I27" s="19" t="n">
        <x:v>0</x:v>
      </x:c>
      <x:c r="J27" s="19" t="n">
        <x:v>6000</x:v>
      </x:c>
      <x:c r="K27" s="19" t="n">
        <x:v>0</x:v>
      </x:c>
      <x:c r="L27" s="19" t="n">
        <x:v>11000</x:v>
      </x:c>
      <x:c r="M27" s="19" t="n">
        <x:v>15000</x:v>
      </x:c>
      <x:c r="N27" s="20" t="n">
        <x:v>3</x:v>
      </x:c>
      <x:c r="O27" s="20" t="n">
        <x:v>5</x:v>
      </x:c>
      <x:c r="P27" s="20" t="n">
        <x:v>14</x:v>
      </x:c>
      <x:c r="Q27" s="20" t="n">
        <x:v>2</x:v>
      </x:c>
      <x:c r="R27" s="20" t="n">
        <x:v>23</x:v>
      </x:c>
      <x:c r="S27" s="21" t="n">
        <x:f>3947/60</x:f>
        <x:v>65.78333333333333</x:v>
      </x:c>
      <x:c r="T27" s="21" t="n">
        <x:f>0/60</x:f>
        <x:v>0</x:v>
      </x:c>
      <x:c r="U27" s="21" t="n">
        <x:f>0/60</x:f>
        <x:v>0</x:v>
      </x:c>
      <x:c r="V27" s="21" t="n">
        <x:f>0/60</x:f>
        <x:v>0</x:v>
      </x:c>
      <x:c r="W27" s="20" t="n">
        <x:v>0</x:v>
      </x:c>
      <x:c r="X27" s="20" t="n">
        <x:v>0</x:v>
      </x:c>
      <x:c r="Y27" s="20" t="n">
        <x:v>0</x:v>
      </x:c>
      <x:c r="Z27" s="20" t="n">
        <x:v>0</x:v>
      </x:c>
    </x:row>
    <x:row r="28" ht="23" customHeight="1">
      <x:c r="A28" s="2" t="str">
        <x:v>2026-10-20_Night</x:v>
      </x:c>
      <x:c r="B28" s="19" t="n">
        <x:v>115000</x:v>
      </x:c>
      <x:c r="C28" s="19" t="n">
        <x:v>33000</x:v>
      </x:c>
      <x:c r="D28" s="19" t="n">
        <x:f>B28-C28</x:f>
        <x:v>82000</x:v>
      </x:c>
      <x:c r="E28" s="19" t="n">
        <x:f>E27+D28</x:f>
        <x:v>1023000</x:v>
      </x:c>
      <x:c r="F28" s="19" t="n">
        <x:v>16000</x:v>
      </x:c>
      <x:c r="G28" s="19" t="n">
        <x:f>D28-F28</x:f>
        <x:v>66000</x:v>
      </x:c>
      <x:c r="H28" s="19" t="n">
        <x:v>14000</x:v>
      </x:c>
      <x:c r="I28" s="19" t="n">
        <x:v>0</x:v>
      </x:c>
      <x:c r="J28" s="19" t="n">
        <x:v>2000</x:v>
      </x:c>
      <x:c r="K28" s="19" t="n">
        <x:v>0</x:v>
      </x:c>
      <x:c r="L28" s="19" t="n">
        <x:v>8000</x:v>
      </x:c>
      <x:c r="M28" s="19" t="n">
        <x:v>13000</x:v>
      </x:c>
      <x:c r="N28" s="20" t="n">
        <x:v>2</x:v>
      </x:c>
      <x:c r="O28" s="20" t="n">
        <x:v>5</x:v>
      </x:c>
      <x:c r="P28" s="20" t="n">
        <x:v>11</x:v>
      </x:c>
      <x:c r="Q28" s="20" t="n">
        <x:v>4</x:v>
      </x:c>
      <x:c r="R28" s="20" t="n">
        <x:v>14</x:v>
      </x:c>
      <x:c r="S28" s="21" t="n">
        <x:f>2277/60</x:f>
        <x:v>37.95</x:v>
      </x:c>
      <x:c r="T28" s="21" t="n">
        <x:f>0/60</x:f>
        <x:v>0</x:v>
      </x:c>
      <x:c r="U28" s="21" t="n">
        <x:f>0/60</x:f>
        <x:v>0</x:v>
      </x:c>
      <x:c r="V28" s="21" t="n">
        <x:f>0/60</x:f>
        <x:v>0</x:v>
      </x:c>
      <x:c r="W28" s="20" t="n">
        <x:v>0</x:v>
      </x:c>
      <x:c r="X28" s="20" t="n">
        <x:v>0</x:v>
      </x:c>
      <x:c r="Y28" s="20" t="n">
        <x:v>0</x:v>
      </x:c>
      <x:c r="Z28" s="20" t="n">
        <x:v>0</x:v>
      </x:c>
    </x:row>
    <x:row r="29" ht="23" customHeight="1">
      <x:c r="A29" s="2" t="str">
        <x:v>2026-10-21_Night</x:v>
      </x:c>
      <x:c r="B29" s="19" t="n">
        <x:v>65000</x:v>
      </x:c>
      <x:c r="C29" s="19" t="n">
        <x:v>134000</x:v>
      </x:c>
      <x:c r="D29" s="19" t="n">
        <x:f>B29-C29</x:f>
        <x:v>-69000</x:v>
      </x:c>
      <x:c r="E29" s="19" t="n">
        <x:f>E28+D29</x:f>
        <x:v>954000</x:v>
      </x:c>
      <x:c r="F29" s="19" t="n">
        <x:v>-45000</x:v>
      </x:c>
      <x:c r="G29" s="19" t="n">
        <x:f>D29-F29</x:f>
        <x:v>-24000</x:v>
      </x:c>
      <x:c r="H29" s="19" t="n">
        <x:v>0</x:v>
      </x:c>
      <x:c r="I29" s="19" t="n">
        <x:v>0</x:v>
      </x:c>
      <x:c r="J29" s="19" t="n">
        <x:v>0</x:v>
      </x:c>
      <x:c r="K29" s="19" t="n">
        <x:v>45000</x:v>
      </x:c>
      <x:c r="L29" s="19" t="n">
        <x:v>56000</x:v>
      </x:c>
      <x:c r="M29" s="19" t="n">
        <x:v>62000</x:v>
      </x:c>
      <x:c r="N29" s="20" t="n">
        <x:v>7</x:v>
      </x:c>
      <x:c r="O29" s="20" t="n">
        <x:v>5</x:v>
      </x:c>
      <x:c r="P29" s="20" t="n">
        <x:v>6</x:v>
      </x:c>
      <x:c r="Q29" s="20" t="n">
        <x:v>1</x:v>
      </x:c>
      <x:c r="R29" s="20" t="n">
        <x:v>18</x:v>
      </x:c>
      <x:c r="S29" s="21" t="n">
        <x:f>10901/60</x:f>
        <x:v>181.68333333333334</x:v>
      </x:c>
      <x:c r="T29" s="21" t="n">
        <x:f>0/60</x:f>
        <x:v>0</x:v>
      </x:c>
      <x:c r="U29" s="21" t="n">
        <x:f>0/60</x:f>
        <x:v>0</x:v>
      </x:c>
      <x:c r="V29" s="21" t="n">
        <x:f>0/60</x:f>
        <x:v>0</x:v>
      </x:c>
      <x:c r="W29" s="20" t="n">
        <x:v>0</x:v>
      </x:c>
      <x:c r="X29" s="20" t="n">
        <x:v>0</x:v>
      </x:c>
      <x:c r="Y29" s="20" t="n">
        <x:v>0</x:v>
      </x:c>
      <x:c r="Z29" s="20" t="n">
        <x:v>0</x:v>
      </x:c>
    </x:row>
    <x:row r="30" ht="23" customHeight="1">
      <x:c r="A30" s="2" t="str">
        <x:v>2026-10-22_Night</x:v>
      </x:c>
      <x:c r="B30" s="19" t="n">
        <x:v>156000</x:v>
      </x:c>
      <x:c r="C30" s="19" t="n">
        <x:v>0</x:v>
      </x:c>
      <x:c r="D30" s="19" t="n">
        <x:f>B30-C30</x:f>
        <x:v>156000</x:v>
      </x:c>
      <x:c r="E30" s="19" t="n">
        <x:f>E29+D30</x:f>
        <x:v>1110000</x:v>
      </x:c>
      <x:c r="F30" s="19" t="n">
        <x:v>0</x:v>
      </x:c>
      <x:c r="G30" s="19" t="n">
        <x:f>D30-F30</x:f>
        <x:v>156000</x:v>
      </x:c>
      <x:c r="H30" s="19" t="n">
        <x:v>0</x:v>
      </x:c>
      <x:c r="I30" s="19" t="n">
        <x:v>0</x:v>
      </x:c>
      <x:c r="J30" s="19" t="n">
        <x:v>0</x:v>
      </x:c>
      <x:c r="K30" s="19" t="n">
        <x:v>0</x:v>
      </x:c>
      <x:c r="L30" s="19" t="n">
        <x:v>0</x:v>
      </x:c>
      <x:c r="M30" s="19" t="n">
        <x:v>0</x:v>
      </x:c>
      <x:c r="N30" s="20" t="n">
        <x:v>0</x:v>
      </x:c>
      <x:c r="O30" s="20" t="n">
        <x:v>6</x:v>
      </x:c>
      <x:c r="P30" s="20" t="n">
        <x:v>3</x:v>
      </x:c>
      <x:c r="Q30" s="20" t="n">
        <x:v>0</x:v>
      </x:c>
      <x:c r="R30" s="20" t="n">
        <x:v>7</x:v>
      </x:c>
      <x:c r="S30" s="21" t="n">
        <x:f>0/60</x:f>
        <x:v>0</x:v>
      </x:c>
      <x:c r="T30" s="21" t="n">
        <x:f>0/60</x:f>
        <x:v>0</x:v>
      </x:c>
      <x:c r="U30" s="21" t="n">
        <x:f>0/60</x:f>
        <x:v>0</x:v>
      </x:c>
      <x:c r="V30" s="21" t="n">
        <x:f>0/60</x:f>
        <x:v>0</x:v>
      </x:c>
      <x:c r="W30" s="20" t="n">
        <x:v>0</x:v>
      </x:c>
      <x:c r="X30" s="20" t="n">
        <x:v>0</x:v>
      </x:c>
      <x:c r="Y30" s="20" t="n">
        <x:v>0</x:v>
      </x:c>
      <x:c r="Z30" s="20" t="n">
        <x:v>0</x:v>
      </x:c>
    </x:row>
    <x:row r="31" ht="23" customHeight="1">
      <x:c r="A31" s="2" t="str">
        <x:v>2026-10-23_Night</x:v>
      </x:c>
      <x:c r="B31" s="19" t="n">
        <x:v>60000</x:v>
      </x:c>
      <x:c r="C31" s="19" t="n">
        <x:v>95000</x:v>
      </x:c>
      <x:c r="D31" s="19" t="n">
        <x:f>B31-C31</x:f>
        <x:v>-35000</x:v>
      </x:c>
      <x:c r="E31" s="19" t="n">
        <x:f>E30+D31</x:f>
        <x:v>1075000</x:v>
      </x:c>
      <x:c r="F31" s="19" t="n">
        <x:v>-50000</x:v>
      </x:c>
      <x:c r="G31" s="19" t="n">
        <x:f>D31-F31</x:f>
        <x:v>15000</x:v>
      </x:c>
      <x:c r="H31" s="19" t="n">
        <x:v>13000</x:v>
      </x:c>
      <x:c r="I31" s="19" t="n">
        <x:v>0</x:v>
      </x:c>
      <x:c r="J31" s="19" t="n">
        <x:v>0</x:v>
      </x:c>
      <x:c r="K31" s="19" t="n">
        <x:v>63000</x:v>
      </x:c>
      <x:c r="L31" s="19" t="n">
        <x:v>67000</x:v>
      </x:c>
      <x:c r="M31" s="19" t="n">
        <x:v>73000</x:v>
      </x:c>
      <x:c r="N31" s="20" t="n">
        <x:v>5</x:v>
      </x:c>
      <x:c r="O31" s="20" t="n">
        <x:v>4</x:v>
      </x:c>
      <x:c r="P31" s="20" t="n">
        <x:v>11</x:v>
      </x:c>
      <x:c r="Q31" s="20" t="n">
        <x:v>5</x:v>
      </x:c>
      <x:c r="R31" s="20" t="n">
        <x:v>16</x:v>
      </x:c>
      <x:c r="S31" s="21" t="n">
        <x:f>13625/60</x:f>
        <x:v>227.08333333333334</x:v>
      </x:c>
      <x:c r="T31" s="21" t="n">
        <x:f>0/60</x:f>
        <x:v>0</x:v>
      </x:c>
      <x:c r="U31" s="21" t="n">
        <x:f>0/60</x:f>
        <x:v>0</x:v>
      </x:c>
      <x:c r="V31" s="21" t="n">
        <x:f>0/60</x:f>
        <x:v>0</x:v>
      </x:c>
      <x:c r="W31" s="20" t="n">
        <x:v>0</x:v>
      </x:c>
      <x:c r="X31" s="20" t="n">
        <x:v>0</x:v>
      </x:c>
      <x:c r="Y31" s="20" t="n">
        <x:v>0</x:v>
      </x:c>
      <x:c r="Z31" s="20" t="n">
        <x:v>0</x:v>
      </x:c>
    </x:row>
    <x:row r="32" ht="23" customHeight="1">
      <x:c r="A32" s="26" t="str">
        <x:v>25夜累計／最大</x:v>
      </x:c>
      <x:c r="B32" s="27" t="n">
        <x:f>SUM(B7:B31)</x:f>
        <x:v>2371000</x:v>
      </x:c>
      <x:c r="C32" s="27" t="n">
        <x:f>SUM(C7:C31)</x:f>
        <x:v>1296000</x:v>
      </x:c>
      <x:c r="D32" s="27" t="n">
        <x:f>B32-C32</x:f>
        <x:v>1075000</x:v>
      </x:c>
      <x:c r="E32" s="27" t="n">
        <x:f>E31</x:f>
        <x:v>1075000</x:v>
      </x:c>
      <x:c r="F32" s="27" t="n">
        <x:f>SUM(F7:F31)</x:f>
        <x:v>-68000</x:v>
      </x:c>
      <x:c r="G32" s="27" t="n">
        <x:f>SUM(G7:G31)</x:f>
        <x:v>1143000</x:v>
      </x:c>
      <x:c r="H32" s="27" t="n">
        <x:f>SUM(H7:H31)</x:f>
        <x:v>158000</x:v>
      </x:c>
      <x:c r="I32" s="27" t="n">
        <x:f>SUM(I7:I31)</x:f>
        <x:v>0</x:v>
      </x:c>
      <x:c r="J32" s="27" t="n">
        <x:f>SUM(J7:J31)</x:f>
        <x:v>16000</x:v>
      </x:c>
      <x:c r="K32" s="27" t="n">
        <x:f>SUM(K7:K31)</x:f>
        <x:v>242000</x:v>
      </x:c>
      <x:c r="L32" s="27" t="n">
        <x:f>MAX(L7:L31)</x:f>
        <x:v>67000</x:v>
      </x:c>
      <x:c r="M32" s="27" t="n">
        <x:f>MAX(M7:M31)</x:f>
        <x:v>73000</x:v>
      </x:c>
      <x:c r="N32" s="28" t="n">
        <x:f>MAX(N7:N31)</x:f>
        <x:v>8</x:v>
      </x:c>
      <x:c r="O32" s="28" t="n">
        <x:f>MAX(O7:O31)</x:f>
        <x:v>10</x:v>
      </x:c>
      <x:c r="P32" s="28" t="n">
        <x:f>SUM(P7:P31)</x:f>
        <x:v>172</x:v>
      </x:c>
      <x:c r="Q32" s="28" t="n">
        <x:f>SUM(Q7:Q31)</x:f>
        <x:v>38</x:v>
      </x:c>
      <x:c r="R32" s="28" t="n">
        <x:f>SUM(R7:R31)</x:f>
        <x:v>311</x:v>
      </x:c>
      <x:c r="S32" s="29" t="n">
        <x:f>SUM(S7:S31)</x:f>
        <x:v>1502.4166666666667</x:v>
      </x:c>
      <x:c r="T32" s="29" t="n">
        <x:f>SUM(T7:T31)</x:f>
        <x:v>73.85</x:v>
      </x:c>
      <x:c r="U32" s="29" t="n">
        <x:f>SUM(U7:U31)</x:f>
        <x:v>0</x:v>
      </x:c>
      <x:c r="V32" s="29" t="n">
        <x:f>SUM(V7:V31)</x:f>
        <x:v>0</x:v>
      </x:c>
      <x:c r="W32" s="28" t="n">
        <x:f>SUM(W7:W31)</x:f>
        <x:v>0</x:v>
      </x:c>
      <x:c r="X32" s="28" t="n">
        <x:f>SUM(X7:X31)</x:f>
        <x:v>0</x:v>
      </x:c>
      <x:c r="Y32" s="28" t="n">
        <x:f>SUM(Y7:Y31)</x:f>
        <x:v>0</x:v>
      </x:c>
      <x:c r="Z32" s="28" t="n">
        <x:f>SUM(Z7:Z31)</x:f>
        <x:v>0</x:v>
      </x:c>
    </x:row>
  </x:sheetData>
  <x:conditionalFormatting sqref="B7:M32">
    <x:cfRule type="cellIs" dxfId="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57ff624671845c8"/>
  </x:tableParts>
</x:worksheet>
</file>

<file path=xl/worksheets/sheet10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3" customHeight="1">
      <x:c r="A2" s="4" t="str">
        <x:v>P07　全夜間の利益・損失・収支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3" ht="23" customHeight="1">
      <x:c r="A3" s="6" t="str">
        <x:v>日経mini・片方向上限10枚・手数料0・次正常ラージ気配代理。2026/09/21〜10/23の完了25夜。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3" customHeight="1">
      <x:c r="A4" s="6" t="str">
        <x:v>利益・損失は新規実約定IDごとの全返済収支で分類。旧親単位の利益損失とは異なります。未測定は空欄。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3" customHeight="1">
      <x:c r="A5" s="6" t="str">
        <x:v>前半・80/40追尾・各通知最大2枚。P：新手法は米国開始15分前まで、後半は保存S04。含み損・DD・保有時間・返済内訳は前半だけ。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4" customHeight="1">
      <x:c r="A6" s="15" t="str">
        <x:v>セッション</x:v>
      </x:c>
      <x:c r="B6" s="16" t="str">
        <x:v>利益（円）</x:v>
      </x:c>
      <x:c r="C6" s="16" t="str">
        <x:v>損失（円）</x:v>
      </x:c>
      <x:c r="D6" s="16" t="str">
        <x:v>全夜収支（円）</x:v>
      </x:c>
      <x:c r="E6" s="16" t="str">
        <x:v>累計（円）</x:v>
      </x:c>
      <x:c r="F6" s="16" t="str">
        <x:v>対象区間収支</x:v>
      </x:c>
      <x:c r="G6" s="16" t="str">
        <x:v>保存後半収支</x:v>
      </x:c>
      <x:c r="H6" s="16" t="str">
        <x:v>利益追尾の利益</x:v>
      </x:c>
      <x:c r="I6" s="16" t="str">
        <x:v>利益追尾の損失</x:v>
      </x:c>
      <x:c r="J6" s="16" t="str">
        <x:v>境界清算の利益</x:v>
      </x:c>
      <x:c r="K6" s="16" t="str">
        <x:v>境界清算の損失</x:v>
      </x:c>
      <x:c r="L6" s="16" t="str">
        <x:v>最大含み損（円）</x:v>
      </x:c>
      <x:c r="M6" s="16" t="str">
        <x:v>対象区間DD</x:v>
      </x:c>
      <x:c r="N6" s="16" t="str">
        <x:v>最大買い枚数</x:v>
      </x:c>
      <x:c r="O6" s="16" t="str">
        <x:v>最大売り枚数</x:v>
      </x:c>
      <x:c r="P6" s="16" t="str">
        <x:v>全夜新規件数</x:v>
      </x:c>
      <x:c r="Q6" s="16" t="str">
        <x:v>対象区間新規</x:v>
      </x:c>
      <x:c r="R6" s="16" t="str">
        <x:v>全新規枚数</x:v>
      </x:c>
      <x:c r="S6" s="16" t="str">
        <x:v>保有（分）</x:v>
      </x:c>
      <x:c r="T6" s="16" t="str">
        <x:v>両建て（分）</x:v>
      </x:c>
      <x:c r="U6" s="16" t="str">
        <x:v>買い上限（分）</x:v>
      </x:c>
      <x:c r="V6" s="16" t="str">
        <x:v>売り上限（分）</x:v>
      </x:c>
      <x:c r="W6" s="16" t="str">
        <x:v>上限拒否・縮小件数</x:v>
      </x:c>
      <x:c r="X6" s="16" t="str">
        <x:v>通知全拒否件数</x:v>
      </x:c>
      <x:c r="Y6" s="16" t="str">
        <x:v>実再参加件数</x:v>
      </x:c>
      <x:c r="Z6" s="17" t="str">
        <x:v>判断利益→実損失</x:v>
      </x:c>
    </x:row>
    <x:row r="7" ht="23" customHeight="1">
      <x:c r="A7" s="2" t="str">
        <x:v>2026-09-21_Night</x:v>
      </x:c>
      <x:c r="B7" s="19" t="n">
        <x:v>0</x:v>
      </x:c>
      <x:c r="C7" s="19" t="n">
        <x:v>45000</x:v>
      </x:c>
      <x:c r="D7" s="19" t="n">
        <x:f>B7-C7</x:f>
        <x:v>-45000</x:v>
      </x:c>
      <x:c r="E7" s="19" t="n">
        <x:f>D7</x:f>
        <x:v>-45000</x:v>
      </x:c>
      <x:c r="F7" s="19" t="n">
        <x:v>0</x:v>
      </x:c>
      <x:c r="G7" s="19" t="n">
        <x:f>D7-F7</x:f>
        <x:v>-45000</x:v>
      </x:c>
      <x:c r="H7" s="19" t="n">
        <x:v>0</x:v>
      </x:c>
      <x:c r="I7" s="19" t="n">
        <x:v>0</x:v>
      </x:c>
      <x:c r="J7" s="19" t="n">
        <x:v>0</x:v>
      </x:c>
      <x:c r="K7" s="19" t="n">
        <x:v>0</x:v>
      </x:c>
      <x:c r="L7" s="19" t="n">
        <x:v>0</x:v>
      </x:c>
      <x:c r="M7" s="19" t="n">
        <x:v>0</x:v>
      </x:c>
      <x:c r="N7" s="20" t="n">
        <x:v>5</x:v>
      </x:c>
      <x:c r="O7" s="20" t="n">
        <x:v>0</x:v>
      </x:c>
      <x:c r="P7" s="20" t="n">
        <x:v>1</x:v>
      </x:c>
      <x:c r="Q7" s="20" t="n">
        <x:v>0</x:v>
      </x:c>
      <x:c r="R7" s="20" t="n">
        <x:v>5</x:v>
      </x:c>
      <x:c r="S7" s="21" t="n">
        <x:f>0/60</x:f>
        <x:v>0</x:v>
      </x:c>
      <x:c r="T7" s="21" t="n">
        <x:f>0/60</x:f>
        <x:v>0</x:v>
      </x:c>
      <x:c r="U7" s="21" t="n">
        <x:f>0/60</x:f>
        <x:v>0</x:v>
      </x:c>
      <x:c r="V7" s="21" t="n">
        <x:f>0/60</x:f>
        <x:v>0</x:v>
      </x:c>
      <x:c r="W7" s="20" t="n">
        <x:v>0</x:v>
      </x:c>
      <x:c r="X7" s="20" t="n">
        <x:v>0</x:v>
      </x:c>
      <x:c r="Y7" s="20" t="n">
        <x:v>0</x:v>
      </x:c>
      <x:c r="Z7" s="20" t="n">
        <x:v>0</x:v>
      </x:c>
    </x:row>
    <x:row r="8" ht="23" customHeight="1">
      <x:c r="A8" s="2" t="str">
        <x:v>2026-09-22_Night</x:v>
      </x:c>
      <x:c r="B8" s="19" t="n">
        <x:v>38000</x:v>
      </x:c>
      <x:c r="C8" s="19" t="n">
        <x:v>0</x:v>
      </x:c>
      <x:c r="D8" s="19" t="n">
        <x:f>B8-C8</x:f>
        <x:v>38000</x:v>
      </x:c>
      <x:c r="E8" s="19" t="n">
        <x:f>E7+D8</x:f>
        <x:v>-7000</x:v>
      </x:c>
      <x:c r="F8" s="19" t="n">
        <x:v>14000</x:v>
      </x:c>
      <x:c r="G8" s="19" t="n">
        <x:f>D8-F8</x:f>
        <x:v>24000</x:v>
      </x:c>
      <x:c r="H8" s="19" t="n">
        <x:v>14000</x:v>
      </x:c>
      <x:c r="I8" s="19" t="n">
        <x:v>0</x:v>
      </x:c>
      <x:c r="J8" s="19" t="n">
        <x:v>0</x:v>
      </x:c>
      <x:c r="K8" s="19" t="n">
        <x:v>0</x:v>
      </x:c>
      <x:c r="L8" s="19" t="n">
        <x:v>18000</x:v>
      </x:c>
      <x:c r="M8" s="19" t="n">
        <x:v>22000</x:v>
      </x:c>
      <x:c r="N8" s="20" t="n">
        <x:v>5</x:v>
      </x:c>
      <x:c r="O8" s="20" t="n">
        <x:v>0</x:v>
      </x:c>
      <x:c r="P8" s="20" t="n">
        <x:v>2</x:v>
      </x:c>
      <x:c r="Q8" s="20" t="n">
        <x:v>1</x:v>
      </x:c>
      <x:c r="R8" s="20" t="n">
        <x:v>7</x:v>
      </x:c>
      <x:c r="S8" s="21" t="n">
        <x:f>2453/60</x:f>
        <x:v>40.88333333333333</x:v>
      </x:c>
      <x:c r="T8" s="21" t="n">
        <x:f>0/60</x:f>
        <x:v>0</x:v>
      </x:c>
      <x:c r="U8" s="21" t="n">
        <x:f>0/60</x:f>
        <x:v>0</x:v>
      </x:c>
      <x:c r="V8" s="21" t="n">
        <x:f>0/60</x:f>
        <x:v>0</x:v>
      </x:c>
      <x:c r="W8" s="20" t="n">
        <x:v>0</x:v>
      </x:c>
      <x:c r="X8" s="20" t="n">
        <x:v>0</x:v>
      </x:c>
      <x:c r="Y8" s="20" t="n">
        <x:v>0</x:v>
      </x:c>
      <x:c r="Z8" s="20" t="n">
        <x:v>0</x:v>
      </x:c>
    </x:row>
    <x:row r="9" ht="23" customHeight="1">
      <x:c r="A9" s="2" t="str">
        <x:v>2026-09-23_Night</x:v>
      </x:c>
      <x:c r="B9" s="19" t="n">
        <x:v>5000</x:v>
      </x:c>
      <x:c r="C9" s="19" t="n">
        <x:v>41000</x:v>
      </x:c>
      <x:c r="D9" s="19" t="n">
        <x:f>B9-C9</x:f>
        <x:v>-36000</x:v>
      </x:c>
      <x:c r="E9" s="19" t="n">
        <x:f>E8+D9</x:f>
        <x:v>-43000</x:v>
      </x:c>
      <x:c r="F9" s="19" t="n">
        <x:v>0</x:v>
      </x:c>
      <x:c r="G9" s="19" t="n">
        <x:f>D9-F9</x:f>
        <x:v>-36000</x:v>
      </x:c>
      <x:c r="H9" s="19" t="n">
        <x:v>0</x:v>
      </x:c>
      <x:c r="I9" s="19" t="n">
        <x:v>0</x:v>
      </x:c>
      <x:c r="J9" s="19" t="n">
        <x:v>0</x:v>
      </x:c>
      <x:c r="K9" s="19" t="n">
        <x:v>0</x:v>
      </x:c>
      <x:c r="L9" s="19" t="n">
        <x:v>0</x:v>
      </x:c>
      <x:c r="M9" s="19" t="n">
        <x:v>0</x:v>
      </x:c>
      <x:c r="N9" s="20" t="n">
        <x:v>2</x:v>
      </x:c>
      <x:c r="O9" s="20" t="n">
        <x:v>5</x:v>
      </x:c>
      <x:c r="P9" s="20" t="n">
        <x:v>3</x:v>
      </x:c>
      <x:c r="Q9" s="20" t="n">
        <x:v>0</x:v>
      </x:c>
      <x:c r="R9" s="20" t="n">
        <x:v>7</x:v>
      </x:c>
      <x:c r="S9" s="21" t="n">
        <x:f>0/60</x:f>
        <x:v>0</x:v>
      </x:c>
      <x:c r="T9" s="21" t="n">
        <x:f>0/60</x:f>
        <x:v>0</x:v>
      </x:c>
      <x:c r="U9" s="21" t="n">
        <x:f>0/60</x:f>
        <x:v>0</x:v>
      </x:c>
      <x:c r="V9" s="21" t="n">
        <x:f>0/60</x:f>
        <x:v>0</x:v>
      </x:c>
      <x:c r="W9" s="20" t="n">
        <x:v>0</x:v>
      </x:c>
      <x:c r="X9" s="20" t="n">
        <x:v>0</x:v>
      </x:c>
      <x:c r="Y9" s="20" t="n">
        <x:v>0</x:v>
      </x:c>
      <x:c r="Z9" s="20" t="n">
        <x:v>0</x:v>
      </x:c>
    </x:row>
    <x:row r="10" ht="23" customHeight="1">
      <x:c r="A10" s="2" t="str">
        <x:v>2026-09-24_Night</x:v>
      </x:c>
      <x:c r="B10" s="19" t="n">
        <x:v>40000</x:v>
      </x:c>
      <x:c r="C10" s="19" t="n">
        <x:v>0</x:v>
      </x:c>
      <x:c r="D10" s="19" t="n">
        <x:f>B10-C10</x:f>
        <x:v>40000</x:v>
      </x:c>
      <x:c r="E10" s="19" t="n">
        <x:f>E9+D10</x:f>
        <x:v>-3000</x:v>
      </x:c>
      <x:c r="F10" s="19" t="n">
        <x:v>20000</x:v>
      </x:c>
      <x:c r="G10" s="19" t="n">
        <x:f>D10-F10</x:f>
        <x:v>20000</x:v>
      </x:c>
      <x:c r="H10" s="19" t="n">
        <x:v>10000</x:v>
      </x:c>
      <x:c r="I10" s="19" t="n">
        <x:v>0</x:v>
      </x:c>
      <x:c r="J10" s="19" t="n">
        <x:v>10000</x:v>
      </x:c>
      <x:c r="K10" s="19" t="n">
        <x:v>0</x:v>
      </x:c>
      <x:c r="L10" s="19" t="n">
        <x:v>34000</x:v>
      </x:c>
      <x:c r="M10" s="19" t="n">
        <x:v>36000</x:v>
      </x:c>
      <x:c r="N10" s="20" t="n">
        <x:v>2</x:v>
      </x:c>
      <x:c r="O10" s="20" t="n">
        <x:v>2</x:v>
      </x:c>
      <x:c r="P10" s="20" t="n">
        <x:v>4</x:v>
      </x:c>
      <x:c r="Q10" s="20" t="n">
        <x:v>2</x:v>
      </x:c>
      <x:c r="R10" s="20" t="n">
        <x:v>6</x:v>
      </x:c>
      <x:c r="S10" s="21" t="n">
        <x:f>6601/60</x:f>
        <x:v>110.01666666666667</x:v>
      </x:c>
      <x:c r="T10" s="21" t="n">
        <x:f>0/60</x:f>
        <x:v>0</x:v>
      </x:c>
      <x:c r="U10" s="21" t="n">
        <x:f>0/60</x:f>
        <x:v>0</x:v>
      </x:c>
      <x:c r="V10" s="21" t="n">
        <x:f>0/60</x:f>
        <x:v>0</x:v>
      </x:c>
      <x:c r="W10" s="20" t="n">
        <x:v>0</x:v>
      </x:c>
      <x:c r="X10" s="20" t="n">
        <x:v>0</x:v>
      </x:c>
      <x:c r="Y10" s="20" t="n">
        <x:v>0</x:v>
      </x:c>
      <x:c r="Z10" s="20" t="n">
        <x:v>0</x:v>
      </x:c>
    </x:row>
    <x:row r="11" ht="23" customHeight="1">
      <x:c r="A11" s="2" t="str">
        <x:v>2026-09-25_Night</x:v>
      </x:c>
      <x:c r="B11" s="19" t="n">
        <x:v>17000</x:v>
      </x:c>
      <x:c r="C11" s="19" t="n">
        <x:v>16000</x:v>
      </x:c>
      <x:c r="D11" s="19" t="n">
        <x:f>B11-C11</x:f>
        <x:v>1000</x:v>
      </x:c>
      <x:c r="E11" s="19" t="n">
        <x:f>E10+D11</x:f>
        <x:v>-2000</x:v>
      </x:c>
      <x:c r="F11" s="19" t="n">
        <x:v>0</x:v>
      </x:c>
      <x:c r="G11" s="19" t="n">
        <x:f>D11-F11</x:f>
        <x:v>1000</x:v>
      </x:c>
      <x:c r="H11" s="19" t="n">
        <x:v>0</x:v>
      </x:c>
      <x:c r="I11" s="19" t="n">
        <x:v>0</x:v>
      </x:c>
      <x:c r="J11" s="19" t="n">
        <x:v>0</x:v>
      </x:c>
      <x:c r="K11" s="19" t="n">
        <x:v>0</x:v>
      </x:c>
      <x:c r="L11" s="19" t="n">
        <x:v>0</x:v>
      </x:c>
      <x:c r="M11" s="19" t="n">
        <x:v>0</x:v>
      </x:c>
      <x:c r="N11" s="20" t="n">
        <x:v>1</x:v>
      </x:c>
      <x:c r="O11" s="20" t="n">
        <x:v>5</x:v>
      </x:c>
      <x:c r="P11" s="20" t="n">
        <x:v>2</x:v>
      </x:c>
      <x:c r="Q11" s="20" t="n">
        <x:v>0</x:v>
      </x:c>
      <x:c r="R11" s="20" t="n">
        <x:v>6</x:v>
      </x:c>
      <x:c r="S11" s="21" t="n">
        <x:f>0/60</x:f>
        <x:v>0</x:v>
      </x:c>
      <x:c r="T11" s="21" t="n">
        <x:f>0/60</x:f>
        <x:v>0</x:v>
      </x:c>
      <x:c r="U11" s="21" t="n">
        <x:f>0/60</x:f>
        <x:v>0</x:v>
      </x:c>
      <x:c r="V11" s="21" t="n">
        <x:f>0/60</x:f>
        <x:v>0</x:v>
      </x:c>
      <x:c r="W11" s="20" t="n">
        <x:v>0</x:v>
      </x:c>
      <x:c r="X11" s="20" t="n">
        <x:v>0</x:v>
      </x:c>
      <x:c r="Y11" s="20" t="n">
        <x:v>0</x:v>
      </x:c>
      <x:c r="Z11" s="20" t="n">
        <x:v>0</x:v>
      </x:c>
    </x:row>
    <x:row r="12" ht="23" customHeight="1">
      <x:c r="A12" s="2" t="str">
        <x:v>2026-09-28_Night</x:v>
      </x:c>
      <x:c r="B12" s="19" t="n">
        <x:v>21000</x:v>
      </x:c>
      <x:c r="C12" s="19" t="n">
        <x:v>39000</x:v>
      </x:c>
      <x:c r="D12" s="19" t="n">
        <x:f>B12-C12</x:f>
        <x:v>-18000</x:v>
      </x:c>
      <x:c r="E12" s="19" t="n">
        <x:f>E11+D12</x:f>
        <x:v>-20000</x:v>
      </x:c>
      <x:c r="F12" s="19" t="n">
        <x:v>11000</x:v>
      </x:c>
      <x:c r="G12" s="19" t="n">
        <x:f>D12-F12</x:f>
        <x:v>-29000</x:v>
      </x:c>
      <x:c r="H12" s="19" t="n">
        <x:v>11000</x:v>
      </x:c>
      <x:c r="I12" s="19" t="n">
        <x:v>0</x:v>
      </x:c>
      <x:c r="J12" s="19" t="n">
        <x:v>0</x:v>
      </x:c>
      <x:c r="K12" s="19" t="n">
        <x:v>0</x:v>
      </x:c>
      <x:c r="L12" s="19" t="n">
        <x:v>6000</x:v>
      </x:c>
      <x:c r="M12" s="19" t="n">
        <x:v>6000</x:v>
      </x:c>
      <x:c r="N12" s="20" t="n">
        <x:v>3</x:v>
      </x:c>
      <x:c r="O12" s="20" t="n">
        <x:v>3</x:v>
      </x:c>
      <x:c r="P12" s="20" t="n">
        <x:v>5</x:v>
      </x:c>
      <x:c r="Q12" s="20" t="n">
        <x:v>1</x:v>
      </x:c>
      <x:c r="R12" s="20" t="n">
        <x:v>7</x:v>
      </x:c>
      <x:c r="S12" s="21" t="n">
        <x:f>2260/60</x:f>
        <x:v>37.666666666666664</x:v>
      </x:c>
      <x:c r="T12" s="21" t="n">
        <x:f>0/60</x:f>
        <x:v>0</x:v>
      </x:c>
      <x:c r="U12" s="21" t="n">
        <x:f>0/60</x:f>
        <x:v>0</x:v>
      </x:c>
      <x:c r="V12" s="21" t="n">
        <x:f>0/60</x:f>
        <x:v>0</x:v>
      </x:c>
      <x:c r="W12" s="20" t="n">
        <x:v>0</x:v>
      </x:c>
      <x:c r="X12" s="20" t="n">
        <x:v>0</x:v>
      </x:c>
      <x:c r="Y12" s="20" t="n">
        <x:v>0</x:v>
      </x:c>
      <x:c r="Z12" s="20" t="n">
        <x:v>0</x:v>
      </x:c>
    </x:row>
    <x:row r="13" ht="23" customHeight="1">
      <x:c r="A13" s="2" t="str">
        <x:v>2026-09-29_Night</x:v>
      </x:c>
      <x:c r="B13" s="19" t="n">
        <x:v>90000</x:v>
      </x:c>
      <x:c r="C13" s="19" t="n">
        <x:v>25000</x:v>
      </x:c>
      <x:c r="D13" s="19" t="n">
        <x:f>B13-C13</x:f>
        <x:v>65000</x:v>
      </x:c>
      <x:c r="E13" s="19" t="n">
        <x:f>E12+D13</x:f>
        <x:v>45000</x:v>
      </x:c>
      <x:c r="F13" s="19" t="n">
        <x:v>0</x:v>
      </x:c>
      <x:c r="G13" s="19" t="n">
        <x:f>D13-F13</x:f>
        <x:v>65000</x:v>
      </x:c>
      <x:c r="H13" s="19" t="n">
        <x:v>0</x:v>
      </x:c>
      <x:c r="I13" s="19" t="n">
        <x:v>0</x:v>
      </x:c>
      <x:c r="J13" s="19" t="n">
        <x:v>0</x:v>
      </x:c>
      <x:c r="K13" s="19" t="n">
        <x:v>0</x:v>
      </x:c>
      <x:c r="L13" s="19" t="n">
        <x:v>0</x:v>
      </x:c>
      <x:c r="M13" s="19" t="n">
        <x:v>0</x:v>
      </x:c>
      <x:c r="N13" s="20" t="n">
        <x:v>5</x:v>
      </x:c>
      <x:c r="O13" s="20" t="n">
        <x:v>5</x:v>
      </x:c>
      <x:c r="P13" s="20" t="n">
        <x:v>6</x:v>
      </x:c>
      <x:c r="Q13" s="20" t="n">
        <x:v>0</x:v>
      </x:c>
      <x:c r="R13" s="20" t="n">
        <x:v>14</x:v>
      </x:c>
      <x:c r="S13" s="21" t="n">
        <x:f>0/60</x:f>
        <x:v>0</x:v>
      </x:c>
      <x:c r="T13" s="21" t="n">
        <x:f>0/60</x:f>
        <x:v>0</x:v>
      </x:c>
      <x:c r="U13" s="21" t="n">
        <x:f>0/60</x:f>
        <x:v>0</x:v>
      </x:c>
      <x:c r="V13" s="21" t="n">
        <x:f>0/60</x:f>
        <x:v>0</x:v>
      </x:c>
      <x:c r="W13" s="20" t="n">
        <x:v>0</x:v>
      </x:c>
      <x:c r="X13" s="20" t="n">
        <x:v>0</x:v>
      </x:c>
      <x:c r="Y13" s="20" t="n">
        <x:v>0</x:v>
      </x:c>
      <x:c r="Z13" s="20" t="n">
        <x:v>0</x:v>
      </x:c>
    </x:row>
    <x:row r="14" ht="23" customHeight="1">
      <x:c r="A14" s="2" t="str">
        <x:v>2026-09-30_Night</x:v>
      </x:c>
      <x:c r="B14" s="19" t="n">
        <x:v>107000</x:v>
      </x:c>
      <x:c r="C14" s="19" t="n">
        <x:v>6000</x:v>
      </x:c>
      <x:c r="D14" s="19" t="n">
        <x:f>B14-C14</x:f>
        <x:v>101000</x:v>
      </x:c>
      <x:c r="E14" s="19" t="n">
        <x:f>E13+D14</x:f>
        <x:v>146000</x:v>
      </x:c>
      <x:c r="F14" s="19" t="n">
        <x:v>58000</x:v>
      </x:c>
      <x:c r="G14" s="19" t="n">
        <x:f>D14-F14</x:f>
        <x:v>43000</x:v>
      </x:c>
      <x:c r="H14" s="19" t="n">
        <x:v>58000</x:v>
      </x:c>
      <x:c r="I14" s="19" t="n">
        <x:v>0</x:v>
      </x:c>
      <x:c r="J14" s="19" t="n">
        <x:v>0</x:v>
      </x:c>
      <x:c r="K14" s="19" t="n">
        <x:v>0</x:v>
      </x:c>
      <x:c r="L14" s="19" t="n">
        <x:v>36000</x:v>
      </x:c>
      <x:c r="M14" s="19" t="n">
        <x:v>44000</x:v>
      </x:c>
      <x:c r="N14" s="20" t="n">
        <x:v>7</x:v>
      </x:c>
      <x:c r="O14" s="20" t="n">
        <x:v>2</x:v>
      </x:c>
      <x:c r="P14" s="20" t="n">
        <x:v>6</x:v>
      </x:c>
      <x:c r="Q14" s="20" t="n">
        <x:v>3</x:v>
      </x:c>
      <x:c r="R14" s="20" t="n">
        <x:v>13</x:v>
      </x:c>
      <x:c r="S14" s="21" t="n">
        <x:f>3319/60</x:f>
        <x:v>55.31666666666667</x:v>
      </x:c>
      <x:c r="T14" s="21" t="n">
        <x:f>0/60</x:f>
        <x:v>0</x:v>
      </x:c>
      <x:c r="U14" s="21" t="n">
        <x:f>0/60</x:f>
        <x:v>0</x:v>
      </x:c>
      <x:c r="V14" s="21" t="n">
        <x:f>0/60</x:f>
        <x:v>0</x:v>
      </x:c>
      <x:c r="W14" s="20" t="n">
        <x:v>0</x:v>
      </x:c>
      <x:c r="X14" s="20" t="n">
        <x:v>0</x:v>
      </x:c>
      <x:c r="Y14" s="20" t="n">
        <x:v>0</x:v>
      </x:c>
      <x:c r="Z14" s="20" t="n">
        <x:v>0</x:v>
      </x:c>
    </x:row>
    <x:row r="15" ht="23" customHeight="1">
      <x:c r="A15" s="2" t="str">
        <x:v>2026-10-01_Night</x:v>
      </x:c>
      <x:c r="B15" s="19" t="n">
        <x:v>255000</x:v>
      </x:c>
      <x:c r="C15" s="19" t="n">
        <x:v>149000</x:v>
      </x:c>
      <x:c r="D15" s="19" t="n">
        <x:f>B15-C15</x:f>
        <x:v>106000</x:v>
      </x:c>
      <x:c r="E15" s="19" t="n">
        <x:f>E14+D15</x:f>
        <x:v>252000</x:v>
      </x:c>
      <x:c r="F15" s="19" t="n">
        <x:v>8000</x:v>
      </x:c>
      <x:c r="G15" s="19" t="n">
        <x:f>D15-F15</x:f>
        <x:v>98000</x:v>
      </x:c>
      <x:c r="H15" s="19" t="n">
        <x:v>59000</x:v>
      </x:c>
      <x:c r="I15" s="19" t="n">
        <x:v>0</x:v>
      </x:c>
      <x:c r="J15" s="19" t="n">
        <x:v>6000</x:v>
      </x:c>
      <x:c r="K15" s="19" t="n">
        <x:v>57000</x:v>
      </x:c>
      <x:c r="L15" s="19" t="n">
        <x:v>60000</x:v>
      </x:c>
      <x:c r="M15" s="19" t="n">
        <x:v>70000</x:v>
      </x:c>
      <x:c r="N15" s="20" t="n">
        <x:v>4</x:v>
      </x:c>
      <x:c r="O15" s="20" t="n">
        <x:v>4</x:v>
      </x:c>
      <x:c r="P15" s="20" t="n">
        <x:v>16</x:v>
      </x:c>
      <x:c r="Q15" s="20" t="n">
        <x:v>8</x:v>
      </x:c>
      <x:c r="R15" s="20" t="n">
        <x:v>27</x:v>
      </x:c>
      <x:c r="S15" s="21" t="n">
        <x:f>12720/60</x:f>
        <x:v>212</x:v>
      </x:c>
      <x:c r="T15" s="21" t="n">
        <x:f>4431/60</x:f>
        <x:v>73.85</x:v>
      </x:c>
      <x:c r="U15" s="21" t="n">
        <x:f>0/60</x:f>
        <x:v>0</x:v>
      </x:c>
      <x:c r="V15" s="21" t="n">
        <x:f>0/60</x:f>
        <x:v>0</x:v>
      </x:c>
      <x:c r="W15" s="20" t="n">
        <x:v>0</x:v>
      </x:c>
      <x:c r="X15" s="20" t="n">
        <x:v>0</x:v>
      </x:c>
      <x:c r="Y15" s="20" t="n">
        <x:v>0</x:v>
      </x:c>
      <x:c r="Z15" s="20" t="n">
        <x:v>0</x:v>
      </x:c>
    </x:row>
    <x:row r="16" ht="23" customHeight="1">
      <x:c r="A16" s="2" t="str">
        <x:v>2026-10-02_Night</x:v>
      </x:c>
      <x:c r="B16" s="19" t="n">
        <x:v>313000</x:v>
      </x:c>
      <x:c r="C16" s="19" t="n">
        <x:v>57000</x:v>
      </x:c>
      <x:c r="D16" s="19" t="n">
        <x:f>B16-C16</x:f>
        <x:v>256000</x:v>
      </x:c>
      <x:c r="E16" s="19" t="n">
        <x:f>E15+D16</x:f>
        <x:v>508000</x:v>
      </x:c>
      <x:c r="F16" s="19" t="n">
        <x:v>0</x:v>
      </x:c>
      <x:c r="G16" s="19" t="n">
        <x:f>D16-F16</x:f>
        <x:v>256000</x:v>
      </x:c>
      <x:c r="H16" s="19" t="n">
        <x:v>0</x:v>
      </x:c>
      <x:c r="I16" s="19" t="n">
        <x:v>0</x:v>
      </x:c>
      <x:c r="J16" s="19" t="n">
        <x:v>0</x:v>
      </x:c>
      <x:c r="K16" s="19" t="n">
        <x:v>0</x:v>
      </x:c>
      <x:c r="L16" s="19" t="n">
        <x:v>0</x:v>
      </x:c>
      <x:c r="M16" s="19" t="n">
        <x:v>0</x:v>
      </x:c>
      <x:c r="N16" s="20" t="n">
        <x:v>7</x:v>
      </x:c>
      <x:c r="O16" s="20" t="n">
        <x:v>10</x:v>
      </x:c>
      <x:c r="P16" s="20" t="n">
        <x:v>15</x:v>
      </x:c>
      <x:c r="Q16" s="20" t="n">
        <x:v>0</x:v>
      </x:c>
      <x:c r="R16" s="20" t="n">
        <x:v>28</x:v>
      </x:c>
      <x:c r="S16" s="21" t="n">
        <x:f>0/60</x:f>
        <x:v>0</x:v>
      </x:c>
      <x:c r="T16" s="21" t="n">
        <x:f>0/60</x:f>
        <x:v>0</x:v>
      </x:c>
      <x:c r="U16" s="21" t="n">
        <x:f>0/60</x:f>
        <x:v>0</x:v>
      </x:c>
      <x:c r="V16" s="21" t="n">
        <x:f>0/60</x:f>
        <x:v>0</x:v>
      </x:c>
      <x:c r="W16" s="20" t="n">
        <x:v>0</x:v>
      </x:c>
      <x:c r="X16" s="20" t="n">
        <x:v>0</x:v>
      </x:c>
      <x:c r="Y16" s="20" t="n">
        <x:v>0</x:v>
      </x:c>
      <x:c r="Z16" s="20" t="n">
        <x:v>0</x:v>
      </x:c>
    </x:row>
    <x:row r="17" ht="23" customHeight="1">
      <x:c r="A17" s="2" t="str">
        <x:v>2026-10-05_Night</x:v>
      </x:c>
      <x:c r="B17" s="19" t="n">
        <x:v>108000</x:v>
      </x:c>
      <x:c r="C17" s="19" t="n">
        <x:v>64000</x:v>
      </x:c>
      <x:c r="D17" s="19" t="n">
        <x:f>B17-C17</x:f>
        <x:v>44000</x:v>
      </x:c>
      <x:c r="E17" s="19" t="n">
        <x:f>E16+D17</x:f>
        <x:v>552000</x:v>
      </x:c>
      <x:c r="F17" s="19" t="n">
        <x:v>10000</x:v>
      </x:c>
      <x:c r="G17" s="19" t="n">
        <x:f>D17-F17</x:f>
        <x:v>34000</x:v>
      </x:c>
      <x:c r="H17" s="19" t="n">
        <x:v>10000</x:v>
      </x:c>
      <x:c r="I17" s="19" t="n">
        <x:v>0</x:v>
      </x:c>
      <x:c r="J17" s="19" t="n">
        <x:v>0</x:v>
      </x:c>
      <x:c r="K17" s="19" t="n">
        <x:v>0</x:v>
      </x:c>
      <x:c r="L17" s="19" t="n">
        <x:v>4000</x:v>
      </x:c>
      <x:c r="M17" s="19" t="n">
        <x:v>8000</x:v>
      </x:c>
      <x:c r="N17" s="20" t="n">
        <x:v>5</x:v>
      </x:c>
      <x:c r="O17" s="20" t="n">
        <x:v>2</x:v>
      </x:c>
      <x:c r="P17" s="20" t="n">
        <x:v>8</x:v>
      </x:c>
      <x:c r="Q17" s="20" t="n">
        <x:v>1</x:v>
      </x:c>
      <x:c r="R17" s="20" t="n">
        <x:v>16</x:v>
      </x:c>
      <x:c r="S17" s="21" t="n">
        <x:f>219/60</x:f>
        <x:v>3.65</x:v>
      </x:c>
      <x:c r="T17" s="21" t="n">
        <x:f>0/60</x:f>
        <x:v>0</x:v>
      </x:c>
      <x:c r="U17" s="21" t="n">
        <x:f>0/60</x:f>
        <x:v>0</x:v>
      </x:c>
      <x:c r="V17" s="21" t="n">
        <x:f>0/60</x:f>
        <x:v>0</x:v>
      </x:c>
      <x:c r="W17" s="20" t="n">
        <x:v>0</x:v>
      </x:c>
      <x:c r="X17" s="20" t="n">
        <x:v>0</x:v>
      </x:c>
      <x:c r="Y17" s="20" t="n">
        <x:v>0</x:v>
      </x:c>
      <x:c r="Z17" s="20" t="n">
        <x:v>0</x:v>
      </x:c>
    </x:row>
    <x:row r="18" ht="23" customHeight="1">
      <x:c r="A18" s="2" t="str">
        <x:v>2026-10-06_Night</x:v>
      </x:c>
      <x:c r="B18" s="19" t="n">
        <x:v>33000</x:v>
      </x:c>
      <x:c r="C18" s="19" t="n">
        <x:v>43000</x:v>
      </x:c>
      <x:c r="D18" s="19" t="n">
        <x:f>B18-C18</x:f>
        <x:v>-10000</x:v>
      </x:c>
      <x:c r="E18" s="19" t="n">
        <x:f>E17+D18</x:f>
        <x:v>542000</x:v>
      </x:c>
      <x:c r="F18" s="19" t="n">
        <x:v>0</x:v>
      </x:c>
      <x:c r="G18" s="19" t="n">
        <x:f>D18-F18</x:f>
        <x:v>-10000</x:v>
      </x:c>
      <x:c r="H18" s="19" t="n">
        <x:v>0</x:v>
      </x:c>
      <x:c r="I18" s="19" t="n">
        <x:v>0</x:v>
      </x:c>
      <x:c r="J18" s="19" t="n">
        <x:v>0</x:v>
      </x:c>
      <x:c r="K18" s="19" t="n">
        <x:v>0</x:v>
      </x:c>
      <x:c r="L18" s="19" t="n">
        <x:v>0</x:v>
      </x:c>
      <x:c r="M18" s="19" t="n">
        <x:v>0</x:v>
      </x:c>
      <x:c r="N18" s="20" t="n">
        <x:v>0</x:v>
      </x:c>
      <x:c r="O18" s="20" t="n">
        <x:v>7</x:v>
      </x:c>
      <x:c r="P18" s="20" t="n">
        <x:v>4</x:v>
      </x:c>
      <x:c r="Q18" s="20" t="n">
        <x:v>0</x:v>
      </x:c>
      <x:c r="R18" s="20" t="n">
        <x:v>8</x:v>
      </x:c>
      <x:c r="S18" s="21" t="n">
        <x:f>0/60</x:f>
        <x:v>0</x:v>
      </x:c>
      <x:c r="T18" s="21" t="n">
        <x:f>0/60</x:f>
        <x:v>0</x:v>
      </x:c>
      <x:c r="U18" s="21" t="n">
        <x:f>0/60</x:f>
        <x:v>0</x:v>
      </x:c>
      <x:c r="V18" s="21" t="n">
        <x:f>0/60</x:f>
        <x:v>0</x:v>
      </x:c>
      <x:c r="W18" s="20" t="n">
        <x:v>0</x:v>
      </x:c>
      <x:c r="X18" s="20" t="n">
        <x:v>0</x:v>
      </x:c>
      <x:c r="Y18" s="20" t="n">
        <x:v>0</x:v>
      </x:c>
      <x:c r="Z18" s="20" t="n">
        <x:v>0</x:v>
      </x:c>
    </x:row>
    <x:row r="19" ht="23" customHeight="1">
      <x:c r="A19" s="2" t="str">
        <x:v>2026-10-07_Night</x:v>
      </x:c>
      <x:c r="B19" s="19" t="n">
        <x:v>10000</x:v>
      </x:c>
      <x:c r="C19" s="19" t="n">
        <x:v>67000</x:v>
      </x:c>
      <x:c r="D19" s="19" t="n">
        <x:f>B19-C19</x:f>
        <x:v>-57000</x:v>
      </x:c>
      <x:c r="E19" s="19" t="n">
        <x:f>E18+D19</x:f>
        <x:v>485000</x:v>
      </x:c>
      <x:c r="F19" s="19" t="n">
        <x:v>-35000</x:v>
      </x:c>
      <x:c r="G19" s="19" t="n">
        <x:f>D19-F19</x:f>
        <x:v>-22000</x:v>
      </x:c>
      <x:c r="H19" s="19" t="n">
        <x:v>10000</x:v>
      </x:c>
      <x:c r="I19" s="19" t="n">
        <x:v>0</x:v>
      </x:c>
      <x:c r="J19" s="19" t="n">
        <x:v>0</x:v>
      </x:c>
      <x:c r="K19" s="19" t="n">
        <x:v>45000</x:v>
      </x:c>
      <x:c r="L19" s="19" t="n">
        <x:v>49000</x:v>
      </x:c>
      <x:c r="M19" s="19" t="n">
        <x:v>57000</x:v>
      </x:c>
      <x:c r="N19" s="20" t="n">
        <x:v>2</x:v>
      </x:c>
      <x:c r="O19" s="20" t="n">
        <x:v>2</x:v>
      </x:c>
      <x:c r="P19" s="20" t="n">
        <x:v>5</x:v>
      </x:c>
      <x:c r="Q19" s="20" t="n">
        <x:v>3</x:v>
      </x:c>
      <x:c r="R19" s="20" t="n">
        <x:v>6</x:v>
      </x:c>
      <x:c r="S19" s="21" t="n">
        <x:f>7391/60</x:f>
        <x:v>123.18333333333334</x:v>
      </x:c>
      <x:c r="T19" s="21" t="n">
        <x:f>0/60</x:f>
        <x:v>0</x:v>
      </x:c>
      <x:c r="U19" s="21" t="n">
        <x:f>0/60</x:f>
        <x:v>0</x:v>
      </x:c>
      <x:c r="V19" s="21" t="n">
        <x:f>0/60</x:f>
        <x:v>0</x:v>
      </x:c>
      <x:c r="W19" s="20" t="n">
        <x:v>0</x:v>
      </x:c>
      <x:c r="X19" s="20" t="n">
        <x:v>0</x:v>
      </x:c>
      <x:c r="Y19" s="20" t="n">
        <x:v>0</x:v>
      </x:c>
      <x:c r="Z19" s="20" t="n">
        <x:v>0</x:v>
      </x:c>
    </x:row>
    <x:row r="20" ht="23" customHeight="1">
      <x:c r="A20" s="2" t="str">
        <x:v>2026-10-08_Night</x:v>
      </x:c>
      <x:c r="B20" s="19" t="n">
        <x:v>360000</x:v>
      </x:c>
      <x:c r="C20" s="19" t="n">
        <x:v>36000</x:v>
      </x:c>
      <x:c r="D20" s="19" t="n">
        <x:f>B20-C20</x:f>
        <x:v>324000</x:v>
      </x:c>
      <x:c r="E20" s="19" t="n">
        <x:f>E19+D20</x:f>
        <x:v>809000</x:v>
      </x:c>
      <x:c r="F20" s="19" t="n">
        <x:v>18000</x:v>
      </x:c>
      <x:c r="G20" s="19" t="n">
        <x:f>D20-F20</x:f>
        <x:v>306000</x:v>
      </x:c>
      <x:c r="H20" s="19" t="n">
        <x:v>18000</x:v>
      </x:c>
      <x:c r="I20" s="19" t="n">
        <x:v>0</x:v>
      </x:c>
      <x:c r="J20" s="19" t="n">
        <x:v>0</x:v>
      </x:c>
      <x:c r="K20" s="19" t="n">
        <x:v>0</x:v>
      </x:c>
      <x:c r="L20" s="19" t="n">
        <x:v>5000</x:v>
      </x:c>
      <x:c r="M20" s="19" t="n">
        <x:v>9000</x:v>
      </x:c>
      <x:c r="N20" s="20" t="n">
        <x:v>8</x:v>
      </x:c>
      <x:c r="O20" s="20" t="n">
        <x:v>8</x:v>
      </x:c>
      <x:c r="P20" s="20" t="n">
        <x:v>17</x:v>
      </x:c>
      <x:c r="Q20" s="20" t="n">
        <x:v>2</x:v>
      </x:c>
      <x:c r="R20" s="20" t="n">
        <x:v>30</x:v>
      </x:c>
      <x:c r="S20" s="21" t="n">
        <x:f>2603/60</x:f>
        <x:v>43.38333333333333</x:v>
      </x:c>
      <x:c r="T20" s="21" t="n">
        <x:f>0/60</x:f>
        <x:v>0</x:v>
      </x:c>
      <x:c r="U20" s="21" t="n">
        <x:f>0/60</x:f>
        <x:v>0</x:v>
      </x:c>
      <x:c r="V20" s="21" t="n">
        <x:f>0/60</x:f>
        <x:v>0</x:v>
      </x:c>
      <x:c r="W20" s="20" t="n">
        <x:v>0</x:v>
      </x:c>
      <x:c r="X20" s="20" t="n">
        <x:v>0</x:v>
      </x:c>
      <x:c r="Y20" s="20" t="n">
        <x:v>0</x:v>
      </x:c>
      <x:c r="Z20" s="20" t="n">
        <x:v>0</x:v>
      </x:c>
    </x:row>
    <x:row r="21" ht="23" customHeight="1">
      <x:c r="A21" s="2" t="str">
        <x:v>2026-10-09_Night</x:v>
      </x:c>
      <x:c r="B21" s="19" t="n">
        <x:v>22000</x:v>
      </x:c>
      <x:c r="C21" s="19" t="n">
        <x:v>38000</x:v>
      </x:c>
      <x:c r="D21" s="19" t="n">
        <x:f>B21-C21</x:f>
        <x:v>-16000</x:v>
      </x:c>
      <x:c r="E21" s="19" t="n">
        <x:f>E20+D21</x:f>
        <x:v>793000</x:v>
      </x:c>
      <x:c r="F21" s="19" t="n">
        <x:v>-30000</x:v>
      </x:c>
      <x:c r="G21" s="19" t="n">
        <x:f>D21-F21</x:f>
        <x:v>14000</x:v>
      </x:c>
      <x:c r="H21" s="19" t="n">
        <x:v>8000</x:v>
      </x:c>
      <x:c r="I21" s="19" t="n">
        <x:v>0</x:v>
      </x:c>
      <x:c r="J21" s="19" t="n">
        <x:v>0</x:v>
      </x:c>
      <x:c r="K21" s="19" t="n">
        <x:v>38000</x:v>
      </x:c>
      <x:c r="L21" s="19" t="n">
        <x:v>44000</x:v>
      </x:c>
      <x:c r="M21" s="19" t="n">
        <x:v>54000</x:v>
      </x:c>
      <x:c r="N21" s="20" t="n">
        <x:v>0</x:v>
      </x:c>
      <x:c r="O21" s="20" t="n">
        <x:v>5</x:v>
      </x:c>
      <x:c r="P21" s="20" t="n">
        <x:v>3</x:v>
      </x:c>
      <x:c r="Q21" s="20" t="n">
        <x:v>2</x:v>
      </x:c>
      <x:c r="R21" s="20" t="n">
        <x:v>9</x:v>
      </x:c>
      <x:c r="S21" s="21" t="n">
        <x:f>4100/60</x:f>
        <x:v>68.33333333333333</x:v>
      </x:c>
      <x:c r="T21" s="21" t="n">
        <x:f>0/60</x:f>
        <x:v>0</x:v>
      </x:c>
      <x:c r="U21" s="21" t="n">
        <x:f>0/60</x:f>
        <x:v>0</x:v>
      </x:c>
      <x:c r="V21" s="21" t="n">
        <x:f>0/60</x:f>
        <x:v>0</x:v>
      </x:c>
      <x:c r="W21" s="20" t="n">
        <x:v>0</x:v>
      </x:c>
      <x:c r="X21" s="20" t="n">
        <x:v>0</x:v>
      </x:c>
      <x:c r="Y21" s="20" t="n">
        <x:v>0</x:v>
      </x:c>
      <x:c r="Z21" s="20" t="n">
        <x:v>0</x:v>
      </x:c>
    </x:row>
    <x:row r="22" ht="23" customHeight="1">
      <x:c r="A22" s="2" t="str">
        <x:v>2026-10-12_Night</x:v>
      </x:c>
      <x:c r="B22" s="19" t="n">
        <x:v>82000</x:v>
      </x:c>
      <x:c r="C22" s="19" t="n">
        <x:v>0</x:v>
      </x:c>
      <x:c r="D22" s="19" t="n">
        <x:f>B22-C22</x:f>
        <x:v>82000</x:v>
      </x:c>
      <x:c r="E22" s="19" t="n">
        <x:f>E21+D22</x:f>
        <x:v>875000</x:v>
      </x:c>
      <x:c r="F22" s="19" t="n">
        <x:v>0</x:v>
      </x:c>
      <x:c r="G22" s="19" t="n">
        <x:f>D22-F22</x:f>
        <x:v>82000</x:v>
      </x:c>
      <x:c r="H22" s="19" t="n">
        <x:v>0</x:v>
      </x:c>
      <x:c r="I22" s="19" t="n">
        <x:v>0</x:v>
      </x:c>
      <x:c r="J22" s="19" t="n">
        <x:v>0</x:v>
      </x:c>
      <x:c r="K22" s="19" t="n">
        <x:v>0</x:v>
      </x:c>
      <x:c r="L22" s="19" t="n">
        <x:v>0</x:v>
      </x:c>
      <x:c r="M22" s="19" t="n">
        <x:v>0</x:v>
      </x:c>
      <x:c r="N22" s="20" t="n">
        <x:v>0</x:v>
      </x:c>
      <x:c r="O22" s="20" t="n">
        <x:v>5</x:v>
      </x:c>
      <x:c r="P22" s="20" t="n">
        <x:v>1</x:v>
      </x:c>
      <x:c r="Q22" s="20" t="n">
        <x:v>0</x:v>
      </x:c>
      <x:c r="R22" s="20" t="n">
        <x:v>5</x:v>
      </x:c>
      <x:c r="S22" s="21" t="n">
        <x:f>0/60</x:f>
        <x:v>0</x:v>
      </x:c>
      <x:c r="T22" s="21" t="n">
        <x:f>0/60</x:f>
        <x:v>0</x:v>
      </x:c>
      <x:c r="U22" s="21" t="n">
        <x:f>0/60</x:f>
        <x:v>0</x:v>
      </x:c>
      <x:c r="V22" s="21" t="n">
        <x:f>0/60</x:f>
        <x:v>0</x:v>
      </x:c>
      <x:c r="W22" s="20" t="n">
        <x:v>0</x:v>
      </x:c>
      <x:c r="X22" s="20" t="n">
        <x:v>0</x:v>
      </x:c>
      <x:c r="Y22" s="20" t="n">
        <x:v>0</x:v>
      </x:c>
      <x:c r="Z22" s="20" t="n">
        <x:v>0</x:v>
      </x:c>
    </x:row>
    <x:row r="23" ht="23" customHeight="1">
      <x:c r="A23" s="2" t="str">
        <x:v>2026-10-13_Night</x:v>
      </x:c>
      <x:c r="B23" s="19" t="n">
        <x:v>0</x:v>
      </x:c>
      <x:c r="C23" s="19" t="n">
        <x:v>113000</x:v>
      </x:c>
      <x:c r="D23" s="19" t="n">
        <x:f>B23-C23</x:f>
        <x:v>-113000</x:v>
      </x:c>
      <x:c r="E23" s="19" t="n">
        <x:f>E22+D23</x:f>
        <x:v>762000</x:v>
      </x:c>
      <x:c r="F23" s="19" t="n">
        <x:v>-60000</x:v>
      </x:c>
      <x:c r="G23" s="19" t="n">
        <x:f>D23-F23</x:f>
        <x:v>-53000</x:v>
      </x:c>
      <x:c r="H23" s="19" t="n">
        <x:v>0</x:v>
      </x:c>
      <x:c r="I23" s="19" t="n">
        <x:v>0</x:v>
      </x:c>
      <x:c r="J23" s="19" t="n">
        <x:v>0</x:v>
      </x:c>
      <x:c r="K23" s="19" t="n">
        <x:v>60000</x:v>
      </x:c>
      <x:c r="L23" s="19" t="n">
        <x:v>70000</x:v>
      </x:c>
      <x:c r="M23" s="19" t="n">
        <x:v>80000</x:v>
      </x:c>
      <x:c r="N23" s="20" t="n">
        <x:v>2</x:v>
      </x:c>
      <x:c r="O23" s="20" t="n">
        <x:v>5</x:v>
      </x:c>
      <x:c r="P23" s="20" t="n">
        <x:v>3</x:v>
      </x:c>
      <x:c r="Q23" s="20" t="n">
        <x:v>1</x:v>
      </x:c>
      <x:c r="R23" s="20" t="n">
        <x:v>8</x:v>
      </x:c>
      <x:c r="S23" s="21" t="n">
        <x:f>14137/60</x:f>
        <x:v>235.61666666666667</x:v>
      </x:c>
      <x:c r="T23" s="21" t="n">
        <x:f>0/60</x:f>
        <x:v>0</x:v>
      </x:c>
      <x:c r="U23" s="21" t="n">
        <x:f>0/60</x:f>
        <x:v>0</x:v>
      </x:c>
      <x:c r="V23" s="21" t="n">
        <x:f>0/60</x:f>
        <x:v>0</x:v>
      </x:c>
      <x:c r="W23" s="20" t="n">
        <x:v>0</x:v>
      </x:c>
      <x:c r="X23" s="20" t="n">
        <x:v>0</x:v>
      </x:c>
      <x:c r="Y23" s="20" t="n">
        <x:v>0</x:v>
      </x:c>
      <x:c r="Z23" s="20" t="n">
        <x:v>0</x:v>
      </x:c>
    </x:row>
    <x:row r="24" ht="23" customHeight="1">
      <x:c r="A24" s="2" t="str">
        <x:v>2026-10-14_Night</x:v>
      </x:c>
      <x:c r="B24" s="19" t="n">
        <x:v>205000</x:v>
      </x:c>
      <x:c r="C24" s="19" t="n">
        <x:v>61000</x:v>
      </x:c>
      <x:c r="D24" s="19" t="n">
        <x:f>B24-C24</x:f>
        <x:v>144000</x:v>
      </x:c>
      <x:c r="E24" s="19" t="n">
        <x:f>E23+D24</x:f>
        <x:v>906000</x:v>
      </x:c>
      <x:c r="F24" s="19" t="n">
        <x:v>8000</x:v>
      </x:c>
      <x:c r="G24" s="19" t="n">
        <x:f>D24-F24</x:f>
        <x:v>136000</x:v>
      </x:c>
      <x:c r="H24" s="19" t="n">
        <x:v>8000</x:v>
      </x:c>
      <x:c r="I24" s="19" t="n">
        <x:v>0</x:v>
      </x:c>
      <x:c r="J24" s="19" t="n">
        <x:v>0</x:v>
      </x:c>
      <x:c r="K24" s="19" t="n">
        <x:v>0</x:v>
      </x:c>
      <x:c r="L24" s="19" t="n">
        <x:v>22000</x:v>
      </x:c>
      <x:c r="M24" s="19" t="n">
        <x:v>30000</x:v>
      </x:c>
      <x:c r="N24" s="20" t="n">
        <x:v>1</x:v>
      </x:c>
      <x:c r="O24" s="20" t="n">
        <x:v>5</x:v>
      </x:c>
      <x:c r="P24" s="20" t="n">
        <x:v>5</x:v>
      </x:c>
      <x:c r="Q24" s="20" t="n">
        <x:v>1</x:v>
      </x:c>
      <x:c r="R24" s="20" t="n">
        <x:v>11</x:v>
      </x:c>
      <x:c r="S24" s="21" t="n">
        <x:f>2685/60</x:f>
        <x:v>44.75</x:v>
      </x:c>
      <x:c r="T24" s="21" t="n">
        <x:f>0/60</x:f>
        <x:v>0</x:v>
      </x:c>
      <x:c r="U24" s="21" t="n">
        <x:f>0/60</x:f>
        <x:v>0</x:v>
      </x:c>
      <x:c r="V24" s="21" t="n">
        <x:f>0/60</x:f>
        <x:v>0</x:v>
      </x:c>
      <x:c r="W24" s="20" t="n">
        <x:v>0</x:v>
      </x:c>
      <x:c r="X24" s="20" t="n">
        <x:v>0</x:v>
      </x:c>
      <x:c r="Y24" s="20" t="n">
        <x:v>0</x:v>
      </x:c>
      <x:c r="Z24" s="20" t="n">
        <x:v>0</x:v>
      </x:c>
    </x:row>
    <x:row r="25" ht="23" customHeight="1">
      <x:c r="A25" s="2" t="str">
        <x:v>2026-10-15_Night</x:v>
      </x:c>
      <x:c r="B25" s="19" t="n">
        <x:v>86000</x:v>
      </x:c>
      <x:c r="C25" s="19" t="n">
        <x:v>64000</x:v>
      </x:c>
      <x:c r="D25" s="19" t="n">
        <x:f>B25-C25</x:f>
        <x:v>22000</x:v>
      </x:c>
      <x:c r="E25" s="19" t="n">
        <x:f>E24+D25</x:f>
        <x:v>928000</x:v>
      </x:c>
      <x:c r="F25" s="19" t="n">
        <x:v>0</x:v>
      </x:c>
      <x:c r="G25" s="19" t="n">
        <x:f>D25-F25</x:f>
        <x:v>22000</x:v>
      </x:c>
      <x:c r="H25" s="19" t="n">
        <x:v>0</x:v>
      </x:c>
      <x:c r="I25" s="19" t="n">
        <x:v>0</x:v>
      </x:c>
      <x:c r="J25" s="19" t="n">
        <x:v>0</x:v>
      </x:c>
      <x:c r="K25" s="19" t="n">
        <x:v>0</x:v>
      </x:c>
      <x:c r="L25" s="19" t="n">
        <x:v>0</x:v>
      </x:c>
      <x:c r="M25" s="19" t="n">
        <x:v>0</x:v>
      </x:c>
      <x:c r="N25" s="20" t="n">
        <x:v>3</x:v>
      </x:c>
      <x:c r="O25" s="20" t="n">
        <x:v>2</x:v>
      </x:c>
      <x:c r="P25" s="20" t="n">
        <x:v>7</x:v>
      </x:c>
      <x:c r="Q25" s="20" t="n">
        <x:v>0</x:v>
      </x:c>
      <x:c r="R25" s="20" t="n">
        <x:v>9</x:v>
      </x:c>
      <x:c r="S25" s="21" t="n">
        <x:f>0/60</x:f>
        <x:v>0</x:v>
      </x:c>
      <x:c r="T25" s="21" t="n">
        <x:f>0/60</x:f>
        <x:v>0</x:v>
      </x:c>
      <x:c r="U25" s="21" t="n">
        <x:f>0/60</x:f>
        <x:v>0</x:v>
      </x:c>
      <x:c r="V25" s="21" t="n">
        <x:f>0/60</x:f>
        <x:v>0</x:v>
      </x:c>
      <x:c r="W25" s="20" t="n">
        <x:v>0</x:v>
      </x:c>
      <x:c r="X25" s="20" t="n">
        <x:v>0</x:v>
      </x:c>
      <x:c r="Y25" s="20" t="n">
        <x:v>0</x:v>
      </x:c>
      <x:c r="Z25" s="20" t="n">
        <x:v>0</x:v>
      </x:c>
    </x:row>
    <x:row r="26" ht="23" customHeight="1">
      <x:c r="A26" s="2" t="str">
        <x:v>2026-10-16_Night</x:v>
      </x:c>
      <x:c r="B26" s="19" t="n">
        <x:v>163000</x:v>
      </x:c>
      <x:c r="C26" s="19" t="n">
        <x:v>139000</x:v>
      </x:c>
      <x:c r="D26" s="19" t="n">
        <x:f>B26-C26</x:f>
        <x:v>24000</x:v>
      </x:c>
      <x:c r="E26" s="19" t="n">
        <x:f>E25+D26</x:f>
        <x:v>952000</x:v>
      </x:c>
      <x:c r="F26" s="19" t="n">
        <x:v>-8000</x:v>
      </x:c>
      <x:c r="G26" s="19" t="n">
        <x:f>D26-F26</x:f>
        <x:v>32000</x:v>
      </x:c>
      <x:c r="H26" s="19" t="n">
        <x:v>0</x:v>
      </x:c>
      <x:c r="I26" s="19" t="n">
        <x:v>0</x:v>
      </x:c>
      <x:c r="J26" s="19" t="n">
        <x:v>0</x:v>
      </x:c>
      <x:c r="K26" s="19" t="n">
        <x:v>8000</x:v>
      </x:c>
      <x:c r="L26" s="19" t="n">
        <x:v>18000</x:v>
      </x:c>
      <x:c r="M26" s="19" t="n">
        <x:v>22000</x:v>
      </x:c>
      <x:c r="N26" s="20" t="n">
        <x:v>3</x:v>
      </x:c>
      <x:c r="O26" s="20" t="n">
        <x:v>7</x:v>
      </x:c>
      <x:c r="P26" s="20" t="n">
        <x:v>14</x:v>
      </x:c>
      <x:c r="Q26" s="20" t="n">
        <x:v>1</x:v>
      </x:c>
      <x:c r="R26" s="20" t="n">
        <x:v>29</x:v>
      </x:c>
      <x:c r="S26" s="21" t="n">
        <x:f>907/60</x:f>
        <x:v>15.116666666666667</x:v>
      </x:c>
      <x:c r="T26" s="21" t="n">
        <x:f>0/60</x:f>
        <x:v>0</x:v>
      </x:c>
      <x:c r="U26" s="21" t="n">
        <x:f>0/60</x:f>
        <x:v>0</x:v>
      </x:c>
      <x:c r="V26" s="21" t="n">
        <x:f>0/60</x:f>
        <x:v>0</x:v>
      </x:c>
      <x:c r="W26" s="20" t="n">
        <x:v>0</x:v>
      </x:c>
      <x:c r="X26" s="20" t="n">
        <x:v>0</x:v>
      </x:c>
      <x:c r="Y26" s="20" t="n">
        <x:v>0</x:v>
      </x:c>
      <x:c r="Z26" s="20" t="n">
        <x:v>0</x:v>
      </x:c>
    </x:row>
    <x:row r="27" ht="23" customHeight="1">
      <x:c r="A27" s="2" t="str">
        <x:v>2026-10-19_Night</x:v>
      </x:c>
      <x:c r="B27" s="19" t="n">
        <x:v>119000</x:v>
      </x:c>
      <x:c r="C27" s="19" t="n">
        <x:v>105000</x:v>
      </x:c>
      <x:c r="D27" s="19" t="n">
        <x:f>B27-C27</x:f>
        <x:v>14000</x:v>
      </x:c>
      <x:c r="E27" s="19" t="n">
        <x:f>E26+D27</x:f>
        <x:v>966000</x:v>
      </x:c>
      <x:c r="F27" s="19" t="n">
        <x:v>22000</x:v>
      </x:c>
      <x:c r="G27" s="19" t="n">
        <x:f>D27-F27</x:f>
        <x:v>-8000</x:v>
      </x:c>
      <x:c r="H27" s="19" t="n">
        <x:v>10000</x:v>
      </x:c>
      <x:c r="I27" s="19" t="n">
        <x:v>0</x:v>
      </x:c>
      <x:c r="J27" s="19" t="n">
        <x:v>12000</x:v>
      </x:c>
      <x:c r="K27" s="19" t="n">
        <x:v>0</x:v>
      </x:c>
      <x:c r="L27" s="19" t="n">
        <x:v>22000</x:v>
      </x:c>
      <x:c r="M27" s="19" t="n">
        <x:v>30000</x:v>
      </x:c>
      <x:c r="N27" s="20" t="n">
        <x:v>3</x:v>
      </x:c>
      <x:c r="O27" s="20" t="n">
        <x:v>5</x:v>
      </x:c>
      <x:c r="P27" s="20" t="n">
        <x:v>14</x:v>
      </x:c>
      <x:c r="Q27" s="20" t="n">
        <x:v>2</x:v>
      </x:c>
      <x:c r="R27" s="20" t="n">
        <x:v>25</x:v>
      </x:c>
      <x:c r="S27" s="21" t="n">
        <x:f>3947/60</x:f>
        <x:v>65.78333333333333</x:v>
      </x:c>
      <x:c r="T27" s="21" t="n">
        <x:f>0/60</x:f>
        <x:v>0</x:v>
      </x:c>
      <x:c r="U27" s="21" t="n">
        <x:f>0/60</x:f>
        <x:v>0</x:v>
      </x:c>
      <x:c r="V27" s="21" t="n">
        <x:f>0/60</x:f>
        <x:v>0</x:v>
      </x:c>
      <x:c r="W27" s="20" t="n">
        <x:v>0</x:v>
      </x:c>
      <x:c r="X27" s="20" t="n">
        <x:v>0</x:v>
      </x:c>
      <x:c r="Y27" s="20" t="n">
        <x:v>0</x:v>
      </x:c>
      <x:c r="Z27" s="20" t="n">
        <x:v>0</x:v>
      </x:c>
    </x:row>
    <x:row r="28" ht="23" customHeight="1">
      <x:c r="A28" s="2" t="str">
        <x:v>2026-10-20_Night</x:v>
      </x:c>
      <x:c r="B28" s="19" t="n">
        <x:v>121000</x:v>
      </x:c>
      <x:c r="C28" s="19" t="n">
        <x:v>33000</x:v>
      </x:c>
      <x:c r="D28" s="19" t="n">
        <x:f>B28-C28</x:f>
        <x:v>88000</x:v>
      </x:c>
      <x:c r="E28" s="19" t="n">
        <x:f>E27+D28</x:f>
        <x:v>1054000</x:v>
      </x:c>
      <x:c r="F28" s="19" t="n">
        <x:v>22000</x:v>
      </x:c>
      <x:c r="G28" s="19" t="n">
        <x:f>D28-F28</x:f>
        <x:v>66000</x:v>
      </x:c>
      <x:c r="H28" s="19" t="n">
        <x:v>18000</x:v>
      </x:c>
      <x:c r="I28" s="19" t="n">
        <x:v>0</x:v>
      </x:c>
      <x:c r="J28" s="19" t="n">
        <x:v>4000</x:v>
      </x:c>
      <x:c r="K28" s="19" t="n">
        <x:v>0</x:v>
      </x:c>
      <x:c r="L28" s="19" t="n">
        <x:v>16000</x:v>
      </x:c>
      <x:c r="M28" s="19" t="n">
        <x:v>26000</x:v>
      </x:c>
      <x:c r="N28" s="20" t="n">
        <x:v>2</x:v>
      </x:c>
      <x:c r="O28" s="20" t="n">
        <x:v>5</x:v>
      </x:c>
      <x:c r="P28" s="20" t="n">
        <x:v>11</x:v>
      </x:c>
      <x:c r="Q28" s="20" t="n">
        <x:v>4</x:v>
      </x:c>
      <x:c r="R28" s="20" t="n">
        <x:v>16</x:v>
      </x:c>
      <x:c r="S28" s="21" t="n">
        <x:f>2277/60</x:f>
        <x:v>37.95</x:v>
      </x:c>
      <x:c r="T28" s="21" t="n">
        <x:f>0/60</x:f>
        <x:v>0</x:v>
      </x:c>
      <x:c r="U28" s="21" t="n">
        <x:f>0/60</x:f>
        <x:v>0</x:v>
      </x:c>
      <x:c r="V28" s="21" t="n">
        <x:f>0/60</x:f>
        <x:v>0</x:v>
      </x:c>
      <x:c r="W28" s="20" t="n">
        <x:v>0</x:v>
      </x:c>
      <x:c r="X28" s="20" t="n">
        <x:v>0</x:v>
      </x:c>
      <x:c r="Y28" s="20" t="n">
        <x:v>0</x:v>
      </x:c>
      <x:c r="Z28" s="20" t="n">
        <x:v>0</x:v>
      </x:c>
    </x:row>
    <x:row r="29" ht="23" customHeight="1">
      <x:c r="A29" s="2" t="str">
        <x:v>2026-10-21_Night</x:v>
      </x:c>
      <x:c r="B29" s="19" t="n">
        <x:v>65000</x:v>
      </x:c>
      <x:c r="C29" s="19" t="n">
        <x:v>179000</x:v>
      </x:c>
      <x:c r="D29" s="19" t="n">
        <x:f>B29-C29</x:f>
        <x:v>-114000</x:v>
      </x:c>
      <x:c r="E29" s="19" t="n">
        <x:f>E28+D29</x:f>
        <x:v>940000</x:v>
      </x:c>
      <x:c r="F29" s="19" t="n">
        <x:v>-90000</x:v>
      </x:c>
      <x:c r="G29" s="19" t="n">
        <x:f>D29-F29</x:f>
        <x:v>-24000</x:v>
      </x:c>
      <x:c r="H29" s="19" t="n">
        <x:v>0</x:v>
      </x:c>
      <x:c r="I29" s="19" t="n">
        <x:v>0</x:v>
      </x:c>
      <x:c r="J29" s="19" t="n">
        <x:v>0</x:v>
      </x:c>
      <x:c r="K29" s="19" t="n">
        <x:v>90000</x:v>
      </x:c>
      <x:c r="L29" s="19" t="n">
        <x:v>112000</x:v>
      </x:c>
      <x:c r="M29" s="19" t="n">
        <x:v>124000</x:v>
      </x:c>
      <x:c r="N29" s="20" t="n">
        <x:v>7</x:v>
      </x:c>
      <x:c r="O29" s="20" t="n">
        <x:v>5</x:v>
      </x:c>
      <x:c r="P29" s="20" t="n">
        <x:v>6</x:v>
      </x:c>
      <x:c r="Q29" s="20" t="n">
        <x:v>1</x:v>
      </x:c>
      <x:c r="R29" s="20" t="n">
        <x:v>19</x:v>
      </x:c>
      <x:c r="S29" s="21" t="n">
        <x:f>10901/60</x:f>
        <x:v>181.68333333333334</x:v>
      </x:c>
      <x:c r="T29" s="21" t="n">
        <x:f>0/60</x:f>
        <x:v>0</x:v>
      </x:c>
      <x:c r="U29" s="21" t="n">
        <x:f>0/60</x:f>
        <x:v>0</x:v>
      </x:c>
      <x:c r="V29" s="21" t="n">
        <x:f>0/60</x:f>
        <x:v>0</x:v>
      </x:c>
      <x:c r="W29" s="20" t="n">
        <x:v>0</x:v>
      </x:c>
      <x:c r="X29" s="20" t="n">
        <x:v>0</x:v>
      </x:c>
      <x:c r="Y29" s="20" t="n">
        <x:v>0</x:v>
      </x:c>
      <x:c r="Z29" s="20" t="n">
        <x:v>0</x:v>
      </x:c>
    </x:row>
    <x:row r="30" ht="23" customHeight="1">
      <x:c r="A30" s="2" t="str">
        <x:v>2026-10-22_Night</x:v>
      </x:c>
      <x:c r="B30" s="19" t="n">
        <x:v>156000</x:v>
      </x:c>
      <x:c r="C30" s="19" t="n">
        <x:v>0</x:v>
      </x:c>
      <x:c r="D30" s="19" t="n">
        <x:f>B30-C30</x:f>
        <x:v>156000</x:v>
      </x:c>
      <x:c r="E30" s="19" t="n">
        <x:f>E29+D30</x:f>
        <x:v>1096000</x:v>
      </x:c>
      <x:c r="F30" s="19" t="n">
        <x:v>0</x:v>
      </x:c>
      <x:c r="G30" s="19" t="n">
        <x:f>D30-F30</x:f>
        <x:v>156000</x:v>
      </x:c>
      <x:c r="H30" s="19" t="n">
        <x:v>0</x:v>
      </x:c>
      <x:c r="I30" s="19" t="n">
        <x:v>0</x:v>
      </x:c>
      <x:c r="J30" s="19" t="n">
        <x:v>0</x:v>
      </x:c>
      <x:c r="K30" s="19" t="n">
        <x:v>0</x:v>
      </x:c>
      <x:c r="L30" s="19" t="n">
        <x:v>0</x:v>
      </x:c>
      <x:c r="M30" s="19" t="n">
        <x:v>0</x:v>
      </x:c>
      <x:c r="N30" s="20" t="n">
        <x:v>0</x:v>
      </x:c>
      <x:c r="O30" s="20" t="n">
        <x:v>6</x:v>
      </x:c>
      <x:c r="P30" s="20" t="n">
        <x:v>3</x:v>
      </x:c>
      <x:c r="Q30" s="20" t="n">
        <x:v>0</x:v>
      </x:c>
      <x:c r="R30" s="20" t="n">
        <x:v>7</x:v>
      </x:c>
      <x:c r="S30" s="21" t="n">
        <x:f>0/60</x:f>
        <x:v>0</x:v>
      </x:c>
      <x:c r="T30" s="21" t="n">
        <x:f>0/60</x:f>
        <x:v>0</x:v>
      </x:c>
      <x:c r="U30" s="21" t="n">
        <x:f>0/60</x:f>
        <x:v>0</x:v>
      </x:c>
      <x:c r="V30" s="21" t="n">
        <x:f>0/60</x:f>
        <x:v>0</x:v>
      </x:c>
      <x:c r="W30" s="20" t="n">
        <x:v>0</x:v>
      </x:c>
      <x:c r="X30" s="20" t="n">
        <x:v>0</x:v>
      </x:c>
      <x:c r="Y30" s="20" t="n">
        <x:v>0</x:v>
      </x:c>
      <x:c r="Z30" s="20" t="n">
        <x:v>0</x:v>
      </x:c>
    </x:row>
    <x:row r="31" ht="23" customHeight="1">
      <x:c r="A31" s="2" t="str">
        <x:v>2026-10-23_Night</x:v>
      </x:c>
      <x:c r="B31" s="19" t="n">
        <x:v>67000</x:v>
      </x:c>
      <x:c r="C31" s="19" t="n">
        <x:v>95000</x:v>
      </x:c>
      <x:c r="D31" s="19" t="n">
        <x:f>B31-C31</x:f>
        <x:v>-28000</x:v>
      </x:c>
      <x:c r="E31" s="19" t="n">
        <x:f>E30+D31</x:f>
        <x:v>1068000</x:v>
      </x:c>
      <x:c r="F31" s="19" t="n">
        <x:v>-43000</x:v>
      </x:c>
      <x:c r="G31" s="19" t="n">
        <x:f>D31-F31</x:f>
        <x:v>15000</x:v>
      </x:c>
      <x:c r="H31" s="19" t="n">
        <x:v>20000</x:v>
      </x:c>
      <x:c r="I31" s="19" t="n">
        <x:v>0</x:v>
      </x:c>
      <x:c r="J31" s="19" t="n">
        <x:v>0</x:v>
      </x:c>
      <x:c r="K31" s="19" t="n">
        <x:v>63000</x:v>
      </x:c>
      <x:c r="L31" s="19" t="n">
        <x:v>67000</x:v>
      </x:c>
      <x:c r="M31" s="19" t="n">
        <x:v>73000</x:v>
      </x:c>
      <x:c r="N31" s="20" t="n">
        <x:v>5</x:v>
      </x:c>
      <x:c r="O31" s="20" t="n">
        <x:v>4</x:v>
      </x:c>
      <x:c r="P31" s="20" t="n">
        <x:v>11</x:v>
      </x:c>
      <x:c r="Q31" s="20" t="n">
        <x:v>5</x:v>
      </x:c>
      <x:c r="R31" s="20" t="n">
        <x:v>17</x:v>
      </x:c>
      <x:c r="S31" s="21" t="n">
        <x:f>13625/60</x:f>
        <x:v>227.08333333333334</x:v>
      </x:c>
      <x:c r="T31" s="21" t="n">
        <x:f>0/60</x:f>
        <x:v>0</x:v>
      </x:c>
      <x:c r="U31" s="21" t="n">
        <x:f>0/60</x:f>
        <x:v>0</x:v>
      </x:c>
      <x:c r="V31" s="21" t="n">
        <x:f>0/60</x:f>
        <x:v>0</x:v>
      </x:c>
      <x:c r="W31" s="20" t="n">
        <x:v>0</x:v>
      </x:c>
      <x:c r="X31" s="20" t="n">
        <x:v>0</x:v>
      </x:c>
      <x:c r="Y31" s="20" t="n">
        <x:v>0</x:v>
      </x:c>
      <x:c r="Z31" s="20" t="n">
        <x:v>0</x:v>
      </x:c>
    </x:row>
    <x:row r="32" ht="23" customHeight="1">
      <x:c r="A32" s="26" t="str">
        <x:v>25夜累計／最大</x:v>
      </x:c>
      <x:c r="B32" s="27" t="n">
        <x:f>SUM(B7:B31)</x:f>
        <x:v>2483000</x:v>
      </x:c>
      <x:c r="C32" s="27" t="n">
        <x:f>SUM(C7:C31)</x:f>
        <x:v>1415000</x:v>
      </x:c>
      <x:c r="D32" s="27" t="n">
        <x:f>B32-C32</x:f>
        <x:v>1068000</x:v>
      </x:c>
      <x:c r="E32" s="27" t="n">
        <x:f>E31</x:f>
        <x:v>1068000</x:v>
      </x:c>
      <x:c r="F32" s="27" t="n">
        <x:f>SUM(F7:F31)</x:f>
        <x:v>-75000</x:v>
      </x:c>
      <x:c r="G32" s="27" t="n">
        <x:f>SUM(G7:G31)</x:f>
        <x:v>1143000</x:v>
      </x:c>
      <x:c r="H32" s="27" t="n">
        <x:f>SUM(H7:H31)</x:f>
        <x:v>254000</x:v>
      </x:c>
      <x:c r="I32" s="27" t="n">
        <x:f>SUM(I7:I31)</x:f>
        <x:v>0</x:v>
      </x:c>
      <x:c r="J32" s="27" t="n">
        <x:f>SUM(J7:J31)</x:f>
        <x:v>32000</x:v>
      </x:c>
      <x:c r="K32" s="27" t="n">
        <x:f>SUM(K7:K31)</x:f>
        <x:v>361000</x:v>
      </x:c>
      <x:c r="L32" s="27" t="n">
        <x:f>MAX(L7:L31)</x:f>
        <x:v>112000</x:v>
      </x:c>
      <x:c r="M32" s="27" t="n">
        <x:f>MAX(M7:M31)</x:f>
        <x:v>124000</x:v>
      </x:c>
      <x:c r="N32" s="28" t="n">
        <x:f>MAX(N7:N31)</x:f>
        <x:v>8</x:v>
      </x:c>
      <x:c r="O32" s="28" t="n">
        <x:f>MAX(O7:O31)</x:f>
        <x:v>10</x:v>
      </x:c>
      <x:c r="P32" s="28" t="n">
        <x:f>SUM(P7:P31)</x:f>
        <x:v>172</x:v>
      </x:c>
      <x:c r="Q32" s="28" t="n">
        <x:f>SUM(Q7:Q31)</x:f>
        <x:v>38</x:v>
      </x:c>
      <x:c r="R32" s="28" t="n">
        <x:f>SUM(R7:R31)</x:f>
        <x:v>335</x:v>
      </x:c>
      <x:c r="S32" s="29" t="n">
        <x:f>SUM(S7:S31)</x:f>
        <x:v>1502.4166666666667</x:v>
      </x:c>
      <x:c r="T32" s="29" t="n">
        <x:f>SUM(T7:T31)</x:f>
        <x:v>73.85</x:v>
      </x:c>
      <x:c r="U32" s="29" t="n">
        <x:f>SUM(U7:U31)</x:f>
        <x:v>0</x:v>
      </x:c>
      <x:c r="V32" s="29" t="n">
        <x:f>SUM(V7:V31)</x:f>
        <x:v>0</x:v>
      </x:c>
      <x:c r="W32" s="28" t="n">
        <x:f>SUM(W7:W31)</x:f>
        <x:v>0</x:v>
      </x:c>
      <x:c r="X32" s="28" t="n">
        <x:f>SUM(X7:X31)</x:f>
        <x:v>0</x:v>
      </x:c>
      <x:c r="Y32" s="28" t="n">
        <x:f>SUM(Y7:Y31)</x:f>
        <x:v>0</x:v>
      </x:c>
      <x:c r="Z32" s="28" t="n">
        <x:f>SUM(Z7:Z31)</x:f>
        <x:v>0</x:v>
      </x:c>
    </x:row>
  </x:sheetData>
  <x:conditionalFormatting sqref="B7:M32">
    <x:cfRule type="cellIs" dxfId="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bdfbaee0a0f4f49"/>
  </x:tableParts>
</x:worksheet>
</file>

<file path=xl/worksheets/sheet11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3" customHeight="1">
      <x:c r="A2" s="4" t="str">
        <x:v>P08　全夜間の利益・損失・収支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3" ht="23" customHeight="1">
      <x:c r="A3" s="6" t="str">
        <x:v>日経mini・片方向上限10枚・手数料0・次正常ラージ気配代理。2026/09/21〜10/23の完了25夜。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3" customHeight="1">
      <x:c r="A4" s="6" t="str">
        <x:v>利益・損失は新規実約定IDごとの全返済収支で分類。旧親単位の利益損失とは異なります。未測定は空欄。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3" customHeight="1">
      <x:c r="A5" s="6" t="str">
        <x:v>前半・80/40追尾・同時反対玉禁止。P：新手法は米国開始15分前まで、後半は保存S04。含み損・DD・保有時間・返済内訳は前半だけ。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4" customHeight="1">
      <x:c r="A6" s="15" t="str">
        <x:v>セッション</x:v>
      </x:c>
      <x:c r="B6" s="16" t="str">
        <x:v>利益（円）</x:v>
      </x:c>
      <x:c r="C6" s="16" t="str">
        <x:v>損失（円）</x:v>
      </x:c>
      <x:c r="D6" s="16" t="str">
        <x:v>全夜収支（円）</x:v>
      </x:c>
      <x:c r="E6" s="16" t="str">
        <x:v>累計（円）</x:v>
      </x:c>
      <x:c r="F6" s="16" t="str">
        <x:v>対象区間収支</x:v>
      </x:c>
      <x:c r="G6" s="16" t="str">
        <x:v>保存後半収支</x:v>
      </x:c>
      <x:c r="H6" s="16" t="str">
        <x:v>利益追尾の利益</x:v>
      </x:c>
      <x:c r="I6" s="16" t="str">
        <x:v>利益追尾の損失</x:v>
      </x:c>
      <x:c r="J6" s="16" t="str">
        <x:v>境界清算の利益</x:v>
      </x:c>
      <x:c r="K6" s="16" t="str">
        <x:v>境界清算の損失</x:v>
      </x:c>
      <x:c r="L6" s="16" t="str">
        <x:v>最大含み損（円）</x:v>
      </x:c>
      <x:c r="M6" s="16" t="str">
        <x:v>対象区間DD</x:v>
      </x:c>
      <x:c r="N6" s="16" t="str">
        <x:v>最大買い枚数</x:v>
      </x:c>
      <x:c r="O6" s="16" t="str">
        <x:v>最大売り枚数</x:v>
      </x:c>
      <x:c r="P6" s="16" t="str">
        <x:v>全夜新規件数</x:v>
      </x:c>
      <x:c r="Q6" s="16" t="str">
        <x:v>対象区間新規</x:v>
      </x:c>
      <x:c r="R6" s="16" t="str">
        <x:v>全新規枚数</x:v>
      </x:c>
      <x:c r="S6" s="16" t="str">
        <x:v>保有（分）</x:v>
      </x:c>
      <x:c r="T6" s="16" t="str">
        <x:v>両建て（分）</x:v>
      </x:c>
      <x:c r="U6" s="16" t="str">
        <x:v>買い上限（分）</x:v>
      </x:c>
      <x:c r="V6" s="16" t="str">
        <x:v>売り上限（分）</x:v>
      </x:c>
      <x:c r="W6" s="16" t="str">
        <x:v>上限拒否・縮小件数</x:v>
      </x:c>
      <x:c r="X6" s="16" t="str">
        <x:v>通知全拒否件数</x:v>
      </x:c>
      <x:c r="Y6" s="16" t="str">
        <x:v>実再参加件数</x:v>
      </x:c>
      <x:c r="Z6" s="17" t="str">
        <x:v>判断利益→実損失</x:v>
      </x:c>
    </x:row>
    <x:row r="7" ht="23" customHeight="1">
      <x:c r="A7" s="2" t="str">
        <x:v>2026-09-21_Night</x:v>
      </x:c>
      <x:c r="B7" s="19" t="n">
        <x:v>0</x:v>
      </x:c>
      <x:c r="C7" s="19" t="n">
        <x:v>45000</x:v>
      </x:c>
      <x:c r="D7" s="19" t="n">
        <x:f>B7-C7</x:f>
        <x:v>-45000</x:v>
      </x:c>
      <x:c r="E7" s="19" t="n">
        <x:f>D7</x:f>
        <x:v>-45000</x:v>
      </x:c>
      <x:c r="F7" s="19" t="n">
        <x:v>0</x:v>
      </x:c>
      <x:c r="G7" s="19" t="n">
        <x:f>D7-F7</x:f>
        <x:v>-45000</x:v>
      </x:c>
      <x:c r="H7" s="19" t="n">
        <x:v>0</x:v>
      </x:c>
      <x:c r="I7" s="19" t="n">
        <x:v>0</x:v>
      </x:c>
      <x:c r="J7" s="19" t="n">
        <x:v>0</x:v>
      </x:c>
      <x:c r="K7" s="19" t="n">
        <x:v>0</x:v>
      </x:c>
      <x:c r="L7" s="19" t="n">
        <x:v>0</x:v>
      </x:c>
      <x:c r="M7" s="19" t="n">
        <x:v>0</x:v>
      </x:c>
      <x:c r="N7" s="20" t="n">
        <x:v>5</x:v>
      </x:c>
      <x:c r="O7" s="20" t="n">
        <x:v>0</x:v>
      </x:c>
      <x:c r="P7" s="20" t="n">
        <x:v>1</x:v>
      </x:c>
      <x:c r="Q7" s="20" t="n">
        <x:v>0</x:v>
      </x:c>
      <x:c r="R7" s="20" t="n">
        <x:v>5</x:v>
      </x:c>
      <x:c r="S7" s="21" t="n">
        <x:f>0/60</x:f>
        <x:v>0</x:v>
      </x:c>
      <x:c r="T7" s="21" t="n">
        <x:f>0/60</x:f>
        <x:v>0</x:v>
      </x:c>
      <x:c r="U7" s="21" t="n">
        <x:f>0/60</x:f>
        <x:v>0</x:v>
      </x:c>
      <x:c r="V7" s="21" t="n">
        <x:f>0/60</x:f>
        <x:v>0</x:v>
      </x:c>
      <x:c r="W7" s="20" t="n">
        <x:v>0</x:v>
      </x:c>
      <x:c r="X7" s="20" t="n">
        <x:v>0</x:v>
      </x:c>
      <x:c r="Y7" s="20" t="n">
        <x:v>0</x:v>
      </x:c>
      <x:c r="Z7" s="20" t="n">
        <x:v>0</x:v>
      </x:c>
    </x:row>
    <x:row r="8" ht="23" customHeight="1">
      <x:c r="A8" s="2" t="str">
        <x:v>2026-09-22_Night</x:v>
      </x:c>
      <x:c r="B8" s="19" t="n">
        <x:v>59000</x:v>
      </x:c>
      <x:c r="C8" s="19" t="n">
        <x:v>0</x:v>
      </x:c>
      <x:c r="D8" s="19" t="n">
        <x:f>B8-C8</x:f>
        <x:v>59000</x:v>
      </x:c>
      <x:c r="E8" s="19" t="n">
        <x:f>E7+D8</x:f>
        <x:v>14000</x:v>
      </x:c>
      <x:c r="F8" s="19" t="n">
        <x:v>35000</x:v>
      </x:c>
      <x:c r="G8" s="19" t="n">
        <x:f>D8-F8</x:f>
        <x:v>24000</x:v>
      </x:c>
      <x:c r="H8" s="19" t="n">
        <x:v>35000</x:v>
      </x:c>
      <x:c r="I8" s="19" t="n">
        <x:v>0</x:v>
      </x:c>
      <x:c r="J8" s="19" t="n">
        <x:v>0</x:v>
      </x:c>
      <x:c r="K8" s="19" t="n">
        <x:v>0</x:v>
      </x:c>
      <x:c r="L8" s="19" t="n">
        <x:v>45000</x:v>
      </x:c>
      <x:c r="M8" s="19" t="n">
        <x:v>55000</x:v>
      </x:c>
      <x:c r="N8" s="20" t="n">
        <x:v>5</x:v>
      </x:c>
      <x:c r="O8" s="20" t="n">
        <x:v>0</x:v>
      </x:c>
      <x:c r="P8" s="20" t="n">
        <x:v>2</x:v>
      </x:c>
      <x:c r="Q8" s="20" t="n">
        <x:v>1</x:v>
      </x:c>
      <x:c r="R8" s="20" t="n">
        <x:v>10</x:v>
      </x:c>
      <x:c r="S8" s="21" t="n">
        <x:f>2453/60</x:f>
        <x:v>40.88333333333333</x:v>
      </x:c>
      <x:c r="T8" s="21" t="n">
        <x:f>0/60</x:f>
        <x:v>0</x:v>
      </x:c>
      <x:c r="U8" s="21" t="n">
        <x:f>0/60</x:f>
        <x:v>0</x:v>
      </x:c>
      <x:c r="V8" s="21" t="n">
        <x:f>0/60</x:f>
        <x:v>0</x:v>
      </x:c>
      <x:c r="W8" s="20" t="n">
        <x:v>0</x:v>
      </x:c>
      <x:c r="X8" s="20" t="n">
        <x:v>0</x:v>
      </x:c>
      <x:c r="Y8" s="20" t="n">
        <x:v>0</x:v>
      </x:c>
      <x:c r="Z8" s="20" t="n">
        <x:v>0</x:v>
      </x:c>
    </x:row>
    <x:row r="9" ht="23" customHeight="1">
      <x:c r="A9" s="2" t="str">
        <x:v>2026-09-23_Night</x:v>
      </x:c>
      <x:c r="B9" s="19" t="n">
        <x:v>5000</x:v>
      </x:c>
      <x:c r="C9" s="19" t="n">
        <x:v>41000</x:v>
      </x:c>
      <x:c r="D9" s="19" t="n">
        <x:f>B9-C9</x:f>
        <x:v>-36000</x:v>
      </x:c>
      <x:c r="E9" s="19" t="n">
        <x:f>E8+D9</x:f>
        <x:v>-22000</x:v>
      </x:c>
      <x:c r="F9" s="19" t="n">
        <x:v>0</x:v>
      </x:c>
      <x:c r="G9" s="19" t="n">
        <x:f>D9-F9</x:f>
        <x:v>-36000</x:v>
      </x:c>
      <x:c r="H9" s="19" t="n">
        <x:v>0</x:v>
      </x:c>
      <x:c r="I9" s="19" t="n">
        <x:v>0</x:v>
      </x:c>
      <x:c r="J9" s="19" t="n">
        <x:v>0</x:v>
      </x:c>
      <x:c r="K9" s="19" t="n">
        <x:v>0</x:v>
      </x:c>
      <x:c r="L9" s="19" t="n">
        <x:v>0</x:v>
      </x:c>
      <x:c r="M9" s="19" t="n">
        <x:v>0</x:v>
      </x:c>
      <x:c r="N9" s="20" t="n">
        <x:v>2</x:v>
      </x:c>
      <x:c r="O9" s="20" t="n">
        <x:v>5</x:v>
      </x:c>
      <x:c r="P9" s="20" t="n">
        <x:v>3</x:v>
      </x:c>
      <x:c r="Q9" s="20" t="n">
        <x:v>0</x:v>
      </x:c>
      <x:c r="R9" s="20" t="n">
        <x:v>7</x:v>
      </x:c>
      <x:c r="S9" s="21" t="n">
        <x:f>0/60</x:f>
        <x:v>0</x:v>
      </x:c>
      <x:c r="T9" s="21" t="n">
        <x:f>0/60</x:f>
        <x:v>0</x:v>
      </x:c>
      <x:c r="U9" s="21" t="n">
        <x:f>0/60</x:f>
        <x:v>0</x:v>
      </x:c>
      <x:c r="V9" s="21" t="n">
        <x:f>0/60</x:f>
        <x:v>0</x:v>
      </x:c>
      <x:c r="W9" s="20" t="n">
        <x:v>0</x:v>
      </x:c>
      <x:c r="X9" s="20" t="n">
        <x:v>0</x:v>
      </x:c>
      <x:c r="Y9" s="20" t="n">
        <x:v>0</x:v>
      </x:c>
      <x:c r="Z9" s="20" t="n">
        <x:v>0</x:v>
      </x:c>
    </x:row>
    <x:row r="10" ht="23" customHeight="1">
      <x:c r="A10" s="2" t="str">
        <x:v>2026-09-24_Night</x:v>
      </x:c>
      <x:c r="B10" s="19" t="n">
        <x:v>70000</x:v>
      </x:c>
      <x:c r="C10" s="19" t="n">
        <x:v>0</x:v>
      </x:c>
      <x:c r="D10" s="19" t="n">
        <x:f>B10-C10</x:f>
        <x:v>70000</x:v>
      </x:c>
      <x:c r="E10" s="19" t="n">
        <x:f>E9+D10</x:f>
        <x:v>48000</x:v>
      </x:c>
      <x:c r="F10" s="19" t="n">
        <x:v>50000</x:v>
      </x:c>
      <x:c r="G10" s="19" t="n">
        <x:f>D10-F10</x:f>
        <x:v>20000</x:v>
      </x:c>
      <x:c r="H10" s="19" t="n">
        <x:v>25000</x:v>
      </x:c>
      <x:c r="I10" s="19" t="n">
        <x:v>0</x:v>
      </x:c>
      <x:c r="J10" s="19" t="n">
        <x:v>25000</x:v>
      </x:c>
      <x:c r="K10" s="19" t="n">
        <x:v>0</x:v>
      </x:c>
      <x:c r="L10" s="19" t="n">
        <x:v>85000</x:v>
      </x:c>
      <x:c r="M10" s="19" t="n">
        <x:v>90000</x:v>
      </x:c>
      <x:c r="N10" s="20" t="n">
        <x:v>5</x:v>
      </x:c>
      <x:c r="O10" s="20" t="n">
        <x:v>2</x:v>
      </x:c>
      <x:c r="P10" s="20" t="n">
        <x:v>4</x:v>
      </x:c>
      <x:c r="Q10" s="20" t="n">
        <x:v>2</x:v>
      </x:c>
      <x:c r="R10" s="20" t="n">
        <x:v>12</x:v>
      </x:c>
      <x:c r="S10" s="21" t="n">
        <x:f>6601/60</x:f>
        <x:v>110.01666666666667</x:v>
      </x:c>
      <x:c r="T10" s="21" t="n">
        <x:f>0/60</x:f>
        <x:v>0</x:v>
      </x:c>
      <x:c r="U10" s="21" t="n">
        <x:f>0/60</x:f>
        <x:v>0</x:v>
      </x:c>
      <x:c r="V10" s="21" t="n">
        <x:f>0/60</x:f>
        <x:v>0</x:v>
      </x:c>
      <x:c r="W10" s="20" t="n">
        <x:v>0</x:v>
      </x:c>
      <x:c r="X10" s="20" t="n">
        <x:v>0</x:v>
      </x:c>
      <x:c r="Y10" s="20" t="n">
        <x:v>0</x:v>
      </x:c>
      <x:c r="Z10" s="20" t="n">
        <x:v>0</x:v>
      </x:c>
    </x:row>
    <x:row r="11" ht="23" customHeight="1">
      <x:c r="A11" s="2" t="str">
        <x:v>2026-09-25_Night</x:v>
      </x:c>
      <x:c r="B11" s="19" t="n">
        <x:v>17000</x:v>
      </x:c>
      <x:c r="C11" s="19" t="n">
        <x:v>16000</x:v>
      </x:c>
      <x:c r="D11" s="19" t="n">
        <x:f>B11-C11</x:f>
        <x:v>1000</x:v>
      </x:c>
      <x:c r="E11" s="19" t="n">
        <x:f>E10+D11</x:f>
        <x:v>49000</x:v>
      </x:c>
      <x:c r="F11" s="19" t="n">
        <x:v>0</x:v>
      </x:c>
      <x:c r="G11" s="19" t="n">
        <x:f>D11-F11</x:f>
        <x:v>1000</x:v>
      </x:c>
      <x:c r="H11" s="19" t="n">
        <x:v>0</x:v>
      </x:c>
      <x:c r="I11" s="19" t="n">
        <x:v>0</x:v>
      </x:c>
      <x:c r="J11" s="19" t="n">
        <x:v>0</x:v>
      </x:c>
      <x:c r="K11" s="19" t="n">
        <x:v>0</x:v>
      </x:c>
      <x:c r="L11" s="19" t="n">
        <x:v>0</x:v>
      </x:c>
      <x:c r="M11" s="19" t="n">
        <x:v>0</x:v>
      </x:c>
      <x:c r="N11" s="20" t="n">
        <x:v>1</x:v>
      </x:c>
      <x:c r="O11" s="20" t="n">
        <x:v>5</x:v>
      </x:c>
      <x:c r="P11" s="20" t="n">
        <x:v>2</x:v>
      </x:c>
      <x:c r="Q11" s="20" t="n">
        <x:v>0</x:v>
      </x:c>
      <x:c r="R11" s="20" t="n">
        <x:v>6</x:v>
      </x:c>
      <x:c r="S11" s="21" t="n">
        <x:f>0/60</x:f>
        <x:v>0</x:v>
      </x:c>
      <x:c r="T11" s="21" t="n">
        <x:f>0/60</x:f>
        <x:v>0</x:v>
      </x:c>
      <x:c r="U11" s="21" t="n">
        <x:f>0/60</x:f>
        <x:v>0</x:v>
      </x:c>
      <x:c r="V11" s="21" t="n">
        <x:f>0/60</x:f>
        <x:v>0</x:v>
      </x:c>
      <x:c r="W11" s="20" t="n">
        <x:v>0</x:v>
      </x:c>
      <x:c r="X11" s="20" t="n">
        <x:v>0</x:v>
      </x:c>
      <x:c r="Y11" s="20" t="n">
        <x:v>0</x:v>
      </x:c>
      <x:c r="Z11" s="20" t="n">
        <x:v>0</x:v>
      </x:c>
    </x:row>
    <x:row r="12" ht="23" customHeight="1">
      <x:c r="A12" s="2" t="str">
        <x:v>2026-09-28_Night</x:v>
      </x:c>
      <x:c r="B12" s="19" t="n">
        <x:v>21000</x:v>
      </x:c>
      <x:c r="C12" s="19" t="n">
        <x:v>39000</x:v>
      </x:c>
      <x:c r="D12" s="19" t="n">
        <x:f>B12-C12</x:f>
        <x:v>-18000</x:v>
      </x:c>
      <x:c r="E12" s="19" t="n">
        <x:f>E11+D12</x:f>
        <x:v>31000</x:v>
      </x:c>
      <x:c r="F12" s="19" t="n">
        <x:v>11000</x:v>
      </x:c>
      <x:c r="G12" s="19" t="n">
        <x:f>D12-F12</x:f>
        <x:v>-29000</x:v>
      </x:c>
      <x:c r="H12" s="19" t="n">
        <x:v>11000</x:v>
      </x:c>
      <x:c r="I12" s="19" t="n">
        <x:v>0</x:v>
      </x:c>
      <x:c r="J12" s="19" t="n">
        <x:v>0</x:v>
      </x:c>
      <x:c r="K12" s="19" t="n">
        <x:v>0</x:v>
      </x:c>
      <x:c r="L12" s="19" t="n">
        <x:v>6000</x:v>
      </x:c>
      <x:c r="M12" s="19" t="n">
        <x:v>6000</x:v>
      </x:c>
      <x:c r="N12" s="20" t="n">
        <x:v>3</x:v>
      </x:c>
      <x:c r="O12" s="20" t="n">
        <x:v>3</x:v>
      </x:c>
      <x:c r="P12" s="20" t="n">
        <x:v>5</x:v>
      </x:c>
      <x:c r="Q12" s="20" t="n">
        <x:v>1</x:v>
      </x:c>
      <x:c r="R12" s="20" t="n">
        <x:v>7</x:v>
      </x:c>
      <x:c r="S12" s="21" t="n">
        <x:f>2260/60</x:f>
        <x:v>37.666666666666664</x:v>
      </x:c>
      <x:c r="T12" s="21" t="n">
        <x:f>0/60</x:f>
        <x:v>0</x:v>
      </x:c>
      <x:c r="U12" s="21" t="n">
        <x:f>0/60</x:f>
        <x:v>0</x:v>
      </x:c>
      <x:c r="V12" s="21" t="n">
        <x:f>0/60</x:f>
        <x:v>0</x:v>
      </x:c>
      <x:c r="W12" s="20" t="n">
        <x:v>0</x:v>
      </x:c>
      <x:c r="X12" s="20" t="n">
        <x:v>0</x:v>
      </x:c>
      <x:c r="Y12" s="20" t="n">
        <x:v>0</x:v>
      </x:c>
      <x:c r="Z12" s="20" t="n">
        <x:v>0</x:v>
      </x:c>
    </x:row>
    <x:row r="13" ht="23" customHeight="1">
      <x:c r="A13" s="2" t="str">
        <x:v>2026-09-29_Night</x:v>
      </x:c>
      <x:c r="B13" s="19" t="n">
        <x:v>90000</x:v>
      </x:c>
      <x:c r="C13" s="19" t="n">
        <x:v>25000</x:v>
      </x:c>
      <x:c r="D13" s="19" t="n">
        <x:f>B13-C13</x:f>
        <x:v>65000</x:v>
      </x:c>
      <x:c r="E13" s="19" t="n">
        <x:f>E12+D13</x:f>
        <x:v>96000</x:v>
      </x:c>
      <x:c r="F13" s="19" t="n">
        <x:v>0</x:v>
      </x:c>
      <x:c r="G13" s="19" t="n">
        <x:f>D13-F13</x:f>
        <x:v>65000</x:v>
      </x:c>
      <x:c r="H13" s="19" t="n">
        <x:v>0</x:v>
      </x:c>
      <x:c r="I13" s="19" t="n">
        <x:v>0</x:v>
      </x:c>
      <x:c r="J13" s="19" t="n">
        <x:v>0</x:v>
      </x:c>
      <x:c r="K13" s="19" t="n">
        <x:v>0</x:v>
      </x:c>
      <x:c r="L13" s="19" t="n">
        <x:v>0</x:v>
      </x:c>
      <x:c r="M13" s="19" t="n">
        <x:v>0</x:v>
      </x:c>
      <x:c r="N13" s="20" t="n">
        <x:v>5</x:v>
      </x:c>
      <x:c r="O13" s="20" t="n">
        <x:v>5</x:v>
      </x:c>
      <x:c r="P13" s="20" t="n">
        <x:v>6</x:v>
      </x:c>
      <x:c r="Q13" s="20" t="n">
        <x:v>0</x:v>
      </x:c>
      <x:c r="R13" s="20" t="n">
        <x:v>14</x:v>
      </x:c>
      <x:c r="S13" s="21" t="n">
        <x:f>0/60</x:f>
        <x:v>0</x:v>
      </x:c>
      <x:c r="T13" s="21" t="n">
        <x:f>0/60</x:f>
        <x:v>0</x:v>
      </x:c>
      <x:c r="U13" s="21" t="n">
        <x:f>0/60</x:f>
        <x:v>0</x:v>
      </x:c>
      <x:c r="V13" s="21" t="n">
        <x:f>0/60</x:f>
        <x:v>0</x:v>
      </x:c>
      <x:c r="W13" s="20" t="n">
        <x:v>0</x:v>
      </x:c>
      <x:c r="X13" s="20" t="n">
        <x:v>0</x:v>
      </x:c>
      <x:c r="Y13" s="20" t="n">
        <x:v>0</x:v>
      </x:c>
      <x:c r="Z13" s="20" t="n">
        <x:v>0</x:v>
      </x:c>
    </x:row>
    <x:row r="14" ht="23" customHeight="1">
      <x:c r="A14" s="2" t="str">
        <x:v>2026-09-30_Night</x:v>
      </x:c>
      <x:c r="B14" s="19" t="n">
        <x:v>194000</x:v>
      </x:c>
      <x:c r="C14" s="19" t="n">
        <x:v>6000</x:v>
      </x:c>
      <x:c r="D14" s="19" t="n">
        <x:f>B14-C14</x:f>
        <x:v>188000</x:v>
      </x:c>
      <x:c r="E14" s="19" t="n">
        <x:f>E13+D14</x:f>
        <x:v>284000</x:v>
      </x:c>
      <x:c r="F14" s="19" t="n">
        <x:v>145000</x:v>
      </x:c>
      <x:c r="G14" s="19" t="n">
        <x:f>D14-F14</x:f>
        <x:v>43000</x:v>
      </x:c>
      <x:c r="H14" s="19" t="n">
        <x:v>145000</x:v>
      </x:c>
      <x:c r="I14" s="19" t="n">
        <x:v>0</x:v>
      </x:c>
      <x:c r="J14" s="19" t="n">
        <x:v>0</x:v>
      </x:c>
      <x:c r="K14" s="19" t="n">
        <x:v>0</x:v>
      </x:c>
      <x:c r="L14" s="19" t="n">
        <x:v>90000</x:v>
      </x:c>
      <x:c r="M14" s="19" t="n">
        <x:v>110000</x:v>
      </x:c>
      <x:c r="N14" s="20" t="n">
        <x:v>7</x:v>
      </x:c>
      <x:c r="O14" s="20" t="n">
        <x:v>5</x:v>
      </x:c>
      <x:c r="P14" s="20" t="n">
        <x:v>6</x:v>
      </x:c>
      <x:c r="Q14" s="20" t="n">
        <x:v>3</x:v>
      </x:c>
      <x:c r="R14" s="20" t="n">
        <x:v>22</x:v>
      </x:c>
      <x:c r="S14" s="21" t="n">
        <x:f>3319/60</x:f>
        <x:v>55.31666666666667</x:v>
      </x:c>
      <x:c r="T14" s="21" t="n">
        <x:f>0/60</x:f>
        <x:v>0</x:v>
      </x:c>
      <x:c r="U14" s="21" t="n">
        <x:f>0/60</x:f>
        <x:v>0</x:v>
      </x:c>
      <x:c r="V14" s="21" t="n">
        <x:f>0/60</x:f>
        <x:v>0</x:v>
      </x:c>
      <x:c r="W14" s="20" t="n">
        <x:v>0</x:v>
      </x:c>
      <x:c r="X14" s="20" t="n">
        <x:v>0</x:v>
      </x:c>
      <x:c r="Y14" s="20" t="n">
        <x:v>0</x:v>
      </x:c>
      <x:c r="Z14" s="20" t="n">
        <x:v>0</x:v>
      </x:c>
    </x:row>
    <x:row r="15" ht="23" customHeight="1">
      <x:c r="A15" s="2" t="str">
        <x:v>2026-10-01_Night</x:v>
      </x:c>
      <x:c r="B15" s="19" t="n">
        <x:v>279000</x:v>
      </x:c>
      <x:c r="C15" s="19" t="n">
        <x:v>107000</x:v>
      </x:c>
      <x:c r="D15" s="19" t="n">
        <x:f>B15-C15</x:f>
        <x:v>172000</x:v>
      </x:c>
      <x:c r="E15" s="19" t="n">
        <x:f>E14+D15</x:f>
        <x:v>456000</x:v>
      </x:c>
      <x:c r="F15" s="19" t="n">
        <x:v>74000</x:v>
      </x:c>
      <x:c r="G15" s="19" t="n">
        <x:f>D15-F15</x:f>
        <x:v>98000</x:v>
      </x:c>
      <x:c r="H15" s="19" t="n">
        <x:v>74000</x:v>
      </x:c>
      <x:c r="I15" s="19" t="n">
        <x:v>0</x:v>
      </x:c>
      <x:c r="J15" s="19" t="n">
        <x:v>15000</x:v>
      </x:c>
      <x:c r="K15" s="19" t="n">
        <x:v>15000</x:v>
      </x:c>
      <x:c r="L15" s="19" t="n">
        <x:v>49000</x:v>
      </x:c>
      <x:c r="M15" s="19" t="n">
        <x:v>67000</x:v>
      </x:c>
      <x:c r="N15" s="20" t="n">
        <x:v>5</x:v>
      </x:c>
      <x:c r="O15" s="20" t="n">
        <x:v>6</x:v>
      </x:c>
      <x:c r="P15" s="20" t="n">
        <x:v>15</x:v>
      </x:c>
      <x:c r="Q15" s="20" t="n">
        <x:v>7</x:v>
      </x:c>
      <x:c r="R15" s="20" t="n">
        <x:v>31</x:v>
      </x:c>
      <x:c r="S15" s="21" t="n">
        <x:f>12720/60</x:f>
        <x:v>212</x:v>
      </x:c>
      <x:c r="T15" s="21" t="n">
        <x:f>0/60</x:f>
        <x:v>0</x:v>
      </x:c>
      <x:c r="U15" s="21" t="n">
        <x:f>0/60</x:f>
        <x:v>0</x:v>
      </x:c>
      <x:c r="V15" s="21" t="n">
        <x:f>0/60</x:f>
        <x:v>0</x:v>
      </x:c>
      <x:c r="W15" s="20" t="n">
        <x:v>0</x:v>
      </x:c>
      <x:c r="X15" s="20" t="n">
        <x:v>1</x:v>
      </x:c>
      <x:c r="Y15" s="20" t="n">
        <x:v>0</x:v>
      </x:c>
      <x:c r="Z15" s="20" t="n">
        <x:v>0</x:v>
      </x:c>
    </x:row>
    <x:row r="16" ht="23" customHeight="1">
      <x:c r="A16" s="2" t="str">
        <x:v>2026-10-02_Night</x:v>
      </x:c>
      <x:c r="B16" s="19" t="n">
        <x:v>313000</x:v>
      </x:c>
      <x:c r="C16" s="19" t="n">
        <x:v>57000</x:v>
      </x:c>
      <x:c r="D16" s="19" t="n">
        <x:f>B16-C16</x:f>
        <x:v>256000</x:v>
      </x:c>
      <x:c r="E16" s="19" t="n">
        <x:f>E15+D16</x:f>
        <x:v>712000</x:v>
      </x:c>
      <x:c r="F16" s="19" t="n">
        <x:v>0</x:v>
      </x:c>
      <x:c r="G16" s="19" t="n">
        <x:f>D16-F16</x:f>
        <x:v>256000</x:v>
      </x:c>
      <x:c r="H16" s="19" t="n">
        <x:v>0</x:v>
      </x:c>
      <x:c r="I16" s="19" t="n">
        <x:v>0</x:v>
      </x:c>
      <x:c r="J16" s="19" t="n">
        <x:v>0</x:v>
      </x:c>
      <x:c r="K16" s="19" t="n">
        <x:v>0</x:v>
      </x:c>
      <x:c r="L16" s="19" t="n">
        <x:v>0</x:v>
      </x:c>
      <x:c r="M16" s="19" t="n">
        <x:v>0</x:v>
      </x:c>
      <x:c r="N16" s="20" t="n">
        <x:v>7</x:v>
      </x:c>
      <x:c r="O16" s="20" t="n">
        <x:v>10</x:v>
      </x:c>
      <x:c r="P16" s="20" t="n">
        <x:v>15</x:v>
      </x:c>
      <x:c r="Q16" s="20" t="n">
        <x:v>0</x:v>
      </x:c>
      <x:c r="R16" s="20" t="n">
        <x:v>28</x:v>
      </x:c>
      <x:c r="S16" s="21" t="n">
        <x:f>0/60</x:f>
        <x:v>0</x:v>
      </x:c>
      <x:c r="T16" s="21" t="n">
        <x:f>0/60</x:f>
        <x:v>0</x:v>
      </x:c>
      <x:c r="U16" s="21" t="n">
        <x:f>0/60</x:f>
        <x:v>0</x:v>
      </x:c>
      <x:c r="V16" s="21" t="n">
        <x:f>0/60</x:f>
        <x:v>0</x:v>
      </x:c>
      <x:c r="W16" s="20" t="n">
        <x:v>0</x:v>
      </x:c>
      <x:c r="X16" s="20" t="n">
        <x:v>0</x:v>
      </x:c>
      <x:c r="Y16" s="20" t="n">
        <x:v>0</x:v>
      </x:c>
      <x:c r="Z16" s="20" t="n">
        <x:v>0</x:v>
      </x:c>
    </x:row>
    <x:row r="17" ht="23" customHeight="1">
      <x:c r="A17" s="2" t="str">
        <x:v>2026-10-05_Night</x:v>
      </x:c>
      <x:c r="B17" s="19" t="n">
        <x:v>123000</x:v>
      </x:c>
      <x:c r="C17" s="19" t="n">
        <x:v>64000</x:v>
      </x:c>
      <x:c r="D17" s="19" t="n">
        <x:f>B17-C17</x:f>
        <x:v>59000</x:v>
      </x:c>
      <x:c r="E17" s="19" t="n">
        <x:f>E16+D17</x:f>
        <x:v>771000</x:v>
      </x:c>
      <x:c r="F17" s="19" t="n">
        <x:v>25000</x:v>
      </x:c>
      <x:c r="G17" s="19" t="n">
        <x:f>D17-F17</x:f>
        <x:v>34000</x:v>
      </x:c>
      <x:c r="H17" s="19" t="n">
        <x:v>25000</x:v>
      </x:c>
      <x:c r="I17" s="19" t="n">
        <x:v>0</x:v>
      </x:c>
      <x:c r="J17" s="19" t="n">
        <x:v>0</x:v>
      </x:c>
      <x:c r="K17" s="19" t="n">
        <x:v>0</x:v>
      </x:c>
      <x:c r="L17" s="19" t="n">
        <x:v>10000</x:v>
      </x:c>
      <x:c r="M17" s="19" t="n">
        <x:v>20000</x:v>
      </x:c>
      <x:c r="N17" s="20" t="n">
        <x:v>5</x:v>
      </x:c>
      <x:c r="O17" s="20" t="n">
        <x:v>5</x:v>
      </x:c>
      <x:c r="P17" s="20" t="n">
        <x:v>8</x:v>
      </x:c>
      <x:c r="Q17" s="20" t="n">
        <x:v>1</x:v>
      </x:c>
      <x:c r="R17" s="20" t="n">
        <x:v>19</x:v>
      </x:c>
      <x:c r="S17" s="21" t="n">
        <x:f>219/60</x:f>
        <x:v>3.65</x:v>
      </x:c>
      <x:c r="T17" s="21" t="n">
        <x:f>0/60</x:f>
        <x:v>0</x:v>
      </x:c>
      <x:c r="U17" s="21" t="n">
        <x:f>0/60</x:f>
        <x:v>0</x:v>
      </x:c>
      <x:c r="V17" s="21" t="n">
        <x:f>0/60</x:f>
        <x:v>0</x:v>
      </x:c>
      <x:c r="W17" s="20" t="n">
        <x:v>0</x:v>
      </x:c>
      <x:c r="X17" s="20" t="n">
        <x:v>0</x:v>
      </x:c>
      <x:c r="Y17" s="20" t="n">
        <x:v>0</x:v>
      </x:c>
      <x:c r="Z17" s="20" t="n">
        <x:v>0</x:v>
      </x:c>
    </x:row>
    <x:row r="18" ht="23" customHeight="1">
      <x:c r="A18" s="2" t="str">
        <x:v>2026-10-06_Night</x:v>
      </x:c>
      <x:c r="B18" s="19" t="n">
        <x:v>33000</x:v>
      </x:c>
      <x:c r="C18" s="19" t="n">
        <x:v>43000</x:v>
      </x:c>
      <x:c r="D18" s="19" t="n">
        <x:f>B18-C18</x:f>
        <x:v>-10000</x:v>
      </x:c>
      <x:c r="E18" s="19" t="n">
        <x:f>E17+D18</x:f>
        <x:v>761000</x:v>
      </x:c>
      <x:c r="F18" s="19" t="n">
        <x:v>0</x:v>
      </x:c>
      <x:c r="G18" s="19" t="n">
        <x:f>D18-F18</x:f>
        <x:v>-10000</x:v>
      </x:c>
      <x:c r="H18" s="19" t="n">
        <x:v>0</x:v>
      </x:c>
      <x:c r="I18" s="19" t="n">
        <x:v>0</x:v>
      </x:c>
      <x:c r="J18" s="19" t="n">
        <x:v>0</x:v>
      </x:c>
      <x:c r="K18" s="19" t="n">
        <x:v>0</x:v>
      </x:c>
      <x:c r="L18" s="19" t="n">
        <x:v>0</x:v>
      </x:c>
      <x:c r="M18" s="19" t="n">
        <x:v>0</x:v>
      </x:c>
      <x:c r="N18" s="20" t="n">
        <x:v>0</x:v>
      </x:c>
      <x:c r="O18" s="20" t="n">
        <x:v>7</x:v>
      </x:c>
      <x:c r="P18" s="20" t="n">
        <x:v>4</x:v>
      </x:c>
      <x:c r="Q18" s="20" t="n">
        <x:v>0</x:v>
      </x:c>
      <x:c r="R18" s="20" t="n">
        <x:v>8</x:v>
      </x:c>
      <x:c r="S18" s="21" t="n">
        <x:f>0/60</x:f>
        <x:v>0</x:v>
      </x:c>
      <x:c r="T18" s="21" t="n">
        <x:f>0/60</x:f>
        <x:v>0</x:v>
      </x:c>
      <x:c r="U18" s="21" t="n">
        <x:f>0/60</x:f>
        <x:v>0</x:v>
      </x:c>
      <x:c r="V18" s="21" t="n">
        <x:f>0/60</x:f>
        <x:v>0</x:v>
      </x:c>
      <x:c r="W18" s="20" t="n">
        <x:v>0</x:v>
      </x:c>
      <x:c r="X18" s="20" t="n">
        <x:v>0</x:v>
      </x:c>
      <x:c r="Y18" s="20" t="n">
        <x:v>0</x:v>
      </x:c>
      <x:c r="Z18" s="20" t="n">
        <x:v>0</x:v>
      </x:c>
    </x:row>
    <x:row r="19" ht="23" customHeight="1">
      <x:c r="A19" s="2" t="str">
        <x:v>2026-10-07_Night</x:v>
      </x:c>
      <x:c r="B19" s="19" t="n">
        <x:v>25000</x:v>
      </x:c>
      <x:c r="C19" s="19" t="n">
        <x:v>67000</x:v>
      </x:c>
      <x:c r="D19" s="19" t="n">
        <x:f>B19-C19</x:f>
        <x:v>-42000</x:v>
      </x:c>
      <x:c r="E19" s="19" t="n">
        <x:f>E18+D19</x:f>
        <x:v>719000</x:v>
      </x:c>
      <x:c r="F19" s="19" t="n">
        <x:v>-20000</x:v>
      </x:c>
      <x:c r="G19" s="19" t="n">
        <x:f>D19-F19</x:f>
        <x:v>-22000</x:v>
      </x:c>
      <x:c r="H19" s="19" t="n">
        <x:v>25000</x:v>
      </x:c>
      <x:c r="I19" s="19" t="n">
        <x:v>0</x:v>
      </x:c>
      <x:c r="J19" s="19" t="n">
        <x:v>0</x:v>
      </x:c>
      <x:c r="K19" s="19" t="n">
        <x:v>45000</x:v>
      </x:c>
      <x:c r="L19" s="19" t="n">
        <x:v>49000</x:v>
      </x:c>
      <x:c r="M19" s="19" t="n">
        <x:v>69000</x:v>
      </x:c>
      <x:c r="N19" s="20" t="n">
        <x:v>2</x:v>
      </x:c>
      <x:c r="O19" s="20" t="n">
        <x:v>5</x:v>
      </x:c>
      <x:c r="P19" s="20" t="n">
        <x:v>5</x:v>
      </x:c>
      <x:c r="Q19" s="20" t="n">
        <x:v>3</x:v>
      </x:c>
      <x:c r="R19" s="20" t="n">
        <x:v>9</x:v>
      </x:c>
      <x:c r="S19" s="21" t="n">
        <x:f>7391/60</x:f>
        <x:v>123.18333333333334</x:v>
      </x:c>
      <x:c r="T19" s="21" t="n">
        <x:f>0/60</x:f>
        <x:v>0</x:v>
      </x:c>
      <x:c r="U19" s="21" t="n">
        <x:f>0/60</x:f>
        <x:v>0</x:v>
      </x:c>
      <x:c r="V19" s="21" t="n">
        <x:f>0/60</x:f>
        <x:v>0</x:v>
      </x:c>
      <x:c r="W19" s="20" t="n">
        <x:v>0</x:v>
      </x:c>
      <x:c r="X19" s="20" t="n">
        <x:v>0</x:v>
      </x:c>
      <x:c r="Y19" s="20" t="n">
        <x:v>0</x:v>
      </x:c>
      <x:c r="Z19" s="20" t="n">
        <x:v>0</x:v>
      </x:c>
    </x:row>
    <x:row r="20" ht="23" customHeight="1">
      <x:c r="A20" s="2" t="str">
        <x:v>2026-10-08_Night</x:v>
      </x:c>
      <x:c r="B20" s="19" t="n">
        <x:v>360000</x:v>
      </x:c>
      <x:c r="C20" s="19" t="n">
        <x:v>36000</x:v>
      </x:c>
      <x:c r="D20" s="19" t="n">
        <x:f>B20-C20</x:f>
        <x:v>324000</x:v>
      </x:c>
      <x:c r="E20" s="19" t="n">
        <x:f>E19+D20</x:f>
        <x:v>1043000</x:v>
      </x:c>
      <x:c r="F20" s="19" t="n">
        <x:v>18000</x:v>
      </x:c>
      <x:c r="G20" s="19" t="n">
        <x:f>D20-F20</x:f>
        <x:v>306000</x:v>
      </x:c>
      <x:c r="H20" s="19" t="n">
        <x:v>18000</x:v>
      </x:c>
      <x:c r="I20" s="19" t="n">
        <x:v>0</x:v>
      </x:c>
      <x:c r="J20" s="19" t="n">
        <x:v>0</x:v>
      </x:c>
      <x:c r="K20" s="19" t="n">
        <x:v>0</x:v>
      </x:c>
      <x:c r="L20" s="19" t="n">
        <x:v>5000</x:v>
      </x:c>
      <x:c r="M20" s="19" t="n">
        <x:v>9000</x:v>
      </x:c>
      <x:c r="N20" s="20" t="n">
        <x:v>8</x:v>
      </x:c>
      <x:c r="O20" s="20" t="n">
        <x:v>8</x:v>
      </x:c>
      <x:c r="P20" s="20" t="n">
        <x:v>17</x:v>
      </x:c>
      <x:c r="Q20" s="20" t="n">
        <x:v>2</x:v>
      </x:c>
      <x:c r="R20" s="20" t="n">
        <x:v>30</x:v>
      </x:c>
      <x:c r="S20" s="21" t="n">
        <x:f>2603/60</x:f>
        <x:v>43.38333333333333</x:v>
      </x:c>
      <x:c r="T20" s="21" t="n">
        <x:f>0/60</x:f>
        <x:v>0</x:v>
      </x:c>
      <x:c r="U20" s="21" t="n">
        <x:f>0/60</x:f>
        <x:v>0</x:v>
      </x:c>
      <x:c r="V20" s="21" t="n">
        <x:f>0/60</x:f>
        <x:v>0</x:v>
      </x:c>
      <x:c r="W20" s="20" t="n">
        <x:v>0</x:v>
      </x:c>
      <x:c r="X20" s="20" t="n">
        <x:v>0</x:v>
      </x:c>
      <x:c r="Y20" s="20" t="n">
        <x:v>0</x:v>
      </x:c>
      <x:c r="Z20" s="20" t="n">
        <x:v>0</x:v>
      </x:c>
    </x:row>
    <x:row r="21" ht="23" customHeight="1">
      <x:c r="A21" s="2" t="str">
        <x:v>2026-10-09_Night</x:v>
      </x:c>
      <x:c r="B21" s="19" t="n">
        <x:v>34000</x:v>
      </x:c>
      <x:c r="C21" s="19" t="n">
        <x:v>95000</x:v>
      </x:c>
      <x:c r="D21" s="19" t="n">
        <x:f>B21-C21</x:f>
        <x:v>-61000</x:v>
      </x:c>
      <x:c r="E21" s="19" t="n">
        <x:f>E20+D21</x:f>
        <x:v>982000</x:v>
      </x:c>
      <x:c r="F21" s="19" t="n">
        <x:v>-75000</x:v>
      </x:c>
      <x:c r="G21" s="19" t="n">
        <x:f>D21-F21</x:f>
        <x:v>14000</x:v>
      </x:c>
      <x:c r="H21" s="19" t="n">
        <x:v>20000</x:v>
      </x:c>
      <x:c r="I21" s="19" t="n">
        <x:v>0</x:v>
      </x:c>
      <x:c r="J21" s="19" t="n">
        <x:v>0</x:v>
      </x:c>
      <x:c r="K21" s="19" t="n">
        <x:v>95000</x:v>
      </x:c>
      <x:c r="L21" s="19" t="n">
        <x:v>110000</x:v>
      </x:c>
      <x:c r="M21" s="19" t="n">
        <x:v>135000</x:v>
      </x:c>
      <x:c r="N21" s="20" t="n">
        <x:v>0</x:v>
      </x:c>
      <x:c r="O21" s="20" t="n">
        <x:v>5</x:v>
      </x:c>
      <x:c r="P21" s="20" t="n">
        <x:v>3</x:v>
      </x:c>
      <x:c r="Q21" s="20" t="n">
        <x:v>2</x:v>
      </x:c>
      <x:c r="R21" s="20" t="n">
        <x:v>15</x:v>
      </x:c>
      <x:c r="S21" s="21" t="n">
        <x:f>4100/60</x:f>
        <x:v>68.33333333333333</x:v>
      </x:c>
      <x:c r="T21" s="21" t="n">
        <x:f>0/60</x:f>
        <x:v>0</x:v>
      </x:c>
      <x:c r="U21" s="21" t="n">
        <x:f>0/60</x:f>
        <x:v>0</x:v>
      </x:c>
      <x:c r="V21" s="21" t="n">
        <x:f>0/60</x:f>
        <x:v>0</x:v>
      </x:c>
      <x:c r="W21" s="20" t="n">
        <x:v>0</x:v>
      </x:c>
      <x:c r="X21" s="20" t="n">
        <x:v>0</x:v>
      </x:c>
      <x:c r="Y21" s="20" t="n">
        <x:v>0</x:v>
      </x:c>
      <x:c r="Z21" s="20" t="n">
        <x:v>0</x:v>
      </x:c>
    </x:row>
    <x:row r="22" ht="23" customHeight="1">
      <x:c r="A22" s="2" t="str">
        <x:v>2026-10-12_Night</x:v>
      </x:c>
      <x:c r="B22" s="19" t="n">
        <x:v>82000</x:v>
      </x:c>
      <x:c r="C22" s="19" t="n">
        <x:v>0</x:v>
      </x:c>
      <x:c r="D22" s="19" t="n">
        <x:f>B22-C22</x:f>
        <x:v>82000</x:v>
      </x:c>
      <x:c r="E22" s="19" t="n">
        <x:f>E21+D22</x:f>
        <x:v>1064000</x:v>
      </x:c>
      <x:c r="F22" s="19" t="n">
        <x:v>0</x:v>
      </x:c>
      <x:c r="G22" s="19" t="n">
        <x:f>D22-F22</x:f>
        <x:v>82000</x:v>
      </x:c>
      <x:c r="H22" s="19" t="n">
        <x:v>0</x:v>
      </x:c>
      <x:c r="I22" s="19" t="n">
        <x:v>0</x:v>
      </x:c>
      <x:c r="J22" s="19" t="n">
        <x:v>0</x:v>
      </x:c>
      <x:c r="K22" s="19" t="n">
        <x:v>0</x:v>
      </x:c>
      <x:c r="L22" s="19" t="n">
        <x:v>0</x:v>
      </x:c>
      <x:c r="M22" s="19" t="n">
        <x:v>0</x:v>
      </x:c>
      <x:c r="N22" s="20" t="n">
        <x:v>0</x:v>
      </x:c>
      <x:c r="O22" s="20" t="n">
        <x:v>5</x:v>
      </x:c>
      <x:c r="P22" s="20" t="n">
        <x:v>1</x:v>
      </x:c>
      <x:c r="Q22" s="20" t="n">
        <x:v>0</x:v>
      </x:c>
      <x:c r="R22" s="20" t="n">
        <x:v>5</x:v>
      </x:c>
      <x:c r="S22" s="21" t="n">
        <x:f>0/60</x:f>
        <x:v>0</x:v>
      </x:c>
      <x:c r="T22" s="21" t="n">
        <x:f>0/60</x:f>
        <x:v>0</x:v>
      </x:c>
      <x:c r="U22" s="21" t="n">
        <x:f>0/60</x:f>
        <x:v>0</x:v>
      </x:c>
      <x:c r="V22" s="21" t="n">
        <x:f>0/60</x:f>
        <x:v>0</x:v>
      </x:c>
      <x:c r="W22" s="20" t="n">
        <x:v>0</x:v>
      </x:c>
      <x:c r="X22" s="20" t="n">
        <x:v>0</x:v>
      </x:c>
      <x:c r="Y22" s="20" t="n">
        <x:v>0</x:v>
      </x:c>
      <x:c r="Z22" s="20" t="n">
        <x:v>0</x:v>
      </x:c>
    </x:row>
    <x:row r="23" ht="23" customHeight="1">
      <x:c r="A23" s="2" t="str">
        <x:v>2026-10-13_Night</x:v>
      </x:c>
      <x:c r="B23" s="19" t="n">
        <x:v>0</x:v>
      </x:c>
      <x:c r="C23" s="19" t="n">
        <x:v>203000</x:v>
      </x:c>
      <x:c r="D23" s="19" t="n">
        <x:f>B23-C23</x:f>
        <x:v>-203000</x:v>
      </x:c>
      <x:c r="E23" s="19" t="n">
        <x:f>E22+D23</x:f>
        <x:v>861000</x:v>
      </x:c>
      <x:c r="F23" s="19" t="n">
        <x:v>-150000</x:v>
      </x:c>
      <x:c r="G23" s="19" t="n">
        <x:f>D23-F23</x:f>
        <x:v>-53000</x:v>
      </x:c>
      <x:c r="H23" s="19" t="n">
        <x:v>0</x:v>
      </x:c>
      <x:c r="I23" s="19" t="n">
        <x:v>0</x:v>
      </x:c>
      <x:c r="J23" s="19" t="n">
        <x:v>0</x:v>
      </x:c>
      <x:c r="K23" s="19" t="n">
        <x:v>150000</x:v>
      </x:c>
      <x:c r="L23" s="19" t="n">
        <x:v>175000</x:v>
      </x:c>
      <x:c r="M23" s="19" t="n">
        <x:v>200000</x:v>
      </x:c>
      <x:c r="N23" s="20" t="n">
        <x:v>5</x:v>
      </x:c>
      <x:c r="O23" s="20" t="n">
        <x:v>5</x:v>
      </x:c>
      <x:c r="P23" s="20" t="n">
        <x:v>3</x:v>
      </x:c>
      <x:c r="Q23" s="20" t="n">
        <x:v>1</x:v>
      </x:c>
      <x:c r="R23" s="20" t="n">
        <x:v>11</x:v>
      </x:c>
      <x:c r="S23" s="21" t="n">
        <x:f>14137/60</x:f>
        <x:v>235.61666666666667</x:v>
      </x:c>
      <x:c r="T23" s="21" t="n">
        <x:f>0/60</x:f>
        <x:v>0</x:v>
      </x:c>
      <x:c r="U23" s="21" t="n">
        <x:f>0/60</x:f>
        <x:v>0</x:v>
      </x:c>
      <x:c r="V23" s="21" t="n">
        <x:f>0/60</x:f>
        <x:v>0</x:v>
      </x:c>
      <x:c r="W23" s="20" t="n">
        <x:v>0</x:v>
      </x:c>
      <x:c r="X23" s="20" t="n">
        <x:v>0</x:v>
      </x:c>
      <x:c r="Y23" s="20" t="n">
        <x:v>0</x:v>
      </x:c>
      <x:c r="Z23" s="20" t="n">
        <x:v>0</x:v>
      </x:c>
    </x:row>
    <x:row r="24" ht="23" customHeight="1">
      <x:c r="A24" s="2" t="str">
        <x:v>2026-10-14_Night</x:v>
      </x:c>
      <x:c r="B24" s="19" t="n">
        <x:v>217000</x:v>
      </x:c>
      <x:c r="C24" s="19" t="n">
        <x:v>61000</x:v>
      </x:c>
      <x:c r="D24" s="19" t="n">
        <x:f>B24-C24</x:f>
        <x:v>156000</x:v>
      </x:c>
      <x:c r="E24" s="19" t="n">
        <x:f>E23+D24</x:f>
        <x:v>1017000</x:v>
      </x:c>
      <x:c r="F24" s="19" t="n">
        <x:v>20000</x:v>
      </x:c>
      <x:c r="G24" s="19" t="n">
        <x:f>D24-F24</x:f>
        <x:v>136000</x:v>
      </x:c>
      <x:c r="H24" s="19" t="n">
        <x:v>20000</x:v>
      </x:c>
      <x:c r="I24" s="19" t="n">
        <x:v>0</x:v>
      </x:c>
      <x:c r="J24" s="19" t="n">
        <x:v>0</x:v>
      </x:c>
      <x:c r="K24" s="19" t="n">
        <x:v>0</x:v>
      </x:c>
      <x:c r="L24" s="19" t="n">
        <x:v>55000</x:v>
      </x:c>
      <x:c r="M24" s="19" t="n">
        <x:v>75000</x:v>
      </x:c>
      <x:c r="N24" s="20" t="n">
        <x:v>1</x:v>
      </x:c>
      <x:c r="O24" s="20" t="n">
        <x:v>5</x:v>
      </x:c>
      <x:c r="P24" s="20" t="n">
        <x:v>5</x:v>
      </x:c>
      <x:c r="Q24" s="20" t="n">
        <x:v>1</x:v>
      </x:c>
      <x:c r="R24" s="20" t="n">
        <x:v>14</x:v>
      </x:c>
      <x:c r="S24" s="21" t="n">
        <x:f>2685/60</x:f>
        <x:v>44.75</x:v>
      </x:c>
      <x:c r="T24" s="21" t="n">
        <x:f>0/60</x:f>
        <x:v>0</x:v>
      </x:c>
      <x:c r="U24" s="21" t="n">
        <x:f>0/60</x:f>
        <x:v>0</x:v>
      </x:c>
      <x:c r="V24" s="21" t="n">
        <x:f>0/60</x:f>
        <x:v>0</x:v>
      </x:c>
      <x:c r="W24" s="20" t="n">
        <x:v>0</x:v>
      </x:c>
      <x:c r="X24" s="20" t="n">
        <x:v>0</x:v>
      </x:c>
      <x:c r="Y24" s="20" t="n">
        <x:v>0</x:v>
      </x:c>
      <x:c r="Z24" s="20" t="n">
        <x:v>0</x:v>
      </x:c>
    </x:row>
    <x:row r="25" ht="23" customHeight="1">
      <x:c r="A25" s="2" t="str">
        <x:v>2026-10-15_Night</x:v>
      </x:c>
      <x:c r="B25" s="19" t="n">
        <x:v>86000</x:v>
      </x:c>
      <x:c r="C25" s="19" t="n">
        <x:v>64000</x:v>
      </x:c>
      <x:c r="D25" s="19" t="n">
        <x:f>B25-C25</x:f>
        <x:v>22000</x:v>
      </x:c>
      <x:c r="E25" s="19" t="n">
        <x:f>E24+D25</x:f>
        <x:v>1039000</x:v>
      </x:c>
      <x:c r="F25" s="19" t="n">
        <x:v>0</x:v>
      </x:c>
      <x:c r="G25" s="19" t="n">
        <x:f>D25-F25</x:f>
        <x:v>22000</x:v>
      </x:c>
      <x:c r="H25" s="19" t="n">
        <x:v>0</x:v>
      </x:c>
      <x:c r="I25" s="19" t="n">
        <x:v>0</x:v>
      </x:c>
      <x:c r="J25" s="19" t="n">
        <x:v>0</x:v>
      </x:c>
      <x:c r="K25" s="19" t="n">
        <x:v>0</x:v>
      </x:c>
      <x:c r="L25" s="19" t="n">
        <x:v>0</x:v>
      </x:c>
      <x:c r="M25" s="19" t="n">
        <x:v>0</x:v>
      </x:c>
      <x:c r="N25" s="20" t="n">
        <x:v>3</x:v>
      </x:c>
      <x:c r="O25" s="20" t="n">
        <x:v>2</x:v>
      </x:c>
      <x:c r="P25" s="20" t="n">
        <x:v>7</x:v>
      </x:c>
      <x:c r="Q25" s="20" t="n">
        <x:v>0</x:v>
      </x:c>
      <x:c r="R25" s="20" t="n">
        <x:v>9</x:v>
      </x:c>
      <x:c r="S25" s="21" t="n">
        <x:f>0/60</x:f>
        <x:v>0</x:v>
      </x:c>
      <x:c r="T25" s="21" t="n">
        <x:f>0/60</x:f>
        <x:v>0</x:v>
      </x:c>
      <x:c r="U25" s="21" t="n">
        <x:f>0/60</x:f>
        <x:v>0</x:v>
      </x:c>
      <x:c r="V25" s="21" t="n">
        <x:f>0/60</x:f>
        <x:v>0</x:v>
      </x:c>
      <x:c r="W25" s="20" t="n">
        <x:v>0</x:v>
      </x:c>
      <x:c r="X25" s="20" t="n">
        <x:v>0</x:v>
      </x:c>
      <x:c r="Y25" s="20" t="n">
        <x:v>0</x:v>
      </x:c>
      <x:c r="Z25" s="20" t="n">
        <x:v>0</x:v>
      </x:c>
    </x:row>
    <x:row r="26" ht="23" customHeight="1">
      <x:c r="A26" s="2" t="str">
        <x:v>2026-10-16_Night</x:v>
      </x:c>
      <x:c r="B26" s="19" t="n">
        <x:v>163000</x:v>
      </x:c>
      <x:c r="C26" s="19" t="n">
        <x:v>151000</x:v>
      </x:c>
      <x:c r="D26" s="19" t="n">
        <x:f>B26-C26</x:f>
        <x:v>12000</x:v>
      </x:c>
      <x:c r="E26" s="19" t="n">
        <x:f>E25+D26</x:f>
        <x:v>1051000</x:v>
      </x:c>
      <x:c r="F26" s="19" t="n">
        <x:v>-20000</x:v>
      </x:c>
      <x:c r="G26" s="19" t="n">
        <x:f>D26-F26</x:f>
        <x:v>32000</x:v>
      </x:c>
      <x:c r="H26" s="19" t="n">
        <x:v>0</x:v>
      </x:c>
      <x:c r="I26" s="19" t="n">
        <x:v>0</x:v>
      </x:c>
      <x:c r="J26" s="19" t="n">
        <x:v>0</x:v>
      </x:c>
      <x:c r="K26" s="19" t="n">
        <x:v>20000</x:v>
      </x:c>
      <x:c r="L26" s="19" t="n">
        <x:v>45000</x:v>
      </x:c>
      <x:c r="M26" s="19" t="n">
        <x:v>55000</x:v>
      </x:c>
      <x:c r="N26" s="20" t="n">
        <x:v>3</x:v>
      </x:c>
      <x:c r="O26" s="20" t="n">
        <x:v>7</x:v>
      </x:c>
      <x:c r="P26" s="20" t="n">
        <x:v>14</x:v>
      </x:c>
      <x:c r="Q26" s="20" t="n">
        <x:v>1</x:v>
      </x:c>
      <x:c r="R26" s="20" t="n">
        <x:v>32</x:v>
      </x:c>
      <x:c r="S26" s="21" t="n">
        <x:f>907/60</x:f>
        <x:v>15.116666666666667</x:v>
      </x:c>
      <x:c r="T26" s="21" t="n">
        <x:f>0/60</x:f>
        <x:v>0</x:v>
      </x:c>
      <x:c r="U26" s="21" t="n">
        <x:f>0/60</x:f>
        <x:v>0</x:v>
      </x:c>
      <x:c r="V26" s="21" t="n">
        <x:f>0/60</x:f>
        <x:v>0</x:v>
      </x:c>
      <x:c r="W26" s="20" t="n">
        <x:v>0</x:v>
      </x:c>
      <x:c r="X26" s="20" t="n">
        <x:v>0</x:v>
      </x:c>
      <x:c r="Y26" s="20" t="n">
        <x:v>0</x:v>
      </x:c>
      <x:c r="Z26" s="20" t="n">
        <x:v>0</x:v>
      </x:c>
    </x:row>
    <x:row r="27" ht="23" customHeight="1">
      <x:c r="A27" s="2" t="str">
        <x:v>2026-10-19_Night</x:v>
      </x:c>
      <x:c r="B27" s="19" t="n">
        <x:v>152000</x:v>
      </x:c>
      <x:c r="C27" s="19" t="n">
        <x:v>105000</x:v>
      </x:c>
      <x:c r="D27" s="19" t="n">
        <x:f>B27-C27</x:f>
        <x:v>47000</x:v>
      </x:c>
      <x:c r="E27" s="19" t="n">
        <x:f>E26+D27</x:f>
        <x:v>1098000</x:v>
      </x:c>
      <x:c r="F27" s="19" t="n">
        <x:v>55000</x:v>
      </x:c>
      <x:c r="G27" s="19" t="n">
        <x:f>D27-F27</x:f>
        <x:v>-8000</x:v>
      </x:c>
      <x:c r="H27" s="19" t="n">
        <x:v>25000</x:v>
      </x:c>
      <x:c r="I27" s="19" t="n">
        <x:v>0</x:v>
      </x:c>
      <x:c r="J27" s="19" t="n">
        <x:v>30000</x:v>
      </x:c>
      <x:c r="K27" s="19" t="n">
        <x:v>0</x:v>
      </x:c>
      <x:c r="L27" s="19" t="n">
        <x:v>55000</x:v>
      </x:c>
      <x:c r="M27" s="19" t="n">
        <x:v>75000</x:v>
      </x:c>
      <x:c r="N27" s="20" t="n">
        <x:v>5</x:v>
      </x:c>
      <x:c r="O27" s="20" t="n">
        <x:v>5</x:v>
      </x:c>
      <x:c r="P27" s="20" t="n">
        <x:v>14</x:v>
      </x:c>
      <x:c r="Q27" s="20" t="n">
        <x:v>2</x:v>
      </x:c>
      <x:c r="R27" s="20" t="n">
        <x:v>31</x:v>
      </x:c>
      <x:c r="S27" s="21" t="n">
        <x:f>3947/60</x:f>
        <x:v>65.78333333333333</x:v>
      </x:c>
      <x:c r="T27" s="21" t="n">
        <x:f>0/60</x:f>
        <x:v>0</x:v>
      </x:c>
      <x:c r="U27" s="21" t="n">
        <x:f>0/60</x:f>
        <x:v>0</x:v>
      </x:c>
      <x:c r="V27" s="21" t="n">
        <x:f>0/60</x:f>
        <x:v>0</x:v>
      </x:c>
      <x:c r="W27" s="20" t="n">
        <x:v>0</x:v>
      </x:c>
      <x:c r="X27" s="20" t="n">
        <x:v>0</x:v>
      </x:c>
      <x:c r="Y27" s="20" t="n">
        <x:v>0</x:v>
      </x:c>
      <x:c r="Z27" s="20" t="n">
        <x:v>0</x:v>
      </x:c>
    </x:row>
    <x:row r="28" ht="23" customHeight="1">
      <x:c r="A28" s="2" t="str">
        <x:v>2026-10-20_Night</x:v>
      </x:c>
      <x:c r="B28" s="19" t="n">
        <x:v>139000</x:v>
      </x:c>
      <x:c r="C28" s="19" t="n">
        <x:v>33000</x:v>
      </x:c>
      <x:c r="D28" s="19" t="n">
        <x:f>B28-C28</x:f>
        <x:v>106000</x:v>
      </x:c>
      <x:c r="E28" s="19" t="n">
        <x:f>E27+D28</x:f>
        <x:v>1204000</x:v>
      </x:c>
      <x:c r="F28" s="19" t="n">
        <x:v>40000</x:v>
      </x:c>
      <x:c r="G28" s="19" t="n">
        <x:f>D28-F28</x:f>
        <x:v>66000</x:v>
      </x:c>
      <x:c r="H28" s="19" t="n">
        <x:v>30000</x:v>
      </x:c>
      <x:c r="I28" s="19" t="n">
        <x:v>0</x:v>
      </x:c>
      <x:c r="J28" s="19" t="n">
        <x:v>10000</x:v>
      </x:c>
      <x:c r="K28" s="19" t="n">
        <x:v>0</x:v>
      </x:c>
      <x:c r="L28" s="19" t="n">
        <x:v>40000</x:v>
      </x:c>
      <x:c r="M28" s="19" t="n">
        <x:v>65000</x:v>
      </x:c>
      <x:c r="N28" s="20" t="n">
        <x:v>5</x:v>
      </x:c>
      <x:c r="O28" s="20" t="n">
        <x:v>5</x:v>
      </x:c>
      <x:c r="P28" s="20" t="n">
        <x:v>11</x:v>
      </x:c>
      <x:c r="Q28" s="20" t="n">
        <x:v>4</x:v>
      </x:c>
      <x:c r="R28" s="20" t="n">
        <x:v>22</x:v>
      </x:c>
      <x:c r="S28" s="21" t="n">
        <x:f>2277/60</x:f>
        <x:v>37.95</x:v>
      </x:c>
      <x:c r="T28" s="21" t="n">
        <x:f>0/60</x:f>
        <x:v>0</x:v>
      </x:c>
      <x:c r="U28" s="21" t="n">
        <x:f>0/60</x:f>
        <x:v>0</x:v>
      </x:c>
      <x:c r="V28" s="21" t="n">
        <x:f>0/60</x:f>
        <x:v>0</x:v>
      </x:c>
      <x:c r="W28" s="20" t="n">
        <x:v>0</x:v>
      </x:c>
      <x:c r="X28" s="20" t="n">
        <x:v>0</x:v>
      </x:c>
      <x:c r="Y28" s="20" t="n">
        <x:v>0</x:v>
      </x:c>
      <x:c r="Z28" s="20" t="n">
        <x:v>0</x:v>
      </x:c>
    </x:row>
    <x:row r="29" ht="23" customHeight="1">
      <x:c r="A29" s="2" t="str">
        <x:v>2026-10-21_Night</x:v>
      </x:c>
      <x:c r="B29" s="19" t="n">
        <x:v>65000</x:v>
      </x:c>
      <x:c r="C29" s="19" t="n">
        <x:v>314000</x:v>
      </x:c>
      <x:c r="D29" s="19" t="n">
        <x:f>B29-C29</x:f>
        <x:v>-249000</x:v>
      </x:c>
      <x:c r="E29" s="19" t="n">
        <x:f>E28+D29</x:f>
        <x:v>955000</x:v>
      </x:c>
      <x:c r="F29" s="19" t="n">
        <x:v>-225000</x:v>
      </x:c>
      <x:c r="G29" s="19" t="n">
        <x:f>D29-F29</x:f>
        <x:v>-24000</x:v>
      </x:c>
      <x:c r="H29" s="19" t="n">
        <x:v>0</x:v>
      </x:c>
      <x:c r="I29" s="19" t="n">
        <x:v>0</x:v>
      </x:c>
      <x:c r="J29" s="19" t="n">
        <x:v>0</x:v>
      </x:c>
      <x:c r="K29" s="19" t="n">
        <x:v>225000</x:v>
      </x:c>
      <x:c r="L29" s="19" t="n">
        <x:v>280000</x:v>
      </x:c>
      <x:c r="M29" s="19" t="n">
        <x:v>310000</x:v>
      </x:c>
      <x:c r="N29" s="20" t="n">
        <x:v>7</x:v>
      </x:c>
      <x:c r="O29" s="20" t="n">
        <x:v>5</x:v>
      </x:c>
      <x:c r="P29" s="20" t="n">
        <x:v>6</x:v>
      </x:c>
      <x:c r="Q29" s="20" t="n">
        <x:v>1</x:v>
      </x:c>
      <x:c r="R29" s="20" t="n">
        <x:v>22</x:v>
      </x:c>
      <x:c r="S29" s="21" t="n">
        <x:f>10901/60</x:f>
        <x:v>181.68333333333334</x:v>
      </x:c>
      <x:c r="T29" s="21" t="n">
        <x:f>0/60</x:f>
        <x:v>0</x:v>
      </x:c>
      <x:c r="U29" s="21" t="n">
        <x:f>0/60</x:f>
        <x:v>0</x:v>
      </x:c>
      <x:c r="V29" s="21" t="n">
        <x:f>0/60</x:f>
        <x:v>0</x:v>
      </x:c>
      <x:c r="W29" s="20" t="n">
        <x:v>0</x:v>
      </x:c>
      <x:c r="X29" s="20" t="n">
        <x:v>0</x:v>
      </x:c>
      <x:c r="Y29" s="20" t="n">
        <x:v>0</x:v>
      </x:c>
      <x:c r="Z29" s="20" t="n">
        <x:v>0</x:v>
      </x:c>
    </x:row>
    <x:row r="30" ht="23" customHeight="1">
      <x:c r="A30" s="2" t="str">
        <x:v>2026-10-22_Night</x:v>
      </x:c>
      <x:c r="B30" s="19" t="n">
        <x:v>156000</x:v>
      </x:c>
      <x:c r="C30" s="19" t="n">
        <x:v>0</x:v>
      </x:c>
      <x:c r="D30" s="19" t="n">
        <x:f>B30-C30</x:f>
        <x:v>156000</x:v>
      </x:c>
      <x:c r="E30" s="19" t="n">
        <x:f>E29+D30</x:f>
        <x:v>1111000</x:v>
      </x:c>
      <x:c r="F30" s="19" t="n">
        <x:v>0</x:v>
      </x:c>
      <x:c r="G30" s="19" t="n">
        <x:f>D30-F30</x:f>
        <x:v>156000</x:v>
      </x:c>
      <x:c r="H30" s="19" t="n">
        <x:v>0</x:v>
      </x:c>
      <x:c r="I30" s="19" t="n">
        <x:v>0</x:v>
      </x:c>
      <x:c r="J30" s="19" t="n">
        <x:v>0</x:v>
      </x:c>
      <x:c r="K30" s="19" t="n">
        <x:v>0</x:v>
      </x:c>
      <x:c r="L30" s="19" t="n">
        <x:v>0</x:v>
      </x:c>
      <x:c r="M30" s="19" t="n">
        <x:v>0</x:v>
      </x:c>
      <x:c r="N30" s="20" t="n">
        <x:v>0</x:v>
      </x:c>
      <x:c r="O30" s="20" t="n">
        <x:v>6</x:v>
      </x:c>
      <x:c r="P30" s="20" t="n">
        <x:v>3</x:v>
      </x:c>
      <x:c r="Q30" s="20" t="n">
        <x:v>0</x:v>
      </x:c>
      <x:c r="R30" s="20" t="n">
        <x:v>7</x:v>
      </x:c>
      <x:c r="S30" s="21" t="n">
        <x:f>0/60</x:f>
        <x:v>0</x:v>
      </x:c>
      <x:c r="T30" s="21" t="n">
        <x:f>0/60</x:f>
        <x:v>0</x:v>
      </x:c>
      <x:c r="U30" s="21" t="n">
        <x:f>0/60</x:f>
        <x:v>0</x:v>
      </x:c>
      <x:c r="V30" s="21" t="n">
        <x:f>0/60</x:f>
        <x:v>0</x:v>
      </x:c>
      <x:c r="W30" s="20" t="n">
        <x:v>0</x:v>
      </x:c>
      <x:c r="X30" s="20" t="n">
        <x:v>0</x:v>
      </x:c>
      <x:c r="Y30" s="20" t="n">
        <x:v>0</x:v>
      </x:c>
      <x:c r="Z30" s="20" t="n">
        <x:v>0</x:v>
      </x:c>
    </x:row>
    <x:row r="31" ht="23" customHeight="1">
      <x:c r="A31" s="2" t="str">
        <x:v>2026-10-23_Night</x:v>
      </x:c>
      <x:c r="B31" s="19" t="n">
        <x:v>88000</x:v>
      </x:c>
      <x:c r="C31" s="19" t="n">
        <x:v>95000</x:v>
      </x:c>
      <x:c r="D31" s="19" t="n">
        <x:f>B31-C31</x:f>
        <x:v>-7000</x:v>
      </x:c>
      <x:c r="E31" s="19" t="n">
        <x:f>E30+D31</x:f>
        <x:v>1104000</x:v>
      </x:c>
      <x:c r="F31" s="19" t="n">
        <x:v>-22000</x:v>
      </x:c>
      <x:c r="G31" s="19" t="n">
        <x:f>D31-F31</x:f>
        <x:v>15000</x:v>
      </x:c>
      <x:c r="H31" s="19" t="n">
        <x:v>41000</x:v>
      </x:c>
      <x:c r="I31" s="19" t="n">
        <x:v>0</x:v>
      </x:c>
      <x:c r="J31" s="19" t="n">
        <x:v>0</x:v>
      </x:c>
      <x:c r="K31" s="19" t="n">
        <x:v>63000</x:v>
      </x:c>
      <x:c r="L31" s="19" t="n">
        <x:v>67000</x:v>
      </x:c>
      <x:c r="M31" s="19" t="n">
        <x:v>82000</x:v>
      </x:c>
      <x:c r="N31" s="20" t="n">
        <x:v>5</x:v>
      </x:c>
      <x:c r="O31" s="20" t="n">
        <x:v>5</x:v>
      </x:c>
      <x:c r="P31" s="20" t="n">
        <x:v>11</x:v>
      </x:c>
      <x:c r="Q31" s="20" t="n">
        <x:v>5</x:v>
      </x:c>
      <x:c r="R31" s="20" t="n">
        <x:v>20</x:v>
      </x:c>
      <x:c r="S31" s="21" t="n">
        <x:f>13625/60</x:f>
        <x:v>227.08333333333334</x:v>
      </x:c>
      <x:c r="T31" s="21" t="n">
        <x:f>0/60</x:f>
        <x:v>0</x:v>
      </x:c>
      <x:c r="U31" s="21" t="n">
        <x:f>0/60</x:f>
        <x:v>0</x:v>
      </x:c>
      <x:c r="V31" s="21" t="n">
        <x:f>0/60</x:f>
        <x:v>0</x:v>
      </x:c>
      <x:c r="W31" s="20" t="n">
        <x:v>0</x:v>
      </x:c>
      <x:c r="X31" s="20" t="n">
        <x:v>0</x:v>
      </x:c>
      <x:c r="Y31" s="20" t="n">
        <x:v>0</x:v>
      </x:c>
      <x:c r="Z31" s="20" t="n">
        <x:v>0</x:v>
      </x:c>
    </x:row>
    <x:row r="32" ht="23" customHeight="1">
      <x:c r="A32" s="26" t="str">
        <x:v>25夜累計／最大</x:v>
      </x:c>
      <x:c r="B32" s="27" t="n">
        <x:f>SUM(B7:B31)</x:f>
        <x:v>2771000</x:v>
      </x:c>
      <x:c r="C32" s="27" t="n">
        <x:f>SUM(C7:C31)</x:f>
        <x:v>1667000</x:v>
      </x:c>
      <x:c r="D32" s="27" t="n">
        <x:f>B32-C32</x:f>
        <x:v>1104000</x:v>
      </x:c>
      <x:c r="E32" s="27" t="n">
        <x:f>E31</x:f>
        <x:v>1104000</x:v>
      </x:c>
      <x:c r="F32" s="27" t="n">
        <x:f>SUM(F7:F31)</x:f>
        <x:v>-39000</x:v>
      </x:c>
      <x:c r="G32" s="27" t="n">
        <x:f>SUM(G7:G31)</x:f>
        <x:v>1143000</x:v>
      </x:c>
      <x:c r="H32" s="27" t="n">
        <x:f>SUM(H7:H31)</x:f>
        <x:v>494000</x:v>
      </x:c>
      <x:c r="I32" s="27" t="n">
        <x:f>SUM(I7:I31)</x:f>
        <x:v>0</x:v>
      </x:c>
      <x:c r="J32" s="27" t="n">
        <x:f>SUM(J7:J31)</x:f>
        <x:v>80000</x:v>
      </x:c>
      <x:c r="K32" s="27" t="n">
        <x:f>SUM(K7:K31)</x:f>
        <x:v>613000</x:v>
      </x:c>
      <x:c r="L32" s="27" t="n">
        <x:f>MAX(L7:L31)</x:f>
        <x:v>280000</x:v>
      </x:c>
      <x:c r="M32" s="27" t="n">
        <x:f>MAX(M7:M31)</x:f>
        <x:v>310000</x:v>
      </x:c>
      <x:c r="N32" s="28" t="n">
        <x:f>MAX(N7:N31)</x:f>
        <x:v>8</x:v>
      </x:c>
      <x:c r="O32" s="28" t="n">
        <x:f>MAX(O7:O31)</x:f>
        <x:v>10</x:v>
      </x:c>
      <x:c r="P32" s="28" t="n">
        <x:f>SUM(P7:P31)</x:f>
        <x:v>171</x:v>
      </x:c>
      <x:c r="Q32" s="28" t="n">
        <x:f>SUM(Q7:Q31)</x:f>
        <x:v>37</x:v>
      </x:c>
      <x:c r="R32" s="28" t="n">
        <x:f>SUM(R7:R31)</x:f>
        <x:v>396</x:v>
      </x:c>
      <x:c r="S32" s="29" t="n">
        <x:f>SUM(S7:S31)</x:f>
        <x:v>1502.4166666666667</x:v>
      </x:c>
      <x:c r="T32" s="29" t="n">
        <x:f>SUM(T7:T31)</x:f>
        <x:v>0</x:v>
      </x:c>
      <x:c r="U32" s="29" t="n">
        <x:f>SUM(U7:U31)</x:f>
        <x:v>0</x:v>
      </x:c>
      <x:c r="V32" s="29" t="n">
        <x:f>SUM(V7:V31)</x:f>
        <x:v>0</x:v>
      </x:c>
      <x:c r="W32" s="28" t="n">
        <x:f>SUM(W7:W31)</x:f>
        <x:v>0</x:v>
      </x:c>
      <x:c r="X32" s="28" t="n">
        <x:f>SUM(X7:X31)</x:f>
        <x:v>1</x:v>
      </x:c>
      <x:c r="Y32" s="28" t="n">
        <x:f>SUM(Y7:Y31)</x:f>
        <x:v>0</x:v>
      </x:c>
      <x:c r="Z32" s="28" t="n">
        <x:f>SUM(Z7:Z31)</x:f>
        <x:v>0</x:v>
      </x:c>
    </x:row>
  </x:sheetData>
  <x:conditionalFormatting sqref="B7:M32">
    <x:cfRule type="cellIs" dxfId="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9453b5221b74cb5"/>
  </x:tableParts>
</x:worksheet>
</file>

<file path=xl/worksheets/sheet12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3" customHeight="1">
      <x:c r="A2" s="4" t="str">
        <x:v>P09　全夜間の利益・損失・収支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3" ht="23" customHeight="1">
      <x:c r="A3" s="6" t="str">
        <x:v>日経mini・片方向上限10枚・手数料0・次正常ラージ気配代理。2026/09/21〜10/23の完了25夜。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3" customHeight="1">
      <x:c r="A4" s="6" t="str">
        <x:v>利益・損失は新規実約定IDごとの全返済収支で分類。旧親単位の利益損失とは異なります。未測定は空欄。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3" customHeight="1">
      <x:c r="A5" s="6" t="str">
        <x:v>前半・80/40通常追尾・判断時損失でも返済。P：新手法は米国開始15分前まで、後半は保存S04。含み損・DD・保有時間・返済内訳は前半だけ。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4" customHeight="1">
      <x:c r="A6" s="15" t="str">
        <x:v>セッション</x:v>
      </x:c>
      <x:c r="B6" s="16" t="str">
        <x:v>利益（円）</x:v>
      </x:c>
      <x:c r="C6" s="16" t="str">
        <x:v>損失（円）</x:v>
      </x:c>
      <x:c r="D6" s="16" t="str">
        <x:v>全夜収支（円）</x:v>
      </x:c>
      <x:c r="E6" s="16" t="str">
        <x:v>累計（円）</x:v>
      </x:c>
      <x:c r="F6" s="16" t="str">
        <x:v>対象区間収支</x:v>
      </x:c>
      <x:c r="G6" s="16" t="str">
        <x:v>保存後半収支</x:v>
      </x:c>
      <x:c r="H6" s="16" t="str">
        <x:v>利益追尾の利益</x:v>
      </x:c>
      <x:c r="I6" s="16" t="str">
        <x:v>利益追尾の損失</x:v>
      </x:c>
      <x:c r="J6" s="16" t="str">
        <x:v>境界清算の利益</x:v>
      </x:c>
      <x:c r="K6" s="16" t="str">
        <x:v>境界清算の損失</x:v>
      </x:c>
      <x:c r="L6" s="16" t="str">
        <x:v>最大含み損（円）</x:v>
      </x:c>
      <x:c r="M6" s="16" t="str">
        <x:v>対象区間DD</x:v>
      </x:c>
      <x:c r="N6" s="16" t="str">
        <x:v>最大買い枚数</x:v>
      </x:c>
      <x:c r="O6" s="16" t="str">
        <x:v>最大売り枚数</x:v>
      </x:c>
      <x:c r="P6" s="16" t="str">
        <x:v>全夜新規件数</x:v>
      </x:c>
      <x:c r="Q6" s="16" t="str">
        <x:v>対象区間新規</x:v>
      </x:c>
      <x:c r="R6" s="16" t="str">
        <x:v>全新規枚数</x:v>
      </x:c>
      <x:c r="S6" s="16" t="str">
        <x:v>保有（分）</x:v>
      </x:c>
      <x:c r="T6" s="16" t="str">
        <x:v>両建て（分）</x:v>
      </x:c>
      <x:c r="U6" s="16" t="str">
        <x:v>買い上限（分）</x:v>
      </x:c>
      <x:c r="V6" s="16" t="str">
        <x:v>売り上限（分）</x:v>
      </x:c>
      <x:c r="W6" s="16" t="str">
        <x:v>上限拒否・縮小件数</x:v>
      </x:c>
      <x:c r="X6" s="16" t="str">
        <x:v>通知全拒否件数</x:v>
      </x:c>
      <x:c r="Y6" s="16" t="str">
        <x:v>実再参加件数</x:v>
      </x:c>
      <x:c r="Z6" s="17" t="str">
        <x:v>判断利益→実損失</x:v>
      </x:c>
    </x:row>
    <x:row r="7" ht="23" customHeight="1">
      <x:c r="A7" s="2" t="str">
        <x:v>2026-09-21_Night</x:v>
      </x:c>
      <x:c r="B7" s="19" t="n">
        <x:v>0</x:v>
      </x:c>
      <x:c r="C7" s="19" t="n">
        <x:v>45000</x:v>
      </x:c>
      <x:c r="D7" s="19" t="n">
        <x:f>B7-C7</x:f>
        <x:v>-45000</x:v>
      </x:c>
      <x:c r="E7" s="19" t="n">
        <x:f>D7</x:f>
        <x:v>-45000</x:v>
      </x:c>
      <x:c r="F7" s="19" t="n">
        <x:v>0</x:v>
      </x:c>
      <x:c r="G7" s="19" t="n">
        <x:f>D7-F7</x:f>
        <x:v>-45000</x:v>
      </x:c>
      <x:c r="H7" s="19" t="n">
        <x:v>0</x:v>
      </x:c>
      <x:c r="I7" s="19" t="n">
        <x:v>0</x:v>
      </x:c>
      <x:c r="J7" s="19" t="n">
        <x:v>0</x:v>
      </x:c>
      <x:c r="K7" s="19" t="n">
        <x:v>0</x:v>
      </x:c>
      <x:c r="L7" s="19" t="n">
        <x:v>0</x:v>
      </x:c>
      <x:c r="M7" s="19" t="n">
        <x:v>0</x:v>
      </x:c>
      <x:c r="N7" s="20" t="n">
        <x:v>5</x:v>
      </x:c>
      <x:c r="O7" s="20" t="n">
        <x:v>0</x:v>
      </x:c>
      <x:c r="P7" s="20" t="n">
        <x:v>1</x:v>
      </x:c>
      <x:c r="Q7" s="20" t="n">
        <x:v>0</x:v>
      </x:c>
      <x:c r="R7" s="20" t="n">
        <x:v>5</x:v>
      </x:c>
      <x:c r="S7" s="21" t="n">
        <x:f>0/60</x:f>
        <x:v>0</x:v>
      </x:c>
      <x:c r="T7" s="21" t="n">
        <x:f>0/60</x:f>
        <x:v>0</x:v>
      </x:c>
      <x:c r="U7" s="21" t="n">
        <x:f>0/60</x:f>
        <x:v>0</x:v>
      </x:c>
      <x:c r="V7" s="21" t="n">
        <x:f>0/60</x:f>
        <x:v>0</x:v>
      </x:c>
      <x:c r="W7" s="20" t="n">
        <x:v>0</x:v>
      </x:c>
      <x:c r="X7" s="20" t="n">
        <x:v>0</x:v>
      </x:c>
      <x:c r="Y7" s="20" t="n">
        <x:v>0</x:v>
      </x:c>
      <x:c r="Z7" s="20" t="n">
        <x:v>0</x:v>
      </x:c>
    </x:row>
    <x:row r="8" ht="23" customHeight="1">
      <x:c r="A8" s="2" t="str">
        <x:v>2026-09-22_Night</x:v>
      </x:c>
      <x:c r="B8" s="19" t="n">
        <x:v>59000</x:v>
      </x:c>
      <x:c r="C8" s="19" t="n">
        <x:v>0</x:v>
      </x:c>
      <x:c r="D8" s="19" t="n">
        <x:f>B8-C8</x:f>
        <x:v>59000</x:v>
      </x:c>
      <x:c r="E8" s="19" t="n">
        <x:f>E7+D8</x:f>
        <x:v>14000</x:v>
      </x:c>
      <x:c r="F8" s="19" t="n">
        <x:v>35000</x:v>
      </x:c>
      <x:c r="G8" s="19" t="n">
        <x:f>D8-F8</x:f>
        <x:v>24000</x:v>
      </x:c>
      <x:c r="H8" s="19" t="n">
        <x:v>35000</x:v>
      </x:c>
      <x:c r="I8" s="19" t="n">
        <x:v>0</x:v>
      </x:c>
      <x:c r="J8" s="19" t="n">
        <x:v>0</x:v>
      </x:c>
      <x:c r="K8" s="19" t="n">
        <x:v>0</x:v>
      </x:c>
      <x:c r="L8" s="19" t="n">
        <x:v>45000</x:v>
      </x:c>
      <x:c r="M8" s="19" t="n">
        <x:v>55000</x:v>
      </x:c>
      <x:c r="N8" s="20" t="n">
        <x:v>5</x:v>
      </x:c>
      <x:c r="O8" s="20" t="n">
        <x:v>0</x:v>
      </x:c>
      <x:c r="P8" s="20" t="n">
        <x:v>2</x:v>
      </x:c>
      <x:c r="Q8" s="20" t="n">
        <x:v>1</x:v>
      </x:c>
      <x:c r="R8" s="20" t="n">
        <x:v>10</x:v>
      </x:c>
      <x:c r="S8" s="21" t="n">
        <x:f>2453/60</x:f>
        <x:v>40.88333333333333</x:v>
      </x:c>
      <x:c r="T8" s="21" t="n">
        <x:f>0/60</x:f>
        <x:v>0</x:v>
      </x:c>
      <x:c r="U8" s="21" t="n">
        <x:f>0/60</x:f>
        <x:v>0</x:v>
      </x:c>
      <x:c r="V8" s="21" t="n">
        <x:f>0/60</x:f>
        <x:v>0</x:v>
      </x:c>
      <x:c r="W8" s="20" t="n">
        <x:v>0</x:v>
      </x:c>
      <x:c r="X8" s="20" t="n">
        <x:v>0</x:v>
      </x:c>
      <x:c r="Y8" s="20" t="n">
        <x:v>0</x:v>
      </x:c>
      <x:c r="Z8" s="20" t="n">
        <x:v>0</x:v>
      </x:c>
    </x:row>
    <x:row r="9" ht="23" customHeight="1">
      <x:c r="A9" s="2" t="str">
        <x:v>2026-09-23_Night</x:v>
      </x:c>
      <x:c r="B9" s="19" t="n">
        <x:v>5000</x:v>
      </x:c>
      <x:c r="C9" s="19" t="n">
        <x:v>41000</x:v>
      </x:c>
      <x:c r="D9" s="19" t="n">
        <x:f>B9-C9</x:f>
        <x:v>-36000</x:v>
      </x:c>
      <x:c r="E9" s="19" t="n">
        <x:f>E8+D9</x:f>
        <x:v>-22000</x:v>
      </x:c>
      <x:c r="F9" s="19" t="n">
        <x:v>0</x:v>
      </x:c>
      <x:c r="G9" s="19" t="n">
        <x:f>D9-F9</x:f>
        <x:v>-36000</x:v>
      </x:c>
      <x:c r="H9" s="19" t="n">
        <x:v>0</x:v>
      </x:c>
      <x:c r="I9" s="19" t="n">
        <x:v>0</x:v>
      </x:c>
      <x:c r="J9" s="19" t="n">
        <x:v>0</x:v>
      </x:c>
      <x:c r="K9" s="19" t="n">
        <x:v>0</x:v>
      </x:c>
      <x:c r="L9" s="19" t="n">
        <x:v>0</x:v>
      </x:c>
      <x:c r="M9" s="19" t="n">
        <x:v>0</x:v>
      </x:c>
      <x:c r="N9" s="20" t="n">
        <x:v>2</x:v>
      </x:c>
      <x:c r="O9" s="20" t="n">
        <x:v>5</x:v>
      </x:c>
      <x:c r="P9" s="20" t="n">
        <x:v>3</x:v>
      </x:c>
      <x:c r="Q9" s="20" t="n">
        <x:v>0</x:v>
      </x:c>
      <x:c r="R9" s="20" t="n">
        <x:v>7</x:v>
      </x:c>
      <x:c r="S9" s="21" t="n">
        <x:f>0/60</x:f>
        <x:v>0</x:v>
      </x:c>
      <x:c r="T9" s="21" t="n">
        <x:f>0/60</x:f>
        <x:v>0</x:v>
      </x:c>
      <x:c r="U9" s="21" t="n">
        <x:f>0/60</x:f>
        <x:v>0</x:v>
      </x:c>
      <x:c r="V9" s="21" t="n">
        <x:f>0/60</x:f>
        <x:v>0</x:v>
      </x:c>
      <x:c r="W9" s="20" t="n">
        <x:v>0</x:v>
      </x:c>
      <x:c r="X9" s="20" t="n">
        <x:v>0</x:v>
      </x:c>
      <x:c r="Y9" s="20" t="n">
        <x:v>0</x:v>
      </x:c>
      <x:c r="Z9" s="20" t="n">
        <x:v>0</x:v>
      </x:c>
    </x:row>
    <x:row r="10" ht="23" customHeight="1">
      <x:c r="A10" s="2" t="str">
        <x:v>2026-09-24_Night</x:v>
      </x:c>
      <x:c r="B10" s="19" t="n">
        <x:v>70000</x:v>
      </x:c>
      <x:c r="C10" s="19" t="n">
        <x:v>0</x:v>
      </x:c>
      <x:c r="D10" s="19" t="n">
        <x:f>B10-C10</x:f>
        <x:v>70000</x:v>
      </x:c>
      <x:c r="E10" s="19" t="n">
        <x:f>E9+D10</x:f>
        <x:v>48000</x:v>
      </x:c>
      <x:c r="F10" s="19" t="n">
        <x:v>50000</x:v>
      </x:c>
      <x:c r="G10" s="19" t="n">
        <x:f>D10-F10</x:f>
        <x:v>20000</x:v>
      </x:c>
      <x:c r="H10" s="19" t="n">
        <x:v>25000</x:v>
      </x:c>
      <x:c r="I10" s="19" t="n">
        <x:v>0</x:v>
      </x:c>
      <x:c r="J10" s="19" t="n">
        <x:v>25000</x:v>
      </x:c>
      <x:c r="K10" s="19" t="n">
        <x:v>0</x:v>
      </x:c>
      <x:c r="L10" s="19" t="n">
        <x:v>85000</x:v>
      </x:c>
      <x:c r="M10" s="19" t="n">
        <x:v>90000</x:v>
      </x:c>
      <x:c r="N10" s="20" t="n">
        <x:v>5</x:v>
      </x:c>
      <x:c r="O10" s="20" t="n">
        <x:v>2</x:v>
      </x:c>
      <x:c r="P10" s="20" t="n">
        <x:v>4</x:v>
      </x:c>
      <x:c r="Q10" s="20" t="n">
        <x:v>2</x:v>
      </x:c>
      <x:c r="R10" s="20" t="n">
        <x:v>12</x:v>
      </x:c>
      <x:c r="S10" s="21" t="n">
        <x:f>6601/60</x:f>
        <x:v>110.01666666666667</x:v>
      </x:c>
      <x:c r="T10" s="21" t="n">
        <x:f>0/60</x:f>
        <x:v>0</x:v>
      </x:c>
      <x:c r="U10" s="21" t="n">
        <x:f>0/60</x:f>
        <x:v>0</x:v>
      </x:c>
      <x:c r="V10" s="21" t="n">
        <x:f>0/60</x:f>
        <x:v>0</x:v>
      </x:c>
      <x:c r="W10" s="20" t="n">
        <x:v>0</x:v>
      </x:c>
      <x:c r="X10" s="20" t="n">
        <x:v>0</x:v>
      </x:c>
      <x:c r="Y10" s="20" t="n">
        <x:v>0</x:v>
      </x:c>
      <x:c r="Z10" s="20" t="n">
        <x:v>0</x:v>
      </x:c>
    </x:row>
    <x:row r="11" ht="23" customHeight="1">
      <x:c r="A11" s="2" t="str">
        <x:v>2026-09-25_Night</x:v>
      </x:c>
      <x:c r="B11" s="19" t="n">
        <x:v>17000</x:v>
      </x:c>
      <x:c r="C11" s="19" t="n">
        <x:v>16000</x:v>
      </x:c>
      <x:c r="D11" s="19" t="n">
        <x:f>B11-C11</x:f>
        <x:v>1000</x:v>
      </x:c>
      <x:c r="E11" s="19" t="n">
        <x:f>E10+D11</x:f>
        <x:v>49000</x:v>
      </x:c>
      <x:c r="F11" s="19" t="n">
        <x:v>0</x:v>
      </x:c>
      <x:c r="G11" s="19" t="n">
        <x:f>D11-F11</x:f>
        <x:v>1000</x:v>
      </x:c>
      <x:c r="H11" s="19" t="n">
        <x:v>0</x:v>
      </x:c>
      <x:c r="I11" s="19" t="n">
        <x:v>0</x:v>
      </x:c>
      <x:c r="J11" s="19" t="n">
        <x:v>0</x:v>
      </x:c>
      <x:c r="K11" s="19" t="n">
        <x:v>0</x:v>
      </x:c>
      <x:c r="L11" s="19" t="n">
        <x:v>0</x:v>
      </x:c>
      <x:c r="M11" s="19" t="n">
        <x:v>0</x:v>
      </x:c>
      <x:c r="N11" s="20" t="n">
        <x:v>1</x:v>
      </x:c>
      <x:c r="O11" s="20" t="n">
        <x:v>5</x:v>
      </x:c>
      <x:c r="P11" s="20" t="n">
        <x:v>2</x:v>
      </x:c>
      <x:c r="Q11" s="20" t="n">
        <x:v>0</x:v>
      </x:c>
      <x:c r="R11" s="20" t="n">
        <x:v>6</x:v>
      </x:c>
      <x:c r="S11" s="21" t="n">
        <x:f>0/60</x:f>
        <x:v>0</x:v>
      </x:c>
      <x:c r="T11" s="21" t="n">
        <x:f>0/60</x:f>
        <x:v>0</x:v>
      </x:c>
      <x:c r="U11" s="21" t="n">
        <x:f>0/60</x:f>
        <x:v>0</x:v>
      </x:c>
      <x:c r="V11" s="21" t="n">
        <x:f>0/60</x:f>
        <x:v>0</x:v>
      </x:c>
      <x:c r="W11" s="20" t="n">
        <x:v>0</x:v>
      </x:c>
      <x:c r="X11" s="20" t="n">
        <x:v>0</x:v>
      </x:c>
      <x:c r="Y11" s="20" t="n">
        <x:v>0</x:v>
      </x:c>
      <x:c r="Z11" s="20" t="n">
        <x:v>0</x:v>
      </x:c>
    </x:row>
    <x:row r="12" ht="23" customHeight="1">
      <x:c r="A12" s="2" t="str">
        <x:v>2026-09-28_Night</x:v>
      </x:c>
      <x:c r="B12" s="19" t="n">
        <x:v>21000</x:v>
      </x:c>
      <x:c r="C12" s="19" t="n">
        <x:v>39000</x:v>
      </x:c>
      <x:c r="D12" s="19" t="n">
        <x:f>B12-C12</x:f>
        <x:v>-18000</x:v>
      </x:c>
      <x:c r="E12" s="19" t="n">
        <x:f>E11+D12</x:f>
        <x:v>31000</x:v>
      </x:c>
      <x:c r="F12" s="19" t="n">
        <x:v>11000</x:v>
      </x:c>
      <x:c r="G12" s="19" t="n">
        <x:f>D12-F12</x:f>
        <x:v>-29000</x:v>
      </x:c>
      <x:c r="H12" s="19" t="n">
        <x:v>11000</x:v>
      </x:c>
      <x:c r="I12" s="19" t="n">
        <x:v>0</x:v>
      </x:c>
      <x:c r="J12" s="19" t="n">
        <x:v>0</x:v>
      </x:c>
      <x:c r="K12" s="19" t="n">
        <x:v>0</x:v>
      </x:c>
      <x:c r="L12" s="19" t="n">
        <x:v>6000</x:v>
      </x:c>
      <x:c r="M12" s="19" t="n">
        <x:v>6000</x:v>
      </x:c>
      <x:c r="N12" s="20" t="n">
        <x:v>3</x:v>
      </x:c>
      <x:c r="O12" s="20" t="n">
        <x:v>3</x:v>
      </x:c>
      <x:c r="P12" s="20" t="n">
        <x:v>5</x:v>
      </x:c>
      <x:c r="Q12" s="20" t="n">
        <x:v>1</x:v>
      </x:c>
      <x:c r="R12" s="20" t="n">
        <x:v>7</x:v>
      </x:c>
      <x:c r="S12" s="21" t="n">
        <x:f>2260/60</x:f>
        <x:v>37.666666666666664</x:v>
      </x:c>
      <x:c r="T12" s="21" t="n">
        <x:f>0/60</x:f>
        <x:v>0</x:v>
      </x:c>
      <x:c r="U12" s="21" t="n">
        <x:f>0/60</x:f>
        <x:v>0</x:v>
      </x:c>
      <x:c r="V12" s="21" t="n">
        <x:f>0/60</x:f>
        <x:v>0</x:v>
      </x:c>
      <x:c r="W12" s="20" t="n">
        <x:v>0</x:v>
      </x:c>
      <x:c r="X12" s="20" t="n">
        <x:v>0</x:v>
      </x:c>
      <x:c r="Y12" s="20" t="n">
        <x:v>0</x:v>
      </x:c>
      <x:c r="Z12" s="20" t="n">
        <x:v>0</x:v>
      </x:c>
    </x:row>
    <x:row r="13" ht="23" customHeight="1">
      <x:c r="A13" s="2" t="str">
        <x:v>2026-09-29_Night</x:v>
      </x:c>
      <x:c r="B13" s="19" t="n">
        <x:v>90000</x:v>
      </x:c>
      <x:c r="C13" s="19" t="n">
        <x:v>25000</x:v>
      </x:c>
      <x:c r="D13" s="19" t="n">
        <x:f>B13-C13</x:f>
        <x:v>65000</x:v>
      </x:c>
      <x:c r="E13" s="19" t="n">
        <x:f>E12+D13</x:f>
        <x:v>96000</x:v>
      </x:c>
      <x:c r="F13" s="19" t="n">
        <x:v>0</x:v>
      </x:c>
      <x:c r="G13" s="19" t="n">
        <x:f>D13-F13</x:f>
        <x:v>65000</x:v>
      </x:c>
      <x:c r="H13" s="19" t="n">
        <x:v>0</x:v>
      </x:c>
      <x:c r="I13" s="19" t="n">
        <x:v>0</x:v>
      </x:c>
      <x:c r="J13" s="19" t="n">
        <x:v>0</x:v>
      </x:c>
      <x:c r="K13" s="19" t="n">
        <x:v>0</x:v>
      </x:c>
      <x:c r="L13" s="19" t="n">
        <x:v>0</x:v>
      </x:c>
      <x:c r="M13" s="19" t="n">
        <x:v>0</x:v>
      </x:c>
      <x:c r="N13" s="20" t="n">
        <x:v>5</x:v>
      </x:c>
      <x:c r="O13" s="20" t="n">
        <x:v>5</x:v>
      </x:c>
      <x:c r="P13" s="20" t="n">
        <x:v>6</x:v>
      </x:c>
      <x:c r="Q13" s="20" t="n">
        <x:v>0</x:v>
      </x:c>
      <x:c r="R13" s="20" t="n">
        <x:v>14</x:v>
      </x:c>
      <x:c r="S13" s="21" t="n">
        <x:f>0/60</x:f>
        <x:v>0</x:v>
      </x:c>
      <x:c r="T13" s="21" t="n">
        <x:f>0/60</x:f>
        <x:v>0</x:v>
      </x:c>
      <x:c r="U13" s="21" t="n">
        <x:f>0/60</x:f>
        <x:v>0</x:v>
      </x:c>
      <x:c r="V13" s="21" t="n">
        <x:f>0/60</x:f>
        <x:v>0</x:v>
      </x:c>
      <x:c r="W13" s="20" t="n">
        <x:v>0</x:v>
      </x:c>
      <x:c r="X13" s="20" t="n">
        <x:v>0</x:v>
      </x:c>
      <x:c r="Y13" s="20" t="n">
        <x:v>0</x:v>
      </x:c>
      <x:c r="Z13" s="20" t="n">
        <x:v>0</x:v>
      </x:c>
    </x:row>
    <x:row r="14" ht="23" customHeight="1">
      <x:c r="A14" s="2" t="str">
        <x:v>2026-09-30_Night</x:v>
      </x:c>
      <x:c r="B14" s="19" t="n">
        <x:v>194000</x:v>
      </x:c>
      <x:c r="C14" s="19" t="n">
        <x:v>6000</x:v>
      </x:c>
      <x:c r="D14" s="19" t="n">
        <x:f>B14-C14</x:f>
        <x:v>188000</x:v>
      </x:c>
      <x:c r="E14" s="19" t="n">
        <x:f>E13+D14</x:f>
        <x:v>284000</x:v>
      </x:c>
      <x:c r="F14" s="19" t="n">
        <x:v>145000</x:v>
      </x:c>
      <x:c r="G14" s="19" t="n">
        <x:f>D14-F14</x:f>
        <x:v>43000</x:v>
      </x:c>
      <x:c r="H14" s="19" t="n">
        <x:v>145000</x:v>
      </x:c>
      <x:c r="I14" s="19" t="n">
        <x:v>0</x:v>
      </x:c>
      <x:c r="J14" s="19" t="n">
        <x:v>0</x:v>
      </x:c>
      <x:c r="K14" s="19" t="n">
        <x:v>0</x:v>
      </x:c>
      <x:c r="L14" s="19" t="n">
        <x:v>90000</x:v>
      </x:c>
      <x:c r="M14" s="19" t="n">
        <x:v>110000</x:v>
      </x:c>
      <x:c r="N14" s="20" t="n">
        <x:v>7</x:v>
      </x:c>
      <x:c r="O14" s="20" t="n">
        <x:v>5</x:v>
      </x:c>
      <x:c r="P14" s="20" t="n">
        <x:v>6</x:v>
      </x:c>
      <x:c r="Q14" s="20" t="n">
        <x:v>3</x:v>
      </x:c>
      <x:c r="R14" s="20" t="n">
        <x:v>22</x:v>
      </x:c>
      <x:c r="S14" s="21" t="n">
        <x:f>3319/60</x:f>
        <x:v>55.31666666666667</x:v>
      </x:c>
      <x:c r="T14" s="21" t="n">
        <x:f>0/60</x:f>
        <x:v>0</x:v>
      </x:c>
      <x:c r="U14" s="21" t="n">
        <x:f>0/60</x:f>
        <x:v>0</x:v>
      </x:c>
      <x:c r="V14" s="21" t="n">
        <x:f>0/60</x:f>
        <x:v>0</x:v>
      </x:c>
      <x:c r="W14" s="20" t="n">
        <x:v>0</x:v>
      </x:c>
      <x:c r="X14" s="20" t="n">
        <x:v>0</x:v>
      </x:c>
      <x:c r="Y14" s="20" t="n">
        <x:v>0</x:v>
      </x:c>
      <x:c r="Z14" s="20" t="n">
        <x:v>0</x:v>
      </x:c>
    </x:row>
    <x:row r="15" ht="23" customHeight="1">
      <x:c r="A15" s="2" t="str">
        <x:v>2026-10-01_Night</x:v>
      </x:c>
      <x:c r="B15" s="19" t="n">
        <x:v>279000</x:v>
      </x:c>
      <x:c r="C15" s="19" t="n">
        <x:v>212000</x:v>
      </x:c>
      <x:c r="D15" s="19" t="n">
        <x:f>B15-C15</x:f>
        <x:v>67000</x:v>
      </x:c>
      <x:c r="E15" s="19" t="n">
        <x:f>E14+D15</x:f>
        <x:v>351000</x:v>
      </x:c>
      <x:c r="F15" s="19" t="n">
        <x:v>-31000</x:v>
      </x:c>
      <x:c r="G15" s="19" t="n">
        <x:f>D15-F15</x:f>
        <x:v>98000</x:v>
      </x:c>
      <x:c r="H15" s="19" t="n">
        <x:v>74000</x:v>
      </x:c>
      <x:c r="I15" s="19" t="n">
        <x:v>0</x:v>
      </x:c>
      <x:c r="J15" s="19" t="n">
        <x:v>15000</x:v>
      </x:c>
      <x:c r="K15" s="19" t="n">
        <x:v>120000</x:v>
      </x:c>
      <x:c r="L15" s="19" t="n">
        <x:v>117000</x:v>
      </x:c>
      <x:c r="M15" s="19" t="n">
        <x:v>127000</x:v>
      </x:c>
      <x:c r="N15" s="20" t="n">
        <x:v>5</x:v>
      </x:c>
      <x:c r="O15" s="20" t="n">
        <x:v>6</x:v>
      </x:c>
      <x:c r="P15" s="20" t="n">
        <x:v>16</x:v>
      </x:c>
      <x:c r="Q15" s="20" t="n">
        <x:v>8</x:v>
      </x:c>
      <x:c r="R15" s="20" t="n">
        <x:v>36</x:v>
      </x:c>
      <x:c r="S15" s="21" t="n">
        <x:f>12720/60</x:f>
        <x:v>212</x:v>
      </x:c>
      <x:c r="T15" s="21" t="n">
        <x:f>4431/60</x:f>
        <x:v>73.85</x:v>
      </x:c>
      <x:c r="U15" s="21" t="n">
        <x:f>0/60</x:f>
        <x:v>0</x:v>
      </x:c>
      <x:c r="V15" s="21" t="n">
        <x:f>0/60</x:f>
        <x:v>0</x:v>
      </x:c>
      <x:c r="W15" s="20" t="n">
        <x:v>0</x:v>
      </x:c>
      <x:c r="X15" s="20" t="n">
        <x:v>0</x:v>
      </x:c>
      <x:c r="Y15" s="20" t="n">
        <x:v>0</x:v>
      </x:c>
      <x:c r="Z15" s="20" t="n">
        <x:v>0</x:v>
      </x:c>
    </x:row>
    <x:row r="16" ht="23" customHeight="1">
      <x:c r="A16" s="2" t="str">
        <x:v>2026-10-02_Night</x:v>
      </x:c>
      <x:c r="B16" s="19" t="n">
        <x:v>313000</x:v>
      </x:c>
      <x:c r="C16" s="19" t="n">
        <x:v>57000</x:v>
      </x:c>
      <x:c r="D16" s="19" t="n">
        <x:f>B16-C16</x:f>
        <x:v>256000</x:v>
      </x:c>
      <x:c r="E16" s="19" t="n">
        <x:f>E15+D16</x:f>
        <x:v>607000</x:v>
      </x:c>
      <x:c r="F16" s="19" t="n">
        <x:v>0</x:v>
      </x:c>
      <x:c r="G16" s="19" t="n">
        <x:f>D16-F16</x:f>
        <x:v>256000</x:v>
      </x:c>
      <x:c r="H16" s="19" t="n">
        <x:v>0</x:v>
      </x:c>
      <x:c r="I16" s="19" t="n">
        <x:v>0</x:v>
      </x:c>
      <x:c r="J16" s="19" t="n">
        <x:v>0</x:v>
      </x:c>
      <x:c r="K16" s="19" t="n">
        <x:v>0</x:v>
      </x:c>
      <x:c r="L16" s="19" t="n">
        <x:v>0</x:v>
      </x:c>
      <x:c r="M16" s="19" t="n">
        <x:v>0</x:v>
      </x:c>
      <x:c r="N16" s="20" t="n">
        <x:v>7</x:v>
      </x:c>
      <x:c r="O16" s="20" t="n">
        <x:v>10</x:v>
      </x:c>
      <x:c r="P16" s="20" t="n">
        <x:v>15</x:v>
      </x:c>
      <x:c r="Q16" s="20" t="n">
        <x:v>0</x:v>
      </x:c>
      <x:c r="R16" s="20" t="n">
        <x:v>28</x:v>
      </x:c>
      <x:c r="S16" s="21" t="n">
        <x:f>0/60</x:f>
        <x:v>0</x:v>
      </x:c>
      <x:c r="T16" s="21" t="n">
        <x:f>0/60</x:f>
        <x:v>0</x:v>
      </x:c>
      <x:c r="U16" s="21" t="n">
        <x:f>0/60</x:f>
        <x:v>0</x:v>
      </x:c>
      <x:c r="V16" s="21" t="n">
        <x:f>0/60</x:f>
        <x:v>0</x:v>
      </x:c>
      <x:c r="W16" s="20" t="n">
        <x:v>0</x:v>
      </x:c>
      <x:c r="X16" s="20" t="n">
        <x:v>0</x:v>
      </x:c>
      <x:c r="Y16" s="20" t="n">
        <x:v>0</x:v>
      </x:c>
      <x:c r="Z16" s="20" t="n">
        <x:v>0</x:v>
      </x:c>
    </x:row>
    <x:row r="17" ht="23" customHeight="1">
      <x:c r="A17" s="2" t="str">
        <x:v>2026-10-05_Night</x:v>
      </x:c>
      <x:c r="B17" s="19" t="n">
        <x:v>123000</x:v>
      </x:c>
      <x:c r="C17" s="19" t="n">
        <x:v>64000</x:v>
      </x:c>
      <x:c r="D17" s="19" t="n">
        <x:f>B17-C17</x:f>
        <x:v>59000</x:v>
      </x:c>
      <x:c r="E17" s="19" t="n">
        <x:f>E16+D17</x:f>
        <x:v>666000</x:v>
      </x:c>
      <x:c r="F17" s="19" t="n">
        <x:v>25000</x:v>
      </x:c>
      <x:c r="G17" s="19" t="n">
        <x:f>D17-F17</x:f>
        <x:v>34000</x:v>
      </x:c>
      <x:c r="H17" s="19" t="n">
        <x:v>25000</x:v>
      </x:c>
      <x:c r="I17" s="19" t="n">
        <x:v>0</x:v>
      </x:c>
      <x:c r="J17" s="19" t="n">
        <x:v>0</x:v>
      </x:c>
      <x:c r="K17" s="19" t="n">
        <x:v>0</x:v>
      </x:c>
      <x:c r="L17" s="19" t="n">
        <x:v>10000</x:v>
      </x:c>
      <x:c r="M17" s="19" t="n">
        <x:v>20000</x:v>
      </x:c>
      <x:c r="N17" s="20" t="n">
        <x:v>5</x:v>
      </x:c>
      <x:c r="O17" s="20" t="n">
        <x:v>5</x:v>
      </x:c>
      <x:c r="P17" s="20" t="n">
        <x:v>8</x:v>
      </x:c>
      <x:c r="Q17" s="20" t="n">
        <x:v>1</x:v>
      </x:c>
      <x:c r="R17" s="20" t="n">
        <x:v>19</x:v>
      </x:c>
      <x:c r="S17" s="21" t="n">
        <x:f>219/60</x:f>
        <x:v>3.65</x:v>
      </x:c>
      <x:c r="T17" s="21" t="n">
        <x:f>0/60</x:f>
        <x:v>0</x:v>
      </x:c>
      <x:c r="U17" s="21" t="n">
        <x:f>0/60</x:f>
        <x:v>0</x:v>
      </x:c>
      <x:c r="V17" s="21" t="n">
        <x:f>0/60</x:f>
        <x:v>0</x:v>
      </x:c>
      <x:c r="W17" s="20" t="n">
        <x:v>0</x:v>
      </x:c>
      <x:c r="X17" s="20" t="n">
        <x:v>0</x:v>
      </x:c>
      <x:c r="Y17" s="20" t="n">
        <x:v>0</x:v>
      </x:c>
      <x:c r="Z17" s="20" t="n">
        <x:v>0</x:v>
      </x:c>
    </x:row>
    <x:row r="18" ht="23" customHeight="1">
      <x:c r="A18" s="2" t="str">
        <x:v>2026-10-06_Night</x:v>
      </x:c>
      <x:c r="B18" s="19" t="n">
        <x:v>33000</x:v>
      </x:c>
      <x:c r="C18" s="19" t="n">
        <x:v>43000</x:v>
      </x:c>
      <x:c r="D18" s="19" t="n">
        <x:f>B18-C18</x:f>
        <x:v>-10000</x:v>
      </x:c>
      <x:c r="E18" s="19" t="n">
        <x:f>E17+D18</x:f>
        <x:v>656000</x:v>
      </x:c>
      <x:c r="F18" s="19" t="n">
        <x:v>0</x:v>
      </x:c>
      <x:c r="G18" s="19" t="n">
        <x:f>D18-F18</x:f>
        <x:v>-10000</x:v>
      </x:c>
      <x:c r="H18" s="19" t="n">
        <x:v>0</x:v>
      </x:c>
      <x:c r="I18" s="19" t="n">
        <x:v>0</x:v>
      </x:c>
      <x:c r="J18" s="19" t="n">
        <x:v>0</x:v>
      </x:c>
      <x:c r="K18" s="19" t="n">
        <x:v>0</x:v>
      </x:c>
      <x:c r="L18" s="19" t="n">
        <x:v>0</x:v>
      </x:c>
      <x:c r="M18" s="19" t="n">
        <x:v>0</x:v>
      </x:c>
      <x:c r="N18" s="20" t="n">
        <x:v>0</x:v>
      </x:c>
      <x:c r="O18" s="20" t="n">
        <x:v>7</x:v>
      </x:c>
      <x:c r="P18" s="20" t="n">
        <x:v>4</x:v>
      </x:c>
      <x:c r="Q18" s="20" t="n">
        <x:v>0</x:v>
      </x:c>
      <x:c r="R18" s="20" t="n">
        <x:v>8</x:v>
      </x:c>
      <x:c r="S18" s="21" t="n">
        <x:f>0/60</x:f>
        <x:v>0</x:v>
      </x:c>
      <x:c r="T18" s="21" t="n">
        <x:f>0/60</x:f>
        <x:v>0</x:v>
      </x:c>
      <x:c r="U18" s="21" t="n">
        <x:f>0/60</x:f>
        <x:v>0</x:v>
      </x:c>
      <x:c r="V18" s="21" t="n">
        <x:f>0/60</x:f>
        <x:v>0</x:v>
      </x:c>
      <x:c r="W18" s="20" t="n">
        <x:v>0</x:v>
      </x:c>
      <x:c r="X18" s="20" t="n">
        <x:v>0</x:v>
      </x:c>
      <x:c r="Y18" s="20" t="n">
        <x:v>0</x:v>
      </x:c>
      <x:c r="Z18" s="20" t="n">
        <x:v>0</x:v>
      </x:c>
    </x:row>
    <x:row r="19" ht="23" customHeight="1">
      <x:c r="A19" s="2" t="str">
        <x:v>2026-10-07_Night</x:v>
      </x:c>
      <x:c r="B19" s="19" t="n">
        <x:v>25000</x:v>
      </x:c>
      <x:c r="C19" s="19" t="n">
        <x:v>67000</x:v>
      </x:c>
      <x:c r="D19" s="19" t="n">
        <x:f>B19-C19</x:f>
        <x:v>-42000</x:v>
      </x:c>
      <x:c r="E19" s="19" t="n">
        <x:f>E18+D19</x:f>
        <x:v>614000</x:v>
      </x:c>
      <x:c r="F19" s="19" t="n">
        <x:v>-20000</x:v>
      </x:c>
      <x:c r="G19" s="19" t="n">
        <x:f>D19-F19</x:f>
        <x:v>-22000</x:v>
      </x:c>
      <x:c r="H19" s="19" t="n">
        <x:v>25000</x:v>
      </x:c>
      <x:c r="I19" s="19" t="n">
        <x:v>0</x:v>
      </x:c>
      <x:c r="J19" s="19" t="n">
        <x:v>0</x:v>
      </x:c>
      <x:c r="K19" s="19" t="n">
        <x:v>45000</x:v>
      </x:c>
      <x:c r="L19" s="19" t="n">
        <x:v>49000</x:v>
      </x:c>
      <x:c r="M19" s="19" t="n">
        <x:v>69000</x:v>
      </x:c>
      <x:c r="N19" s="20" t="n">
        <x:v>2</x:v>
      </x:c>
      <x:c r="O19" s="20" t="n">
        <x:v>5</x:v>
      </x:c>
      <x:c r="P19" s="20" t="n">
        <x:v>5</x:v>
      </x:c>
      <x:c r="Q19" s="20" t="n">
        <x:v>3</x:v>
      </x:c>
      <x:c r="R19" s="20" t="n">
        <x:v>9</x:v>
      </x:c>
      <x:c r="S19" s="21" t="n">
        <x:f>7391/60</x:f>
        <x:v>123.18333333333334</x:v>
      </x:c>
      <x:c r="T19" s="21" t="n">
        <x:f>0/60</x:f>
        <x:v>0</x:v>
      </x:c>
      <x:c r="U19" s="21" t="n">
        <x:f>0/60</x:f>
        <x:v>0</x:v>
      </x:c>
      <x:c r="V19" s="21" t="n">
        <x:f>0/60</x:f>
        <x:v>0</x:v>
      </x:c>
      <x:c r="W19" s="20" t="n">
        <x:v>0</x:v>
      </x:c>
      <x:c r="X19" s="20" t="n">
        <x:v>0</x:v>
      </x:c>
      <x:c r="Y19" s="20" t="n">
        <x:v>0</x:v>
      </x:c>
      <x:c r="Z19" s="20" t="n">
        <x:v>0</x:v>
      </x:c>
    </x:row>
    <x:row r="20" ht="23" customHeight="1">
      <x:c r="A20" s="2" t="str">
        <x:v>2026-10-08_Night</x:v>
      </x:c>
      <x:c r="B20" s="19" t="n">
        <x:v>360000</x:v>
      </x:c>
      <x:c r="C20" s="19" t="n">
        <x:v>36000</x:v>
      </x:c>
      <x:c r="D20" s="19" t="n">
        <x:f>B20-C20</x:f>
        <x:v>324000</x:v>
      </x:c>
      <x:c r="E20" s="19" t="n">
        <x:f>E19+D20</x:f>
        <x:v>938000</x:v>
      </x:c>
      <x:c r="F20" s="19" t="n">
        <x:v>18000</x:v>
      </x:c>
      <x:c r="G20" s="19" t="n">
        <x:f>D20-F20</x:f>
        <x:v>306000</x:v>
      </x:c>
      <x:c r="H20" s="19" t="n">
        <x:v>18000</x:v>
      </x:c>
      <x:c r="I20" s="19" t="n">
        <x:v>0</x:v>
      </x:c>
      <x:c r="J20" s="19" t="n">
        <x:v>0</x:v>
      </x:c>
      <x:c r="K20" s="19" t="n">
        <x:v>0</x:v>
      </x:c>
      <x:c r="L20" s="19" t="n">
        <x:v>5000</x:v>
      </x:c>
      <x:c r="M20" s="19" t="n">
        <x:v>9000</x:v>
      </x:c>
      <x:c r="N20" s="20" t="n">
        <x:v>8</x:v>
      </x:c>
      <x:c r="O20" s="20" t="n">
        <x:v>8</x:v>
      </x:c>
      <x:c r="P20" s="20" t="n">
        <x:v>17</x:v>
      </x:c>
      <x:c r="Q20" s="20" t="n">
        <x:v>2</x:v>
      </x:c>
      <x:c r="R20" s="20" t="n">
        <x:v>30</x:v>
      </x:c>
      <x:c r="S20" s="21" t="n">
        <x:f>2603/60</x:f>
        <x:v>43.38333333333333</x:v>
      </x:c>
      <x:c r="T20" s="21" t="n">
        <x:f>0/60</x:f>
        <x:v>0</x:v>
      </x:c>
      <x:c r="U20" s="21" t="n">
        <x:f>0/60</x:f>
        <x:v>0</x:v>
      </x:c>
      <x:c r="V20" s="21" t="n">
        <x:f>0/60</x:f>
        <x:v>0</x:v>
      </x:c>
      <x:c r="W20" s="20" t="n">
        <x:v>0</x:v>
      </x:c>
      <x:c r="X20" s="20" t="n">
        <x:v>0</x:v>
      </x:c>
      <x:c r="Y20" s="20" t="n">
        <x:v>0</x:v>
      </x:c>
      <x:c r="Z20" s="20" t="n">
        <x:v>0</x:v>
      </x:c>
    </x:row>
    <x:row r="21" ht="23" customHeight="1">
      <x:c r="A21" s="2" t="str">
        <x:v>2026-10-09_Night</x:v>
      </x:c>
      <x:c r="B21" s="19" t="n">
        <x:v>34000</x:v>
      </x:c>
      <x:c r="C21" s="19" t="n">
        <x:v>95000</x:v>
      </x:c>
      <x:c r="D21" s="19" t="n">
        <x:f>B21-C21</x:f>
        <x:v>-61000</x:v>
      </x:c>
      <x:c r="E21" s="19" t="n">
        <x:f>E20+D21</x:f>
        <x:v>877000</x:v>
      </x:c>
      <x:c r="F21" s="19" t="n">
        <x:v>-75000</x:v>
      </x:c>
      <x:c r="G21" s="19" t="n">
        <x:f>D21-F21</x:f>
        <x:v>14000</x:v>
      </x:c>
      <x:c r="H21" s="19" t="n">
        <x:v>20000</x:v>
      </x:c>
      <x:c r="I21" s="19" t="n">
        <x:v>0</x:v>
      </x:c>
      <x:c r="J21" s="19" t="n">
        <x:v>0</x:v>
      </x:c>
      <x:c r="K21" s="19" t="n">
        <x:v>95000</x:v>
      </x:c>
      <x:c r="L21" s="19" t="n">
        <x:v>110000</x:v>
      </x:c>
      <x:c r="M21" s="19" t="n">
        <x:v>135000</x:v>
      </x:c>
      <x:c r="N21" s="20" t="n">
        <x:v>0</x:v>
      </x:c>
      <x:c r="O21" s="20" t="n">
        <x:v>5</x:v>
      </x:c>
      <x:c r="P21" s="20" t="n">
        <x:v>3</x:v>
      </x:c>
      <x:c r="Q21" s="20" t="n">
        <x:v>2</x:v>
      </x:c>
      <x:c r="R21" s="20" t="n">
        <x:v>15</x:v>
      </x:c>
      <x:c r="S21" s="21" t="n">
        <x:f>4100/60</x:f>
        <x:v>68.33333333333333</x:v>
      </x:c>
      <x:c r="T21" s="21" t="n">
        <x:f>0/60</x:f>
        <x:v>0</x:v>
      </x:c>
      <x:c r="U21" s="21" t="n">
        <x:f>0/60</x:f>
        <x:v>0</x:v>
      </x:c>
      <x:c r="V21" s="21" t="n">
        <x:f>0/60</x:f>
        <x:v>0</x:v>
      </x:c>
      <x:c r="W21" s="20" t="n">
        <x:v>0</x:v>
      </x:c>
      <x:c r="X21" s="20" t="n">
        <x:v>0</x:v>
      </x:c>
      <x:c r="Y21" s="20" t="n">
        <x:v>0</x:v>
      </x:c>
      <x:c r="Z21" s="20" t="n">
        <x:v>0</x:v>
      </x:c>
    </x:row>
    <x:row r="22" ht="23" customHeight="1">
      <x:c r="A22" s="2" t="str">
        <x:v>2026-10-12_Night</x:v>
      </x:c>
      <x:c r="B22" s="19" t="n">
        <x:v>82000</x:v>
      </x:c>
      <x:c r="C22" s="19" t="n">
        <x:v>0</x:v>
      </x:c>
      <x:c r="D22" s="19" t="n">
        <x:f>B22-C22</x:f>
        <x:v>82000</x:v>
      </x:c>
      <x:c r="E22" s="19" t="n">
        <x:f>E21+D22</x:f>
        <x:v>959000</x:v>
      </x:c>
      <x:c r="F22" s="19" t="n">
        <x:v>0</x:v>
      </x:c>
      <x:c r="G22" s="19" t="n">
        <x:f>D22-F22</x:f>
        <x:v>82000</x:v>
      </x:c>
      <x:c r="H22" s="19" t="n">
        <x:v>0</x:v>
      </x:c>
      <x:c r="I22" s="19" t="n">
        <x:v>0</x:v>
      </x:c>
      <x:c r="J22" s="19" t="n">
        <x:v>0</x:v>
      </x:c>
      <x:c r="K22" s="19" t="n">
        <x:v>0</x:v>
      </x:c>
      <x:c r="L22" s="19" t="n">
        <x:v>0</x:v>
      </x:c>
      <x:c r="M22" s="19" t="n">
        <x:v>0</x:v>
      </x:c>
      <x:c r="N22" s="20" t="n">
        <x:v>0</x:v>
      </x:c>
      <x:c r="O22" s="20" t="n">
        <x:v>5</x:v>
      </x:c>
      <x:c r="P22" s="20" t="n">
        <x:v>1</x:v>
      </x:c>
      <x:c r="Q22" s="20" t="n">
        <x:v>0</x:v>
      </x:c>
      <x:c r="R22" s="20" t="n">
        <x:v>5</x:v>
      </x:c>
      <x:c r="S22" s="21" t="n">
        <x:f>0/60</x:f>
        <x:v>0</x:v>
      </x:c>
      <x:c r="T22" s="21" t="n">
        <x:f>0/60</x:f>
        <x:v>0</x:v>
      </x:c>
      <x:c r="U22" s="21" t="n">
        <x:f>0/60</x:f>
        <x:v>0</x:v>
      </x:c>
      <x:c r="V22" s="21" t="n">
        <x:f>0/60</x:f>
        <x:v>0</x:v>
      </x:c>
      <x:c r="W22" s="20" t="n">
        <x:v>0</x:v>
      </x:c>
      <x:c r="X22" s="20" t="n">
        <x:v>0</x:v>
      </x:c>
      <x:c r="Y22" s="20" t="n">
        <x:v>0</x:v>
      </x:c>
      <x:c r="Z22" s="20" t="n">
        <x:v>0</x:v>
      </x:c>
    </x:row>
    <x:row r="23" ht="23" customHeight="1">
      <x:c r="A23" s="2" t="str">
        <x:v>2026-10-13_Night</x:v>
      </x:c>
      <x:c r="B23" s="19" t="n">
        <x:v>0</x:v>
      </x:c>
      <x:c r="C23" s="19" t="n">
        <x:v>203000</x:v>
      </x:c>
      <x:c r="D23" s="19" t="n">
        <x:f>B23-C23</x:f>
        <x:v>-203000</x:v>
      </x:c>
      <x:c r="E23" s="19" t="n">
        <x:f>E22+D23</x:f>
        <x:v>756000</x:v>
      </x:c>
      <x:c r="F23" s="19" t="n">
        <x:v>-150000</x:v>
      </x:c>
      <x:c r="G23" s="19" t="n">
        <x:f>D23-F23</x:f>
        <x:v>-53000</x:v>
      </x:c>
      <x:c r="H23" s="19" t="n">
        <x:v>0</x:v>
      </x:c>
      <x:c r="I23" s="19" t="n">
        <x:v>0</x:v>
      </x:c>
      <x:c r="J23" s="19" t="n">
        <x:v>0</x:v>
      </x:c>
      <x:c r="K23" s="19" t="n">
        <x:v>150000</x:v>
      </x:c>
      <x:c r="L23" s="19" t="n">
        <x:v>175000</x:v>
      </x:c>
      <x:c r="M23" s="19" t="n">
        <x:v>200000</x:v>
      </x:c>
      <x:c r="N23" s="20" t="n">
        <x:v>5</x:v>
      </x:c>
      <x:c r="O23" s="20" t="n">
        <x:v>5</x:v>
      </x:c>
      <x:c r="P23" s="20" t="n">
        <x:v>3</x:v>
      </x:c>
      <x:c r="Q23" s="20" t="n">
        <x:v>1</x:v>
      </x:c>
      <x:c r="R23" s="20" t="n">
        <x:v>11</x:v>
      </x:c>
      <x:c r="S23" s="21" t="n">
        <x:f>14137/60</x:f>
        <x:v>235.61666666666667</x:v>
      </x:c>
      <x:c r="T23" s="21" t="n">
        <x:f>0/60</x:f>
        <x:v>0</x:v>
      </x:c>
      <x:c r="U23" s="21" t="n">
        <x:f>0/60</x:f>
        <x:v>0</x:v>
      </x:c>
      <x:c r="V23" s="21" t="n">
        <x:f>0/60</x:f>
        <x:v>0</x:v>
      </x:c>
      <x:c r="W23" s="20" t="n">
        <x:v>0</x:v>
      </x:c>
      <x:c r="X23" s="20" t="n">
        <x:v>0</x:v>
      </x:c>
      <x:c r="Y23" s="20" t="n">
        <x:v>0</x:v>
      </x:c>
      <x:c r="Z23" s="20" t="n">
        <x:v>0</x:v>
      </x:c>
    </x:row>
    <x:row r="24" ht="23" customHeight="1">
      <x:c r="A24" s="2" t="str">
        <x:v>2026-10-14_Night</x:v>
      </x:c>
      <x:c r="B24" s="19" t="n">
        <x:v>217000</x:v>
      </x:c>
      <x:c r="C24" s="19" t="n">
        <x:v>61000</x:v>
      </x:c>
      <x:c r="D24" s="19" t="n">
        <x:f>B24-C24</x:f>
        <x:v>156000</x:v>
      </x:c>
      <x:c r="E24" s="19" t="n">
        <x:f>E23+D24</x:f>
        <x:v>912000</x:v>
      </x:c>
      <x:c r="F24" s="19" t="n">
        <x:v>20000</x:v>
      </x:c>
      <x:c r="G24" s="19" t="n">
        <x:f>D24-F24</x:f>
        <x:v>136000</x:v>
      </x:c>
      <x:c r="H24" s="19" t="n">
        <x:v>20000</x:v>
      </x:c>
      <x:c r="I24" s="19" t="n">
        <x:v>0</x:v>
      </x:c>
      <x:c r="J24" s="19" t="n">
        <x:v>0</x:v>
      </x:c>
      <x:c r="K24" s="19" t="n">
        <x:v>0</x:v>
      </x:c>
      <x:c r="L24" s="19" t="n">
        <x:v>55000</x:v>
      </x:c>
      <x:c r="M24" s="19" t="n">
        <x:v>75000</x:v>
      </x:c>
      <x:c r="N24" s="20" t="n">
        <x:v>1</x:v>
      </x:c>
      <x:c r="O24" s="20" t="n">
        <x:v>5</x:v>
      </x:c>
      <x:c r="P24" s="20" t="n">
        <x:v>5</x:v>
      </x:c>
      <x:c r="Q24" s="20" t="n">
        <x:v>1</x:v>
      </x:c>
      <x:c r="R24" s="20" t="n">
        <x:v>14</x:v>
      </x:c>
      <x:c r="S24" s="21" t="n">
        <x:f>2685/60</x:f>
        <x:v>44.75</x:v>
      </x:c>
      <x:c r="T24" s="21" t="n">
        <x:f>0/60</x:f>
        <x:v>0</x:v>
      </x:c>
      <x:c r="U24" s="21" t="n">
        <x:f>0/60</x:f>
        <x:v>0</x:v>
      </x:c>
      <x:c r="V24" s="21" t="n">
        <x:f>0/60</x:f>
        <x:v>0</x:v>
      </x:c>
      <x:c r="W24" s="20" t="n">
        <x:v>0</x:v>
      </x:c>
      <x:c r="X24" s="20" t="n">
        <x:v>0</x:v>
      </x:c>
      <x:c r="Y24" s="20" t="n">
        <x:v>0</x:v>
      </x:c>
      <x:c r="Z24" s="20" t="n">
        <x:v>0</x:v>
      </x:c>
    </x:row>
    <x:row r="25" ht="23" customHeight="1">
      <x:c r="A25" s="2" t="str">
        <x:v>2026-10-15_Night</x:v>
      </x:c>
      <x:c r="B25" s="19" t="n">
        <x:v>86000</x:v>
      </x:c>
      <x:c r="C25" s="19" t="n">
        <x:v>64000</x:v>
      </x:c>
      <x:c r="D25" s="19" t="n">
        <x:f>B25-C25</x:f>
        <x:v>22000</x:v>
      </x:c>
      <x:c r="E25" s="19" t="n">
        <x:f>E24+D25</x:f>
        <x:v>934000</x:v>
      </x:c>
      <x:c r="F25" s="19" t="n">
        <x:v>0</x:v>
      </x:c>
      <x:c r="G25" s="19" t="n">
        <x:f>D25-F25</x:f>
        <x:v>22000</x:v>
      </x:c>
      <x:c r="H25" s="19" t="n">
        <x:v>0</x:v>
      </x:c>
      <x:c r="I25" s="19" t="n">
        <x:v>0</x:v>
      </x:c>
      <x:c r="J25" s="19" t="n">
        <x:v>0</x:v>
      </x:c>
      <x:c r="K25" s="19" t="n">
        <x:v>0</x:v>
      </x:c>
      <x:c r="L25" s="19" t="n">
        <x:v>0</x:v>
      </x:c>
      <x:c r="M25" s="19" t="n">
        <x:v>0</x:v>
      </x:c>
      <x:c r="N25" s="20" t="n">
        <x:v>3</x:v>
      </x:c>
      <x:c r="O25" s="20" t="n">
        <x:v>2</x:v>
      </x:c>
      <x:c r="P25" s="20" t="n">
        <x:v>7</x:v>
      </x:c>
      <x:c r="Q25" s="20" t="n">
        <x:v>0</x:v>
      </x:c>
      <x:c r="R25" s="20" t="n">
        <x:v>9</x:v>
      </x:c>
      <x:c r="S25" s="21" t="n">
        <x:f>0/60</x:f>
        <x:v>0</x:v>
      </x:c>
      <x:c r="T25" s="21" t="n">
        <x:f>0/60</x:f>
        <x:v>0</x:v>
      </x:c>
      <x:c r="U25" s="21" t="n">
        <x:f>0/60</x:f>
        <x:v>0</x:v>
      </x:c>
      <x:c r="V25" s="21" t="n">
        <x:f>0/60</x:f>
        <x:v>0</x:v>
      </x:c>
      <x:c r="W25" s="20" t="n">
        <x:v>0</x:v>
      </x:c>
      <x:c r="X25" s="20" t="n">
        <x:v>0</x:v>
      </x:c>
      <x:c r="Y25" s="20" t="n">
        <x:v>0</x:v>
      </x:c>
      <x:c r="Z25" s="20" t="n">
        <x:v>0</x:v>
      </x:c>
    </x:row>
    <x:row r="26" ht="23" customHeight="1">
      <x:c r="A26" s="2" t="str">
        <x:v>2026-10-16_Night</x:v>
      </x:c>
      <x:c r="B26" s="19" t="n">
        <x:v>163000</x:v>
      </x:c>
      <x:c r="C26" s="19" t="n">
        <x:v>151000</x:v>
      </x:c>
      <x:c r="D26" s="19" t="n">
        <x:f>B26-C26</x:f>
        <x:v>12000</x:v>
      </x:c>
      <x:c r="E26" s="19" t="n">
        <x:f>E25+D26</x:f>
        <x:v>946000</x:v>
      </x:c>
      <x:c r="F26" s="19" t="n">
        <x:v>-20000</x:v>
      </x:c>
      <x:c r="G26" s="19" t="n">
        <x:f>D26-F26</x:f>
        <x:v>32000</x:v>
      </x:c>
      <x:c r="H26" s="19" t="n">
        <x:v>0</x:v>
      </x:c>
      <x:c r="I26" s="19" t="n">
        <x:v>0</x:v>
      </x:c>
      <x:c r="J26" s="19" t="n">
        <x:v>0</x:v>
      </x:c>
      <x:c r="K26" s="19" t="n">
        <x:v>20000</x:v>
      </x:c>
      <x:c r="L26" s="19" t="n">
        <x:v>45000</x:v>
      </x:c>
      <x:c r="M26" s="19" t="n">
        <x:v>55000</x:v>
      </x:c>
      <x:c r="N26" s="20" t="n">
        <x:v>3</x:v>
      </x:c>
      <x:c r="O26" s="20" t="n">
        <x:v>7</x:v>
      </x:c>
      <x:c r="P26" s="20" t="n">
        <x:v>14</x:v>
      </x:c>
      <x:c r="Q26" s="20" t="n">
        <x:v>1</x:v>
      </x:c>
      <x:c r="R26" s="20" t="n">
        <x:v>32</x:v>
      </x:c>
      <x:c r="S26" s="21" t="n">
        <x:f>907/60</x:f>
        <x:v>15.116666666666667</x:v>
      </x:c>
      <x:c r="T26" s="21" t="n">
        <x:f>0/60</x:f>
        <x:v>0</x:v>
      </x:c>
      <x:c r="U26" s="21" t="n">
        <x:f>0/60</x:f>
        <x:v>0</x:v>
      </x:c>
      <x:c r="V26" s="21" t="n">
        <x:f>0/60</x:f>
        <x:v>0</x:v>
      </x:c>
      <x:c r="W26" s="20" t="n">
        <x:v>0</x:v>
      </x:c>
      <x:c r="X26" s="20" t="n">
        <x:v>0</x:v>
      </x:c>
      <x:c r="Y26" s="20" t="n">
        <x:v>0</x:v>
      </x:c>
      <x:c r="Z26" s="20" t="n">
        <x:v>0</x:v>
      </x:c>
    </x:row>
    <x:row r="27" ht="23" customHeight="1">
      <x:c r="A27" s="2" t="str">
        <x:v>2026-10-19_Night</x:v>
      </x:c>
      <x:c r="B27" s="19" t="n">
        <x:v>152000</x:v>
      </x:c>
      <x:c r="C27" s="19" t="n">
        <x:v>105000</x:v>
      </x:c>
      <x:c r="D27" s="19" t="n">
        <x:f>B27-C27</x:f>
        <x:v>47000</x:v>
      </x:c>
      <x:c r="E27" s="19" t="n">
        <x:f>E26+D27</x:f>
        <x:v>993000</x:v>
      </x:c>
      <x:c r="F27" s="19" t="n">
        <x:v>55000</x:v>
      </x:c>
      <x:c r="G27" s="19" t="n">
        <x:f>D27-F27</x:f>
        <x:v>-8000</x:v>
      </x:c>
      <x:c r="H27" s="19" t="n">
        <x:v>25000</x:v>
      </x:c>
      <x:c r="I27" s="19" t="n">
        <x:v>0</x:v>
      </x:c>
      <x:c r="J27" s="19" t="n">
        <x:v>30000</x:v>
      </x:c>
      <x:c r="K27" s="19" t="n">
        <x:v>0</x:v>
      </x:c>
      <x:c r="L27" s="19" t="n">
        <x:v>55000</x:v>
      </x:c>
      <x:c r="M27" s="19" t="n">
        <x:v>75000</x:v>
      </x:c>
      <x:c r="N27" s="20" t="n">
        <x:v>5</x:v>
      </x:c>
      <x:c r="O27" s="20" t="n">
        <x:v>5</x:v>
      </x:c>
      <x:c r="P27" s="20" t="n">
        <x:v>14</x:v>
      </x:c>
      <x:c r="Q27" s="20" t="n">
        <x:v>2</x:v>
      </x:c>
      <x:c r="R27" s="20" t="n">
        <x:v>31</x:v>
      </x:c>
      <x:c r="S27" s="21" t="n">
        <x:f>3947/60</x:f>
        <x:v>65.78333333333333</x:v>
      </x:c>
      <x:c r="T27" s="21" t="n">
        <x:f>0/60</x:f>
        <x:v>0</x:v>
      </x:c>
      <x:c r="U27" s="21" t="n">
        <x:f>0/60</x:f>
        <x:v>0</x:v>
      </x:c>
      <x:c r="V27" s="21" t="n">
        <x:f>0/60</x:f>
        <x:v>0</x:v>
      </x:c>
      <x:c r="W27" s="20" t="n">
        <x:v>0</x:v>
      </x:c>
      <x:c r="X27" s="20" t="n">
        <x:v>0</x:v>
      </x:c>
      <x:c r="Y27" s="20" t="n">
        <x:v>0</x:v>
      </x:c>
      <x:c r="Z27" s="20" t="n">
        <x:v>0</x:v>
      </x:c>
    </x:row>
    <x:row r="28" ht="23" customHeight="1">
      <x:c r="A28" s="2" t="str">
        <x:v>2026-10-20_Night</x:v>
      </x:c>
      <x:c r="B28" s="19" t="n">
        <x:v>139000</x:v>
      </x:c>
      <x:c r="C28" s="19" t="n">
        <x:v>33000</x:v>
      </x:c>
      <x:c r="D28" s="19" t="n">
        <x:f>B28-C28</x:f>
        <x:v>106000</x:v>
      </x:c>
      <x:c r="E28" s="19" t="n">
        <x:f>E27+D28</x:f>
        <x:v>1099000</x:v>
      </x:c>
      <x:c r="F28" s="19" t="n">
        <x:v>40000</x:v>
      </x:c>
      <x:c r="G28" s="19" t="n">
        <x:f>D28-F28</x:f>
        <x:v>66000</x:v>
      </x:c>
      <x:c r="H28" s="19" t="n">
        <x:v>30000</x:v>
      </x:c>
      <x:c r="I28" s="19" t="n">
        <x:v>0</x:v>
      </x:c>
      <x:c r="J28" s="19" t="n">
        <x:v>10000</x:v>
      </x:c>
      <x:c r="K28" s="19" t="n">
        <x:v>0</x:v>
      </x:c>
      <x:c r="L28" s="19" t="n">
        <x:v>40000</x:v>
      </x:c>
      <x:c r="M28" s="19" t="n">
        <x:v>65000</x:v>
      </x:c>
      <x:c r="N28" s="20" t="n">
        <x:v>5</x:v>
      </x:c>
      <x:c r="O28" s="20" t="n">
        <x:v>5</x:v>
      </x:c>
      <x:c r="P28" s="20" t="n">
        <x:v>11</x:v>
      </x:c>
      <x:c r="Q28" s="20" t="n">
        <x:v>4</x:v>
      </x:c>
      <x:c r="R28" s="20" t="n">
        <x:v>22</x:v>
      </x:c>
      <x:c r="S28" s="21" t="n">
        <x:f>2277/60</x:f>
        <x:v>37.95</x:v>
      </x:c>
      <x:c r="T28" s="21" t="n">
        <x:f>0/60</x:f>
        <x:v>0</x:v>
      </x:c>
      <x:c r="U28" s="21" t="n">
        <x:f>0/60</x:f>
        <x:v>0</x:v>
      </x:c>
      <x:c r="V28" s="21" t="n">
        <x:f>0/60</x:f>
        <x:v>0</x:v>
      </x:c>
      <x:c r="W28" s="20" t="n">
        <x:v>0</x:v>
      </x:c>
      <x:c r="X28" s="20" t="n">
        <x:v>0</x:v>
      </x:c>
      <x:c r="Y28" s="20" t="n">
        <x:v>0</x:v>
      </x:c>
      <x:c r="Z28" s="20" t="n">
        <x:v>0</x:v>
      </x:c>
    </x:row>
    <x:row r="29" ht="23" customHeight="1">
      <x:c r="A29" s="2" t="str">
        <x:v>2026-10-21_Night</x:v>
      </x:c>
      <x:c r="B29" s="19" t="n">
        <x:v>65000</x:v>
      </x:c>
      <x:c r="C29" s="19" t="n">
        <x:v>314000</x:v>
      </x:c>
      <x:c r="D29" s="19" t="n">
        <x:f>B29-C29</x:f>
        <x:v>-249000</x:v>
      </x:c>
      <x:c r="E29" s="19" t="n">
        <x:f>E28+D29</x:f>
        <x:v>850000</x:v>
      </x:c>
      <x:c r="F29" s="19" t="n">
        <x:v>-225000</x:v>
      </x:c>
      <x:c r="G29" s="19" t="n">
        <x:f>D29-F29</x:f>
        <x:v>-24000</x:v>
      </x:c>
      <x:c r="H29" s="19" t="n">
        <x:v>0</x:v>
      </x:c>
      <x:c r="I29" s="19" t="n">
        <x:v>0</x:v>
      </x:c>
      <x:c r="J29" s="19" t="n">
        <x:v>0</x:v>
      </x:c>
      <x:c r="K29" s="19" t="n">
        <x:v>225000</x:v>
      </x:c>
      <x:c r="L29" s="19" t="n">
        <x:v>280000</x:v>
      </x:c>
      <x:c r="M29" s="19" t="n">
        <x:v>310000</x:v>
      </x:c>
      <x:c r="N29" s="20" t="n">
        <x:v>7</x:v>
      </x:c>
      <x:c r="O29" s="20" t="n">
        <x:v>5</x:v>
      </x:c>
      <x:c r="P29" s="20" t="n">
        <x:v>6</x:v>
      </x:c>
      <x:c r="Q29" s="20" t="n">
        <x:v>1</x:v>
      </x:c>
      <x:c r="R29" s="20" t="n">
        <x:v>22</x:v>
      </x:c>
      <x:c r="S29" s="21" t="n">
        <x:f>10901/60</x:f>
        <x:v>181.68333333333334</x:v>
      </x:c>
      <x:c r="T29" s="21" t="n">
        <x:f>0/60</x:f>
        <x:v>0</x:v>
      </x:c>
      <x:c r="U29" s="21" t="n">
        <x:f>0/60</x:f>
        <x:v>0</x:v>
      </x:c>
      <x:c r="V29" s="21" t="n">
        <x:f>0/60</x:f>
        <x:v>0</x:v>
      </x:c>
      <x:c r="W29" s="20" t="n">
        <x:v>0</x:v>
      </x:c>
      <x:c r="X29" s="20" t="n">
        <x:v>0</x:v>
      </x:c>
      <x:c r="Y29" s="20" t="n">
        <x:v>0</x:v>
      </x:c>
      <x:c r="Z29" s="20" t="n">
        <x:v>0</x:v>
      </x:c>
    </x:row>
    <x:row r="30" ht="23" customHeight="1">
      <x:c r="A30" s="2" t="str">
        <x:v>2026-10-22_Night</x:v>
      </x:c>
      <x:c r="B30" s="19" t="n">
        <x:v>156000</x:v>
      </x:c>
      <x:c r="C30" s="19" t="n">
        <x:v>0</x:v>
      </x:c>
      <x:c r="D30" s="19" t="n">
        <x:f>B30-C30</x:f>
        <x:v>156000</x:v>
      </x:c>
      <x:c r="E30" s="19" t="n">
        <x:f>E29+D30</x:f>
        <x:v>1006000</x:v>
      </x:c>
      <x:c r="F30" s="19" t="n">
        <x:v>0</x:v>
      </x:c>
      <x:c r="G30" s="19" t="n">
        <x:f>D30-F30</x:f>
        <x:v>156000</x:v>
      </x:c>
      <x:c r="H30" s="19" t="n">
        <x:v>0</x:v>
      </x:c>
      <x:c r="I30" s="19" t="n">
        <x:v>0</x:v>
      </x:c>
      <x:c r="J30" s="19" t="n">
        <x:v>0</x:v>
      </x:c>
      <x:c r="K30" s="19" t="n">
        <x:v>0</x:v>
      </x:c>
      <x:c r="L30" s="19" t="n">
        <x:v>0</x:v>
      </x:c>
      <x:c r="M30" s="19" t="n">
        <x:v>0</x:v>
      </x:c>
      <x:c r="N30" s="20" t="n">
        <x:v>0</x:v>
      </x:c>
      <x:c r="O30" s="20" t="n">
        <x:v>6</x:v>
      </x:c>
      <x:c r="P30" s="20" t="n">
        <x:v>3</x:v>
      </x:c>
      <x:c r="Q30" s="20" t="n">
        <x:v>0</x:v>
      </x:c>
      <x:c r="R30" s="20" t="n">
        <x:v>7</x:v>
      </x:c>
      <x:c r="S30" s="21" t="n">
        <x:f>0/60</x:f>
        <x:v>0</x:v>
      </x:c>
      <x:c r="T30" s="21" t="n">
        <x:f>0/60</x:f>
        <x:v>0</x:v>
      </x:c>
      <x:c r="U30" s="21" t="n">
        <x:f>0/60</x:f>
        <x:v>0</x:v>
      </x:c>
      <x:c r="V30" s="21" t="n">
        <x:f>0/60</x:f>
        <x:v>0</x:v>
      </x:c>
      <x:c r="W30" s="20" t="n">
        <x:v>0</x:v>
      </x:c>
      <x:c r="X30" s="20" t="n">
        <x:v>0</x:v>
      </x:c>
      <x:c r="Y30" s="20" t="n">
        <x:v>0</x:v>
      </x:c>
      <x:c r="Z30" s="20" t="n">
        <x:v>0</x:v>
      </x:c>
    </x:row>
    <x:row r="31" ht="23" customHeight="1">
      <x:c r="A31" s="2" t="str">
        <x:v>2026-10-23_Night</x:v>
      </x:c>
      <x:c r="B31" s="19" t="n">
        <x:v>88000</x:v>
      </x:c>
      <x:c r="C31" s="19" t="n">
        <x:v>95000</x:v>
      </x:c>
      <x:c r="D31" s="19" t="n">
        <x:f>B31-C31</x:f>
        <x:v>-7000</x:v>
      </x:c>
      <x:c r="E31" s="19" t="n">
        <x:f>E30+D31</x:f>
        <x:v>999000</x:v>
      </x:c>
      <x:c r="F31" s="19" t="n">
        <x:v>-22000</x:v>
      </x:c>
      <x:c r="G31" s="19" t="n">
        <x:f>D31-F31</x:f>
        <x:v>15000</x:v>
      </x:c>
      <x:c r="H31" s="19" t="n">
        <x:v>41000</x:v>
      </x:c>
      <x:c r="I31" s="19" t="n">
        <x:v>0</x:v>
      </x:c>
      <x:c r="J31" s="19" t="n">
        <x:v>0</x:v>
      </x:c>
      <x:c r="K31" s="19" t="n">
        <x:v>63000</x:v>
      </x:c>
      <x:c r="L31" s="19" t="n">
        <x:v>67000</x:v>
      </x:c>
      <x:c r="M31" s="19" t="n">
        <x:v>82000</x:v>
      </x:c>
      <x:c r="N31" s="20" t="n">
        <x:v>5</x:v>
      </x:c>
      <x:c r="O31" s="20" t="n">
        <x:v>5</x:v>
      </x:c>
      <x:c r="P31" s="20" t="n">
        <x:v>11</x:v>
      </x:c>
      <x:c r="Q31" s="20" t="n">
        <x:v>5</x:v>
      </x:c>
      <x:c r="R31" s="20" t="n">
        <x:v>20</x:v>
      </x:c>
      <x:c r="S31" s="21" t="n">
        <x:f>13625/60</x:f>
        <x:v>227.08333333333334</x:v>
      </x:c>
      <x:c r="T31" s="21" t="n">
        <x:f>0/60</x:f>
        <x:v>0</x:v>
      </x:c>
      <x:c r="U31" s="21" t="n">
        <x:f>0/60</x:f>
        <x:v>0</x:v>
      </x:c>
      <x:c r="V31" s="21" t="n">
        <x:f>0/60</x:f>
        <x:v>0</x:v>
      </x:c>
      <x:c r="W31" s="20" t="n">
        <x:v>0</x:v>
      </x:c>
      <x:c r="X31" s="20" t="n">
        <x:v>0</x:v>
      </x:c>
      <x:c r="Y31" s="20" t="n">
        <x:v>0</x:v>
      </x:c>
      <x:c r="Z31" s="20" t="n">
        <x:v>0</x:v>
      </x:c>
    </x:row>
    <x:row r="32" ht="23" customHeight="1">
      <x:c r="A32" s="26" t="str">
        <x:v>25夜累計／最大</x:v>
      </x:c>
      <x:c r="B32" s="27" t="n">
        <x:f>SUM(B7:B31)</x:f>
        <x:v>2771000</x:v>
      </x:c>
      <x:c r="C32" s="27" t="n">
        <x:f>SUM(C7:C31)</x:f>
        <x:v>1772000</x:v>
      </x:c>
      <x:c r="D32" s="27" t="n">
        <x:f>B32-C32</x:f>
        <x:v>999000</x:v>
      </x:c>
      <x:c r="E32" s="27" t="n">
        <x:f>E31</x:f>
        <x:v>999000</x:v>
      </x:c>
      <x:c r="F32" s="27" t="n">
        <x:f>SUM(F7:F31)</x:f>
        <x:v>-144000</x:v>
      </x:c>
      <x:c r="G32" s="27" t="n">
        <x:f>SUM(G7:G31)</x:f>
        <x:v>1143000</x:v>
      </x:c>
      <x:c r="H32" s="27" t="n">
        <x:f>SUM(H7:H31)</x:f>
        <x:v>494000</x:v>
      </x:c>
      <x:c r="I32" s="27" t="n">
        <x:f>SUM(I7:I31)</x:f>
        <x:v>0</x:v>
      </x:c>
      <x:c r="J32" s="27" t="n">
        <x:f>SUM(J7:J31)</x:f>
        <x:v>80000</x:v>
      </x:c>
      <x:c r="K32" s="27" t="n">
        <x:f>SUM(K7:K31)</x:f>
        <x:v>718000</x:v>
      </x:c>
      <x:c r="L32" s="27" t="n">
        <x:f>MAX(L7:L31)</x:f>
        <x:v>280000</x:v>
      </x:c>
      <x:c r="M32" s="27" t="n">
        <x:f>MAX(M7:M31)</x:f>
        <x:v>310000</x:v>
      </x:c>
      <x:c r="N32" s="28" t="n">
        <x:f>MAX(N7:N31)</x:f>
        <x:v>8</x:v>
      </x:c>
      <x:c r="O32" s="28" t="n">
        <x:f>MAX(O7:O31)</x:f>
        <x:v>10</x:v>
      </x:c>
      <x:c r="P32" s="28" t="n">
        <x:f>SUM(P7:P31)</x:f>
        <x:v>172</x:v>
      </x:c>
      <x:c r="Q32" s="28" t="n">
        <x:f>SUM(Q7:Q31)</x:f>
        <x:v>38</x:v>
      </x:c>
      <x:c r="R32" s="28" t="n">
        <x:f>SUM(R7:R31)</x:f>
        <x:v>401</x:v>
      </x:c>
      <x:c r="S32" s="29" t="n">
        <x:f>SUM(S7:S31)</x:f>
        <x:v>1502.4166666666667</x:v>
      </x:c>
      <x:c r="T32" s="29" t="n">
        <x:f>SUM(T7:T31)</x:f>
        <x:v>73.85</x:v>
      </x:c>
      <x:c r="U32" s="29" t="n">
        <x:f>SUM(U7:U31)</x:f>
        <x:v>0</x:v>
      </x:c>
      <x:c r="V32" s="29" t="n">
        <x:f>SUM(V7:V31)</x:f>
        <x:v>0</x:v>
      </x:c>
      <x:c r="W32" s="28" t="n">
        <x:f>SUM(W7:W31)</x:f>
        <x:v>0</x:v>
      </x:c>
      <x:c r="X32" s="28" t="n">
        <x:f>SUM(X7:X31)</x:f>
        <x:v>0</x:v>
      </x:c>
      <x:c r="Y32" s="28" t="n">
        <x:f>SUM(Y7:Y31)</x:f>
        <x:v>0</x:v>
      </x:c>
      <x:c r="Z32" s="28" t="n">
        <x:f>SUM(Z7:Z31)</x:f>
        <x:v>0</x:v>
      </x:c>
    </x:row>
  </x:sheetData>
  <x:conditionalFormatting sqref="B7:M32">
    <x:cfRule type="cellIs" dxfId="1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2b40c1ca5dd4d91"/>
  </x:tableParts>
</x:worksheet>
</file>

<file path=xl/worksheets/sheet13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3" customHeight="1">
      <x:c r="A2" s="4" t="str">
        <x:v>P10　全夜間の利益・損失・収支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3" ht="23" customHeight="1">
      <x:c r="A3" s="6" t="str">
        <x:v>日経mini・片方向上限10枚・手数料0・次正常ラージ気配代理。2026/09/21〜10/23の完了25夜。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3" customHeight="1">
      <x:c r="A4" s="6" t="str">
        <x:v>利益・損失は新規実約定IDごとの全返済収支で分類。旧親単位の利益損失とは異なります。未測定は空欄。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3" customHeight="1">
      <x:c r="A5" s="6" t="str">
        <x:v>前半・80/40追尾・黒字返済後40pt追尾再新規。P：新手法は米国開始15分前まで、後半は保存S04。含み損・DD・保有時間・返済内訳は前半だけ。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4" customHeight="1">
      <x:c r="A6" s="15" t="str">
        <x:v>セッション</x:v>
      </x:c>
      <x:c r="B6" s="16" t="str">
        <x:v>利益（円）</x:v>
      </x:c>
      <x:c r="C6" s="16" t="str">
        <x:v>損失（円）</x:v>
      </x:c>
      <x:c r="D6" s="16" t="str">
        <x:v>全夜収支（円）</x:v>
      </x:c>
      <x:c r="E6" s="16" t="str">
        <x:v>累計（円）</x:v>
      </x:c>
      <x:c r="F6" s="16" t="str">
        <x:v>対象区間収支</x:v>
      </x:c>
      <x:c r="G6" s="16" t="str">
        <x:v>保存後半収支</x:v>
      </x:c>
      <x:c r="H6" s="16" t="str">
        <x:v>利益追尾の利益</x:v>
      </x:c>
      <x:c r="I6" s="16" t="str">
        <x:v>利益追尾の損失</x:v>
      </x:c>
      <x:c r="J6" s="16" t="str">
        <x:v>境界清算の利益</x:v>
      </x:c>
      <x:c r="K6" s="16" t="str">
        <x:v>境界清算の損失</x:v>
      </x:c>
      <x:c r="L6" s="16" t="str">
        <x:v>最大含み損（円）</x:v>
      </x:c>
      <x:c r="M6" s="16" t="str">
        <x:v>対象区間DD</x:v>
      </x:c>
      <x:c r="N6" s="16" t="str">
        <x:v>最大買い枚数</x:v>
      </x:c>
      <x:c r="O6" s="16" t="str">
        <x:v>最大売り枚数</x:v>
      </x:c>
      <x:c r="P6" s="16" t="str">
        <x:v>全夜新規件数</x:v>
      </x:c>
      <x:c r="Q6" s="16" t="str">
        <x:v>対象区間新規</x:v>
      </x:c>
      <x:c r="R6" s="16" t="str">
        <x:v>全新規枚数</x:v>
      </x:c>
      <x:c r="S6" s="16" t="str">
        <x:v>保有（分）</x:v>
      </x:c>
      <x:c r="T6" s="16" t="str">
        <x:v>両建て（分）</x:v>
      </x:c>
      <x:c r="U6" s="16" t="str">
        <x:v>買い上限（分）</x:v>
      </x:c>
      <x:c r="V6" s="16" t="str">
        <x:v>売り上限（分）</x:v>
      </x:c>
      <x:c r="W6" s="16" t="str">
        <x:v>上限拒否・縮小件数</x:v>
      </x:c>
      <x:c r="X6" s="16" t="str">
        <x:v>通知全拒否件数</x:v>
      </x:c>
      <x:c r="Y6" s="16" t="str">
        <x:v>実再参加件数</x:v>
      </x:c>
      <x:c r="Z6" s="17" t="str">
        <x:v>判断利益→実損失</x:v>
      </x:c>
    </x:row>
    <x:row r="7" ht="23" customHeight="1">
      <x:c r="A7" s="2" t="str">
        <x:v>2026-09-21_Night</x:v>
      </x:c>
      <x:c r="B7" s="19" t="n">
        <x:v>0</x:v>
      </x:c>
      <x:c r="C7" s="19" t="n">
        <x:v>45000</x:v>
      </x:c>
      <x:c r="D7" s="19" t="n">
        <x:f>B7-C7</x:f>
        <x:v>-45000</x:v>
      </x:c>
      <x:c r="E7" s="19" t="n">
        <x:f>D7</x:f>
        <x:v>-45000</x:v>
      </x:c>
      <x:c r="F7" s="19" t="n">
        <x:v>0</x:v>
      </x:c>
      <x:c r="G7" s="19" t="n">
        <x:f>D7-F7</x:f>
        <x:v>-45000</x:v>
      </x:c>
      <x:c r="H7" s="19" t="n">
        <x:v>0</x:v>
      </x:c>
      <x:c r="I7" s="19" t="n">
        <x:v>0</x:v>
      </x:c>
      <x:c r="J7" s="19" t="n">
        <x:v>0</x:v>
      </x:c>
      <x:c r="K7" s="19" t="n">
        <x:v>0</x:v>
      </x:c>
      <x:c r="L7" s="19" t="n">
        <x:v>0</x:v>
      </x:c>
      <x:c r="M7" s="19" t="n">
        <x:v>0</x:v>
      </x:c>
      <x:c r="N7" s="20" t="n">
        <x:v>5</x:v>
      </x:c>
      <x:c r="O7" s="20" t="n">
        <x:v>0</x:v>
      </x:c>
      <x:c r="P7" s="20" t="n">
        <x:v>1</x:v>
      </x:c>
      <x:c r="Q7" s="20" t="n">
        <x:v>0</x:v>
      </x:c>
      <x:c r="R7" s="20" t="n">
        <x:v>5</x:v>
      </x:c>
      <x:c r="S7" s="21" t="n">
        <x:f>0/60</x:f>
        <x:v>0</x:v>
      </x:c>
      <x:c r="T7" s="21" t="n">
        <x:f>0/60</x:f>
        <x:v>0</x:v>
      </x:c>
      <x:c r="U7" s="21" t="n">
        <x:f>0/60</x:f>
        <x:v>0</x:v>
      </x:c>
      <x:c r="V7" s="21" t="n">
        <x:f>0/60</x:f>
        <x:v>0</x:v>
      </x:c>
      <x:c r="W7" s="20" t="n">
        <x:v>0</x:v>
      </x:c>
      <x:c r="X7" s="20" t="n">
        <x:v>0</x:v>
      </x:c>
      <x:c r="Y7" s="20" t="n">
        <x:v>0</x:v>
      </x:c>
      <x:c r="Z7" s="20" t="n">
        <x:v>0</x:v>
      </x:c>
    </x:row>
    <x:row r="8" ht="23" customHeight="1">
      <x:c r="A8" s="2" t="str">
        <x:v>2026-09-22_Night</x:v>
      </x:c>
      <x:c r="B8" s="19" t="n">
        <x:v>109000</x:v>
      </x:c>
      <x:c r="C8" s="19" t="n">
        <x:v>15000</x:v>
      </x:c>
      <x:c r="D8" s="19" t="n">
        <x:f>B8-C8</x:f>
        <x:v>94000</x:v>
      </x:c>
      <x:c r="E8" s="19" t="n">
        <x:f>E7+D8</x:f>
        <x:v>49000</x:v>
      </x:c>
      <x:c r="F8" s="19" t="n">
        <x:v>70000</x:v>
      </x:c>
      <x:c r="G8" s="19" t="n">
        <x:f>D8-F8</x:f>
        <x:v>24000</x:v>
      </x:c>
      <x:c r="H8" s="19" t="n">
        <x:v>85000</x:v>
      </x:c>
      <x:c r="I8" s="19" t="n">
        <x:v>0</x:v>
      </x:c>
      <x:c r="J8" s="19" t="n">
        <x:v>0</x:v>
      </x:c>
      <x:c r="K8" s="19" t="n">
        <x:v>15000</x:v>
      </x:c>
      <x:c r="L8" s="19" t="n">
        <x:v>85000</x:v>
      </x:c>
      <x:c r="M8" s="19" t="n">
        <x:v>110000</x:v>
      </x:c>
      <x:c r="N8" s="20" t="n">
        <x:v>5</x:v>
      </x:c>
      <x:c r="O8" s="20" t="n">
        <x:v>0</x:v>
      </x:c>
      <x:c r="P8" s="20" t="n">
        <x:v>4</x:v>
      </x:c>
      <x:c r="Q8" s="20" t="n">
        <x:v>3</x:v>
      </x:c>
      <x:c r="R8" s="20" t="n">
        <x:v>20</x:v>
      </x:c>
      <x:c r="S8" s="21" t="n">
        <x:f>14669/60</x:f>
        <x:v>244.48333333333332</x:v>
      </x:c>
      <x:c r="T8" s="21" t="n">
        <x:f>0/60</x:f>
        <x:v>0</x:v>
      </x:c>
      <x:c r="U8" s="21" t="n">
        <x:f>0/60</x:f>
        <x:v>0</x:v>
      </x:c>
      <x:c r="V8" s="21" t="n">
        <x:f>0/60</x:f>
        <x:v>0</x:v>
      </x:c>
      <x:c r="W8" s="20" t="n">
        <x:v>0</x:v>
      </x:c>
      <x:c r="X8" s="20" t="n">
        <x:v>0</x:v>
      </x:c>
      <x:c r="Y8" s="20" t="n">
        <x:v>2</x:v>
      </x:c>
      <x:c r="Z8" s="20" t="n">
        <x:v>0</x:v>
      </x:c>
    </x:row>
    <x:row r="9" ht="23" customHeight="1">
      <x:c r="A9" s="2" t="str">
        <x:v>2026-09-23_Night</x:v>
      </x:c>
      <x:c r="B9" s="19" t="n">
        <x:v>5000</x:v>
      </x:c>
      <x:c r="C9" s="19" t="n">
        <x:v>41000</x:v>
      </x:c>
      <x:c r="D9" s="19" t="n">
        <x:f>B9-C9</x:f>
        <x:v>-36000</x:v>
      </x:c>
      <x:c r="E9" s="19" t="n">
        <x:f>E8+D9</x:f>
        <x:v>13000</x:v>
      </x:c>
      <x:c r="F9" s="19" t="n">
        <x:v>0</x:v>
      </x:c>
      <x:c r="G9" s="19" t="n">
        <x:f>D9-F9</x:f>
        <x:v>-36000</x:v>
      </x:c>
      <x:c r="H9" s="19" t="n">
        <x:v>0</x:v>
      </x:c>
      <x:c r="I9" s="19" t="n">
        <x:v>0</x:v>
      </x:c>
      <x:c r="J9" s="19" t="n">
        <x:v>0</x:v>
      </x:c>
      <x:c r="K9" s="19" t="n">
        <x:v>0</x:v>
      </x:c>
      <x:c r="L9" s="19" t="n">
        <x:v>0</x:v>
      </x:c>
      <x:c r="M9" s="19" t="n">
        <x:v>0</x:v>
      </x:c>
      <x:c r="N9" s="20" t="n">
        <x:v>2</x:v>
      </x:c>
      <x:c r="O9" s="20" t="n">
        <x:v>5</x:v>
      </x:c>
      <x:c r="P9" s="20" t="n">
        <x:v>3</x:v>
      </x:c>
      <x:c r="Q9" s="20" t="n">
        <x:v>0</x:v>
      </x:c>
      <x:c r="R9" s="20" t="n">
        <x:v>7</x:v>
      </x:c>
      <x:c r="S9" s="21" t="n">
        <x:f>0/60</x:f>
        <x:v>0</x:v>
      </x:c>
      <x:c r="T9" s="21" t="n">
        <x:f>0/60</x:f>
        <x:v>0</x:v>
      </x:c>
      <x:c r="U9" s="21" t="n">
        <x:f>0/60</x:f>
        <x:v>0</x:v>
      </x:c>
      <x:c r="V9" s="21" t="n">
        <x:f>0/60</x:f>
        <x:v>0</x:v>
      </x:c>
      <x:c r="W9" s="20" t="n">
        <x:v>0</x:v>
      </x:c>
      <x:c r="X9" s="20" t="n">
        <x:v>0</x:v>
      </x:c>
      <x:c r="Y9" s="20" t="n">
        <x:v>0</x:v>
      </x:c>
      <x:c r="Z9" s="20" t="n">
        <x:v>0</x:v>
      </x:c>
    </x:row>
    <x:row r="10" ht="23" customHeight="1">
      <x:c r="A10" s="2" t="str">
        <x:v>2026-09-24_Night</x:v>
      </x:c>
      <x:c r="B10" s="19" t="n">
        <x:v>100000</x:v>
      </x:c>
      <x:c r="C10" s="19" t="n">
        <x:v>0</x:v>
      </x:c>
      <x:c r="D10" s="19" t="n">
        <x:f>B10-C10</x:f>
        <x:v>100000</x:v>
      </x:c>
      <x:c r="E10" s="19" t="n">
        <x:f>E9+D10</x:f>
        <x:v>113000</x:v>
      </x:c>
      <x:c r="F10" s="19" t="n">
        <x:v>80000</x:v>
      </x:c>
      <x:c r="G10" s="19" t="n">
        <x:f>D10-F10</x:f>
        <x:v>20000</x:v>
      </x:c>
      <x:c r="H10" s="19" t="n">
        <x:v>25000</x:v>
      </x:c>
      <x:c r="I10" s="19" t="n">
        <x:v>0</x:v>
      </x:c>
      <x:c r="J10" s="19" t="n">
        <x:v>55000</x:v>
      </x:c>
      <x:c r="K10" s="19" t="n">
        <x:v>0</x:v>
      </x:c>
      <x:c r="L10" s="19" t="n">
        <x:v>105000</x:v>
      </x:c>
      <x:c r="M10" s="19" t="n">
        <x:v>120000</x:v>
      </x:c>
      <x:c r="N10" s="20" t="n">
        <x:v>10</x:v>
      </x:c>
      <x:c r="O10" s="20" t="n">
        <x:v>2</x:v>
      </x:c>
      <x:c r="P10" s="20" t="n">
        <x:v>5</x:v>
      </x:c>
      <x:c r="Q10" s="20" t="n">
        <x:v>3</x:v>
      </x:c>
      <x:c r="R10" s="20" t="n">
        <x:v>17</x:v>
      </x:c>
      <x:c r="S10" s="21" t="n">
        <x:f>8481/60</x:f>
        <x:v>141.35</x:v>
      </x:c>
      <x:c r="T10" s="21" t="n">
        <x:f>0/60</x:f>
        <x:v>0</x:v>
      </x:c>
      <x:c r="U10" s="21" t="n">
        <x:f>1083/60</x:f>
        <x:v>18.05</x:v>
      </x:c>
      <x:c r="V10" s="21" t="n">
        <x:f>0/60</x:f>
        <x:v>0</x:v>
      </x:c>
      <x:c r="W10" s="20" t="n">
        <x:v>0</x:v>
      </x:c>
      <x:c r="X10" s="20" t="n">
        <x:v>0</x:v>
      </x:c>
      <x:c r="Y10" s="20" t="n">
        <x:v>1</x:v>
      </x:c>
      <x:c r="Z10" s="20" t="n">
        <x:v>0</x:v>
      </x:c>
    </x:row>
    <x:row r="11" ht="23" customHeight="1">
      <x:c r="A11" s="2" t="str">
        <x:v>2026-09-25_Night</x:v>
      </x:c>
      <x:c r="B11" s="19" t="n">
        <x:v>17000</x:v>
      </x:c>
      <x:c r="C11" s="19" t="n">
        <x:v>16000</x:v>
      </x:c>
      <x:c r="D11" s="19" t="n">
        <x:f>B11-C11</x:f>
        <x:v>1000</x:v>
      </x:c>
      <x:c r="E11" s="19" t="n">
        <x:f>E10+D11</x:f>
        <x:v>114000</x:v>
      </x:c>
      <x:c r="F11" s="19" t="n">
        <x:v>0</x:v>
      </x:c>
      <x:c r="G11" s="19" t="n">
        <x:f>D11-F11</x:f>
        <x:v>1000</x:v>
      </x:c>
      <x:c r="H11" s="19" t="n">
        <x:v>0</x:v>
      </x:c>
      <x:c r="I11" s="19" t="n">
        <x:v>0</x:v>
      </x:c>
      <x:c r="J11" s="19" t="n">
        <x:v>0</x:v>
      </x:c>
      <x:c r="K11" s="19" t="n">
        <x:v>0</x:v>
      </x:c>
      <x:c r="L11" s="19" t="n">
        <x:v>0</x:v>
      </x:c>
      <x:c r="M11" s="19" t="n">
        <x:v>0</x:v>
      </x:c>
      <x:c r="N11" s="20" t="n">
        <x:v>1</x:v>
      </x:c>
      <x:c r="O11" s="20" t="n">
        <x:v>5</x:v>
      </x:c>
      <x:c r="P11" s="20" t="n">
        <x:v>2</x:v>
      </x:c>
      <x:c r="Q11" s="20" t="n">
        <x:v>0</x:v>
      </x:c>
      <x:c r="R11" s="20" t="n">
        <x:v>6</x:v>
      </x:c>
      <x:c r="S11" s="21" t="n">
        <x:f>0/60</x:f>
        <x:v>0</x:v>
      </x:c>
      <x:c r="T11" s="21" t="n">
        <x:f>0/60</x:f>
        <x:v>0</x:v>
      </x:c>
      <x:c r="U11" s="21" t="n">
        <x:f>0/60</x:f>
        <x:v>0</x:v>
      </x:c>
      <x:c r="V11" s="21" t="n">
        <x:f>0/60</x:f>
        <x:v>0</x:v>
      </x:c>
      <x:c r="W11" s="20" t="n">
        <x:v>0</x:v>
      </x:c>
      <x:c r="X11" s="20" t="n">
        <x:v>0</x:v>
      </x:c>
      <x:c r="Y11" s="20" t="n">
        <x:v>0</x:v>
      </x:c>
      <x:c r="Z11" s="20" t="n">
        <x:v>0</x:v>
      </x:c>
    </x:row>
    <x:row r="12" ht="23" customHeight="1">
      <x:c r="A12" s="2" t="str">
        <x:v>2026-09-28_Night</x:v>
      </x:c>
      <x:c r="B12" s="19" t="n">
        <x:v>53000</x:v>
      </x:c>
      <x:c r="C12" s="19" t="n">
        <x:v>51000</x:v>
      </x:c>
      <x:c r="D12" s="19" t="n">
        <x:f>B12-C12</x:f>
        <x:v>2000</x:v>
      </x:c>
      <x:c r="E12" s="19" t="n">
        <x:f>E11+D12</x:f>
        <x:v>116000</x:v>
      </x:c>
      <x:c r="F12" s="19" t="n">
        <x:v>31000</x:v>
      </x:c>
      <x:c r="G12" s="19" t="n">
        <x:f>D12-F12</x:f>
        <x:v>-29000</x:v>
      </x:c>
      <x:c r="H12" s="19" t="n">
        <x:v>43000</x:v>
      </x:c>
      <x:c r="I12" s="19" t="n">
        <x:v>0</x:v>
      </x:c>
      <x:c r="J12" s="19" t="n">
        <x:v>0</x:v>
      </x:c>
      <x:c r="K12" s="19" t="n">
        <x:v>12000</x:v>
      </x:c>
      <x:c r="L12" s="19" t="n">
        <x:v>15000</x:v>
      </x:c>
      <x:c r="M12" s="19" t="n">
        <x:v>19000</x:v>
      </x:c>
      <x:c r="N12" s="20" t="n">
        <x:v>3</x:v>
      </x:c>
      <x:c r="O12" s="20" t="n">
        <x:v>3</x:v>
      </x:c>
      <x:c r="P12" s="20" t="n">
        <x:v>11</x:v>
      </x:c>
      <x:c r="Q12" s="20" t="n">
        <x:v>7</x:v>
      </x:c>
      <x:c r="R12" s="20" t="n">
        <x:v>13</x:v>
      </x:c>
      <x:c r="S12" s="21" t="n">
        <x:f>7644/60</x:f>
        <x:v>127.4</x:v>
      </x:c>
      <x:c r="T12" s="21" t="n">
        <x:f>0/60</x:f>
        <x:v>0</x:v>
      </x:c>
      <x:c r="U12" s="21" t="n">
        <x:f>0/60</x:f>
        <x:v>0</x:v>
      </x:c>
      <x:c r="V12" s="21" t="n">
        <x:f>0/60</x:f>
        <x:v>0</x:v>
      </x:c>
      <x:c r="W12" s="20" t="n">
        <x:v>0</x:v>
      </x:c>
      <x:c r="X12" s="20" t="n">
        <x:v>0</x:v>
      </x:c>
      <x:c r="Y12" s="20" t="n">
        <x:v>6</x:v>
      </x:c>
      <x:c r="Z12" s="20" t="n">
        <x:v>0</x:v>
      </x:c>
    </x:row>
    <x:row r="13" ht="23" customHeight="1">
      <x:c r="A13" s="2" t="str">
        <x:v>2026-09-29_Night</x:v>
      </x:c>
      <x:c r="B13" s="19" t="n">
        <x:v>90000</x:v>
      </x:c>
      <x:c r="C13" s="19" t="n">
        <x:v>25000</x:v>
      </x:c>
      <x:c r="D13" s="19" t="n">
        <x:f>B13-C13</x:f>
        <x:v>65000</x:v>
      </x:c>
      <x:c r="E13" s="19" t="n">
        <x:f>E12+D13</x:f>
        <x:v>181000</x:v>
      </x:c>
      <x:c r="F13" s="19" t="n">
        <x:v>0</x:v>
      </x:c>
      <x:c r="G13" s="19" t="n">
        <x:f>D13-F13</x:f>
        <x:v>65000</x:v>
      </x:c>
      <x:c r="H13" s="19" t="n">
        <x:v>0</x:v>
      </x:c>
      <x:c r="I13" s="19" t="n">
        <x:v>0</x:v>
      </x:c>
      <x:c r="J13" s="19" t="n">
        <x:v>0</x:v>
      </x:c>
      <x:c r="K13" s="19" t="n">
        <x:v>0</x:v>
      </x:c>
      <x:c r="L13" s="19" t="n">
        <x:v>0</x:v>
      </x:c>
      <x:c r="M13" s="19" t="n">
        <x:v>0</x:v>
      </x:c>
      <x:c r="N13" s="20" t="n">
        <x:v>5</x:v>
      </x:c>
      <x:c r="O13" s="20" t="n">
        <x:v>5</x:v>
      </x:c>
      <x:c r="P13" s="20" t="n">
        <x:v>6</x:v>
      </x:c>
      <x:c r="Q13" s="20" t="n">
        <x:v>0</x:v>
      </x:c>
      <x:c r="R13" s="20" t="n">
        <x:v>14</x:v>
      </x:c>
      <x:c r="S13" s="21" t="n">
        <x:f>0/60</x:f>
        <x:v>0</x:v>
      </x:c>
      <x:c r="T13" s="21" t="n">
        <x:f>0/60</x:f>
        <x:v>0</x:v>
      </x:c>
      <x:c r="U13" s="21" t="n">
        <x:f>0/60</x:f>
        <x:v>0</x:v>
      </x:c>
      <x:c r="V13" s="21" t="n">
        <x:f>0/60</x:f>
        <x:v>0</x:v>
      </x:c>
      <x:c r="W13" s="20" t="n">
        <x:v>0</x:v>
      </x:c>
      <x:c r="X13" s="20" t="n">
        <x:v>0</x:v>
      </x:c>
      <x:c r="Y13" s="20" t="n">
        <x:v>0</x:v>
      </x:c>
      <x:c r="Z13" s="20" t="n">
        <x:v>0</x:v>
      </x:c>
    </x:row>
    <x:row r="14" ht="23" customHeight="1">
      <x:c r="A14" s="2" t="str">
        <x:v>2026-09-30_Night</x:v>
      </x:c>
      <x:c r="B14" s="19" t="n">
        <x:v>289000</x:v>
      </x:c>
      <x:c r="C14" s="19" t="n">
        <x:v>386000</x:v>
      </x:c>
      <x:c r="D14" s="19" t="n">
        <x:f>B14-C14</x:f>
        <x:v>-97000</x:v>
      </x:c>
      <x:c r="E14" s="19" t="n">
        <x:f>E13+D14</x:f>
        <x:v>84000</x:v>
      </x:c>
      <x:c r="F14" s="19" t="n">
        <x:v>-140000</x:v>
      </x:c>
      <x:c r="G14" s="19" t="n">
        <x:f>D14-F14</x:f>
        <x:v>43000</x:v>
      </x:c>
      <x:c r="H14" s="19" t="n">
        <x:v>240000</x:v>
      </x:c>
      <x:c r="I14" s="19" t="n">
        <x:v>0</x:v>
      </x:c>
      <x:c r="J14" s="19" t="n">
        <x:v>0</x:v>
      </x:c>
      <x:c r="K14" s="19" t="n">
        <x:v>380000</x:v>
      </x:c>
      <x:c r="L14" s="19" t="n">
        <x:v>430000</x:v>
      </x:c>
      <x:c r="M14" s="19" t="n">
        <x:v>245000</x:v>
      </x:c>
      <x:c r="N14" s="20" t="n">
        <x:v>10</x:v>
      </x:c>
      <x:c r="O14" s="20" t="n">
        <x:v>5</x:v>
      </x:c>
      <x:c r="P14" s="20" t="n">
        <x:v>11</x:v>
      </x:c>
      <x:c r="Q14" s="20" t="n">
        <x:v>8</x:v>
      </x:c>
      <x:c r="R14" s="20" t="n">
        <x:v>47</x:v>
      </x:c>
      <x:c r="S14" s="21" t="n">
        <x:f>7337/60</x:f>
        <x:v>122.28333333333333</x:v>
      </x:c>
      <x:c r="T14" s="21" t="n">
        <x:f>5780/60</x:f>
        <x:v>96.33333333333333</x:v>
      </x:c>
      <x:c r="U14" s="21" t="n">
        <x:f>2683/60</x:f>
        <x:v>44.71666666666667</x:v>
      </x:c>
      <x:c r="V14" s="21" t="n">
        <x:f>0/60</x:f>
        <x:v>0</x:v>
      </x:c>
      <x:c r="W14" s="20" t="n">
        <x:v>0</x:v>
      </x:c>
      <x:c r="X14" s="20" t="n">
        <x:v>0</x:v>
      </x:c>
      <x:c r="Y14" s="20" t="n">
        <x:v>5</x:v>
      </x:c>
      <x:c r="Z14" s="20" t="n">
        <x:v>0</x:v>
      </x:c>
    </x:row>
    <x:row r="15" ht="23" customHeight="1">
      <x:c r="A15" s="2" t="str">
        <x:v>2026-10-01_Night</x:v>
      </x:c>
      <x:c r="B15" s="19" t="n">
        <x:v>372000</x:v>
      </x:c>
      <x:c r="C15" s="19" t="n">
        <x:v>413000</x:v>
      </x:c>
      <x:c r="D15" s="19" t="n">
        <x:f>B15-C15</x:f>
        <x:v>-41000</x:v>
      </x:c>
      <x:c r="E15" s="19" t="n">
        <x:f>E14+D15</x:f>
        <x:v>43000</x:v>
      </x:c>
      <x:c r="F15" s="19" t="n">
        <x:v>-139000</x:v>
      </x:c>
      <x:c r="G15" s="19" t="n">
        <x:f>D15-F15</x:f>
        <x:v>98000</x:v>
      </x:c>
      <x:c r="H15" s="19" t="n">
        <x:v>171000</x:v>
      </x:c>
      <x:c r="I15" s="19" t="n">
        <x:v>0</x:v>
      </x:c>
      <x:c r="J15" s="19" t="n">
        <x:v>11000</x:v>
      </x:c>
      <x:c r="K15" s="19" t="n">
        <x:v>321000</x:v>
      </x:c>
      <x:c r="L15" s="19" t="n">
        <x:v>320000</x:v>
      </x:c>
      <x:c r="M15" s="19" t="n">
        <x:v>194000</x:v>
      </x:c>
      <x:c r="N15" s="20" t="n">
        <x:v>10</x:v>
      </x:c>
      <x:c r="O15" s="20" t="n">
        <x:v>10</x:v>
      </x:c>
      <x:c r="P15" s="20" t="n">
        <x:v>25</x:v>
      </x:c>
      <x:c r="Q15" s="20" t="n">
        <x:v>17</x:v>
      </x:c>
      <x:c r="R15" s="20" t="n">
        <x:v>58</x:v>
      </x:c>
      <x:c r="S15" s="21" t="n">
        <x:f>13937/60</x:f>
        <x:v>232.28333333333333</x:v>
      </x:c>
      <x:c r="T15" s="21" t="n">
        <x:f>11789/60</x:f>
        <x:v>196.48333333333332</x:v>
      </x:c>
      <x:c r="U15" s="21" t="n">
        <x:f>4431/60</x:f>
        <x:v>73.85</x:v>
      </x:c>
      <x:c r="V15" s="21" t="n">
        <x:f>330/60</x:f>
        <x:v>5.5</x:v>
      </x:c>
      <x:c r="W15" s="20" t="n">
        <x:v>1</x:v>
      </x:c>
      <x:c r="X15" s="20" t="n">
        <x:v>0</x:v>
      </x:c>
      <x:c r="Y15" s="20" t="n">
        <x:v>9</x:v>
      </x:c>
      <x:c r="Z15" s="20" t="n">
        <x:v>0</x:v>
      </x:c>
    </x:row>
    <x:row r="16" ht="23" customHeight="1">
      <x:c r="A16" s="2" t="str">
        <x:v>2026-10-02_Night</x:v>
      </x:c>
      <x:c r="B16" s="19" t="n">
        <x:v>313000</x:v>
      </x:c>
      <x:c r="C16" s="19" t="n">
        <x:v>57000</x:v>
      </x:c>
      <x:c r="D16" s="19" t="n">
        <x:f>B16-C16</x:f>
        <x:v>256000</x:v>
      </x:c>
      <x:c r="E16" s="19" t="n">
        <x:f>E15+D16</x:f>
        <x:v>299000</x:v>
      </x:c>
      <x:c r="F16" s="19" t="n">
        <x:v>0</x:v>
      </x:c>
      <x:c r="G16" s="19" t="n">
        <x:f>D16-F16</x:f>
        <x:v>256000</x:v>
      </x:c>
      <x:c r="H16" s="19" t="n">
        <x:v>0</x:v>
      </x:c>
      <x:c r="I16" s="19" t="n">
        <x:v>0</x:v>
      </x:c>
      <x:c r="J16" s="19" t="n">
        <x:v>0</x:v>
      </x:c>
      <x:c r="K16" s="19" t="n">
        <x:v>0</x:v>
      </x:c>
      <x:c r="L16" s="19" t="n">
        <x:v>0</x:v>
      </x:c>
      <x:c r="M16" s="19" t="n">
        <x:v>0</x:v>
      </x:c>
      <x:c r="N16" s="20" t="n">
        <x:v>7</x:v>
      </x:c>
      <x:c r="O16" s="20" t="n">
        <x:v>10</x:v>
      </x:c>
      <x:c r="P16" s="20" t="n">
        <x:v>15</x:v>
      </x:c>
      <x:c r="Q16" s="20" t="n">
        <x:v>0</x:v>
      </x:c>
      <x:c r="R16" s="20" t="n">
        <x:v>28</x:v>
      </x:c>
      <x:c r="S16" s="21" t="n">
        <x:f>0/60</x:f>
        <x:v>0</x:v>
      </x:c>
      <x:c r="T16" s="21" t="n">
        <x:f>0/60</x:f>
        <x:v>0</x:v>
      </x:c>
      <x:c r="U16" s="21" t="n">
        <x:f>0/60</x:f>
        <x:v>0</x:v>
      </x:c>
      <x:c r="V16" s="21" t="n">
        <x:f>0/60</x:f>
        <x:v>0</x:v>
      </x:c>
      <x:c r="W16" s="20" t="n">
        <x:v>0</x:v>
      </x:c>
      <x:c r="X16" s="20" t="n">
        <x:v>0</x:v>
      </x:c>
      <x:c r="Y16" s="20" t="n">
        <x:v>0</x:v>
      </x:c>
      <x:c r="Z16" s="20" t="n">
        <x:v>0</x:v>
      </x:c>
    </x:row>
    <x:row r="17" ht="23" customHeight="1">
      <x:c r="A17" s="2" t="str">
        <x:v>2026-10-05_Night</x:v>
      </x:c>
      <x:c r="B17" s="19" t="n">
        <x:v>143000</x:v>
      </x:c>
      <x:c r="C17" s="19" t="n">
        <x:v>184000</x:v>
      </x:c>
      <x:c r="D17" s="19" t="n">
        <x:f>B17-C17</x:f>
        <x:v>-41000</x:v>
      </x:c>
      <x:c r="E17" s="19" t="n">
        <x:f>E16+D17</x:f>
        <x:v>258000</x:v>
      </x:c>
      <x:c r="F17" s="19" t="n">
        <x:v>-75000</x:v>
      </x:c>
      <x:c r="G17" s="19" t="n">
        <x:f>D17-F17</x:f>
        <x:v>34000</x:v>
      </x:c>
      <x:c r="H17" s="19" t="n">
        <x:v>45000</x:v>
      </x:c>
      <x:c r="I17" s="19" t="n">
        <x:v>0</x:v>
      </x:c>
      <x:c r="J17" s="19" t="n">
        <x:v>0</x:v>
      </x:c>
      <x:c r="K17" s="19" t="n">
        <x:v>120000</x:v>
      </x:c>
      <x:c r="L17" s="19" t="n">
        <x:v>175000</x:v>
      </x:c>
      <x:c r="M17" s="19" t="n">
        <x:v>200000</x:v>
      </x:c>
      <x:c r="N17" s="20" t="n">
        <x:v>5</x:v>
      </x:c>
      <x:c r="O17" s="20" t="n">
        <x:v>5</x:v>
      </x:c>
      <x:c r="P17" s="20" t="n">
        <x:v>10</x:v>
      </x:c>
      <x:c r="Q17" s="20" t="n">
        <x:v>3</x:v>
      </x:c>
      <x:c r="R17" s="20" t="n">
        <x:v>29</x:v>
      </x:c>
      <x:c r="S17" s="21" t="n">
        <x:f>15739/60</x:f>
        <x:v>262.31666666666666</x:v>
      </x:c>
      <x:c r="T17" s="21" t="n">
        <x:f>0/60</x:f>
        <x:v>0</x:v>
      </x:c>
      <x:c r="U17" s="21" t="n">
        <x:f>0/60</x:f>
        <x:v>0</x:v>
      </x:c>
      <x:c r="V17" s="21" t="n">
        <x:f>0/60</x:f>
        <x:v>0</x:v>
      </x:c>
      <x:c r="W17" s="20" t="n">
        <x:v>0</x:v>
      </x:c>
      <x:c r="X17" s="20" t="n">
        <x:v>0</x:v>
      </x:c>
      <x:c r="Y17" s="20" t="n">
        <x:v>2</x:v>
      </x:c>
      <x:c r="Z17" s="20" t="n">
        <x:v>0</x:v>
      </x:c>
    </x:row>
    <x:row r="18" ht="23" customHeight="1">
      <x:c r="A18" s="2" t="str">
        <x:v>2026-10-06_Night</x:v>
      </x:c>
      <x:c r="B18" s="19" t="n">
        <x:v>33000</x:v>
      </x:c>
      <x:c r="C18" s="19" t="n">
        <x:v>43000</x:v>
      </x:c>
      <x:c r="D18" s="19" t="n">
        <x:f>B18-C18</x:f>
        <x:v>-10000</x:v>
      </x:c>
      <x:c r="E18" s="19" t="n">
        <x:f>E17+D18</x:f>
        <x:v>248000</x:v>
      </x:c>
      <x:c r="F18" s="19" t="n">
        <x:v>0</x:v>
      </x:c>
      <x:c r="G18" s="19" t="n">
        <x:f>D18-F18</x:f>
        <x:v>-10000</x:v>
      </x:c>
      <x:c r="H18" s="19" t="n">
        <x:v>0</x:v>
      </x:c>
      <x:c r="I18" s="19" t="n">
        <x:v>0</x:v>
      </x:c>
      <x:c r="J18" s="19" t="n">
        <x:v>0</x:v>
      </x:c>
      <x:c r="K18" s="19" t="n">
        <x:v>0</x:v>
      </x:c>
      <x:c r="L18" s="19" t="n">
        <x:v>0</x:v>
      </x:c>
      <x:c r="M18" s="19" t="n">
        <x:v>0</x:v>
      </x:c>
      <x:c r="N18" s="20" t="n">
        <x:v>0</x:v>
      </x:c>
      <x:c r="O18" s="20" t="n">
        <x:v>7</x:v>
      </x:c>
      <x:c r="P18" s="20" t="n">
        <x:v>4</x:v>
      </x:c>
      <x:c r="Q18" s="20" t="n">
        <x:v>0</x:v>
      </x:c>
      <x:c r="R18" s="20" t="n">
        <x:v>8</x:v>
      </x:c>
      <x:c r="S18" s="21" t="n">
        <x:f>0/60</x:f>
        <x:v>0</x:v>
      </x:c>
      <x:c r="T18" s="21" t="n">
        <x:f>0/60</x:f>
        <x:v>0</x:v>
      </x:c>
      <x:c r="U18" s="21" t="n">
        <x:f>0/60</x:f>
        <x:v>0</x:v>
      </x:c>
      <x:c r="V18" s="21" t="n">
        <x:f>0/60</x:f>
        <x:v>0</x:v>
      </x:c>
      <x:c r="W18" s="20" t="n">
        <x:v>0</x:v>
      </x:c>
      <x:c r="X18" s="20" t="n">
        <x:v>0</x:v>
      </x:c>
      <x:c r="Y18" s="20" t="n">
        <x:v>0</x:v>
      </x:c>
      <x:c r="Z18" s="20" t="n">
        <x:v>0</x:v>
      </x:c>
    </x:row>
    <x:row r="19" ht="23" customHeight="1">
      <x:c r="A19" s="2" t="str">
        <x:v>2026-10-07_Night</x:v>
      </x:c>
      <x:c r="B19" s="19" t="n">
        <x:v>240000</x:v>
      </x:c>
      <x:c r="C19" s="19" t="n">
        <x:v>77000</x:v>
      </x:c>
      <x:c r="D19" s="19" t="n">
        <x:f>B19-C19</x:f>
        <x:v>163000</x:v>
      </x:c>
      <x:c r="E19" s="19" t="n">
        <x:f>E18+D19</x:f>
        <x:v>411000</x:v>
      </x:c>
      <x:c r="F19" s="19" t="n">
        <x:v>185000</x:v>
      </x:c>
      <x:c r="G19" s="19" t="n">
        <x:f>D19-F19</x:f>
        <x:v>-22000</x:v>
      </x:c>
      <x:c r="H19" s="19" t="n">
        <x:v>240000</x:v>
      </x:c>
      <x:c r="I19" s="19" t="n">
        <x:v>0</x:v>
      </x:c>
      <x:c r="J19" s="19" t="n">
        <x:v>0</x:v>
      </x:c>
      <x:c r="K19" s="19" t="n">
        <x:v>55000</x:v>
      </x:c>
      <x:c r="L19" s="19" t="n">
        <x:v>81000</x:v>
      </x:c>
      <x:c r="M19" s="19" t="n">
        <x:v>75000</x:v>
      </x:c>
      <x:c r="N19" s="20" t="n">
        <x:v>2</x:v>
      </x:c>
      <x:c r="O19" s="20" t="n">
        <x:v>5</x:v>
      </x:c>
      <x:c r="P19" s="20" t="n">
        <x:v>11</x:v>
      </x:c>
      <x:c r="Q19" s="20" t="n">
        <x:v>9</x:v>
      </x:c>
      <x:c r="R19" s="20" t="n">
        <x:v>39</x:v>
      </x:c>
      <x:c r="S19" s="21" t="n">
        <x:f>13545/60</x:f>
        <x:v>225.75</x:v>
      </x:c>
      <x:c r="T19" s="21" t="n">
        <x:f>4268/60</x:f>
        <x:v>71.13333333333334</x:v>
      </x:c>
      <x:c r="U19" s="21" t="n">
        <x:f>0/60</x:f>
        <x:v>0</x:v>
      </x:c>
      <x:c r="V19" s="21" t="n">
        <x:f>0/60</x:f>
        <x:v>0</x:v>
      </x:c>
      <x:c r="W19" s="20" t="n">
        <x:v>0</x:v>
      </x:c>
      <x:c r="X19" s="20" t="n">
        <x:v>0</x:v>
      </x:c>
      <x:c r="Y19" s="20" t="n">
        <x:v>6</x:v>
      </x:c>
      <x:c r="Z19" s="20" t="n">
        <x:v>0</x:v>
      </x:c>
    </x:row>
    <x:row r="20" ht="23" customHeight="1">
      <x:c r="A20" s="2" t="str">
        <x:v>2026-10-08_Night</x:v>
      </x:c>
      <x:c r="B20" s="19" t="n">
        <x:v>385000</x:v>
      </x:c>
      <x:c r="C20" s="19" t="n">
        <x:v>102000</x:v>
      </x:c>
      <x:c r="D20" s="19" t="n">
        <x:f>B20-C20</x:f>
        <x:v>283000</x:v>
      </x:c>
      <x:c r="E20" s="19" t="n">
        <x:f>E19+D20</x:f>
        <x:v>694000</x:v>
      </x:c>
      <x:c r="F20" s="19" t="n">
        <x:v>-23000</x:v>
      </x:c>
      <x:c r="G20" s="19" t="n">
        <x:f>D20-F20</x:f>
        <x:v>306000</x:v>
      </x:c>
      <x:c r="H20" s="19" t="n">
        <x:v>43000</x:v>
      </x:c>
      <x:c r="I20" s="19" t="n">
        <x:v>0</x:v>
      </x:c>
      <x:c r="J20" s="19" t="n">
        <x:v>0</x:v>
      </x:c>
      <x:c r="K20" s="19" t="n">
        <x:v>66000</x:v>
      </x:c>
      <x:c r="L20" s="19" t="n">
        <x:v>72000</x:v>
      </x:c>
      <x:c r="M20" s="19" t="n">
        <x:v>80000</x:v>
      </x:c>
      <x:c r="N20" s="20" t="n">
        <x:v>8</x:v>
      </x:c>
      <x:c r="O20" s="20" t="n">
        <x:v>8</x:v>
      </x:c>
      <x:c r="P20" s="20" t="n">
        <x:v>22</x:v>
      </x:c>
      <x:c r="Q20" s="20" t="n">
        <x:v>7</x:v>
      </x:c>
      <x:c r="R20" s="20" t="n">
        <x:v>35</x:v>
      </x:c>
      <x:c r="S20" s="21" t="n">
        <x:f>12413/60</x:f>
        <x:v>206.88333333333333</x:v>
      </x:c>
      <x:c r="T20" s="21" t="n">
        <x:f>0/60</x:f>
        <x:v>0</x:v>
      </x:c>
      <x:c r="U20" s="21" t="n">
        <x:f>0/60</x:f>
        <x:v>0</x:v>
      </x:c>
      <x:c r="V20" s="21" t="n">
        <x:f>0/60</x:f>
        <x:v>0</x:v>
      </x:c>
      <x:c r="W20" s="20" t="n">
        <x:v>0</x:v>
      </x:c>
      <x:c r="X20" s="20" t="n">
        <x:v>0</x:v>
      </x:c>
      <x:c r="Y20" s="20" t="n">
        <x:v>5</x:v>
      </x:c>
      <x:c r="Z20" s="20" t="n">
        <x:v>0</x:v>
      </x:c>
    </x:row>
    <x:row r="21" ht="23" customHeight="1">
      <x:c r="A21" s="2" t="str">
        <x:v>2026-10-09_Night</x:v>
      </x:c>
      <x:c r="B21" s="19" t="n">
        <x:v>84000</x:v>
      </x:c>
      <x:c r="C21" s="19" t="n">
        <x:v>185000</x:v>
      </x:c>
      <x:c r="D21" s="19" t="n">
        <x:f>B21-C21</x:f>
        <x:v>-101000</x:v>
      </x:c>
      <x:c r="E21" s="19" t="n">
        <x:f>E20+D21</x:f>
        <x:v>593000</x:v>
      </x:c>
      <x:c r="F21" s="19" t="n">
        <x:v>-115000</x:v>
      </x:c>
      <x:c r="G21" s="19" t="n">
        <x:f>D21-F21</x:f>
        <x:v>14000</x:v>
      </x:c>
      <x:c r="H21" s="19" t="n">
        <x:v>70000</x:v>
      </x:c>
      <x:c r="I21" s="19" t="n">
        <x:v>0</x:v>
      </x:c>
      <x:c r="J21" s="19" t="n">
        <x:v>0</x:v>
      </x:c>
      <x:c r="K21" s="19" t="n">
        <x:v>185000</x:v>
      </x:c>
      <x:c r="L21" s="19" t="n">
        <x:v>215000</x:v>
      </x:c>
      <x:c r="M21" s="19" t="n">
        <x:v>270000</x:v>
      </x:c>
      <x:c r="N21" s="20" t="n">
        <x:v>0</x:v>
      </x:c>
      <x:c r="O21" s="20" t="n">
        <x:v>10</x:v>
      </x:c>
      <x:c r="P21" s="20" t="n">
        <x:v>6</x:v>
      </x:c>
      <x:c r="Q21" s="20" t="n">
        <x:v>5</x:v>
      </x:c>
      <x:c r="R21" s="20" t="n">
        <x:v>30</x:v>
      </x:c>
      <x:c r="S21" s="21" t="n">
        <x:f>13711/60</x:f>
        <x:v>228.51666666666668</x:v>
      </x:c>
      <x:c r="T21" s="21" t="n">
        <x:f>0/60</x:f>
        <x:v>0</x:v>
      </x:c>
      <x:c r="U21" s="21" t="n">
        <x:f>0/60</x:f>
        <x:v>0</x:v>
      </x:c>
      <x:c r="V21" s="21" t="n">
        <x:f>1659/60</x:f>
        <x:v>27.65</x:v>
      </x:c>
      <x:c r="W21" s="20" t="n">
        <x:v>0</x:v>
      </x:c>
      <x:c r="X21" s="20" t="n">
        <x:v>0</x:v>
      </x:c>
      <x:c r="Y21" s="20" t="n">
        <x:v>3</x:v>
      </x:c>
      <x:c r="Z21" s="20" t="n">
        <x:v>0</x:v>
      </x:c>
    </x:row>
    <x:row r="22" ht="23" customHeight="1">
      <x:c r="A22" s="2" t="str">
        <x:v>2026-10-12_Night</x:v>
      </x:c>
      <x:c r="B22" s="19" t="n">
        <x:v>82000</x:v>
      </x:c>
      <x:c r="C22" s="19" t="n">
        <x:v>0</x:v>
      </x:c>
      <x:c r="D22" s="19" t="n">
        <x:f>B22-C22</x:f>
        <x:v>82000</x:v>
      </x:c>
      <x:c r="E22" s="19" t="n">
        <x:f>E21+D22</x:f>
        <x:v>675000</x:v>
      </x:c>
      <x:c r="F22" s="19" t="n">
        <x:v>0</x:v>
      </x:c>
      <x:c r="G22" s="19" t="n">
        <x:f>D22-F22</x:f>
        <x:v>82000</x:v>
      </x:c>
      <x:c r="H22" s="19" t="n">
        <x:v>0</x:v>
      </x:c>
      <x:c r="I22" s="19" t="n">
        <x:v>0</x:v>
      </x:c>
      <x:c r="J22" s="19" t="n">
        <x:v>0</x:v>
      </x:c>
      <x:c r="K22" s="19" t="n">
        <x:v>0</x:v>
      </x:c>
      <x:c r="L22" s="19" t="n">
        <x:v>0</x:v>
      </x:c>
      <x:c r="M22" s="19" t="n">
        <x:v>0</x:v>
      </x:c>
      <x:c r="N22" s="20" t="n">
        <x:v>0</x:v>
      </x:c>
      <x:c r="O22" s="20" t="n">
        <x:v>5</x:v>
      </x:c>
      <x:c r="P22" s="20" t="n">
        <x:v>1</x:v>
      </x:c>
      <x:c r="Q22" s="20" t="n">
        <x:v>0</x:v>
      </x:c>
      <x:c r="R22" s="20" t="n">
        <x:v>5</x:v>
      </x:c>
      <x:c r="S22" s="21" t="n">
        <x:f>0/60</x:f>
        <x:v>0</x:v>
      </x:c>
      <x:c r="T22" s="21" t="n">
        <x:f>0/60</x:f>
        <x:v>0</x:v>
      </x:c>
      <x:c r="U22" s="21" t="n">
        <x:f>0/60</x:f>
        <x:v>0</x:v>
      </x:c>
      <x:c r="V22" s="21" t="n">
        <x:f>0/60</x:f>
        <x:v>0</x:v>
      </x:c>
      <x:c r="W22" s="20" t="n">
        <x:v>0</x:v>
      </x:c>
      <x:c r="X22" s="20" t="n">
        <x:v>0</x:v>
      </x:c>
      <x:c r="Y22" s="20" t="n">
        <x:v>0</x:v>
      </x:c>
      <x:c r="Z22" s="20" t="n">
        <x:v>0</x:v>
      </x:c>
    </x:row>
    <x:row r="23" ht="23" customHeight="1">
      <x:c r="A23" s="2" t="str">
        <x:v>2026-10-13_Night</x:v>
      </x:c>
      <x:c r="B23" s="19" t="n">
        <x:v>0</x:v>
      </x:c>
      <x:c r="C23" s="19" t="n">
        <x:v>203000</x:v>
      </x:c>
      <x:c r="D23" s="19" t="n">
        <x:f>B23-C23</x:f>
        <x:v>-203000</x:v>
      </x:c>
      <x:c r="E23" s="19" t="n">
        <x:f>E22+D23</x:f>
        <x:v>472000</x:v>
      </x:c>
      <x:c r="F23" s="19" t="n">
        <x:v>-150000</x:v>
      </x:c>
      <x:c r="G23" s="19" t="n">
        <x:f>D23-F23</x:f>
        <x:v>-53000</x:v>
      </x:c>
      <x:c r="H23" s="19" t="n">
        <x:v>0</x:v>
      </x:c>
      <x:c r="I23" s="19" t="n">
        <x:v>0</x:v>
      </x:c>
      <x:c r="J23" s="19" t="n">
        <x:v>0</x:v>
      </x:c>
      <x:c r="K23" s="19" t="n">
        <x:v>150000</x:v>
      </x:c>
      <x:c r="L23" s="19" t="n">
        <x:v>175000</x:v>
      </x:c>
      <x:c r="M23" s="19" t="n">
        <x:v>200000</x:v>
      </x:c>
      <x:c r="N23" s="20" t="n">
        <x:v>5</x:v>
      </x:c>
      <x:c r="O23" s="20" t="n">
        <x:v>5</x:v>
      </x:c>
      <x:c r="P23" s="20" t="n">
        <x:v>3</x:v>
      </x:c>
      <x:c r="Q23" s="20" t="n">
        <x:v>1</x:v>
      </x:c>
      <x:c r="R23" s="20" t="n">
        <x:v>11</x:v>
      </x:c>
      <x:c r="S23" s="21" t="n">
        <x:f>14137/60</x:f>
        <x:v>235.61666666666667</x:v>
      </x:c>
      <x:c r="T23" s="21" t="n">
        <x:f>0/60</x:f>
        <x:v>0</x:v>
      </x:c>
      <x:c r="U23" s="21" t="n">
        <x:f>0/60</x:f>
        <x:v>0</x:v>
      </x:c>
      <x:c r="V23" s="21" t="n">
        <x:f>0/60</x:f>
        <x:v>0</x:v>
      </x:c>
      <x:c r="W23" s="20" t="n">
        <x:v>0</x:v>
      </x:c>
      <x:c r="X23" s="20" t="n">
        <x:v>0</x:v>
      </x:c>
      <x:c r="Y23" s="20" t="n">
        <x:v>0</x:v>
      </x:c>
      <x:c r="Z23" s="20" t="n">
        <x:v>0</x:v>
      </x:c>
    </x:row>
    <x:row r="24" ht="23" customHeight="1">
      <x:c r="A24" s="2" t="str">
        <x:v>2026-10-14_Night</x:v>
      </x:c>
      <x:c r="B24" s="19" t="n">
        <x:v>372000</x:v>
      </x:c>
      <x:c r="C24" s="19" t="n">
        <x:v>141000</x:v>
      </x:c>
      <x:c r="D24" s="19" t="n">
        <x:f>B24-C24</x:f>
        <x:v>231000</x:v>
      </x:c>
      <x:c r="E24" s="19" t="n">
        <x:f>E23+D24</x:f>
        <x:v>703000</x:v>
      </x:c>
      <x:c r="F24" s="19" t="n">
        <x:v>95000</x:v>
      </x:c>
      <x:c r="G24" s="19" t="n">
        <x:f>D24-F24</x:f>
        <x:v>136000</x:v>
      </x:c>
      <x:c r="H24" s="19" t="n">
        <x:v>175000</x:v>
      </x:c>
      <x:c r="I24" s="19" t="n">
        <x:v>0</x:v>
      </x:c>
      <x:c r="J24" s="19" t="n">
        <x:v>0</x:v>
      </x:c>
      <x:c r="K24" s="19" t="n">
        <x:v>80000</x:v>
      </x:c>
      <x:c r="L24" s="19" t="n">
        <x:v>190000</x:v>
      </x:c>
      <x:c r="M24" s="19" t="n">
        <x:v>275000</x:v>
      </x:c>
      <x:c r="N24" s="20" t="n">
        <x:v>1</x:v>
      </x:c>
      <x:c r="O24" s="20" t="n">
        <x:v>5</x:v>
      </x:c>
      <x:c r="P24" s="20" t="n">
        <x:v>11</x:v>
      </x:c>
      <x:c r="Q24" s="20" t="n">
        <x:v>7</x:v>
      </x:c>
      <x:c r="R24" s="20" t="n">
        <x:v>44</x:v>
      </x:c>
      <x:c r="S24" s="21" t="n">
        <x:f>13917/60</x:f>
        <x:v>231.95</x:v>
      </x:c>
      <x:c r="T24" s="21" t="n">
        <x:f>0/60</x:f>
        <x:v>0</x:v>
      </x:c>
      <x:c r="U24" s="21" t="n">
        <x:f>0/60</x:f>
        <x:v>0</x:v>
      </x:c>
      <x:c r="V24" s="21" t="n">
        <x:f>0/60</x:f>
        <x:v>0</x:v>
      </x:c>
      <x:c r="W24" s="20" t="n">
        <x:v>0</x:v>
      </x:c>
      <x:c r="X24" s="20" t="n">
        <x:v>0</x:v>
      </x:c>
      <x:c r="Y24" s="20" t="n">
        <x:v>6</x:v>
      </x:c>
      <x:c r="Z24" s="20" t="n">
        <x:v>0</x:v>
      </x:c>
    </x:row>
    <x:row r="25" ht="23" customHeight="1">
      <x:c r="A25" s="2" t="str">
        <x:v>2026-10-15_Night</x:v>
      </x:c>
      <x:c r="B25" s="19" t="n">
        <x:v>86000</x:v>
      </x:c>
      <x:c r="C25" s="19" t="n">
        <x:v>64000</x:v>
      </x:c>
      <x:c r="D25" s="19" t="n">
        <x:f>B25-C25</x:f>
        <x:v>22000</x:v>
      </x:c>
      <x:c r="E25" s="19" t="n">
        <x:f>E24+D25</x:f>
        <x:v>725000</x:v>
      </x:c>
      <x:c r="F25" s="19" t="n">
        <x:v>0</x:v>
      </x:c>
      <x:c r="G25" s="19" t="n">
        <x:f>D25-F25</x:f>
        <x:v>22000</x:v>
      </x:c>
      <x:c r="H25" s="19" t="n">
        <x:v>0</x:v>
      </x:c>
      <x:c r="I25" s="19" t="n">
        <x:v>0</x:v>
      </x:c>
      <x:c r="J25" s="19" t="n">
        <x:v>0</x:v>
      </x:c>
      <x:c r="K25" s="19" t="n">
        <x:v>0</x:v>
      </x:c>
      <x:c r="L25" s="19" t="n">
        <x:v>0</x:v>
      </x:c>
      <x:c r="M25" s="19" t="n">
        <x:v>0</x:v>
      </x:c>
      <x:c r="N25" s="20" t="n">
        <x:v>3</x:v>
      </x:c>
      <x:c r="O25" s="20" t="n">
        <x:v>2</x:v>
      </x:c>
      <x:c r="P25" s="20" t="n">
        <x:v>7</x:v>
      </x:c>
      <x:c r="Q25" s="20" t="n">
        <x:v>0</x:v>
      </x:c>
      <x:c r="R25" s="20" t="n">
        <x:v>9</x:v>
      </x:c>
      <x:c r="S25" s="21" t="n">
        <x:f>0/60</x:f>
        <x:v>0</x:v>
      </x:c>
      <x:c r="T25" s="21" t="n">
        <x:f>0/60</x:f>
        <x:v>0</x:v>
      </x:c>
      <x:c r="U25" s="21" t="n">
        <x:f>0/60</x:f>
        <x:v>0</x:v>
      </x:c>
      <x:c r="V25" s="21" t="n">
        <x:f>0/60</x:f>
        <x:v>0</x:v>
      </x:c>
      <x:c r="W25" s="20" t="n">
        <x:v>0</x:v>
      </x:c>
      <x:c r="X25" s="20" t="n">
        <x:v>0</x:v>
      </x:c>
      <x:c r="Y25" s="20" t="n">
        <x:v>0</x:v>
      </x:c>
      <x:c r="Z25" s="20" t="n">
        <x:v>0</x:v>
      </x:c>
    </x:row>
    <x:row r="26" ht="23" customHeight="1">
      <x:c r="A26" s="2" t="str">
        <x:v>2026-10-16_Night</x:v>
      </x:c>
      <x:c r="B26" s="19" t="n">
        <x:v>163000</x:v>
      </x:c>
      <x:c r="C26" s="19" t="n">
        <x:v>151000</x:v>
      </x:c>
      <x:c r="D26" s="19" t="n">
        <x:f>B26-C26</x:f>
        <x:v>12000</x:v>
      </x:c>
      <x:c r="E26" s="19" t="n">
        <x:f>E25+D26</x:f>
        <x:v>737000</x:v>
      </x:c>
      <x:c r="F26" s="19" t="n">
        <x:v>-20000</x:v>
      </x:c>
      <x:c r="G26" s="19" t="n">
        <x:f>D26-F26</x:f>
        <x:v>32000</x:v>
      </x:c>
      <x:c r="H26" s="19" t="n">
        <x:v>0</x:v>
      </x:c>
      <x:c r="I26" s="19" t="n">
        <x:v>0</x:v>
      </x:c>
      <x:c r="J26" s="19" t="n">
        <x:v>0</x:v>
      </x:c>
      <x:c r="K26" s="19" t="n">
        <x:v>20000</x:v>
      </x:c>
      <x:c r="L26" s="19" t="n">
        <x:v>45000</x:v>
      </x:c>
      <x:c r="M26" s="19" t="n">
        <x:v>55000</x:v>
      </x:c>
      <x:c r="N26" s="20" t="n">
        <x:v>3</x:v>
      </x:c>
      <x:c r="O26" s="20" t="n">
        <x:v>7</x:v>
      </x:c>
      <x:c r="P26" s="20" t="n">
        <x:v>14</x:v>
      </x:c>
      <x:c r="Q26" s="20" t="n">
        <x:v>1</x:v>
      </x:c>
      <x:c r="R26" s="20" t="n">
        <x:v>32</x:v>
      </x:c>
      <x:c r="S26" s="21" t="n">
        <x:f>907/60</x:f>
        <x:v>15.116666666666667</x:v>
      </x:c>
      <x:c r="T26" s="21" t="n">
        <x:f>0/60</x:f>
        <x:v>0</x:v>
      </x:c>
      <x:c r="U26" s="21" t="n">
        <x:f>0/60</x:f>
        <x:v>0</x:v>
      </x:c>
      <x:c r="V26" s="21" t="n">
        <x:f>0/60</x:f>
        <x:v>0</x:v>
      </x:c>
      <x:c r="W26" s="20" t="n">
        <x:v>0</x:v>
      </x:c>
      <x:c r="X26" s="20" t="n">
        <x:v>0</x:v>
      </x:c>
      <x:c r="Y26" s="20" t="n">
        <x:v>0</x:v>
      </x:c>
      <x:c r="Z26" s="20" t="n">
        <x:v>0</x:v>
      </x:c>
    </x:row>
    <x:row r="27" ht="23" customHeight="1">
      <x:c r="A27" s="2" t="str">
        <x:v>2026-10-19_Night</x:v>
      </x:c>
      <x:c r="B27" s="19" t="n">
        <x:v>152000</x:v>
      </x:c>
      <x:c r="C27" s="19" t="n">
        <x:v>235000</x:v>
      </x:c>
      <x:c r="D27" s="19" t="n">
        <x:f>B27-C27</x:f>
        <x:v>-83000</x:v>
      </x:c>
      <x:c r="E27" s="19" t="n">
        <x:f>E26+D27</x:f>
        <x:v>654000</x:v>
      </x:c>
      <x:c r="F27" s="19" t="n">
        <x:v>-75000</x:v>
      </x:c>
      <x:c r="G27" s="19" t="n">
        <x:f>D27-F27</x:f>
        <x:v>-8000</x:v>
      </x:c>
      <x:c r="H27" s="19" t="n">
        <x:v>25000</x:v>
      </x:c>
      <x:c r="I27" s="19" t="n">
        <x:v>0</x:v>
      </x:c>
      <x:c r="J27" s="19" t="n">
        <x:v>30000</x:v>
      </x:c>
      <x:c r="K27" s="19" t="n">
        <x:v>130000</x:v>
      </x:c>
      <x:c r="L27" s="19" t="n">
        <x:v>105000</x:v>
      </x:c>
      <x:c r="M27" s="19" t="n">
        <x:v>125000</x:v>
      </x:c>
      <x:c r="N27" s="20" t="n">
        <x:v>5</x:v>
      </x:c>
      <x:c r="O27" s="20" t="n">
        <x:v>5</x:v>
      </x:c>
      <x:c r="P27" s="20" t="n">
        <x:v>15</x:v>
      </x:c>
      <x:c r="Q27" s="20" t="n">
        <x:v>3</x:v>
      </x:c>
      <x:c r="R27" s="20" t="n">
        <x:v>36</x:v>
      </x:c>
      <x:c r="S27" s="21" t="n">
        <x:f>7586/60</x:f>
        <x:v>126.43333333333334</x:v>
      </x:c>
      <x:c r="T27" s="21" t="n">
        <x:f>2430/60</x:f>
        <x:v>40.5</x:v>
      </x:c>
      <x:c r="U27" s="21" t="n">
        <x:f>0/60</x:f>
        <x:v>0</x:v>
      </x:c>
      <x:c r="V27" s="21" t="n">
        <x:f>0/60</x:f>
        <x:v>0</x:v>
      </x:c>
      <x:c r="W27" s="20" t="n">
        <x:v>0</x:v>
      </x:c>
      <x:c r="X27" s="20" t="n">
        <x:v>0</x:v>
      </x:c>
      <x:c r="Y27" s="20" t="n">
        <x:v>1</x:v>
      </x:c>
      <x:c r="Z27" s="20" t="n">
        <x:v>0</x:v>
      </x:c>
    </x:row>
    <x:row r="28" ht="23" customHeight="1">
      <x:c r="A28" s="2" t="str">
        <x:v>2026-10-20_Night</x:v>
      </x:c>
      <x:c r="B28" s="19" t="n">
        <x:v>186000</x:v>
      </x:c>
      <x:c r="C28" s="19" t="n">
        <x:v>233000</x:v>
      </x:c>
      <x:c r="D28" s="19" t="n">
        <x:f>B28-C28</x:f>
        <x:v>-47000</x:v>
      </x:c>
      <x:c r="E28" s="19" t="n">
        <x:f>E27+D28</x:f>
        <x:v>607000</x:v>
      </x:c>
      <x:c r="F28" s="19" t="n">
        <x:v>-113000</x:v>
      </x:c>
      <x:c r="G28" s="19" t="n">
        <x:f>D28-F28</x:f>
        <x:v>66000</x:v>
      </x:c>
      <x:c r="H28" s="19" t="n">
        <x:v>75000</x:v>
      </x:c>
      <x:c r="I28" s="19" t="n">
        <x:v>0</x:v>
      </x:c>
      <x:c r="J28" s="19" t="n">
        <x:v>12000</x:v>
      </x:c>
      <x:c r="K28" s="19" t="n">
        <x:v>200000</x:v>
      </x:c>
      <x:c r="L28" s="19" t="n">
        <x:v>209000</x:v>
      </x:c>
      <x:c r="M28" s="19" t="n">
        <x:v>220000</x:v>
      </x:c>
      <x:c r="N28" s="20" t="n">
        <x:v>7</x:v>
      </x:c>
      <x:c r="O28" s="20" t="n">
        <x:v>5</x:v>
      </x:c>
      <x:c r="P28" s="20" t="n">
        <x:v>18</x:v>
      </x:c>
      <x:c r="Q28" s="20" t="n">
        <x:v>11</x:v>
      </x:c>
      <x:c r="R28" s="20" t="n">
        <x:v>37</x:v>
      </x:c>
      <x:c r="S28" s="21" t="n">
        <x:f>14809/60</x:f>
        <x:v>246.81666666666666</x:v>
      </x:c>
      <x:c r="T28" s="21" t="n">
        <x:f>2600/60</x:f>
        <x:v>43.333333333333336</x:v>
      </x:c>
      <x:c r="U28" s="21" t="n">
        <x:f>0/60</x:f>
        <x:v>0</x:v>
      </x:c>
      <x:c r="V28" s="21" t="n">
        <x:f>0/60</x:f>
        <x:v>0</x:v>
      </x:c>
      <x:c r="W28" s="20" t="n">
        <x:v>0</x:v>
      </x:c>
      <x:c r="X28" s="20" t="n">
        <x:v>0</x:v>
      </x:c>
      <x:c r="Y28" s="20" t="n">
        <x:v>7</x:v>
      </x:c>
      <x:c r="Z28" s="20" t="n">
        <x:v>0</x:v>
      </x:c>
    </x:row>
    <x:row r="29" ht="23" customHeight="1">
      <x:c r="A29" s="2" t="str">
        <x:v>2026-10-21_Night</x:v>
      </x:c>
      <x:c r="B29" s="19" t="n">
        <x:v>65000</x:v>
      </x:c>
      <x:c r="C29" s="19" t="n">
        <x:v>314000</x:v>
      </x:c>
      <x:c r="D29" s="19" t="n">
        <x:f>B29-C29</x:f>
        <x:v>-249000</x:v>
      </x:c>
      <x:c r="E29" s="19" t="n">
        <x:f>E28+D29</x:f>
        <x:v>358000</x:v>
      </x:c>
      <x:c r="F29" s="19" t="n">
        <x:v>-225000</x:v>
      </x:c>
      <x:c r="G29" s="19" t="n">
        <x:f>D29-F29</x:f>
        <x:v>-24000</x:v>
      </x:c>
      <x:c r="H29" s="19" t="n">
        <x:v>0</x:v>
      </x:c>
      <x:c r="I29" s="19" t="n">
        <x:v>0</x:v>
      </x:c>
      <x:c r="J29" s="19" t="n">
        <x:v>0</x:v>
      </x:c>
      <x:c r="K29" s="19" t="n">
        <x:v>225000</x:v>
      </x:c>
      <x:c r="L29" s="19" t="n">
        <x:v>280000</x:v>
      </x:c>
      <x:c r="M29" s="19" t="n">
        <x:v>310000</x:v>
      </x:c>
      <x:c r="N29" s="20" t="n">
        <x:v>7</x:v>
      </x:c>
      <x:c r="O29" s="20" t="n">
        <x:v>5</x:v>
      </x:c>
      <x:c r="P29" s="20" t="n">
        <x:v>6</x:v>
      </x:c>
      <x:c r="Q29" s="20" t="n">
        <x:v>1</x:v>
      </x:c>
      <x:c r="R29" s="20" t="n">
        <x:v>22</x:v>
      </x:c>
      <x:c r="S29" s="21" t="n">
        <x:f>10901/60</x:f>
        <x:v>181.68333333333334</x:v>
      </x:c>
      <x:c r="T29" s="21" t="n">
        <x:f>0/60</x:f>
        <x:v>0</x:v>
      </x:c>
      <x:c r="U29" s="21" t="n">
        <x:f>0/60</x:f>
        <x:v>0</x:v>
      </x:c>
      <x:c r="V29" s="21" t="n">
        <x:f>0/60</x:f>
        <x:v>0</x:v>
      </x:c>
      <x:c r="W29" s="20" t="n">
        <x:v>0</x:v>
      </x:c>
      <x:c r="X29" s="20" t="n">
        <x:v>0</x:v>
      </x:c>
      <x:c r="Y29" s="20" t="n">
        <x:v>0</x:v>
      </x:c>
      <x:c r="Z29" s="20" t="n">
        <x:v>0</x:v>
      </x:c>
    </x:row>
    <x:row r="30" ht="23" customHeight="1">
      <x:c r="A30" s="2" t="str">
        <x:v>2026-10-22_Night</x:v>
      </x:c>
      <x:c r="B30" s="19" t="n">
        <x:v>156000</x:v>
      </x:c>
      <x:c r="C30" s="19" t="n">
        <x:v>0</x:v>
      </x:c>
      <x:c r="D30" s="19" t="n">
        <x:f>B30-C30</x:f>
        <x:v>156000</x:v>
      </x:c>
      <x:c r="E30" s="19" t="n">
        <x:f>E29+D30</x:f>
        <x:v>514000</x:v>
      </x:c>
      <x:c r="F30" s="19" t="n">
        <x:v>0</x:v>
      </x:c>
      <x:c r="G30" s="19" t="n">
        <x:f>D30-F30</x:f>
        <x:v>156000</x:v>
      </x:c>
      <x:c r="H30" s="19" t="n">
        <x:v>0</x:v>
      </x:c>
      <x:c r="I30" s="19" t="n">
        <x:v>0</x:v>
      </x:c>
      <x:c r="J30" s="19" t="n">
        <x:v>0</x:v>
      </x:c>
      <x:c r="K30" s="19" t="n">
        <x:v>0</x:v>
      </x:c>
      <x:c r="L30" s="19" t="n">
        <x:v>0</x:v>
      </x:c>
      <x:c r="M30" s="19" t="n">
        <x:v>0</x:v>
      </x:c>
      <x:c r="N30" s="20" t="n">
        <x:v>0</x:v>
      </x:c>
      <x:c r="O30" s="20" t="n">
        <x:v>6</x:v>
      </x:c>
      <x:c r="P30" s="20" t="n">
        <x:v>3</x:v>
      </x:c>
      <x:c r="Q30" s="20" t="n">
        <x:v>0</x:v>
      </x:c>
      <x:c r="R30" s="20" t="n">
        <x:v>7</x:v>
      </x:c>
      <x:c r="S30" s="21" t="n">
        <x:f>0/60</x:f>
        <x:v>0</x:v>
      </x:c>
      <x:c r="T30" s="21" t="n">
        <x:f>0/60</x:f>
        <x:v>0</x:v>
      </x:c>
      <x:c r="U30" s="21" t="n">
        <x:f>0/60</x:f>
        <x:v>0</x:v>
      </x:c>
      <x:c r="V30" s="21" t="n">
        <x:f>0/60</x:f>
        <x:v>0</x:v>
      </x:c>
      <x:c r="W30" s="20" t="n">
        <x:v>0</x:v>
      </x:c>
      <x:c r="X30" s="20" t="n">
        <x:v>0</x:v>
      </x:c>
      <x:c r="Y30" s="20" t="n">
        <x:v>0</x:v>
      </x:c>
      <x:c r="Z30" s="20" t="n">
        <x:v>0</x:v>
      </x:c>
    </x:row>
    <x:row r="31" ht="23" customHeight="1">
      <x:c r="A31" s="2" t="str">
        <x:v>2026-10-23_Night</x:v>
      </x:c>
      <x:c r="B31" s="19" t="n">
        <x:v>243000</x:v>
      </x:c>
      <x:c r="C31" s="19" t="n">
        <x:v>110000</x:v>
      </x:c>
      <x:c r="D31" s="19" t="n">
        <x:f>B31-C31</x:f>
        <x:v>133000</x:v>
      </x:c>
      <x:c r="E31" s="19" t="n">
        <x:f>E30+D31</x:f>
        <x:v>647000</x:v>
      </x:c>
      <x:c r="F31" s="19" t="n">
        <x:v>118000</x:v>
      </x:c>
      <x:c r="G31" s="19" t="n">
        <x:f>D31-F31</x:f>
        <x:v>15000</x:v>
      </x:c>
      <x:c r="H31" s="19" t="n">
        <x:v>196000</x:v>
      </x:c>
      <x:c r="I31" s="19" t="n">
        <x:v>0</x:v>
      </x:c>
      <x:c r="J31" s="19" t="n">
        <x:v>0</x:v>
      </x:c>
      <x:c r="K31" s="19" t="n">
        <x:v>78000</x:v>
      </x:c>
      <x:c r="L31" s="19" t="n">
        <x:v>96000</x:v>
      </x:c>
      <x:c r="M31" s="19" t="n">
        <x:v>59000</x:v>
      </x:c>
      <x:c r="N31" s="20" t="n">
        <x:v>5</x:v>
      </x:c>
      <x:c r="O31" s="20" t="n">
        <x:v>5</x:v>
      </x:c>
      <x:c r="P31" s="20" t="n">
        <x:v>18</x:v>
      </x:c>
      <x:c r="Q31" s="20" t="n">
        <x:v>12</x:v>
      </x:c>
      <x:c r="R31" s="20" t="n">
        <x:v>51</x:v>
      </x:c>
      <x:c r="S31" s="21" t="n">
        <x:f>14750/60</x:f>
        <x:v>245.83333333333334</x:v>
      </x:c>
      <x:c r="T31" s="21" t="n">
        <x:f>11883/60</x:f>
        <x:v>198.05</x:v>
      </x:c>
      <x:c r="U31" s="21" t="n">
        <x:f>0/60</x:f>
        <x:v>0</x:v>
      </x:c>
      <x:c r="V31" s="21" t="n">
        <x:f>0/60</x:f>
        <x:v>0</x:v>
      </x:c>
      <x:c r="W31" s="20" t="n">
        <x:v>0</x:v>
      </x:c>
      <x:c r="X31" s="20" t="n">
        <x:v>0</x:v>
      </x:c>
      <x:c r="Y31" s="20" t="n">
        <x:v>7</x:v>
      </x:c>
      <x:c r="Z31" s="20" t="n">
        <x:v>0</x:v>
      </x:c>
    </x:row>
    <x:row r="32" ht="23" customHeight="1">
      <x:c r="A32" s="26" t="str">
        <x:v>25夜累計／最大</x:v>
      </x:c>
      <x:c r="B32" s="27" t="n">
        <x:f>SUM(B7:B31)</x:f>
        <x:v>3738000</x:v>
      </x:c>
      <x:c r="C32" s="27" t="n">
        <x:f>SUM(C7:C31)</x:f>
        <x:v>3091000</x:v>
      </x:c>
      <x:c r="D32" s="27" t="n">
        <x:f>B32-C32</x:f>
        <x:v>647000</x:v>
      </x:c>
      <x:c r="E32" s="27" t="n">
        <x:f>E31</x:f>
        <x:v>647000</x:v>
      </x:c>
      <x:c r="F32" s="27" t="n">
        <x:f>SUM(F7:F31)</x:f>
        <x:v>-496000</x:v>
      </x:c>
      <x:c r="G32" s="27" t="n">
        <x:f>SUM(G7:G31)</x:f>
        <x:v>1143000</x:v>
      </x:c>
      <x:c r="H32" s="27" t="n">
        <x:f>SUM(H7:H31)</x:f>
        <x:v>1433000</x:v>
      </x:c>
      <x:c r="I32" s="27" t="n">
        <x:f>SUM(I7:I31)</x:f>
        <x:v>0</x:v>
      </x:c>
      <x:c r="J32" s="27" t="n">
        <x:f>SUM(J7:J31)</x:f>
        <x:v>108000</x:v>
      </x:c>
      <x:c r="K32" s="27" t="n">
        <x:f>SUM(K7:K31)</x:f>
        <x:v>2037000</x:v>
      </x:c>
      <x:c r="L32" s="27" t="n">
        <x:f>MAX(L7:L31)</x:f>
        <x:v>430000</x:v>
      </x:c>
      <x:c r="M32" s="27" t="n">
        <x:f>MAX(M7:M31)</x:f>
        <x:v>310000</x:v>
      </x:c>
      <x:c r="N32" s="28" t="n">
        <x:f>MAX(N7:N31)</x:f>
        <x:v>10</x:v>
      </x:c>
      <x:c r="O32" s="28" t="n">
        <x:f>MAX(O7:O31)</x:f>
        <x:v>10</x:v>
      </x:c>
      <x:c r="P32" s="28" t="n">
        <x:f>SUM(P7:P31)</x:f>
        <x:v>232</x:v>
      </x:c>
      <x:c r="Q32" s="28" t="n">
        <x:f>SUM(Q7:Q31)</x:f>
        <x:v>98</x:v>
      </x:c>
      <x:c r="R32" s="28" t="n">
        <x:f>SUM(R7:R31)</x:f>
        <x:v>610</x:v>
      </x:c>
      <x:c r="S32" s="29" t="n">
        <x:f>SUM(S7:S31)</x:f>
        <x:v>3074.7166666666667</x:v>
      </x:c>
      <x:c r="T32" s="29" t="n">
        <x:f>SUM(T7:T31)</x:f>
        <x:v>645.8333333333333</x:v>
      </x:c>
      <x:c r="U32" s="29" t="n">
        <x:f>SUM(U7:U31)</x:f>
        <x:v>136.61666666666667</x:v>
      </x:c>
      <x:c r="V32" s="29" t="n">
        <x:f>SUM(V7:V31)</x:f>
        <x:v>33.15</x:v>
      </x:c>
      <x:c r="W32" s="28" t="n">
        <x:f>SUM(W7:W31)</x:f>
        <x:v>1</x:v>
      </x:c>
      <x:c r="X32" s="28" t="n">
        <x:f>SUM(X7:X31)</x:f>
        <x:v>0</x:v>
      </x:c>
      <x:c r="Y32" s="28" t="n">
        <x:f>SUM(Y7:Y31)</x:f>
        <x:v>60</x:v>
      </x:c>
      <x:c r="Z32" s="28" t="n">
        <x:f>SUM(Z7:Z31)</x:f>
        <x:v>0</x:v>
      </x:c>
    </x:row>
  </x:sheetData>
  <x:conditionalFormatting sqref="B7:M32">
    <x:cfRule type="cellIs" dxfId="1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3e5055cd9d04c41"/>
  </x:tableParts>
</x:worksheet>
</file>

<file path=xl/worksheets/sheet14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3" customHeight="1">
      <x:c r="A2" s="4" t="str">
        <x:v>P11　全夜間の利益・損失・収支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3" ht="23" customHeight="1">
      <x:c r="A3" s="6" t="str">
        <x:v>日経mini・片方向上限10枚・手数料0・次正常ラージ気配代理。2026/09/21〜10/23の完了25夜。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3" customHeight="1">
      <x:c r="A4" s="6" t="str">
        <x:v>利益・損失は新規実約定IDごとの全返済収支で分類。旧親単位の利益損失とは異なります。未測定は空欄。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3" customHeight="1">
      <x:c r="A5" s="6" t="str">
        <x:v>前半・80/40追尾・1枚・黒字返済後40pt追尾再新規。P：新手法は米国開始15分前まで、後半は保存S04。含み損・DD・保有時間・返済内訳は前半だけ。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4" customHeight="1">
      <x:c r="A6" s="15" t="str">
        <x:v>セッション</x:v>
      </x:c>
      <x:c r="B6" s="16" t="str">
        <x:v>利益（円）</x:v>
      </x:c>
      <x:c r="C6" s="16" t="str">
        <x:v>損失（円）</x:v>
      </x:c>
      <x:c r="D6" s="16" t="str">
        <x:v>全夜収支（円）</x:v>
      </x:c>
      <x:c r="E6" s="16" t="str">
        <x:v>累計（円）</x:v>
      </x:c>
      <x:c r="F6" s="16" t="str">
        <x:v>対象区間収支</x:v>
      </x:c>
      <x:c r="G6" s="16" t="str">
        <x:v>保存後半収支</x:v>
      </x:c>
      <x:c r="H6" s="16" t="str">
        <x:v>利益追尾の利益</x:v>
      </x:c>
      <x:c r="I6" s="16" t="str">
        <x:v>利益追尾の損失</x:v>
      </x:c>
      <x:c r="J6" s="16" t="str">
        <x:v>境界清算の利益</x:v>
      </x:c>
      <x:c r="K6" s="16" t="str">
        <x:v>境界清算の損失</x:v>
      </x:c>
      <x:c r="L6" s="16" t="str">
        <x:v>最大含み損（円）</x:v>
      </x:c>
      <x:c r="M6" s="16" t="str">
        <x:v>対象区間DD</x:v>
      </x:c>
      <x:c r="N6" s="16" t="str">
        <x:v>最大買い枚数</x:v>
      </x:c>
      <x:c r="O6" s="16" t="str">
        <x:v>最大売り枚数</x:v>
      </x:c>
      <x:c r="P6" s="16" t="str">
        <x:v>全夜新規件数</x:v>
      </x:c>
      <x:c r="Q6" s="16" t="str">
        <x:v>対象区間新規</x:v>
      </x:c>
      <x:c r="R6" s="16" t="str">
        <x:v>全新規枚数</x:v>
      </x:c>
      <x:c r="S6" s="16" t="str">
        <x:v>保有（分）</x:v>
      </x:c>
      <x:c r="T6" s="16" t="str">
        <x:v>両建て（分）</x:v>
      </x:c>
      <x:c r="U6" s="16" t="str">
        <x:v>買い上限（分）</x:v>
      </x:c>
      <x:c r="V6" s="16" t="str">
        <x:v>売り上限（分）</x:v>
      </x:c>
      <x:c r="W6" s="16" t="str">
        <x:v>上限拒否・縮小件数</x:v>
      </x:c>
      <x:c r="X6" s="16" t="str">
        <x:v>通知全拒否件数</x:v>
      </x:c>
      <x:c r="Y6" s="16" t="str">
        <x:v>実再参加件数</x:v>
      </x:c>
      <x:c r="Z6" s="17" t="str">
        <x:v>判断利益→実損失</x:v>
      </x:c>
    </x:row>
    <x:row r="7" ht="23" customHeight="1">
      <x:c r="A7" s="2" t="str">
        <x:v>2026-09-21_Night</x:v>
      </x:c>
      <x:c r="B7" s="19" t="n">
        <x:v>0</x:v>
      </x:c>
      <x:c r="C7" s="19" t="n">
        <x:v>45000</x:v>
      </x:c>
      <x:c r="D7" s="19" t="n">
        <x:f>B7-C7</x:f>
        <x:v>-45000</x:v>
      </x:c>
      <x:c r="E7" s="19" t="n">
        <x:f>D7</x:f>
        <x:v>-45000</x:v>
      </x:c>
      <x:c r="F7" s="19" t="n">
        <x:v>0</x:v>
      </x:c>
      <x:c r="G7" s="19" t="n">
        <x:f>D7-F7</x:f>
        <x:v>-45000</x:v>
      </x:c>
      <x:c r="H7" s="19" t="n">
        <x:v>0</x:v>
      </x:c>
      <x:c r="I7" s="19" t="n">
        <x:v>0</x:v>
      </x:c>
      <x:c r="J7" s="19" t="n">
        <x:v>0</x:v>
      </x:c>
      <x:c r="K7" s="19" t="n">
        <x:v>0</x:v>
      </x:c>
      <x:c r="L7" s="19" t="n">
        <x:v>0</x:v>
      </x:c>
      <x:c r="M7" s="19" t="n">
        <x:v>0</x:v>
      </x:c>
      <x:c r="N7" s="20" t="n">
        <x:v>5</x:v>
      </x:c>
      <x:c r="O7" s="20" t="n">
        <x:v>0</x:v>
      </x:c>
      <x:c r="P7" s="20" t="n">
        <x:v>1</x:v>
      </x:c>
      <x:c r="Q7" s="20" t="n">
        <x:v>0</x:v>
      </x:c>
      <x:c r="R7" s="20" t="n">
        <x:v>5</x:v>
      </x:c>
      <x:c r="S7" s="21" t="n">
        <x:f>0/60</x:f>
        <x:v>0</x:v>
      </x:c>
      <x:c r="T7" s="21" t="n">
        <x:f>0/60</x:f>
        <x:v>0</x:v>
      </x:c>
      <x:c r="U7" s="21" t="n">
        <x:f>0/60</x:f>
        <x:v>0</x:v>
      </x:c>
      <x:c r="V7" s="21" t="n">
        <x:f>0/60</x:f>
        <x:v>0</x:v>
      </x:c>
      <x:c r="W7" s="20" t="n">
        <x:v>0</x:v>
      </x:c>
      <x:c r="X7" s="20" t="n">
        <x:v>0</x:v>
      </x:c>
      <x:c r="Y7" s="20" t="n">
        <x:v>0</x:v>
      </x:c>
      <x:c r="Z7" s="20" t="n">
        <x:v>0</x:v>
      </x:c>
    </x:row>
    <x:row r="8" ht="23" customHeight="1">
      <x:c r="A8" s="2" t="str">
        <x:v>2026-09-22_Night</x:v>
      </x:c>
      <x:c r="B8" s="19" t="n">
        <x:v>41000</x:v>
      </x:c>
      <x:c r="C8" s="19" t="n">
        <x:v>3000</x:v>
      </x:c>
      <x:c r="D8" s="19" t="n">
        <x:f>B8-C8</x:f>
        <x:v>38000</x:v>
      </x:c>
      <x:c r="E8" s="19" t="n">
        <x:f>E7+D8</x:f>
        <x:v>-7000</x:v>
      </x:c>
      <x:c r="F8" s="19" t="n">
        <x:v>14000</x:v>
      </x:c>
      <x:c r="G8" s="19" t="n">
        <x:f>D8-F8</x:f>
        <x:v>24000</x:v>
      </x:c>
      <x:c r="H8" s="19" t="n">
        <x:v>17000</x:v>
      </x:c>
      <x:c r="I8" s="19" t="n">
        <x:v>0</x:v>
      </x:c>
      <x:c r="J8" s="19" t="n">
        <x:v>0</x:v>
      </x:c>
      <x:c r="K8" s="19" t="n">
        <x:v>3000</x:v>
      </x:c>
      <x:c r="L8" s="19" t="n">
        <x:v>17000</x:v>
      </x:c>
      <x:c r="M8" s="19" t="n">
        <x:v>22000</x:v>
      </x:c>
      <x:c r="N8" s="20" t="n">
        <x:v>5</x:v>
      </x:c>
      <x:c r="O8" s="20" t="n">
        <x:v>0</x:v>
      </x:c>
      <x:c r="P8" s="20" t="n">
        <x:v>4</x:v>
      </x:c>
      <x:c r="Q8" s="20" t="n">
        <x:v>3</x:v>
      </x:c>
      <x:c r="R8" s="20" t="n">
        <x:v>8</x:v>
      </x:c>
      <x:c r="S8" s="21" t="n">
        <x:f>14669/60</x:f>
        <x:v>244.48333333333332</x:v>
      </x:c>
      <x:c r="T8" s="21" t="n">
        <x:f>0/60</x:f>
        <x:v>0</x:v>
      </x:c>
      <x:c r="U8" s="21" t="n">
        <x:f>0/60</x:f>
        <x:v>0</x:v>
      </x:c>
      <x:c r="V8" s="21" t="n">
        <x:f>0/60</x:f>
        <x:v>0</x:v>
      </x:c>
      <x:c r="W8" s="20" t="n">
        <x:v>0</x:v>
      </x:c>
      <x:c r="X8" s="20" t="n">
        <x:v>0</x:v>
      </x:c>
      <x:c r="Y8" s="20" t="n">
        <x:v>2</x:v>
      </x:c>
      <x:c r="Z8" s="20" t="n">
        <x:v>0</x:v>
      </x:c>
    </x:row>
    <x:row r="9" ht="23" customHeight="1">
      <x:c r="A9" s="2" t="str">
        <x:v>2026-09-23_Night</x:v>
      </x:c>
      <x:c r="B9" s="19" t="n">
        <x:v>5000</x:v>
      </x:c>
      <x:c r="C9" s="19" t="n">
        <x:v>41000</x:v>
      </x:c>
      <x:c r="D9" s="19" t="n">
        <x:f>B9-C9</x:f>
        <x:v>-36000</x:v>
      </x:c>
      <x:c r="E9" s="19" t="n">
        <x:f>E8+D9</x:f>
        <x:v>-43000</x:v>
      </x:c>
      <x:c r="F9" s="19" t="n">
        <x:v>0</x:v>
      </x:c>
      <x:c r="G9" s="19" t="n">
        <x:f>D9-F9</x:f>
        <x:v>-36000</x:v>
      </x:c>
      <x:c r="H9" s="19" t="n">
        <x:v>0</x:v>
      </x:c>
      <x:c r="I9" s="19" t="n">
        <x:v>0</x:v>
      </x:c>
      <x:c r="J9" s="19" t="n">
        <x:v>0</x:v>
      </x:c>
      <x:c r="K9" s="19" t="n">
        <x:v>0</x:v>
      </x:c>
      <x:c r="L9" s="19" t="n">
        <x:v>0</x:v>
      </x:c>
      <x:c r="M9" s="19" t="n">
        <x:v>0</x:v>
      </x:c>
      <x:c r="N9" s="20" t="n">
        <x:v>2</x:v>
      </x:c>
      <x:c r="O9" s="20" t="n">
        <x:v>5</x:v>
      </x:c>
      <x:c r="P9" s="20" t="n">
        <x:v>3</x:v>
      </x:c>
      <x:c r="Q9" s="20" t="n">
        <x:v>0</x:v>
      </x:c>
      <x:c r="R9" s="20" t="n">
        <x:v>7</x:v>
      </x:c>
      <x:c r="S9" s="21" t="n">
        <x:f>0/60</x:f>
        <x:v>0</x:v>
      </x:c>
      <x:c r="T9" s="21" t="n">
        <x:f>0/60</x:f>
        <x:v>0</x:v>
      </x:c>
      <x:c r="U9" s="21" t="n">
        <x:f>0/60</x:f>
        <x:v>0</x:v>
      </x:c>
      <x:c r="V9" s="21" t="n">
        <x:f>0/60</x:f>
        <x:v>0</x:v>
      </x:c>
      <x:c r="W9" s="20" t="n">
        <x:v>0</x:v>
      </x:c>
      <x:c r="X9" s="20" t="n">
        <x:v>0</x:v>
      </x:c>
      <x:c r="Y9" s="20" t="n">
        <x:v>0</x:v>
      </x:c>
      <x:c r="Z9" s="20" t="n">
        <x:v>0</x:v>
      </x:c>
    </x:row>
    <x:row r="10" ht="23" customHeight="1">
      <x:c r="A10" s="2" t="str">
        <x:v>2026-09-24_Night</x:v>
      </x:c>
      <x:c r="B10" s="19" t="n">
        <x:v>36000</x:v>
      </x:c>
      <x:c r="C10" s="19" t="n">
        <x:v>0</x:v>
      </x:c>
      <x:c r="D10" s="19" t="n">
        <x:f>B10-C10</x:f>
        <x:v>36000</x:v>
      </x:c>
      <x:c r="E10" s="19" t="n">
        <x:f>E9+D10</x:f>
        <x:v>-7000</x:v>
      </x:c>
      <x:c r="F10" s="19" t="n">
        <x:v>16000</x:v>
      </x:c>
      <x:c r="G10" s="19" t="n">
        <x:f>D10-F10</x:f>
        <x:v>20000</x:v>
      </x:c>
      <x:c r="H10" s="19" t="n">
        <x:v>5000</x:v>
      </x:c>
      <x:c r="I10" s="19" t="n">
        <x:v>0</x:v>
      </x:c>
      <x:c r="J10" s="19" t="n">
        <x:v>11000</x:v>
      </x:c>
      <x:c r="K10" s="19" t="n">
        <x:v>0</x:v>
      </x:c>
      <x:c r="L10" s="19" t="n">
        <x:v>21000</x:v>
      </x:c>
      <x:c r="M10" s="19" t="n">
        <x:v>24000</x:v>
      </x:c>
      <x:c r="N10" s="20" t="n">
        <x:v>2</x:v>
      </x:c>
      <x:c r="O10" s="20" t="n">
        <x:v>2</x:v>
      </x:c>
      <x:c r="P10" s="20" t="n">
        <x:v>5</x:v>
      </x:c>
      <x:c r="Q10" s="20" t="n">
        <x:v>3</x:v>
      </x:c>
      <x:c r="R10" s="20" t="n">
        <x:v>5</x:v>
      </x:c>
      <x:c r="S10" s="21" t="n">
        <x:f>8481/60</x:f>
        <x:v>141.35</x:v>
      </x:c>
      <x:c r="T10" s="21" t="n">
        <x:f>0/60</x:f>
        <x:v>0</x:v>
      </x:c>
      <x:c r="U10" s="21" t="n">
        <x:f>0/60</x:f>
        <x:v>0</x:v>
      </x:c>
      <x:c r="V10" s="21" t="n">
        <x:f>0/60</x:f>
        <x:v>0</x:v>
      </x:c>
      <x:c r="W10" s="20" t="n">
        <x:v>0</x:v>
      </x:c>
      <x:c r="X10" s="20" t="n">
        <x:v>0</x:v>
      </x:c>
      <x:c r="Y10" s="20" t="n">
        <x:v>1</x:v>
      </x:c>
      <x:c r="Z10" s="20" t="n">
        <x:v>0</x:v>
      </x:c>
    </x:row>
    <x:row r="11" ht="23" customHeight="1">
      <x:c r="A11" s="2" t="str">
        <x:v>2026-09-25_Night</x:v>
      </x:c>
      <x:c r="B11" s="19" t="n">
        <x:v>17000</x:v>
      </x:c>
      <x:c r="C11" s="19" t="n">
        <x:v>16000</x:v>
      </x:c>
      <x:c r="D11" s="19" t="n">
        <x:f>B11-C11</x:f>
        <x:v>1000</x:v>
      </x:c>
      <x:c r="E11" s="19" t="n">
        <x:f>E10+D11</x:f>
        <x:v>-6000</x:v>
      </x:c>
      <x:c r="F11" s="19" t="n">
        <x:v>0</x:v>
      </x:c>
      <x:c r="G11" s="19" t="n">
        <x:f>D11-F11</x:f>
        <x:v>1000</x:v>
      </x:c>
      <x:c r="H11" s="19" t="n">
        <x:v>0</x:v>
      </x:c>
      <x:c r="I11" s="19" t="n">
        <x:v>0</x:v>
      </x:c>
      <x:c r="J11" s="19" t="n">
        <x:v>0</x:v>
      </x:c>
      <x:c r="K11" s="19" t="n">
        <x:v>0</x:v>
      </x:c>
      <x:c r="L11" s="19" t="n">
        <x:v>0</x:v>
      </x:c>
      <x:c r="M11" s="19" t="n">
        <x:v>0</x:v>
      </x:c>
      <x:c r="N11" s="20" t="n">
        <x:v>1</x:v>
      </x:c>
      <x:c r="O11" s="20" t="n">
        <x:v>5</x:v>
      </x:c>
      <x:c r="P11" s="20" t="n">
        <x:v>2</x:v>
      </x:c>
      <x:c r="Q11" s="20" t="n">
        <x:v>0</x:v>
      </x:c>
      <x:c r="R11" s="20" t="n">
        <x:v>6</x:v>
      </x:c>
      <x:c r="S11" s="21" t="n">
        <x:f>0/60</x:f>
        <x:v>0</x:v>
      </x:c>
      <x:c r="T11" s="21" t="n">
        <x:f>0/60</x:f>
        <x:v>0</x:v>
      </x:c>
      <x:c r="U11" s="21" t="n">
        <x:f>0/60</x:f>
        <x:v>0</x:v>
      </x:c>
      <x:c r="V11" s="21" t="n">
        <x:f>0/60</x:f>
        <x:v>0</x:v>
      </x:c>
      <x:c r="W11" s="20" t="n">
        <x:v>0</x:v>
      </x:c>
      <x:c r="X11" s="20" t="n">
        <x:v>0</x:v>
      </x:c>
      <x:c r="Y11" s="20" t="n">
        <x:v>0</x:v>
      </x:c>
      <x:c r="Z11" s="20" t="n">
        <x:v>0</x:v>
      </x:c>
    </x:row>
    <x:row r="12" ht="23" customHeight="1">
      <x:c r="A12" s="2" t="str">
        <x:v>2026-09-28_Night</x:v>
      </x:c>
      <x:c r="B12" s="19" t="n">
        <x:v>53000</x:v>
      </x:c>
      <x:c r="C12" s="19" t="n">
        <x:v>51000</x:v>
      </x:c>
      <x:c r="D12" s="19" t="n">
        <x:f>B12-C12</x:f>
        <x:v>2000</x:v>
      </x:c>
      <x:c r="E12" s="19" t="n">
        <x:f>E11+D12</x:f>
        <x:v>-4000</x:v>
      </x:c>
      <x:c r="F12" s="19" t="n">
        <x:v>31000</x:v>
      </x:c>
      <x:c r="G12" s="19" t="n">
        <x:f>D12-F12</x:f>
        <x:v>-29000</x:v>
      </x:c>
      <x:c r="H12" s="19" t="n">
        <x:v>43000</x:v>
      </x:c>
      <x:c r="I12" s="19" t="n">
        <x:v>0</x:v>
      </x:c>
      <x:c r="J12" s="19" t="n">
        <x:v>0</x:v>
      </x:c>
      <x:c r="K12" s="19" t="n">
        <x:v>12000</x:v>
      </x:c>
      <x:c r="L12" s="19" t="n">
        <x:v>15000</x:v>
      </x:c>
      <x:c r="M12" s="19" t="n">
        <x:v>19000</x:v>
      </x:c>
      <x:c r="N12" s="20" t="n">
        <x:v>3</x:v>
      </x:c>
      <x:c r="O12" s="20" t="n">
        <x:v>3</x:v>
      </x:c>
      <x:c r="P12" s="20" t="n">
        <x:v>11</x:v>
      </x:c>
      <x:c r="Q12" s="20" t="n">
        <x:v>7</x:v>
      </x:c>
      <x:c r="R12" s="20" t="n">
        <x:v>13</x:v>
      </x:c>
      <x:c r="S12" s="21" t="n">
        <x:f>7644/60</x:f>
        <x:v>127.4</x:v>
      </x:c>
      <x:c r="T12" s="21" t="n">
        <x:f>0/60</x:f>
        <x:v>0</x:v>
      </x:c>
      <x:c r="U12" s="21" t="n">
        <x:f>0/60</x:f>
        <x:v>0</x:v>
      </x:c>
      <x:c r="V12" s="21" t="n">
        <x:f>0/60</x:f>
        <x:v>0</x:v>
      </x:c>
      <x:c r="W12" s="20" t="n">
        <x:v>0</x:v>
      </x:c>
      <x:c r="X12" s="20" t="n">
        <x:v>0</x:v>
      </x:c>
      <x:c r="Y12" s="20" t="n">
        <x:v>6</x:v>
      </x:c>
      <x:c r="Z12" s="20" t="n">
        <x:v>0</x:v>
      </x:c>
    </x:row>
    <x:row r="13" ht="23" customHeight="1">
      <x:c r="A13" s="2" t="str">
        <x:v>2026-09-29_Night</x:v>
      </x:c>
      <x:c r="B13" s="19" t="n">
        <x:v>90000</x:v>
      </x:c>
      <x:c r="C13" s="19" t="n">
        <x:v>25000</x:v>
      </x:c>
      <x:c r="D13" s="19" t="n">
        <x:f>B13-C13</x:f>
        <x:v>65000</x:v>
      </x:c>
      <x:c r="E13" s="19" t="n">
        <x:f>E12+D13</x:f>
        <x:v>61000</x:v>
      </x:c>
      <x:c r="F13" s="19" t="n">
        <x:v>0</x:v>
      </x:c>
      <x:c r="G13" s="19" t="n">
        <x:f>D13-F13</x:f>
        <x:v>65000</x:v>
      </x:c>
      <x:c r="H13" s="19" t="n">
        <x:v>0</x:v>
      </x:c>
      <x:c r="I13" s="19" t="n">
        <x:v>0</x:v>
      </x:c>
      <x:c r="J13" s="19" t="n">
        <x:v>0</x:v>
      </x:c>
      <x:c r="K13" s="19" t="n">
        <x:v>0</x:v>
      </x:c>
      <x:c r="L13" s="19" t="n">
        <x:v>0</x:v>
      </x:c>
      <x:c r="M13" s="19" t="n">
        <x:v>0</x:v>
      </x:c>
      <x:c r="N13" s="20" t="n">
        <x:v>5</x:v>
      </x:c>
      <x:c r="O13" s="20" t="n">
        <x:v>5</x:v>
      </x:c>
      <x:c r="P13" s="20" t="n">
        <x:v>6</x:v>
      </x:c>
      <x:c r="Q13" s="20" t="n">
        <x:v>0</x:v>
      </x:c>
      <x:c r="R13" s="20" t="n">
        <x:v>14</x:v>
      </x:c>
      <x:c r="S13" s="21" t="n">
        <x:f>0/60</x:f>
        <x:v>0</x:v>
      </x:c>
      <x:c r="T13" s="21" t="n">
        <x:f>0/60</x:f>
        <x:v>0</x:v>
      </x:c>
      <x:c r="U13" s="21" t="n">
        <x:f>0/60</x:f>
        <x:v>0</x:v>
      </x:c>
      <x:c r="V13" s="21" t="n">
        <x:f>0/60</x:f>
        <x:v>0</x:v>
      </x:c>
      <x:c r="W13" s="20" t="n">
        <x:v>0</x:v>
      </x:c>
      <x:c r="X13" s="20" t="n">
        <x:v>0</x:v>
      </x:c>
      <x:c r="Y13" s="20" t="n">
        <x:v>0</x:v>
      </x:c>
      <x:c r="Z13" s="20" t="n">
        <x:v>0</x:v>
      </x:c>
    </x:row>
    <x:row r="14" ht="23" customHeight="1">
      <x:c r="A14" s="2" t="str">
        <x:v>2026-09-30_Night</x:v>
      </x:c>
      <x:c r="B14" s="19" t="n">
        <x:v>97000</x:v>
      </x:c>
      <x:c r="C14" s="19" t="n">
        <x:v>82000</x:v>
      </x:c>
      <x:c r="D14" s="19" t="n">
        <x:f>B14-C14</x:f>
        <x:v>15000</x:v>
      </x:c>
      <x:c r="E14" s="19" t="n">
        <x:f>E13+D14</x:f>
        <x:v>76000</x:v>
      </x:c>
      <x:c r="F14" s="19" t="n">
        <x:v>-28000</x:v>
      </x:c>
      <x:c r="G14" s="19" t="n">
        <x:f>D14-F14</x:f>
        <x:v>43000</x:v>
      </x:c>
      <x:c r="H14" s="19" t="n">
        <x:v>48000</x:v>
      </x:c>
      <x:c r="I14" s="19" t="n">
        <x:v>0</x:v>
      </x:c>
      <x:c r="J14" s="19" t="n">
        <x:v>0</x:v>
      </x:c>
      <x:c r="K14" s="19" t="n">
        <x:v>76000</x:v>
      </x:c>
      <x:c r="L14" s="19" t="n">
        <x:v>86000</x:v>
      </x:c>
      <x:c r="M14" s="19" t="n">
        <x:v>49000</x:v>
      </x:c>
      <x:c r="N14" s="20" t="n">
        <x:v>7</x:v>
      </x:c>
      <x:c r="O14" s="20" t="n">
        <x:v>1</x:v>
      </x:c>
      <x:c r="P14" s="20" t="n">
        <x:v>11</x:v>
      </x:c>
      <x:c r="Q14" s="20" t="n">
        <x:v>8</x:v>
      </x:c>
      <x:c r="R14" s="20" t="n">
        <x:v>15</x:v>
      </x:c>
      <x:c r="S14" s="21" t="n">
        <x:f>7337/60</x:f>
        <x:v>122.28333333333333</x:v>
      </x:c>
      <x:c r="T14" s="21" t="n">
        <x:f>5780/60</x:f>
        <x:v>96.33333333333333</x:v>
      </x:c>
      <x:c r="U14" s="21" t="n">
        <x:f>0/60</x:f>
        <x:v>0</x:v>
      </x:c>
      <x:c r="V14" s="21" t="n">
        <x:f>0/60</x:f>
        <x:v>0</x:v>
      </x:c>
      <x:c r="W14" s="20" t="n">
        <x:v>0</x:v>
      </x:c>
      <x:c r="X14" s="20" t="n">
        <x:v>0</x:v>
      </x:c>
      <x:c r="Y14" s="20" t="n">
        <x:v>5</x:v>
      </x:c>
      <x:c r="Z14" s="20" t="n">
        <x:v>0</x:v>
      </x:c>
    </x:row>
    <x:row r="15" ht="23" customHeight="1">
      <x:c r="A15" s="2" t="str">
        <x:v>2026-10-01_Night</x:v>
      </x:c>
      <x:c r="B15" s="19" t="n">
        <x:v>265000</x:v>
      </x:c>
      <x:c r="C15" s="19" t="n">
        <x:v>188000</x:v>
      </x:c>
      <x:c r="D15" s="19" t="n">
        <x:f>B15-C15</x:f>
        <x:v>77000</x:v>
      </x:c>
      <x:c r="E15" s="19" t="n">
        <x:f>E14+D15</x:f>
        <x:v>153000</x:v>
      </x:c>
      <x:c r="F15" s="19" t="n">
        <x:v>-21000</x:v>
      </x:c>
      <x:c r="G15" s="19" t="n">
        <x:f>D15-F15</x:f>
        <x:v>98000</x:v>
      </x:c>
      <x:c r="H15" s="19" t="n">
        <x:v>71000</x:v>
      </x:c>
      <x:c r="I15" s="19" t="n">
        <x:v>0</x:v>
      </x:c>
      <x:c r="J15" s="19" t="n">
        <x:v>4000</x:v>
      </x:c>
      <x:c r="K15" s="19" t="n">
        <x:v>96000</x:v>
      </x:c>
      <x:c r="L15" s="19" t="n">
        <x:v>178000</x:v>
      </x:c>
      <x:c r="M15" s="19" t="n">
        <x:v>153000</x:v>
      </x:c>
      <x:c r="N15" s="20" t="n">
        <x:v>4</x:v>
      </x:c>
      <x:c r="O15" s="20" t="n">
        <x:v>6</x:v>
      </x:c>
      <x:c r="P15" s="20" t="n">
        <x:v>25</x:v>
      </x:c>
      <x:c r="Q15" s="20" t="n">
        <x:v>17</x:v>
      </x:c>
      <x:c r="R15" s="20" t="n">
        <x:v>31</x:v>
      </x:c>
      <x:c r="S15" s="21" t="n">
        <x:f>13937/60</x:f>
        <x:v>232.28333333333333</x:v>
      </x:c>
      <x:c r="T15" s="21" t="n">
        <x:f>11789/60</x:f>
        <x:v>196.48333333333332</x:v>
      </x:c>
      <x:c r="U15" s="21" t="n">
        <x:f>0/60</x:f>
        <x:v>0</x:v>
      </x:c>
      <x:c r="V15" s="21" t="n">
        <x:f>0/60</x:f>
        <x:v>0</x:v>
      </x:c>
      <x:c r="W15" s="20" t="n">
        <x:v>0</x:v>
      </x:c>
      <x:c r="X15" s="20" t="n">
        <x:v>0</x:v>
      </x:c>
      <x:c r="Y15" s="20" t="n">
        <x:v>9</x:v>
      </x:c>
      <x:c r="Z15" s="20" t="n">
        <x:v>0</x:v>
      </x:c>
    </x:row>
    <x:row r="16" ht="23" customHeight="1">
      <x:c r="A16" s="2" t="str">
        <x:v>2026-10-02_Night</x:v>
      </x:c>
      <x:c r="B16" s="19" t="n">
        <x:v>313000</x:v>
      </x:c>
      <x:c r="C16" s="19" t="n">
        <x:v>57000</x:v>
      </x:c>
      <x:c r="D16" s="19" t="n">
        <x:f>B16-C16</x:f>
        <x:v>256000</x:v>
      </x:c>
      <x:c r="E16" s="19" t="n">
        <x:f>E15+D16</x:f>
        <x:v>409000</x:v>
      </x:c>
      <x:c r="F16" s="19" t="n">
        <x:v>0</x:v>
      </x:c>
      <x:c r="G16" s="19" t="n">
        <x:f>D16-F16</x:f>
        <x:v>256000</x:v>
      </x:c>
      <x:c r="H16" s="19" t="n">
        <x:v>0</x:v>
      </x:c>
      <x:c r="I16" s="19" t="n">
        <x:v>0</x:v>
      </x:c>
      <x:c r="J16" s="19" t="n">
        <x:v>0</x:v>
      </x:c>
      <x:c r="K16" s="19" t="n">
        <x:v>0</x:v>
      </x:c>
      <x:c r="L16" s="19" t="n">
        <x:v>0</x:v>
      </x:c>
      <x:c r="M16" s="19" t="n">
        <x:v>0</x:v>
      </x:c>
      <x:c r="N16" s="20" t="n">
        <x:v>7</x:v>
      </x:c>
      <x:c r="O16" s="20" t="n">
        <x:v>10</x:v>
      </x:c>
      <x:c r="P16" s="20" t="n">
        <x:v>15</x:v>
      </x:c>
      <x:c r="Q16" s="20" t="n">
        <x:v>0</x:v>
      </x:c>
      <x:c r="R16" s="20" t="n">
        <x:v>28</x:v>
      </x:c>
      <x:c r="S16" s="21" t="n">
        <x:f>0/60</x:f>
        <x:v>0</x:v>
      </x:c>
      <x:c r="T16" s="21" t="n">
        <x:f>0/60</x:f>
        <x:v>0</x:v>
      </x:c>
      <x:c r="U16" s="21" t="n">
        <x:f>0/60</x:f>
        <x:v>0</x:v>
      </x:c>
      <x:c r="V16" s="21" t="n">
        <x:f>0/60</x:f>
        <x:v>0</x:v>
      </x:c>
      <x:c r="W16" s="20" t="n">
        <x:v>0</x:v>
      </x:c>
      <x:c r="X16" s="20" t="n">
        <x:v>0</x:v>
      </x:c>
      <x:c r="Y16" s="20" t="n">
        <x:v>0</x:v>
      </x:c>
      <x:c r="Z16" s="20" t="n">
        <x:v>0</x:v>
      </x:c>
    </x:row>
    <x:row r="17" ht="23" customHeight="1">
      <x:c r="A17" s="2" t="str">
        <x:v>2026-10-05_Night</x:v>
      </x:c>
      <x:c r="B17" s="19" t="n">
        <x:v>107000</x:v>
      </x:c>
      <x:c r="C17" s="19" t="n">
        <x:v>88000</x:v>
      </x:c>
      <x:c r="D17" s="19" t="n">
        <x:f>B17-C17</x:f>
        <x:v>19000</x:v>
      </x:c>
      <x:c r="E17" s="19" t="n">
        <x:f>E16+D17</x:f>
        <x:v>428000</x:v>
      </x:c>
      <x:c r="F17" s="19" t="n">
        <x:v>-15000</x:v>
      </x:c>
      <x:c r="G17" s="19" t="n">
        <x:f>D17-F17</x:f>
        <x:v>34000</x:v>
      </x:c>
      <x:c r="H17" s="19" t="n">
        <x:v>9000</x:v>
      </x:c>
      <x:c r="I17" s="19" t="n">
        <x:v>0</x:v>
      </x:c>
      <x:c r="J17" s="19" t="n">
        <x:v>0</x:v>
      </x:c>
      <x:c r="K17" s="19" t="n">
        <x:v>24000</x:v>
      </x:c>
      <x:c r="L17" s="19" t="n">
        <x:v>35000</x:v>
      </x:c>
      <x:c r="M17" s="19" t="n">
        <x:v>40000</x:v>
      </x:c>
      <x:c r="N17" s="20" t="n">
        <x:v>5</x:v>
      </x:c>
      <x:c r="O17" s="20" t="n">
        <x:v>2</x:v>
      </x:c>
      <x:c r="P17" s="20" t="n">
        <x:v>10</x:v>
      </x:c>
      <x:c r="Q17" s="20" t="n">
        <x:v>3</x:v>
      </x:c>
      <x:c r="R17" s="20" t="n">
        <x:v>17</x:v>
      </x:c>
      <x:c r="S17" s="21" t="n">
        <x:f>15739/60</x:f>
        <x:v>262.31666666666666</x:v>
      </x:c>
      <x:c r="T17" s="21" t="n">
        <x:f>0/60</x:f>
        <x:v>0</x:v>
      </x:c>
      <x:c r="U17" s="21" t="n">
        <x:f>0/60</x:f>
        <x:v>0</x:v>
      </x:c>
      <x:c r="V17" s="21" t="n">
        <x:f>0/60</x:f>
        <x:v>0</x:v>
      </x:c>
      <x:c r="W17" s="20" t="n">
        <x:v>0</x:v>
      </x:c>
      <x:c r="X17" s="20" t="n">
        <x:v>0</x:v>
      </x:c>
      <x:c r="Y17" s="20" t="n">
        <x:v>2</x:v>
      </x:c>
      <x:c r="Z17" s="20" t="n">
        <x:v>0</x:v>
      </x:c>
    </x:row>
    <x:row r="18" ht="23" customHeight="1">
      <x:c r="A18" s="2" t="str">
        <x:v>2026-10-06_Night</x:v>
      </x:c>
      <x:c r="B18" s="19" t="n">
        <x:v>33000</x:v>
      </x:c>
      <x:c r="C18" s="19" t="n">
        <x:v>43000</x:v>
      </x:c>
      <x:c r="D18" s="19" t="n">
        <x:f>B18-C18</x:f>
        <x:v>-10000</x:v>
      </x:c>
      <x:c r="E18" s="19" t="n">
        <x:f>E17+D18</x:f>
        <x:v>418000</x:v>
      </x:c>
      <x:c r="F18" s="19" t="n">
        <x:v>0</x:v>
      </x:c>
      <x:c r="G18" s="19" t="n">
        <x:f>D18-F18</x:f>
        <x:v>-10000</x:v>
      </x:c>
      <x:c r="H18" s="19" t="n">
        <x:v>0</x:v>
      </x:c>
      <x:c r="I18" s="19" t="n">
        <x:v>0</x:v>
      </x:c>
      <x:c r="J18" s="19" t="n">
        <x:v>0</x:v>
      </x:c>
      <x:c r="K18" s="19" t="n">
        <x:v>0</x:v>
      </x:c>
      <x:c r="L18" s="19" t="n">
        <x:v>0</x:v>
      </x:c>
      <x:c r="M18" s="19" t="n">
        <x:v>0</x:v>
      </x:c>
      <x:c r="N18" s="20" t="n">
        <x:v>0</x:v>
      </x:c>
      <x:c r="O18" s="20" t="n">
        <x:v>7</x:v>
      </x:c>
      <x:c r="P18" s="20" t="n">
        <x:v>4</x:v>
      </x:c>
      <x:c r="Q18" s="20" t="n">
        <x:v>0</x:v>
      </x:c>
      <x:c r="R18" s="20" t="n">
        <x:v>8</x:v>
      </x:c>
      <x:c r="S18" s="21" t="n">
        <x:f>0/60</x:f>
        <x:v>0</x:v>
      </x:c>
      <x:c r="T18" s="21" t="n">
        <x:f>0/60</x:f>
        <x:v>0</x:v>
      </x:c>
      <x:c r="U18" s="21" t="n">
        <x:f>0/60</x:f>
        <x:v>0</x:v>
      </x:c>
      <x:c r="V18" s="21" t="n">
        <x:f>0/60</x:f>
        <x:v>0</x:v>
      </x:c>
      <x:c r="W18" s="20" t="n">
        <x:v>0</x:v>
      </x:c>
      <x:c r="X18" s="20" t="n">
        <x:v>0</x:v>
      </x:c>
      <x:c r="Y18" s="20" t="n">
        <x:v>0</x:v>
      </x:c>
      <x:c r="Z18" s="20" t="n">
        <x:v>0</x:v>
      </x:c>
    </x:row>
    <x:row r="19" ht="23" customHeight="1">
      <x:c r="A19" s="2" t="str">
        <x:v>2026-10-07_Night</x:v>
      </x:c>
      <x:c r="B19" s="19" t="n">
        <x:v>48000</x:v>
      </x:c>
      <x:c r="C19" s="19" t="n">
        <x:v>69000</x:v>
      </x:c>
      <x:c r="D19" s="19" t="n">
        <x:f>B19-C19</x:f>
        <x:v>-21000</x:v>
      </x:c>
      <x:c r="E19" s="19" t="n">
        <x:f>E18+D19</x:f>
        <x:v>397000</x:v>
      </x:c>
      <x:c r="F19" s="19" t="n">
        <x:v>1000</x:v>
      </x:c>
      <x:c r="G19" s="19" t="n">
        <x:f>D19-F19</x:f>
        <x:v>-22000</x:v>
      </x:c>
      <x:c r="H19" s="19" t="n">
        <x:v>48000</x:v>
      </x:c>
      <x:c r="I19" s="19" t="n">
        <x:v>0</x:v>
      </x:c>
      <x:c r="J19" s="19" t="n">
        <x:v>0</x:v>
      </x:c>
      <x:c r="K19" s="19" t="n">
        <x:v>47000</x:v>
      </x:c>
      <x:c r="L19" s="19" t="n">
        <x:v>49000</x:v>
      </x:c>
      <x:c r="M19" s="19" t="n">
        <x:v>33000</x:v>
      </x:c>
      <x:c r="N19" s="20" t="n">
        <x:v>2</x:v>
      </x:c>
      <x:c r="O19" s="20" t="n">
        <x:v>2</x:v>
      </x:c>
      <x:c r="P19" s="20" t="n">
        <x:v>11</x:v>
      </x:c>
      <x:c r="Q19" s="20" t="n">
        <x:v>9</x:v>
      </x:c>
      <x:c r="R19" s="20" t="n">
        <x:v>11</x:v>
      </x:c>
      <x:c r="S19" s="21" t="n">
        <x:f>13545/60</x:f>
        <x:v>225.75</x:v>
      </x:c>
      <x:c r="T19" s="21" t="n">
        <x:f>4268/60</x:f>
        <x:v>71.13333333333334</x:v>
      </x:c>
      <x:c r="U19" s="21" t="n">
        <x:f>0/60</x:f>
        <x:v>0</x:v>
      </x:c>
      <x:c r="V19" s="21" t="n">
        <x:f>0/60</x:f>
        <x:v>0</x:v>
      </x:c>
      <x:c r="W19" s="20" t="n">
        <x:v>0</x:v>
      </x:c>
      <x:c r="X19" s="20" t="n">
        <x:v>0</x:v>
      </x:c>
      <x:c r="Y19" s="20" t="n">
        <x:v>6</x:v>
      </x:c>
      <x:c r="Z19" s="20" t="n">
        <x:v>0</x:v>
      </x:c>
    </x:row>
    <x:row r="20" ht="23" customHeight="1">
      <x:c r="A20" s="2" t="str">
        <x:v>2026-10-08_Night</x:v>
      </x:c>
      <x:c r="B20" s="19" t="n">
        <x:v>385000</x:v>
      </x:c>
      <x:c r="C20" s="19" t="n">
        <x:v>102000</x:v>
      </x:c>
      <x:c r="D20" s="19" t="n">
        <x:f>B20-C20</x:f>
        <x:v>283000</x:v>
      </x:c>
      <x:c r="E20" s="19" t="n">
        <x:f>E19+D20</x:f>
        <x:v>680000</x:v>
      </x:c>
      <x:c r="F20" s="19" t="n">
        <x:v>-23000</x:v>
      </x:c>
      <x:c r="G20" s="19" t="n">
        <x:f>D20-F20</x:f>
        <x:v>306000</x:v>
      </x:c>
      <x:c r="H20" s="19" t="n">
        <x:v>43000</x:v>
      </x:c>
      <x:c r="I20" s="19" t="n">
        <x:v>0</x:v>
      </x:c>
      <x:c r="J20" s="19" t="n">
        <x:v>0</x:v>
      </x:c>
      <x:c r="K20" s="19" t="n">
        <x:v>66000</x:v>
      </x:c>
      <x:c r="L20" s="19" t="n">
        <x:v>72000</x:v>
      </x:c>
      <x:c r="M20" s="19" t="n">
        <x:v>80000</x:v>
      </x:c>
      <x:c r="N20" s="20" t="n">
        <x:v>8</x:v>
      </x:c>
      <x:c r="O20" s="20" t="n">
        <x:v>8</x:v>
      </x:c>
      <x:c r="P20" s="20" t="n">
        <x:v>22</x:v>
      </x:c>
      <x:c r="Q20" s="20" t="n">
        <x:v>7</x:v>
      </x:c>
      <x:c r="R20" s="20" t="n">
        <x:v>35</x:v>
      </x:c>
      <x:c r="S20" s="21" t="n">
        <x:f>12413/60</x:f>
        <x:v>206.88333333333333</x:v>
      </x:c>
      <x:c r="T20" s="21" t="n">
        <x:f>0/60</x:f>
        <x:v>0</x:v>
      </x:c>
      <x:c r="U20" s="21" t="n">
        <x:f>0/60</x:f>
        <x:v>0</x:v>
      </x:c>
      <x:c r="V20" s="21" t="n">
        <x:f>0/60</x:f>
        <x:v>0</x:v>
      </x:c>
      <x:c r="W20" s="20" t="n">
        <x:v>0</x:v>
      </x:c>
      <x:c r="X20" s="20" t="n">
        <x:v>0</x:v>
      </x:c>
      <x:c r="Y20" s="20" t="n">
        <x:v>5</x:v>
      </x:c>
      <x:c r="Z20" s="20" t="n">
        <x:v>0</x:v>
      </x:c>
    </x:row>
    <x:row r="21" ht="23" customHeight="1">
      <x:c r="A21" s="2" t="str">
        <x:v>2026-10-09_Night</x:v>
      </x:c>
      <x:c r="B21" s="19" t="n">
        <x:v>28000</x:v>
      </x:c>
      <x:c r="C21" s="19" t="n">
        <x:v>37000</x:v>
      </x:c>
      <x:c r="D21" s="19" t="n">
        <x:f>B21-C21</x:f>
        <x:v>-9000</x:v>
      </x:c>
      <x:c r="E21" s="19" t="n">
        <x:f>E20+D21</x:f>
        <x:v>671000</x:v>
      </x:c>
      <x:c r="F21" s="19" t="n">
        <x:v>-23000</x:v>
      </x:c>
      <x:c r="G21" s="19" t="n">
        <x:f>D21-F21</x:f>
        <x:v>14000</x:v>
      </x:c>
      <x:c r="H21" s="19" t="n">
        <x:v>14000</x:v>
      </x:c>
      <x:c r="I21" s="19" t="n">
        <x:v>0</x:v>
      </x:c>
      <x:c r="J21" s="19" t="n">
        <x:v>0</x:v>
      </x:c>
      <x:c r="K21" s="19" t="n">
        <x:v>37000</x:v>
      </x:c>
      <x:c r="L21" s="19" t="n">
        <x:v>43000</x:v>
      </x:c>
      <x:c r="M21" s="19" t="n">
        <x:v>54000</x:v>
      </x:c>
      <x:c r="N21" s="20" t="n">
        <x:v>0</x:v>
      </x:c>
      <x:c r="O21" s="20" t="n">
        <x:v>5</x:v>
      </x:c>
      <x:c r="P21" s="20" t="n">
        <x:v>6</x:v>
      </x:c>
      <x:c r="Q21" s="20" t="n">
        <x:v>5</x:v>
      </x:c>
      <x:c r="R21" s="20" t="n">
        <x:v>10</x:v>
      </x:c>
      <x:c r="S21" s="21" t="n">
        <x:f>13711/60</x:f>
        <x:v>228.51666666666668</x:v>
      </x:c>
      <x:c r="T21" s="21" t="n">
        <x:f>0/60</x:f>
        <x:v>0</x:v>
      </x:c>
      <x:c r="U21" s="21" t="n">
        <x:f>0/60</x:f>
        <x:v>0</x:v>
      </x:c>
      <x:c r="V21" s="21" t="n">
        <x:f>0/60</x:f>
        <x:v>0</x:v>
      </x:c>
      <x:c r="W21" s="20" t="n">
        <x:v>0</x:v>
      </x:c>
      <x:c r="X21" s="20" t="n">
        <x:v>0</x:v>
      </x:c>
      <x:c r="Y21" s="20" t="n">
        <x:v>3</x:v>
      </x:c>
      <x:c r="Z21" s="20" t="n">
        <x:v>0</x:v>
      </x:c>
    </x:row>
    <x:row r="22" ht="23" customHeight="1">
      <x:c r="A22" s="2" t="str">
        <x:v>2026-10-12_Night</x:v>
      </x:c>
      <x:c r="B22" s="19" t="n">
        <x:v>82000</x:v>
      </x:c>
      <x:c r="C22" s="19" t="n">
        <x:v>0</x:v>
      </x:c>
      <x:c r="D22" s="19" t="n">
        <x:f>B22-C22</x:f>
        <x:v>82000</x:v>
      </x:c>
      <x:c r="E22" s="19" t="n">
        <x:f>E21+D22</x:f>
        <x:v>753000</x:v>
      </x:c>
      <x:c r="F22" s="19" t="n">
        <x:v>0</x:v>
      </x:c>
      <x:c r="G22" s="19" t="n">
        <x:f>D22-F22</x:f>
        <x:v>82000</x:v>
      </x:c>
      <x:c r="H22" s="19" t="n">
        <x:v>0</x:v>
      </x:c>
      <x:c r="I22" s="19" t="n">
        <x:v>0</x:v>
      </x:c>
      <x:c r="J22" s="19" t="n">
        <x:v>0</x:v>
      </x:c>
      <x:c r="K22" s="19" t="n">
        <x:v>0</x:v>
      </x:c>
      <x:c r="L22" s="19" t="n">
        <x:v>0</x:v>
      </x:c>
      <x:c r="M22" s="19" t="n">
        <x:v>0</x:v>
      </x:c>
      <x:c r="N22" s="20" t="n">
        <x:v>0</x:v>
      </x:c>
      <x:c r="O22" s="20" t="n">
        <x:v>5</x:v>
      </x:c>
      <x:c r="P22" s="20" t="n">
        <x:v>1</x:v>
      </x:c>
      <x:c r="Q22" s="20" t="n">
        <x:v>0</x:v>
      </x:c>
      <x:c r="R22" s="20" t="n">
        <x:v>5</x:v>
      </x:c>
      <x:c r="S22" s="21" t="n">
        <x:f>0/60</x:f>
        <x:v>0</x:v>
      </x:c>
      <x:c r="T22" s="21" t="n">
        <x:f>0/60</x:f>
        <x:v>0</x:v>
      </x:c>
      <x:c r="U22" s="21" t="n">
        <x:f>0/60</x:f>
        <x:v>0</x:v>
      </x:c>
      <x:c r="V22" s="21" t="n">
        <x:f>0/60</x:f>
        <x:v>0</x:v>
      </x:c>
      <x:c r="W22" s="20" t="n">
        <x:v>0</x:v>
      </x:c>
      <x:c r="X22" s="20" t="n">
        <x:v>0</x:v>
      </x:c>
      <x:c r="Y22" s="20" t="n">
        <x:v>0</x:v>
      </x:c>
      <x:c r="Z22" s="20" t="n">
        <x:v>0</x:v>
      </x:c>
    </x:row>
    <x:row r="23" ht="23" customHeight="1">
      <x:c r="A23" s="2" t="str">
        <x:v>2026-10-13_Night</x:v>
      </x:c>
      <x:c r="B23" s="19" t="n">
        <x:v>0</x:v>
      </x:c>
      <x:c r="C23" s="19" t="n">
        <x:v>83000</x:v>
      </x:c>
      <x:c r="D23" s="19" t="n">
        <x:f>B23-C23</x:f>
        <x:v>-83000</x:v>
      </x:c>
      <x:c r="E23" s="19" t="n">
        <x:f>E22+D23</x:f>
        <x:v>670000</x:v>
      </x:c>
      <x:c r="F23" s="19" t="n">
        <x:v>-30000</x:v>
      </x:c>
      <x:c r="G23" s="19" t="n">
        <x:f>D23-F23</x:f>
        <x:v>-53000</x:v>
      </x:c>
      <x:c r="H23" s="19" t="n">
        <x:v>0</x:v>
      </x:c>
      <x:c r="I23" s="19" t="n">
        <x:v>0</x:v>
      </x:c>
      <x:c r="J23" s="19" t="n">
        <x:v>0</x:v>
      </x:c>
      <x:c r="K23" s="19" t="n">
        <x:v>30000</x:v>
      </x:c>
      <x:c r="L23" s="19" t="n">
        <x:v>35000</x:v>
      </x:c>
      <x:c r="M23" s="19" t="n">
        <x:v>40000</x:v>
      </x:c>
      <x:c r="N23" s="20" t="n">
        <x:v>1</x:v>
      </x:c>
      <x:c r="O23" s="20" t="n">
        <x:v>5</x:v>
      </x:c>
      <x:c r="P23" s="20" t="n">
        <x:v>3</x:v>
      </x:c>
      <x:c r="Q23" s="20" t="n">
        <x:v>1</x:v>
      </x:c>
      <x:c r="R23" s="20" t="n">
        <x:v>7</x:v>
      </x:c>
      <x:c r="S23" s="21" t="n">
        <x:f>14137/60</x:f>
        <x:v>235.61666666666667</x:v>
      </x:c>
      <x:c r="T23" s="21" t="n">
        <x:f>0/60</x:f>
        <x:v>0</x:v>
      </x:c>
      <x:c r="U23" s="21" t="n">
        <x:f>0/60</x:f>
        <x:v>0</x:v>
      </x:c>
      <x:c r="V23" s="21" t="n">
        <x:f>0/60</x:f>
        <x:v>0</x:v>
      </x:c>
      <x:c r="W23" s="20" t="n">
        <x:v>0</x:v>
      </x:c>
      <x:c r="X23" s="20" t="n">
        <x:v>0</x:v>
      </x:c>
      <x:c r="Y23" s="20" t="n">
        <x:v>0</x:v>
      </x:c>
      <x:c r="Z23" s="20" t="n">
        <x:v>0</x:v>
      </x:c>
    </x:row>
    <x:row r="24" ht="23" customHeight="1">
      <x:c r="A24" s="2" t="str">
        <x:v>2026-10-14_Night</x:v>
      </x:c>
      <x:c r="B24" s="19" t="n">
        <x:v>232000</x:v>
      </x:c>
      <x:c r="C24" s="19" t="n">
        <x:v>77000</x:v>
      </x:c>
      <x:c r="D24" s="19" t="n">
        <x:f>B24-C24</x:f>
        <x:v>155000</x:v>
      </x:c>
      <x:c r="E24" s="19" t="n">
        <x:f>E23+D24</x:f>
        <x:v>825000</x:v>
      </x:c>
      <x:c r="F24" s="19" t="n">
        <x:v>19000</x:v>
      </x:c>
      <x:c r="G24" s="19" t="n">
        <x:f>D24-F24</x:f>
        <x:v>136000</x:v>
      </x:c>
      <x:c r="H24" s="19" t="n">
        <x:v>35000</x:v>
      </x:c>
      <x:c r="I24" s="19" t="n">
        <x:v>0</x:v>
      </x:c>
      <x:c r="J24" s="19" t="n">
        <x:v>0</x:v>
      </x:c>
      <x:c r="K24" s="19" t="n">
        <x:v>16000</x:v>
      </x:c>
      <x:c r="L24" s="19" t="n">
        <x:v>38000</x:v>
      </x:c>
      <x:c r="M24" s="19" t="n">
        <x:v>55000</x:v>
      </x:c>
      <x:c r="N24" s="20" t="n">
        <x:v>1</x:v>
      </x:c>
      <x:c r="O24" s="20" t="n">
        <x:v>5</x:v>
      </x:c>
      <x:c r="P24" s="20" t="n">
        <x:v>11</x:v>
      </x:c>
      <x:c r="Q24" s="20" t="n">
        <x:v>7</x:v>
      </x:c>
      <x:c r="R24" s="20" t="n">
        <x:v>16</x:v>
      </x:c>
      <x:c r="S24" s="21" t="n">
        <x:f>13917/60</x:f>
        <x:v>231.95</x:v>
      </x:c>
      <x:c r="T24" s="21" t="n">
        <x:f>0/60</x:f>
        <x:v>0</x:v>
      </x:c>
      <x:c r="U24" s="21" t="n">
        <x:f>0/60</x:f>
        <x:v>0</x:v>
      </x:c>
      <x:c r="V24" s="21" t="n">
        <x:f>0/60</x:f>
        <x:v>0</x:v>
      </x:c>
      <x:c r="W24" s="20" t="n">
        <x:v>0</x:v>
      </x:c>
      <x:c r="X24" s="20" t="n">
        <x:v>0</x:v>
      </x:c>
      <x:c r="Y24" s="20" t="n">
        <x:v>6</x:v>
      </x:c>
      <x:c r="Z24" s="20" t="n">
        <x:v>0</x:v>
      </x:c>
    </x:row>
    <x:row r="25" ht="23" customHeight="1">
      <x:c r="A25" s="2" t="str">
        <x:v>2026-10-15_Night</x:v>
      </x:c>
      <x:c r="B25" s="19" t="n">
        <x:v>86000</x:v>
      </x:c>
      <x:c r="C25" s="19" t="n">
        <x:v>64000</x:v>
      </x:c>
      <x:c r="D25" s="19" t="n">
        <x:f>B25-C25</x:f>
        <x:v>22000</x:v>
      </x:c>
      <x:c r="E25" s="19" t="n">
        <x:f>E24+D25</x:f>
        <x:v>847000</x:v>
      </x:c>
      <x:c r="F25" s="19" t="n">
        <x:v>0</x:v>
      </x:c>
      <x:c r="G25" s="19" t="n">
        <x:f>D25-F25</x:f>
        <x:v>22000</x:v>
      </x:c>
      <x:c r="H25" s="19" t="n">
        <x:v>0</x:v>
      </x:c>
      <x:c r="I25" s="19" t="n">
        <x:v>0</x:v>
      </x:c>
      <x:c r="J25" s="19" t="n">
        <x:v>0</x:v>
      </x:c>
      <x:c r="K25" s="19" t="n">
        <x:v>0</x:v>
      </x:c>
      <x:c r="L25" s="19" t="n">
        <x:v>0</x:v>
      </x:c>
      <x:c r="M25" s="19" t="n">
        <x:v>0</x:v>
      </x:c>
      <x:c r="N25" s="20" t="n">
        <x:v>3</x:v>
      </x:c>
      <x:c r="O25" s="20" t="n">
        <x:v>2</x:v>
      </x:c>
      <x:c r="P25" s="20" t="n">
        <x:v>7</x:v>
      </x:c>
      <x:c r="Q25" s="20" t="n">
        <x:v>0</x:v>
      </x:c>
      <x:c r="R25" s="20" t="n">
        <x:v>9</x:v>
      </x:c>
      <x:c r="S25" s="21" t="n">
        <x:f>0/60</x:f>
        <x:v>0</x:v>
      </x:c>
      <x:c r="T25" s="21" t="n">
        <x:f>0/60</x:f>
        <x:v>0</x:v>
      </x:c>
      <x:c r="U25" s="21" t="n">
        <x:f>0/60</x:f>
        <x:v>0</x:v>
      </x:c>
      <x:c r="V25" s="21" t="n">
        <x:f>0/60</x:f>
        <x:v>0</x:v>
      </x:c>
      <x:c r="W25" s="20" t="n">
        <x:v>0</x:v>
      </x:c>
      <x:c r="X25" s="20" t="n">
        <x:v>0</x:v>
      </x:c>
      <x:c r="Y25" s="20" t="n">
        <x:v>0</x:v>
      </x:c>
      <x:c r="Z25" s="20" t="n">
        <x:v>0</x:v>
      </x:c>
    </x:row>
    <x:row r="26" ht="23" customHeight="1">
      <x:c r="A26" s="2" t="str">
        <x:v>2026-10-16_Night</x:v>
      </x:c>
      <x:c r="B26" s="19" t="n">
        <x:v>163000</x:v>
      </x:c>
      <x:c r="C26" s="19" t="n">
        <x:v>135000</x:v>
      </x:c>
      <x:c r="D26" s="19" t="n">
        <x:f>B26-C26</x:f>
        <x:v>28000</x:v>
      </x:c>
      <x:c r="E26" s="19" t="n">
        <x:f>E25+D26</x:f>
        <x:v>875000</x:v>
      </x:c>
      <x:c r="F26" s="19" t="n">
        <x:v>-4000</x:v>
      </x:c>
      <x:c r="G26" s="19" t="n">
        <x:f>D26-F26</x:f>
        <x:v>32000</x:v>
      </x:c>
      <x:c r="H26" s="19" t="n">
        <x:v>0</x:v>
      </x:c>
      <x:c r="I26" s="19" t="n">
        <x:v>0</x:v>
      </x:c>
      <x:c r="J26" s="19" t="n">
        <x:v>0</x:v>
      </x:c>
      <x:c r="K26" s="19" t="n">
        <x:v>4000</x:v>
      </x:c>
      <x:c r="L26" s="19" t="n">
        <x:v>9000</x:v>
      </x:c>
      <x:c r="M26" s="19" t="n">
        <x:v>11000</x:v>
      </x:c>
      <x:c r="N26" s="20" t="n">
        <x:v>3</x:v>
      </x:c>
      <x:c r="O26" s="20" t="n">
        <x:v>7</x:v>
      </x:c>
      <x:c r="P26" s="20" t="n">
        <x:v>14</x:v>
      </x:c>
      <x:c r="Q26" s="20" t="n">
        <x:v>1</x:v>
      </x:c>
      <x:c r="R26" s="20" t="n">
        <x:v>28</x:v>
      </x:c>
      <x:c r="S26" s="21" t="n">
        <x:f>907/60</x:f>
        <x:v>15.116666666666667</x:v>
      </x:c>
      <x:c r="T26" s="21" t="n">
        <x:f>0/60</x:f>
        <x:v>0</x:v>
      </x:c>
      <x:c r="U26" s="21" t="n">
        <x:f>0/60</x:f>
        <x:v>0</x:v>
      </x:c>
      <x:c r="V26" s="21" t="n">
        <x:f>0/60</x:f>
        <x:v>0</x:v>
      </x:c>
      <x:c r="W26" s="20" t="n">
        <x:v>0</x:v>
      </x:c>
      <x:c r="X26" s="20" t="n">
        <x:v>0</x:v>
      </x:c>
      <x:c r="Y26" s="20" t="n">
        <x:v>0</x:v>
      </x:c>
      <x:c r="Z26" s="20" t="n">
        <x:v>0</x:v>
      </x:c>
    </x:row>
    <x:row r="27" ht="23" customHeight="1">
      <x:c r="A27" s="2" t="str">
        <x:v>2026-10-19_Night</x:v>
      </x:c>
      <x:c r="B27" s="19" t="n">
        <x:v>108000</x:v>
      </x:c>
      <x:c r="C27" s="19" t="n">
        <x:v>131000</x:v>
      </x:c>
      <x:c r="D27" s="19" t="n">
        <x:f>B27-C27</x:f>
        <x:v>-23000</x:v>
      </x:c>
      <x:c r="E27" s="19" t="n">
        <x:f>E26+D27</x:f>
        <x:v>852000</x:v>
      </x:c>
      <x:c r="F27" s="19" t="n">
        <x:v>-15000</x:v>
      </x:c>
      <x:c r="G27" s="19" t="n">
        <x:f>D27-F27</x:f>
        <x:v>-8000</x:v>
      </x:c>
      <x:c r="H27" s="19" t="n">
        <x:v>5000</x:v>
      </x:c>
      <x:c r="I27" s="19" t="n">
        <x:v>0</x:v>
      </x:c>
      <x:c r="J27" s="19" t="n">
        <x:v>6000</x:v>
      </x:c>
      <x:c r="K27" s="19" t="n">
        <x:v>26000</x:v>
      </x:c>
      <x:c r="L27" s="19" t="n">
        <x:v>21000</x:v>
      </x:c>
      <x:c r="M27" s="19" t="n">
        <x:v>25000</x:v>
      </x:c>
      <x:c r="N27" s="20" t="n">
        <x:v>3</x:v>
      </x:c>
      <x:c r="O27" s="20" t="n">
        <x:v>5</x:v>
      </x:c>
      <x:c r="P27" s="20" t="n">
        <x:v>15</x:v>
      </x:c>
      <x:c r="Q27" s="20" t="n">
        <x:v>3</x:v>
      </x:c>
      <x:c r="R27" s="20" t="n">
        <x:v>24</x:v>
      </x:c>
      <x:c r="S27" s="21" t="n">
        <x:f>7586/60</x:f>
        <x:v>126.43333333333334</x:v>
      </x:c>
      <x:c r="T27" s="21" t="n">
        <x:f>2430/60</x:f>
        <x:v>40.5</x:v>
      </x:c>
      <x:c r="U27" s="21" t="n">
        <x:f>0/60</x:f>
        <x:v>0</x:v>
      </x:c>
      <x:c r="V27" s="21" t="n">
        <x:f>0/60</x:f>
        <x:v>0</x:v>
      </x:c>
      <x:c r="W27" s="20" t="n">
        <x:v>0</x:v>
      </x:c>
      <x:c r="X27" s="20" t="n">
        <x:v>0</x:v>
      </x:c>
      <x:c r="Y27" s="20" t="n">
        <x:v>1</x:v>
      </x:c>
      <x:c r="Z27" s="20" t="n">
        <x:v>0</x:v>
      </x:c>
    </x:row>
    <x:row r="28" ht="23" customHeight="1">
      <x:c r="A28" s="2" t="str">
        <x:v>2026-10-20_Night</x:v>
      </x:c>
      <x:c r="B28" s="19" t="n">
        <x:v>142000</x:v>
      </x:c>
      <x:c r="C28" s="19" t="n">
        <x:v>73000</x:v>
      </x:c>
      <x:c r="D28" s="19" t="n">
        <x:f>B28-C28</x:f>
        <x:v>69000</x:v>
      </x:c>
      <x:c r="E28" s="19" t="n">
        <x:f>E27+D28</x:f>
        <x:v>921000</x:v>
      </x:c>
      <x:c r="F28" s="19" t="n">
        <x:v>3000</x:v>
      </x:c>
      <x:c r="G28" s="19" t="n">
        <x:f>D28-F28</x:f>
        <x:v>66000</x:v>
      </x:c>
      <x:c r="H28" s="19" t="n">
        <x:v>39000</x:v>
      </x:c>
      <x:c r="I28" s="19" t="n">
        <x:v>0</x:v>
      </x:c>
      <x:c r="J28" s="19" t="n">
        <x:v>4000</x:v>
      </x:c>
      <x:c r="K28" s="19" t="n">
        <x:v>40000</x:v>
      </x:c>
      <x:c r="L28" s="19" t="n">
        <x:v>53000</x:v>
      </x:c>
      <x:c r="M28" s="19" t="n">
        <x:v>44000</x:v>
      </x:c>
      <x:c r="N28" s="20" t="n">
        <x:v>3</x:v>
      </x:c>
      <x:c r="O28" s="20" t="n">
        <x:v>5</x:v>
      </x:c>
      <x:c r="P28" s="20" t="n">
        <x:v>18</x:v>
      </x:c>
      <x:c r="Q28" s="20" t="n">
        <x:v>11</x:v>
      </x:c>
      <x:c r="R28" s="20" t="n">
        <x:v>21</x:v>
      </x:c>
      <x:c r="S28" s="21" t="n">
        <x:f>14809/60</x:f>
        <x:v>246.81666666666666</x:v>
      </x:c>
      <x:c r="T28" s="21" t="n">
        <x:f>2600/60</x:f>
        <x:v>43.333333333333336</x:v>
      </x:c>
      <x:c r="U28" s="21" t="n">
        <x:f>0/60</x:f>
        <x:v>0</x:v>
      </x:c>
      <x:c r="V28" s="21" t="n">
        <x:f>0/60</x:f>
        <x:v>0</x:v>
      </x:c>
      <x:c r="W28" s="20" t="n">
        <x:v>0</x:v>
      </x:c>
      <x:c r="X28" s="20" t="n">
        <x:v>0</x:v>
      </x:c>
      <x:c r="Y28" s="20" t="n">
        <x:v>7</x:v>
      </x:c>
      <x:c r="Z28" s="20" t="n">
        <x:v>0</x:v>
      </x:c>
    </x:row>
    <x:row r="29" ht="23" customHeight="1">
      <x:c r="A29" s="2" t="str">
        <x:v>2026-10-21_Night</x:v>
      </x:c>
      <x:c r="B29" s="19" t="n">
        <x:v>65000</x:v>
      </x:c>
      <x:c r="C29" s="19" t="n">
        <x:v>134000</x:v>
      </x:c>
      <x:c r="D29" s="19" t="n">
        <x:f>B29-C29</x:f>
        <x:v>-69000</x:v>
      </x:c>
      <x:c r="E29" s="19" t="n">
        <x:f>E28+D29</x:f>
        <x:v>852000</x:v>
      </x:c>
      <x:c r="F29" s="19" t="n">
        <x:v>-45000</x:v>
      </x:c>
      <x:c r="G29" s="19" t="n">
        <x:f>D29-F29</x:f>
        <x:v>-24000</x:v>
      </x:c>
      <x:c r="H29" s="19" t="n">
        <x:v>0</x:v>
      </x:c>
      <x:c r="I29" s="19" t="n">
        <x:v>0</x:v>
      </x:c>
      <x:c r="J29" s="19" t="n">
        <x:v>0</x:v>
      </x:c>
      <x:c r="K29" s="19" t="n">
        <x:v>45000</x:v>
      </x:c>
      <x:c r="L29" s="19" t="n">
        <x:v>56000</x:v>
      </x:c>
      <x:c r="M29" s="19" t="n">
        <x:v>62000</x:v>
      </x:c>
      <x:c r="N29" s="20" t="n">
        <x:v>7</x:v>
      </x:c>
      <x:c r="O29" s="20" t="n">
        <x:v>5</x:v>
      </x:c>
      <x:c r="P29" s="20" t="n">
        <x:v>6</x:v>
      </x:c>
      <x:c r="Q29" s="20" t="n">
        <x:v>1</x:v>
      </x:c>
      <x:c r="R29" s="20" t="n">
        <x:v>18</x:v>
      </x:c>
      <x:c r="S29" s="21" t="n">
        <x:f>10901/60</x:f>
        <x:v>181.68333333333334</x:v>
      </x:c>
      <x:c r="T29" s="21" t="n">
        <x:f>0/60</x:f>
        <x:v>0</x:v>
      </x:c>
      <x:c r="U29" s="21" t="n">
        <x:f>0/60</x:f>
        <x:v>0</x:v>
      </x:c>
      <x:c r="V29" s="21" t="n">
        <x:f>0/60</x:f>
        <x:v>0</x:v>
      </x:c>
      <x:c r="W29" s="20" t="n">
        <x:v>0</x:v>
      </x:c>
      <x:c r="X29" s="20" t="n">
        <x:v>0</x:v>
      </x:c>
      <x:c r="Y29" s="20" t="n">
        <x:v>0</x:v>
      </x:c>
      <x:c r="Z29" s="20" t="n">
        <x:v>0</x:v>
      </x:c>
    </x:row>
    <x:row r="30" ht="23" customHeight="1">
      <x:c r="A30" s="2" t="str">
        <x:v>2026-10-22_Night</x:v>
      </x:c>
      <x:c r="B30" s="19" t="n">
        <x:v>156000</x:v>
      </x:c>
      <x:c r="C30" s="19" t="n">
        <x:v>0</x:v>
      </x:c>
      <x:c r="D30" s="19" t="n">
        <x:f>B30-C30</x:f>
        <x:v>156000</x:v>
      </x:c>
      <x:c r="E30" s="19" t="n">
        <x:f>E29+D30</x:f>
        <x:v>1008000</x:v>
      </x:c>
      <x:c r="F30" s="19" t="n">
        <x:v>0</x:v>
      </x:c>
      <x:c r="G30" s="19" t="n">
        <x:f>D30-F30</x:f>
        <x:v>156000</x:v>
      </x:c>
      <x:c r="H30" s="19" t="n">
        <x:v>0</x:v>
      </x:c>
      <x:c r="I30" s="19" t="n">
        <x:v>0</x:v>
      </x:c>
      <x:c r="J30" s="19" t="n">
        <x:v>0</x:v>
      </x:c>
      <x:c r="K30" s="19" t="n">
        <x:v>0</x:v>
      </x:c>
      <x:c r="L30" s="19" t="n">
        <x:v>0</x:v>
      </x:c>
      <x:c r="M30" s="19" t="n">
        <x:v>0</x:v>
      </x:c>
      <x:c r="N30" s="20" t="n">
        <x:v>0</x:v>
      </x:c>
      <x:c r="O30" s="20" t="n">
        <x:v>6</x:v>
      </x:c>
      <x:c r="P30" s="20" t="n">
        <x:v>3</x:v>
      </x:c>
      <x:c r="Q30" s="20" t="n">
        <x:v>0</x:v>
      </x:c>
      <x:c r="R30" s="20" t="n">
        <x:v>7</x:v>
      </x:c>
      <x:c r="S30" s="21" t="n">
        <x:f>0/60</x:f>
        <x:v>0</x:v>
      </x:c>
      <x:c r="T30" s="21" t="n">
        <x:f>0/60</x:f>
        <x:v>0</x:v>
      </x:c>
      <x:c r="U30" s="21" t="n">
        <x:f>0/60</x:f>
        <x:v>0</x:v>
      </x:c>
      <x:c r="V30" s="21" t="n">
        <x:f>0/60</x:f>
        <x:v>0</x:v>
      </x:c>
      <x:c r="W30" s="20" t="n">
        <x:v>0</x:v>
      </x:c>
      <x:c r="X30" s="20" t="n">
        <x:v>0</x:v>
      </x:c>
      <x:c r="Y30" s="20" t="n">
        <x:v>0</x:v>
      </x:c>
      <x:c r="Z30" s="20" t="n">
        <x:v>0</x:v>
      </x:c>
    </x:row>
    <x:row r="31" ht="23" customHeight="1">
      <x:c r="A31" s="2" t="str">
        <x:v>2026-10-23_Night</x:v>
      </x:c>
      <x:c r="B31" s="19" t="n">
        <x:v>91000</x:v>
      </x:c>
      <x:c r="C31" s="19" t="n">
        <x:v>102000</x:v>
      </x:c>
      <x:c r="D31" s="19" t="n">
        <x:f>B31-C31</x:f>
        <x:v>-11000</x:v>
      </x:c>
      <x:c r="E31" s="19" t="n">
        <x:f>E30+D31</x:f>
        <x:v>997000</x:v>
      </x:c>
      <x:c r="F31" s="19" t="n">
        <x:v>-26000</x:v>
      </x:c>
      <x:c r="G31" s="19" t="n">
        <x:f>D31-F31</x:f>
        <x:v>15000</x:v>
      </x:c>
      <x:c r="H31" s="19" t="n">
        <x:v>44000</x:v>
      </x:c>
      <x:c r="I31" s="19" t="n">
        <x:v>0</x:v>
      </x:c>
      <x:c r="J31" s="19" t="n">
        <x:v>0</x:v>
      </x:c>
      <x:c r="K31" s="19" t="n">
        <x:v>70000</x:v>
      </x:c>
      <x:c r="L31" s="19" t="n">
        <x:v>71000</x:v>
      </x:c>
      <x:c r="M31" s="19" t="n">
        <x:v>54000</x:v>
      </x:c>
      <x:c r="N31" s="20" t="n">
        <x:v>5</x:v>
      </x:c>
      <x:c r="O31" s="20" t="n">
        <x:v>4</x:v>
      </x:c>
      <x:c r="P31" s="20" t="n">
        <x:v>18</x:v>
      </x:c>
      <x:c r="Q31" s="20" t="n">
        <x:v>12</x:v>
      </x:c>
      <x:c r="R31" s="20" t="n">
        <x:v>23</x:v>
      </x:c>
      <x:c r="S31" s="21" t="n">
        <x:f>14750/60</x:f>
        <x:v>245.83333333333334</x:v>
      </x:c>
      <x:c r="T31" s="21" t="n">
        <x:f>11883/60</x:f>
        <x:v>198.05</x:v>
      </x:c>
      <x:c r="U31" s="21" t="n">
        <x:f>0/60</x:f>
        <x:v>0</x:v>
      </x:c>
      <x:c r="V31" s="21" t="n">
        <x:f>0/60</x:f>
        <x:v>0</x:v>
      </x:c>
      <x:c r="W31" s="20" t="n">
        <x:v>0</x:v>
      </x:c>
      <x:c r="X31" s="20" t="n">
        <x:v>0</x:v>
      </x:c>
      <x:c r="Y31" s="20" t="n">
        <x:v>7</x:v>
      </x:c>
      <x:c r="Z31" s="20" t="n">
        <x:v>0</x:v>
      </x:c>
    </x:row>
    <x:row r="32" ht="23" customHeight="1">
      <x:c r="A32" s="26" t="str">
        <x:v>25夜累計／最大</x:v>
      </x:c>
      <x:c r="B32" s="27" t="n">
        <x:f>SUM(B7:B31)</x:f>
        <x:v>2643000</x:v>
      </x:c>
      <x:c r="C32" s="27" t="n">
        <x:f>SUM(C7:C31)</x:f>
        <x:v>1646000</x:v>
      </x:c>
      <x:c r="D32" s="27" t="n">
        <x:f>B32-C32</x:f>
        <x:v>997000</x:v>
      </x:c>
      <x:c r="E32" s="27" t="n">
        <x:f>E31</x:f>
        <x:v>997000</x:v>
      </x:c>
      <x:c r="F32" s="27" t="n">
        <x:f>SUM(F7:F31)</x:f>
        <x:v>-146000</x:v>
      </x:c>
      <x:c r="G32" s="27" t="n">
        <x:f>SUM(G7:G31)</x:f>
        <x:v>1143000</x:v>
      </x:c>
      <x:c r="H32" s="27" t="n">
        <x:f>SUM(H7:H31)</x:f>
        <x:v>421000</x:v>
      </x:c>
      <x:c r="I32" s="27" t="n">
        <x:f>SUM(I7:I31)</x:f>
        <x:v>0</x:v>
      </x:c>
      <x:c r="J32" s="27" t="n">
        <x:f>SUM(J7:J31)</x:f>
        <x:v>25000</x:v>
      </x:c>
      <x:c r="K32" s="27" t="n">
        <x:f>SUM(K7:K31)</x:f>
        <x:v>592000</x:v>
      </x:c>
      <x:c r="L32" s="27" t="n">
        <x:f>MAX(L7:L31)</x:f>
        <x:v>178000</x:v>
      </x:c>
      <x:c r="M32" s="27" t="n">
        <x:f>MAX(M7:M31)</x:f>
        <x:v>153000</x:v>
      </x:c>
      <x:c r="N32" s="28" t="n">
        <x:f>MAX(N7:N31)</x:f>
        <x:v>8</x:v>
      </x:c>
      <x:c r="O32" s="28" t="n">
        <x:f>MAX(O7:O31)</x:f>
        <x:v>10</x:v>
      </x:c>
      <x:c r="P32" s="28" t="n">
        <x:f>SUM(P7:P31)</x:f>
        <x:v>232</x:v>
      </x:c>
      <x:c r="Q32" s="28" t="n">
        <x:f>SUM(Q7:Q31)</x:f>
        <x:v>98</x:v>
      </x:c>
      <x:c r="R32" s="28" t="n">
        <x:f>SUM(R7:R31)</x:f>
        <x:v>371</x:v>
      </x:c>
      <x:c r="S32" s="29" t="n">
        <x:f>SUM(S7:S31)</x:f>
        <x:v>3074.7166666666667</x:v>
      </x:c>
      <x:c r="T32" s="29" t="n">
        <x:f>SUM(T7:T31)</x:f>
        <x:v>645.8333333333333</x:v>
      </x:c>
      <x:c r="U32" s="29" t="n">
        <x:f>SUM(U7:U31)</x:f>
        <x:v>0</x:v>
      </x:c>
      <x:c r="V32" s="29" t="n">
        <x:f>SUM(V7:V31)</x:f>
        <x:v>0</x:v>
      </x:c>
      <x:c r="W32" s="28" t="n">
        <x:f>SUM(W7:W31)</x:f>
        <x:v>0</x:v>
      </x:c>
      <x:c r="X32" s="28" t="n">
        <x:f>SUM(X7:X31)</x:f>
        <x:v>0</x:v>
      </x:c>
      <x:c r="Y32" s="28" t="n">
        <x:f>SUM(Y7:Y31)</x:f>
        <x:v>60</x:v>
      </x:c>
      <x:c r="Z32" s="28" t="n">
        <x:f>SUM(Z7:Z31)</x:f>
        <x:v>0</x:v>
      </x:c>
    </x:row>
  </x:sheetData>
  <x:conditionalFormatting sqref="B7:M32">
    <x:cfRule type="cellIs" dxfId="1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aca82edca9d4262"/>
  </x:tableParts>
</x:worksheet>
</file>

<file path=xl/worksheets/sheet15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3" customHeight="1">
      <x:c r="A2" s="4" t="str">
        <x:v>N01　全夜間の利益・損失・収支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3" ht="23" customHeight="1">
      <x:c r="A3" s="6" t="str">
        <x:v>日経mini・片方向上限10枚・手数料0・次正常ラージ気配代理。2026/09/21〜10/23の完了25夜。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3" customHeight="1">
      <x:c r="A4" s="6" t="str">
        <x:v>利益・損失は新規実約定IDごとの全返済収支で分類。旧親単位の利益損失とは異なります。未測定は空欄。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3" customHeight="1">
      <x:c r="A5" s="6" t="str">
        <x:v>全夜・利益40ptから20pt追尾。N：新手法を全夜運転。含み損・DD・保有時間・返済内訳も全夜。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4" customHeight="1">
      <x:c r="A6" s="15" t="str">
        <x:v>セッション</x:v>
      </x:c>
      <x:c r="B6" s="16" t="str">
        <x:v>利益（円）</x:v>
      </x:c>
      <x:c r="C6" s="16" t="str">
        <x:v>損失（円）</x:v>
      </x:c>
      <x:c r="D6" s="16" t="str">
        <x:v>全夜収支（円）</x:v>
      </x:c>
      <x:c r="E6" s="16" t="str">
        <x:v>累計（円）</x:v>
      </x:c>
      <x:c r="F6" s="16" t="str">
        <x:v>対象区間収支</x:v>
      </x:c>
      <x:c r="G6" s="16" t="str">
        <x:v>保存後半収支</x:v>
      </x:c>
      <x:c r="H6" s="16" t="str">
        <x:v>利益追尾の利益</x:v>
      </x:c>
      <x:c r="I6" s="16" t="str">
        <x:v>利益追尾の損失</x:v>
      </x:c>
      <x:c r="J6" s="16" t="str">
        <x:v>境界清算の利益</x:v>
      </x:c>
      <x:c r="K6" s="16" t="str">
        <x:v>境界清算の損失</x:v>
      </x:c>
      <x:c r="L6" s="16" t="str">
        <x:v>最大含み損（円）</x:v>
      </x:c>
      <x:c r="M6" s="16" t="str">
        <x:v>対象区間DD</x:v>
      </x:c>
      <x:c r="N6" s="16" t="str">
        <x:v>最大買い枚数</x:v>
      </x:c>
      <x:c r="O6" s="16" t="str">
        <x:v>最大売り枚数</x:v>
      </x:c>
      <x:c r="P6" s="16" t="str">
        <x:v>全夜新規件数</x:v>
      </x:c>
      <x:c r="Q6" s="16" t="str">
        <x:v>対象区間新規</x:v>
      </x:c>
      <x:c r="R6" s="16" t="str">
        <x:v>全新規枚数</x:v>
      </x:c>
      <x:c r="S6" s="16" t="str">
        <x:v>保有（分）</x:v>
      </x:c>
      <x:c r="T6" s="16" t="str">
        <x:v>両建て（分）</x:v>
      </x:c>
      <x:c r="U6" s="16" t="str">
        <x:v>買い上限（分）</x:v>
      </x:c>
      <x:c r="V6" s="16" t="str">
        <x:v>売り上限（分）</x:v>
      </x:c>
      <x:c r="W6" s="16" t="str">
        <x:v>上限拒否・縮小件数</x:v>
      </x:c>
      <x:c r="X6" s="16" t="str">
        <x:v>通知全拒否件数</x:v>
      </x:c>
      <x:c r="Y6" s="16" t="str">
        <x:v>実再参加件数</x:v>
      </x:c>
      <x:c r="Z6" s="17" t="str">
        <x:v>判断利益→実損失</x:v>
      </x:c>
    </x:row>
    <x:row r="7" ht="23" customHeight="1">
      <x:c r="A7" s="2" t="str">
        <x:v>2026-09-21_Night</x:v>
      </x:c>
      <x:c r="B7" s="19" t="n">
        <x:v>10000</x:v>
      </x:c>
      <x:c r="C7" s="19" t="n">
        <x:v>0</x:v>
      </x:c>
      <x:c r="D7" s="19" t="n">
        <x:f>B7-C7</x:f>
        <x:v>10000</x:v>
      </x:c>
      <x:c r="E7" s="19" t="n">
        <x:f>D7</x:f>
        <x:v>10000</x:v>
      </x:c>
      <x:c r="F7" s="19" t="n">
        <x:v>10000</x:v>
      </x:c>
      <x:c r="G7" s="19"/>
      <x:c r="H7" s="19" t="n">
        <x:v>10000</x:v>
      </x:c>
      <x:c r="I7" s="19" t="n">
        <x:v>0</x:v>
      </x:c>
      <x:c r="J7" s="19" t="n">
        <x:v>0</x:v>
      </x:c>
      <x:c r="K7" s="19" t="n">
        <x:v>0</x:v>
      </x:c>
      <x:c r="L7" s="19" t="n">
        <x:v>10000</x:v>
      </x:c>
      <x:c r="M7" s="19" t="n">
        <x:v>10000</x:v>
      </x:c>
      <x:c r="N7" s="20" t="n">
        <x:v>5</x:v>
      </x:c>
      <x:c r="O7" s="20" t="n">
        <x:v>0</x:v>
      </x:c>
      <x:c r="P7" s="20" t="n">
        <x:v>1</x:v>
      </x:c>
      <x:c r="Q7" s="20" t="n">
        <x:v>1</x:v>
      </x:c>
      <x:c r="R7" s="20" t="n">
        <x:v>5</x:v>
      </x:c>
      <x:c r="S7" s="21" t="n">
        <x:f>79/60</x:f>
        <x:v>1.3166666666666667</x:v>
      </x:c>
      <x:c r="T7" s="21" t="n">
        <x:f>0/60</x:f>
        <x:v>0</x:v>
      </x:c>
      <x:c r="U7" s="21" t="n">
        <x:f>0/60</x:f>
        <x:v>0</x:v>
      </x:c>
      <x:c r="V7" s="21" t="n">
        <x:f>0/60</x:f>
        <x:v>0</x:v>
      </x:c>
      <x:c r="W7" s="20" t="n">
        <x:v>0</x:v>
      </x:c>
      <x:c r="X7" s="20" t="n">
        <x:v>0</x:v>
      </x:c>
      <x:c r="Y7" s="20" t="n">
        <x:v>0</x:v>
      </x:c>
      <x:c r="Z7" s="20" t="n">
        <x:v>0</x:v>
      </x:c>
    </x:row>
    <x:row r="8" ht="23" customHeight="1">
      <x:c r="A8" s="2" t="str">
        <x:v>2026-09-22_Night</x:v>
      </x:c>
      <x:c r="B8" s="19" t="n">
        <x:v>30000</x:v>
      </x:c>
      <x:c r="C8" s="19" t="n">
        <x:v>0</x:v>
      </x:c>
      <x:c r="D8" s="19" t="n">
        <x:f>B8-C8</x:f>
        <x:v>30000</x:v>
      </x:c>
      <x:c r="E8" s="19" t="n">
        <x:f>E7+D8</x:f>
        <x:v>40000</x:v>
      </x:c>
      <x:c r="F8" s="19" t="n">
        <x:v>30000</x:v>
      </x:c>
      <x:c r="G8" s="19"/>
      <x:c r="H8" s="19" t="n">
        <x:v>30000</x:v>
      </x:c>
      <x:c r="I8" s="19" t="n">
        <x:v>0</x:v>
      </x:c>
      <x:c r="J8" s="19" t="n">
        <x:v>0</x:v>
      </x:c>
      <x:c r="K8" s="19" t="n">
        <x:v>0</x:v>
      </x:c>
      <x:c r="L8" s="19" t="n">
        <x:v>45000</x:v>
      </x:c>
      <x:c r="M8" s="19" t="n">
        <x:v>55000</x:v>
      </x:c>
      <x:c r="N8" s="20" t="n">
        <x:v>5</x:v>
      </x:c>
      <x:c r="O8" s="20" t="n">
        <x:v>0</x:v>
      </x:c>
      <x:c r="P8" s="20" t="n">
        <x:v>2</x:v>
      </x:c>
      <x:c r="Q8" s="20" t="n">
        <x:v>2</x:v>
      </x:c>
      <x:c r="R8" s="20" t="n">
        <x:v>10</x:v>
      </x:c>
      <x:c r="S8" s="21" t="n">
        <x:f>2911/60</x:f>
        <x:v>48.516666666666666</x:v>
      </x:c>
      <x:c r="T8" s="21" t="n">
        <x:f>0/60</x:f>
        <x:v>0</x:v>
      </x:c>
      <x:c r="U8" s="21" t="n">
        <x:f>0/60</x:f>
        <x:v>0</x:v>
      </x:c>
      <x:c r="V8" s="21" t="n">
        <x:f>0/60</x:f>
        <x:v>0</x:v>
      </x:c>
      <x:c r="W8" s="20" t="n">
        <x:v>0</x:v>
      </x:c>
      <x:c r="X8" s="20" t="n">
        <x:v>0</x:v>
      </x:c>
      <x:c r="Y8" s="20" t="n">
        <x:v>0</x:v>
      </x:c>
      <x:c r="Z8" s="20" t="n">
        <x:v>0</x:v>
      </x:c>
    </x:row>
    <x:row r="9" ht="23" customHeight="1">
      <x:c r="A9" s="2" t="str">
        <x:v>2026-09-23_Night</x:v>
      </x:c>
      <x:c r="B9" s="19" t="n">
        <x:v>22000</x:v>
      </x:c>
      <x:c r="C9" s="19" t="n">
        <x:v>0</x:v>
      </x:c>
      <x:c r="D9" s="19" t="n">
        <x:f>B9-C9</x:f>
        <x:v>22000</x:v>
      </x:c>
      <x:c r="E9" s="19" t="n">
        <x:f>E8+D9</x:f>
        <x:v>62000</x:v>
      </x:c>
      <x:c r="F9" s="19" t="n">
        <x:v>22000</x:v>
      </x:c>
      <x:c r="G9" s="19"/>
      <x:c r="H9" s="19" t="n">
        <x:v>22000</x:v>
      </x:c>
      <x:c r="I9" s="19" t="n">
        <x:v>0</x:v>
      </x:c>
      <x:c r="J9" s="19" t="n">
        <x:v>0</x:v>
      </x:c>
      <x:c r="K9" s="19" t="n">
        <x:v>0</x:v>
      </x:c>
      <x:c r="L9" s="19" t="n">
        <x:v>55000</x:v>
      </x:c>
      <x:c r="M9" s="19" t="n">
        <x:v>55000</x:v>
      </x:c>
      <x:c r="N9" s="20" t="n">
        <x:v>2</x:v>
      </x:c>
      <x:c r="O9" s="20" t="n">
        <x:v>5</x:v>
      </x:c>
      <x:c r="P9" s="20" t="n">
        <x:v>3</x:v>
      </x:c>
      <x:c r="Q9" s="20" t="n">
        <x:v>3</x:v>
      </x:c>
      <x:c r="R9" s="20" t="n">
        <x:v>7</x:v>
      </x:c>
      <x:c r="S9" s="21" t="n">
        <x:f>696/60</x:f>
        <x:v>11.6</x:v>
      </x:c>
      <x:c r="T9" s="21" t="n">
        <x:f>0/60</x:f>
        <x:v>0</x:v>
      </x:c>
      <x:c r="U9" s="21" t="n">
        <x:f>0/60</x:f>
        <x:v>0</x:v>
      </x:c>
      <x:c r="V9" s="21" t="n">
        <x:f>0/60</x:f>
        <x:v>0</x:v>
      </x:c>
      <x:c r="W9" s="20" t="n">
        <x:v>0</x:v>
      </x:c>
      <x:c r="X9" s="20" t="n">
        <x:v>0</x:v>
      </x:c>
      <x:c r="Y9" s="20" t="n">
        <x:v>0</x:v>
      </x:c>
      <x:c r="Z9" s="20" t="n">
        <x:v>0</x:v>
      </x:c>
    </x:row>
    <x:row r="10" ht="23" customHeight="1">
      <x:c r="A10" s="2" t="str">
        <x:v>2026-09-24_Night</x:v>
      </x:c>
      <x:c r="B10" s="19" t="n">
        <x:v>30000</x:v>
      </x:c>
      <x:c r="C10" s="19" t="n">
        <x:v>0</x:v>
      </x:c>
      <x:c r="D10" s="19" t="n">
        <x:f>B10-C10</x:f>
        <x:v>30000</x:v>
      </x:c>
      <x:c r="E10" s="19" t="n">
        <x:f>E9+D10</x:f>
        <x:v>92000</x:v>
      </x:c>
      <x:c r="F10" s="19" t="n">
        <x:v>30000</x:v>
      </x:c>
      <x:c r="G10" s="19"/>
      <x:c r="H10" s="19" t="n">
        <x:v>30000</x:v>
      </x:c>
      <x:c r="I10" s="19" t="n">
        <x:v>0</x:v>
      </x:c>
      <x:c r="J10" s="19" t="n">
        <x:v>0</x:v>
      </x:c>
      <x:c r="K10" s="19" t="n">
        <x:v>0</x:v>
      </x:c>
      <x:c r="L10" s="19" t="n">
        <x:v>85000</x:v>
      </x:c>
      <x:c r="M10" s="19" t="n">
        <x:v>90000</x:v>
      </x:c>
      <x:c r="N10" s="20" t="n">
        <x:v>5</x:v>
      </x:c>
      <x:c r="O10" s="20" t="n">
        <x:v>1</x:v>
      </x:c>
      <x:c r="P10" s="20" t="n">
        <x:v>4</x:v>
      </x:c>
      <x:c r="Q10" s="20" t="n">
        <x:v>4</x:v>
      </x:c>
      <x:c r="R10" s="20" t="n">
        <x:v>12</x:v>
      </x:c>
      <x:c r="S10" s="21" t="n">
        <x:f>5979/60</x:f>
        <x:v>99.65</x:v>
      </x:c>
      <x:c r="T10" s="21" t="n">
        <x:f>0/60</x:f>
        <x:v>0</x:v>
      </x:c>
      <x:c r="U10" s="21" t="n">
        <x:f>0/60</x:f>
        <x:v>0</x:v>
      </x:c>
      <x:c r="V10" s="21" t="n">
        <x:f>0/60</x:f>
        <x:v>0</x:v>
      </x:c>
      <x:c r="W10" s="20" t="n">
        <x:v>0</x:v>
      </x:c>
      <x:c r="X10" s="20" t="n">
        <x:v>0</x:v>
      </x:c>
      <x:c r="Y10" s="20" t="n">
        <x:v>0</x:v>
      </x:c>
      <x:c r="Z10" s="20" t="n">
        <x:v>0</x:v>
      </x:c>
    </x:row>
    <x:row r="11" ht="23" customHeight="1">
      <x:c r="A11" s="2" t="str">
        <x:v>2026-09-25_Night</x:v>
      </x:c>
      <x:c r="B11" s="19" t="n">
        <x:v>30000</x:v>
      </x:c>
      <x:c r="C11" s="19" t="n">
        <x:v>0</x:v>
      </x:c>
      <x:c r="D11" s="19" t="n">
        <x:f>B11-C11</x:f>
        <x:v>30000</x:v>
      </x:c>
      <x:c r="E11" s="19" t="n">
        <x:f>E10+D11</x:f>
        <x:v>122000</x:v>
      </x:c>
      <x:c r="F11" s="19" t="n">
        <x:v>30000</x:v>
      </x:c>
      <x:c r="G11" s="19"/>
      <x:c r="H11" s="19" t="n">
        <x:v>30000</x:v>
      </x:c>
      <x:c r="I11" s="19" t="n">
        <x:v>0</x:v>
      </x:c>
      <x:c r="J11" s="19" t="n">
        <x:v>0</x:v>
      </x:c>
      <x:c r="K11" s="19" t="n">
        <x:v>0</x:v>
      </x:c>
      <x:c r="L11" s="19" t="n">
        <x:v>15000</x:v>
      </x:c>
      <x:c r="M11" s="19" t="n">
        <x:v>17000</x:v>
      </x:c>
      <x:c r="N11" s="20" t="n">
        <x:v>1</x:v>
      </x:c>
      <x:c r="O11" s="20" t="n">
        <x:v>5</x:v>
      </x:c>
      <x:c r="P11" s="20" t="n">
        <x:v>2</x:v>
      </x:c>
      <x:c r="Q11" s="20" t="n">
        <x:v>2</x:v>
      </x:c>
      <x:c r="R11" s="20" t="n">
        <x:v>6</x:v>
      </x:c>
      <x:c r="S11" s="21" t="n">
        <x:f>546/60</x:f>
        <x:v>9.1</x:v>
      </x:c>
      <x:c r="T11" s="21" t="n">
        <x:f>0/60</x:f>
        <x:v>0</x:v>
      </x:c>
      <x:c r="U11" s="21" t="n">
        <x:f>0/60</x:f>
        <x:v>0</x:v>
      </x:c>
      <x:c r="V11" s="21" t="n">
        <x:f>0/60</x:f>
        <x:v>0</x:v>
      </x:c>
      <x:c r="W11" s="20" t="n">
        <x:v>0</x:v>
      </x:c>
      <x:c r="X11" s="20" t="n">
        <x:v>0</x:v>
      </x:c>
      <x:c r="Y11" s="20" t="n">
        <x:v>0</x:v>
      </x:c>
      <x:c r="Z11" s="20" t="n">
        <x:v>0</x:v>
      </x:c>
    </x:row>
    <x:row r="12" ht="23" customHeight="1">
      <x:c r="A12" s="2" t="str">
        <x:v>2026-09-28_Night</x:v>
      </x:c>
      <x:c r="B12" s="19" t="n">
        <x:v>28000</x:v>
      </x:c>
      <x:c r="C12" s="19" t="n">
        <x:v>0</x:v>
      </x:c>
      <x:c r="D12" s="19" t="n">
        <x:f>B12-C12</x:f>
        <x:v>28000</x:v>
      </x:c>
      <x:c r="E12" s="19" t="n">
        <x:f>E11+D12</x:f>
        <x:v>150000</x:v>
      </x:c>
      <x:c r="F12" s="19" t="n">
        <x:v>28000</x:v>
      </x:c>
      <x:c r="G12" s="19"/>
      <x:c r="H12" s="19" t="n">
        <x:v>28000</x:v>
      </x:c>
      <x:c r="I12" s="19" t="n">
        <x:v>0</x:v>
      </x:c>
      <x:c r="J12" s="19" t="n">
        <x:v>0</x:v>
      </x:c>
      <x:c r="K12" s="19" t="n">
        <x:v>0</x:v>
      </x:c>
      <x:c r="L12" s="19" t="n">
        <x:v>189000</x:v>
      </x:c>
      <x:c r="M12" s="19" t="n">
        <x:v>185000</x:v>
      </x:c>
      <x:c r="N12" s="20" t="n">
        <x:v>3</x:v>
      </x:c>
      <x:c r="O12" s="20" t="n">
        <x:v>2</x:v>
      </x:c>
      <x:c r="P12" s="20" t="n">
        <x:v>5</x:v>
      </x:c>
      <x:c r="Q12" s="20" t="n">
        <x:v>5</x:v>
      </x:c>
      <x:c r="R12" s="20" t="n">
        <x:v>7</x:v>
      </x:c>
      <x:c r="S12" s="21" t="n">
        <x:f>10614/60</x:f>
        <x:v>176.9</x:v>
      </x:c>
      <x:c r="T12" s="21" t="n">
        <x:f>1715/60</x:f>
        <x:v>28.583333333333332</x:v>
      </x:c>
      <x:c r="U12" s="21" t="n">
        <x:f>0/60</x:f>
        <x:v>0</x:v>
      </x:c>
      <x:c r="V12" s="21" t="n">
        <x:f>0/60</x:f>
        <x:v>0</x:v>
      </x:c>
      <x:c r="W12" s="20" t="n">
        <x:v>0</x:v>
      </x:c>
      <x:c r="X12" s="20" t="n">
        <x:v>0</x:v>
      </x:c>
      <x:c r="Y12" s="20" t="n">
        <x:v>0</x:v>
      </x:c>
      <x:c r="Z12" s="20" t="n">
        <x:v>0</x:v>
      </x:c>
    </x:row>
    <x:row r="13" ht="23" customHeight="1">
      <x:c r="A13" s="2" t="str">
        <x:v>2026-09-29_Night</x:v>
      </x:c>
      <x:c r="B13" s="19" t="n">
        <x:v>45000</x:v>
      </x:c>
      <x:c r="C13" s="19" t="n">
        <x:v>0</x:v>
      </x:c>
      <x:c r="D13" s="19" t="n">
        <x:f>B13-C13</x:f>
        <x:v>45000</x:v>
      </x:c>
      <x:c r="E13" s="19" t="n">
        <x:f>E12+D13</x:f>
        <x:v>195000</x:v>
      </x:c>
      <x:c r="F13" s="19" t="n">
        <x:v>45000</x:v>
      </x:c>
      <x:c r="G13" s="19"/>
      <x:c r="H13" s="19" t="n">
        <x:v>45000</x:v>
      </x:c>
      <x:c r="I13" s="19" t="n">
        <x:v>0</x:v>
      </x:c>
      <x:c r="J13" s="19" t="n">
        <x:v>0</x:v>
      </x:c>
      <x:c r="K13" s="19" t="n">
        <x:v>0</x:v>
      </x:c>
      <x:c r="L13" s="19" t="n">
        <x:v>34000</x:v>
      </x:c>
      <x:c r="M13" s="19" t="n">
        <x:v>42000</x:v>
      </x:c>
      <x:c r="N13" s="20" t="n">
        <x:v>5</x:v>
      </x:c>
      <x:c r="O13" s="20" t="n">
        <x:v>5</x:v>
      </x:c>
      <x:c r="P13" s="20" t="n">
        <x:v>6</x:v>
      </x:c>
      <x:c r="Q13" s="20" t="n">
        <x:v>6</x:v>
      </x:c>
      <x:c r="R13" s="20" t="n">
        <x:v>14</x:v>
      </x:c>
      <x:c r="S13" s="21" t="n">
        <x:f>13228/60</x:f>
        <x:v>220.46666666666667</x:v>
      </x:c>
      <x:c r="T13" s="21" t="n">
        <x:f>3081/60</x:f>
        <x:v>51.35</x:v>
      </x:c>
      <x:c r="U13" s="21" t="n">
        <x:f>0/60</x:f>
        <x:v>0</x:v>
      </x:c>
      <x:c r="V13" s="21" t="n">
        <x:f>0/60</x:f>
        <x:v>0</x:v>
      </x:c>
      <x:c r="W13" s="20" t="n">
        <x:v>0</x:v>
      </x:c>
      <x:c r="X13" s="20" t="n">
        <x:v>0</x:v>
      </x:c>
      <x:c r="Y13" s="20" t="n">
        <x:v>0</x:v>
      </x:c>
      <x:c r="Z13" s="20" t="n">
        <x:v>0</x:v>
      </x:c>
    </x:row>
    <x:row r="14" ht="23" customHeight="1">
      <x:c r="A14" s="2" t="str">
        <x:v>2026-09-30_Night</x:v>
      </x:c>
      <x:c r="B14" s="19" t="n">
        <x:v>79000</x:v>
      </x:c>
      <x:c r="C14" s="19" t="n">
        <x:v>0</x:v>
      </x:c>
      <x:c r="D14" s="19" t="n">
        <x:f>B14-C14</x:f>
        <x:v>79000</x:v>
      </x:c>
      <x:c r="E14" s="19" t="n">
        <x:f>E13+D14</x:f>
        <x:v>274000</x:v>
      </x:c>
      <x:c r="F14" s="19" t="n">
        <x:v>79000</x:v>
      </x:c>
      <x:c r="G14" s="19"/>
      <x:c r="H14" s="19" t="n">
        <x:v>79000</x:v>
      </x:c>
      <x:c r="I14" s="19" t="n">
        <x:v>0</x:v>
      </x:c>
      <x:c r="J14" s="19" t="n">
        <x:v>0</x:v>
      </x:c>
      <x:c r="K14" s="19" t="n">
        <x:v>0</x:v>
      </x:c>
      <x:c r="L14" s="19" t="n">
        <x:v>90000</x:v>
      </x:c>
      <x:c r="M14" s="19" t="n">
        <x:v>95000</x:v>
      </x:c>
      <x:c r="N14" s="20" t="n">
        <x:v>5</x:v>
      </x:c>
      <x:c r="O14" s="20" t="n">
        <x:v>5</x:v>
      </x:c>
      <x:c r="P14" s="20" t="n">
        <x:v>6</x:v>
      </x:c>
      <x:c r="Q14" s="20" t="n">
        <x:v>6</x:v>
      </x:c>
      <x:c r="R14" s="20" t="n">
        <x:v>22</x:v>
      </x:c>
      <x:c r="S14" s="21" t="n">
        <x:f>4598/60</x:f>
        <x:v>76.63333333333334</x:v>
      </x:c>
      <x:c r="T14" s="21" t="n">
        <x:f>0/60</x:f>
        <x:v>0</x:v>
      </x:c>
      <x:c r="U14" s="21" t="n">
        <x:f>0/60</x:f>
        <x:v>0</x:v>
      </x:c>
      <x:c r="V14" s="21" t="n">
        <x:f>0/60</x:f>
        <x:v>0</x:v>
      </x:c>
      <x:c r="W14" s="20" t="n">
        <x:v>0</x:v>
      </x:c>
      <x:c r="X14" s="20" t="n">
        <x:v>0</x:v>
      </x:c>
      <x:c r="Y14" s="20" t="n">
        <x:v>0</x:v>
      </x:c>
      <x:c r="Z14" s="20" t="n">
        <x:v>0</x:v>
      </x:c>
    </x:row>
    <x:row r="15" ht="23" customHeight="1">
      <x:c r="A15" s="2" t="str">
        <x:v>2026-10-01_Night</x:v>
      </x:c>
      <x:c r="B15" s="19" t="n">
        <x:v>127000</x:v>
      </x:c>
      <x:c r="C15" s="19" t="n">
        <x:v>0</x:v>
      </x:c>
      <x:c r="D15" s="19" t="n">
        <x:f>B15-C15</x:f>
        <x:v>127000</x:v>
      </x:c>
      <x:c r="E15" s="19" t="n">
        <x:f>E14+D15</x:f>
        <x:v>401000</x:v>
      </x:c>
      <x:c r="F15" s="19" t="n">
        <x:v>127000</x:v>
      </x:c>
      <x:c r="G15" s="19"/>
      <x:c r="H15" s="19" t="n">
        <x:v>127000</x:v>
      </x:c>
      <x:c r="I15" s="19" t="n">
        <x:v>0</x:v>
      </x:c>
      <x:c r="J15" s="19" t="n">
        <x:v>0</x:v>
      </x:c>
      <x:c r="K15" s="19" t="n">
        <x:v>0</x:v>
      </x:c>
      <x:c r="L15" s="19" t="n">
        <x:v>50000</x:v>
      </x:c>
      <x:c r="M15" s="19" t="n">
        <x:v>54000</x:v>
      </x:c>
      <x:c r="N15" s="20" t="n">
        <x:v>5</x:v>
      </x:c>
      <x:c r="O15" s="20" t="n">
        <x:v>5</x:v>
      </x:c>
      <x:c r="P15" s="20" t="n">
        <x:v>16</x:v>
      </x:c>
      <x:c r="Q15" s="20" t="n">
        <x:v>16</x:v>
      </x:c>
      <x:c r="R15" s="20" t="n">
        <x:v>36</x:v>
      </x:c>
      <x:c r="S15" s="21" t="n">
        <x:f>10947/60</x:f>
        <x:v>182.45</x:v>
      </x:c>
      <x:c r="T15" s="21" t="n">
        <x:f>0/60</x:f>
        <x:v>0</x:v>
      </x:c>
      <x:c r="U15" s="21" t="n">
        <x:f>0/60</x:f>
        <x:v>0</x:v>
      </x:c>
      <x:c r="V15" s="21" t="n">
        <x:f>0/60</x:f>
        <x:v>0</x:v>
      </x:c>
      <x:c r="W15" s="20" t="n">
        <x:v>0</x:v>
      </x:c>
      <x:c r="X15" s="20" t="n">
        <x:v>0</x:v>
      </x:c>
      <x:c r="Y15" s="20" t="n">
        <x:v>0</x:v>
      </x:c>
      <x:c r="Z15" s="20" t="n">
        <x:v>0</x:v>
      </x:c>
    </x:row>
    <x:row r="16" ht="23" customHeight="1">
      <x:c r="A16" s="2" t="str">
        <x:v>2026-10-02_Night</x:v>
      </x:c>
      <x:c r="B16" s="19" t="n">
        <x:v>128000</x:v>
      </x:c>
      <x:c r="C16" s="19" t="n">
        <x:v>36000</x:v>
      </x:c>
      <x:c r="D16" s="19" t="n">
        <x:f>B16-C16</x:f>
        <x:v>92000</x:v>
      </x:c>
      <x:c r="E16" s="19" t="n">
        <x:f>E15+D16</x:f>
        <x:v>493000</x:v>
      </x:c>
      <x:c r="F16" s="19" t="n">
        <x:v>92000</x:v>
      </x:c>
      <x:c r="G16" s="19"/>
      <x:c r="H16" s="19" t="n">
        <x:v>128000</x:v>
      </x:c>
      <x:c r="I16" s="19" t="n">
        <x:v>0</x:v>
      </x:c>
      <x:c r="J16" s="19" t="n">
        <x:v>0</x:v>
      </x:c>
      <x:c r="K16" s="19" t="n">
        <x:v>36000</x:v>
      </x:c>
      <x:c r="L16" s="19" t="n">
        <x:v>88000</x:v>
      </x:c>
      <x:c r="M16" s="19" t="n">
        <x:v>92000</x:v>
      </x:c>
      <x:c r="N16" s="20" t="n">
        <x:v>7</x:v>
      </x:c>
      <x:c r="O16" s="20" t="n">
        <x:v>7</x:v>
      </x:c>
      <x:c r="P16" s="20" t="n">
        <x:v>15</x:v>
      </x:c>
      <x:c r="Q16" s="20" t="n">
        <x:v>15</x:v>
      </x:c>
      <x:c r="R16" s="20" t="n">
        <x:v>28</x:v>
      </x:c>
      <x:c r="S16" s="21" t="n">
        <x:f>24608/60</x:f>
        <x:v>410.1333333333333</x:v>
      </x:c>
      <x:c r="T16" s="21" t="n">
        <x:f>151/60</x:f>
        <x:v>2.5166666666666666</x:v>
      </x:c>
      <x:c r="U16" s="21" t="n">
        <x:f>0/60</x:f>
        <x:v>0</x:v>
      </x:c>
      <x:c r="V16" s="21" t="n">
        <x:f>0/60</x:f>
        <x:v>0</x:v>
      </x:c>
      <x:c r="W16" s="20" t="n">
        <x:v>0</x:v>
      </x:c>
      <x:c r="X16" s="20" t="n">
        <x:v>0</x:v>
      </x:c>
      <x:c r="Y16" s="20" t="n">
        <x:v>0</x:v>
      </x:c>
      <x:c r="Z16" s="20" t="n">
        <x:v>0</x:v>
      </x:c>
    </x:row>
    <x:row r="17" ht="23" customHeight="1">
      <x:c r="A17" s="2" t="str">
        <x:v>2026-10-05_Night</x:v>
      </x:c>
      <x:c r="B17" s="19" t="n">
        <x:v>36000</x:v>
      </x:c>
      <x:c r="C17" s="19" t="n">
        <x:v>44000</x:v>
      </x:c>
      <x:c r="D17" s="19" t="n">
        <x:f>B17-C17</x:f>
        <x:v>-8000</x:v>
      </x:c>
      <x:c r="E17" s="19" t="n">
        <x:f>E16+D17</x:f>
        <x:v>485000</x:v>
      </x:c>
      <x:c r="F17" s="19" t="n">
        <x:v>-8000</x:v>
      </x:c>
      <x:c r="G17" s="19"/>
      <x:c r="H17" s="19" t="n">
        <x:v>36000</x:v>
      </x:c>
      <x:c r="I17" s="19" t="n">
        <x:v>0</x:v>
      </x:c>
      <x:c r="J17" s="19" t="n">
        <x:v>0</x:v>
      </x:c>
      <x:c r="K17" s="19" t="n">
        <x:v>44000</x:v>
      </x:c>
      <x:c r="L17" s="19" t="n">
        <x:v>82000</x:v>
      </x:c>
      <x:c r="M17" s="19" t="n">
        <x:v>82000</x:v>
      </x:c>
      <x:c r="N17" s="20" t="n">
        <x:v>7</x:v>
      </x:c>
      <x:c r="O17" s="20" t="n">
        <x:v>5</x:v>
      </x:c>
      <x:c r="P17" s="20" t="n">
        <x:v>8</x:v>
      </x:c>
      <x:c r="Q17" s="20" t="n">
        <x:v>8</x:v>
      </x:c>
      <x:c r="R17" s="20" t="n">
        <x:v>19</x:v>
      </x:c>
      <x:c r="S17" s="21" t="n">
        <x:f>22270/60</x:f>
        <x:v>371.1666666666667</x:v>
      </x:c>
      <x:c r="T17" s="21" t="n">
        <x:f>20308/60</x:f>
        <x:v>338.46666666666664</x:v>
      </x:c>
      <x:c r="U17" s="21" t="n">
        <x:f>0/60</x:f>
        <x:v>0</x:v>
      </x:c>
      <x:c r="V17" s="21" t="n">
        <x:f>0/60</x:f>
        <x:v>0</x:v>
      </x:c>
      <x:c r="W17" s="20" t="n">
        <x:v>0</x:v>
      </x:c>
      <x:c r="X17" s="20" t="n">
        <x:v>0</x:v>
      </x:c>
      <x:c r="Y17" s="20" t="n">
        <x:v>0</x:v>
      </x:c>
      <x:c r="Z17" s="20" t="n">
        <x:v>0</x:v>
      </x:c>
    </x:row>
    <x:row r="18" ht="23" customHeight="1">
      <x:c r="A18" s="2" t="str">
        <x:v>2026-10-06_Night</x:v>
      </x:c>
      <x:c r="B18" s="19" t="n">
        <x:v>28000</x:v>
      </x:c>
      <x:c r="C18" s="19" t="n">
        <x:v>0</x:v>
      </x:c>
      <x:c r="D18" s="19" t="n">
        <x:f>B18-C18</x:f>
        <x:v>28000</x:v>
      </x:c>
      <x:c r="E18" s="19" t="n">
        <x:f>E17+D18</x:f>
        <x:v>513000</x:v>
      </x:c>
      <x:c r="F18" s="19" t="n">
        <x:v>28000</x:v>
      </x:c>
      <x:c r="G18" s="19"/>
      <x:c r="H18" s="19" t="n">
        <x:v>28000</x:v>
      </x:c>
      <x:c r="I18" s="19" t="n">
        <x:v>0</x:v>
      </x:c>
      <x:c r="J18" s="19" t="n">
        <x:v>0</x:v>
      </x:c>
      <x:c r="K18" s="19" t="n">
        <x:v>0</x:v>
      </x:c>
      <x:c r="L18" s="19" t="n">
        <x:v>49000</x:v>
      </x:c>
      <x:c r="M18" s="19" t="n">
        <x:v>51000</x:v>
      </x:c>
      <x:c r="N18" s="20" t="n">
        <x:v>0</x:v>
      </x:c>
      <x:c r="O18" s="20" t="n">
        <x:v>6</x:v>
      </x:c>
      <x:c r="P18" s="20" t="n">
        <x:v>4</x:v>
      </x:c>
      <x:c r="Q18" s="20" t="n">
        <x:v>4</x:v>
      </x:c>
      <x:c r="R18" s="20" t="n">
        <x:v>8</x:v>
      </x:c>
      <x:c r="S18" s="21" t="n">
        <x:f>5083/60</x:f>
        <x:v>84.71666666666667</x:v>
      </x:c>
      <x:c r="T18" s="21" t="n">
        <x:f>0/60</x:f>
        <x:v>0</x:v>
      </x:c>
      <x:c r="U18" s="21" t="n">
        <x:f>0/60</x:f>
        <x:v>0</x:v>
      </x:c>
      <x:c r="V18" s="21" t="n">
        <x:f>0/60</x:f>
        <x:v>0</x:v>
      </x:c>
      <x:c r="W18" s="20" t="n">
        <x:v>0</x:v>
      </x:c>
      <x:c r="X18" s="20" t="n">
        <x:v>0</x:v>
      </x:c>
      <x:c r="Y18" s="20" t="n">
        <x:v>0</x:v>
      </x:c>
      <x:c r="Z18" s="20" t="n">
        <x:v>0</x:v>
      </x:c>
    </x:row>
    <x:row r="19" ht="23" customHeight="1">
      <x:c r="A19" s="2" t="str">
        <x:v>2026-10-07_Night</x:v>
      </x:c>
      <x:c r="B19" s="19" t="n">
        <x:v>19000</x:v>
      </x:c>
      <x:c r="C19" s="19" t="n">
        <x:v>31000</x:v>
      </x:c>
      <x:c r="D19" s="19" t="n">
        <x:f>B19-C19</x:f>
        <x:v>-12000</x:v>
      </x:c>
      <x:c r="E19" s="19" t="n">
        <x:f>E18+D19</x:f>
        <x:v>501000</x:v>
      </x:c>
      <x:c r="F19" s="19" t="n">
        <x:v>-12000</x:v>
      </x:c>
      <x:c r="G19" s="19"/>
      <x:c r="H19" s="19" t="n">
        <x:v>19000</x:v>
      </x:c>
      <x:c r="I19" s="19" t="n">
        <x:v>0</x:v>
      </x:c>
      <x:c r="J19" s="19" t="n">
        <x:v>0</x:v>
      </x:c>
      <x:c r="K19" s="19" t="n">
        <x:v>31000</x:v>
      </x:c>
      <x:c r="L19" s="19" t="n">
        <x:v>64000</x:v>
      </x:c>
      <x:c r="M19" s="19" t="n">
        <x:v>72000</x:v>
      </x:c>
      <x:c r="N19" s="20" t="n">
        <x:v>2</x:v>
      </x:c>
      <x:c r="O19" s="20" t="n">
        <x:v>5</x:v>
      </x:c>
      <x:c r="P19" s="20" t="n">
        <x:v>5</x:v>
      </x:c>
      <x:c r="Q19" s="20" t="n">
        <x:v>5</x:v>
      </x:c>
      <x:c r="R19" s="20" t="n">
        <x:v>9</x:v>
      </x:c>
      <x:c r="S19" s="21" t="n">
        <x:f>32674/60</x:f>
        <x:v>544.5666666666667</x:v>
      </x:c>
      <x:c r="T19" s="21" t="n">
        <x:f>7394/60</x:f>
        <x:v>123.23333333333333</x:v>
      </x:c>
      <x:c r="U19" s="21" t="n">
        <x:f>0/60</x:f>
        <x:v>0</x:v>
      </x:c>
      <x:c r="V19" s="21" t="n">
        <x:f>0/60</x:f>
        <x:v>0</x:v>
      </x:c>
      <x:c r="W19" s="20" t="n">
        <x:v>0</x:v>
      </x:c>
      <x:c r="X19" s="20" t="n">
        <x:v>0</x:v>
      </x:c>
      <x:c r="Y19" s="20" t="n">
        <x:v>0</x:v>
      </x:c>
      <x:c r="Z19" s="20" t="n">
        <x:v>0</x:v>
      </x:c>
    </x:row>
    <x:row r="20" ht="23" customHeight="1">
      <x:c r="A20" s="2" t="str">
        <x:v>2026-10-08_Night</x:v>
      </x:c>
      <x:c r="B20" s="19" t="n">
        <x:v>91000</x:v>
      </x:c>
      <x:c r="C20" s="19" t="n">
        <x:v>201000</x:v>
      </x:c>
      <x:c r="D20" s="19" t="n">
        <x:f>B20-C20</x:f>
        <x:v>-110000</x:v>
      </x:c>
      <x:c r="E20" s="19" t="n">
        <x:f>E19+D20</x:f>
        <x:v>391000</x:v>
      </x:c>
      <x:c r="F20" s="19" t="n">
        <x:v>-110000</x:v>
      </x:c>
      <x:c r="G20" s="19"/>
      <x:c r="H20" s="19" t="n">
        <x:v>91000</x:v>
      </x:c>
      <x:c r="I20" s="19" t="n">
        <x:v>0</x:v>
      </x:c>
      <x:c r="J20" s="19" t="n">
        <x:v>0</x:v>
      </x:c>
      <x:c r="K20" s="19" t="n">
        <x:v>201000</x:v>
      </x:c>
      <x:c r="L20" s="19" t="n">
        <x:v>241000</x:v>
      </x:c>
      <x:c r="M20" s="19" t="n">
        <x:v>237000</x:v>
      </x:c>
      <x:c r="N20" s="20" t="n">
        <x:v>8</x:v>
      </x:c>
      <x:c r="O20" s="20" t="n">
        <x:v>5</x:v>
      </x:c>
      <x:c r="P20" s="20" t="n">
        <x:v>17</x:v>
      </x:c>
      <x:c r="Q20" s="20" t="n">
        <x:v>17</x:v>
      </x:c>
      <x:c r="R20" s="20" t="n">
        <x:v>30</x:v>
      </x:c>
      <x:c r="S20" s="21" t="n">
        <x:f>19472/60</x:f>
        <x:v>324.53333333333336</x:v>
      </x:c>
      <x:c r="T20" s="21" t="n">
        <x:f>12317/60</x:f>
        <x:v>205.28333333333333</x:v>
      </x:c>
      <x:c r="U20" s="21" t="n">
        <x:f>0/60</x:f>
        <x:v>0</x:v>
      </x:c>
      <x:c r="V20" s="21" t="n">
        <x:f>0/60</x:f>
        <x:v>0</x:v>
      </x:c>
      <x:c r="W20" s="20" t="n">
        <x:v>0</x:v>
      </x:c>
      <x:c r="X20" s="20" t="n">
        <x:v>0</x:v>
      </x:c>
      <x:c r="Y20" s="20" t="n">
        <x:v>0</x:v>
      </x:c>
      <x:c r="Z20" s="20" t="n">
        <x:v>0</x:v>
      </x:c>
    </x:row>
    <x:row r="21" ht="23" customHeight="1">
      <x:c r="A21" s="2" t="str">
        <x:v>2026-10-09_Night</x:v>
      </x:c>
      <x:c r="B21" s="19" t="n">
        <x:v>40000</x:v>
      </x:c>
      <x:c r="C21" s="19" t="n">
        <x:v>0</x:v>
      </x:c>
      <x:c r="D21" s="19" t="n">
        <x:f>B21-C21</x:f>
        <x:v>40000</x:v>
      </x:c>
      <x:c r="E21" s="19" t="n">
        <x:f>E20+D21</x:f>
        <x:v>431000</x:v>
      </x:c>
      <x:c r="F21" s="19" t="n">
        <x:v>40000</x:v>
      </x:c>
      <x:c r="G21" s="19"/>
      <x:c r="H21" s="19" t="n">
        <x:v>40000</x:v>
      </x:c>
      <x:c r="I21" s="19" t="n">
        <x:v>0</x:v>
      </x:c>
      <x:c r="J21" s="19" t="n">
        <x:v>0</x:v>
      </x:c>
      <x:c r="K21" s="19" t="n">
        <x:v>0</x:v>
      </x:c>
      <x:c r="L21" s="19" t="n">
        <x:v>20000</x:v>
      </x:c>
      <x:c r="M21" s="19" t="n">
        <x:v>30000</x:v>
      </x:c>
      <x:c r="N21" s="20" t="n">
        <x:v>0</x:v>
      </x:c>
      <x:c r="O21" s="20" t="n">
        <x:v>5</x:v>
      </x:c>
      <x:c r="P21" s="20" t="n">
        <x:v>3</x:v>
      </x:c>
      <x:c r="Q21" s="20" t="n">
        <x:v>3</x:v>
      </x:c>
      <x:c r="R21" s="20" t="n">
        <x:v>15</x:v>
      </x:c>
      <x:c r="S21" s="21" t="n">
        <x:f>923/60</x:f>
        <x:v>15.383333333333333</x:v>
      </x:c>
      <x:c r="T21" s="21" t="n">
        <x:f>0/60</x:f>
        <x:v>0</x:v>
      </x:c>
      <x:c r="U21" s="21" t="n">
        <x:f>0/60</x:f>
        <x:v>0</x:v>
      </x:c>
      <x:c r="V21" s="21" t="n">
        <x:f>0/60</x:f>
        <x:v>0</x:v>
      </x:c>
      <x:c r="W21" s="20" t="n">
        <x:v>0</x:v>
      </x:c>
      <x:c r="X21" s="20" t="n">
        <x:v>0</x:v>
      </x:c>
      <x:c r="Y21" s="20" t="n">
        <x:v>0</x:v>
      </x:c>
      <x:c r="Z21" s="20" t="n">
        <x:v>0</x:v>
      </x:c>
    </x:row>
    <x:row r="22" ht="23" customHeight="1">
      <x:c r="A22" s="2" t="str">
        <x:v>2026-10-12_Night</x:v>
      </x:c>
      <x:c r="B22" s="19" t="n">
        <x:v>15000</x:v>
      </x:c>
      <x:c r="C22" s="19" t="n">
        <x:v>0</x:v>
      </x:c>
      <x:c r="D22" s="19" t="n">
        <x:f>B22-C22</x:f>
        <x:v>15000</x:v>
      </x:c>
      <x:c r="E22" s="19" t="n">
        <x:f>E21+D22</x:f>
        <x:v>446000</x:v>
      </x:c>
      <x:c r="F22" s="19" t="n">
        <x:v>15000</x:v>
      </x:c>
      <x:c r="G22" s="19"/>
      <x:c r="H22" s="19" t="n">
        <x:v>15000</x:v>
      </x:c>
      <x:c r="I22" s="19" t="n">
        <x:v>0</x:v>
      </x:c>
      <x:c r="J22" s="19" t="n">
        <x:v>0</x:v>
      </x:c>
      <x:c r="K22" s="19" t="n">
        <x:v>0</x:v>
      </x:c>
      <x:c r="L22" s="19" t="n">
        <x:v>10000</x:v>
      </x:c>
      <x:c r="M22" s="19" t="n">
        <x:v>20000</x:v>
      </x:c>
      <x:c r="N22" s="20" t="n">
        <x:v>0</x:v>
      </x:c>
      <x:c r="O22" s="20" t="n">
        <x:v>5</x:v>
      </x:c>
      <x:c r="P22" s="20" t="n">
        <x:v>1</x:v>
      </x:c>
      <x:c r="Q22" s="20" t="n">
        <x:v>1</x:v>
      </x:c>
      <x:c r="R22" s="20" t="n">
        <x:v>5</x:v>
      </x:c>
      <x:c r="S22" s="21" t="n">
        <x:f>243/60</x:f>
        <x:v>4.05</x:v>
      </x:c>
      <x:c r="T22" s="21" t="n">
        <x:f>0/60</x:f>
        <x:v>0</x:v>
      </x:c>
      <x:c r="U22" s="21" t="n">
        <x:f>0/60</x:f>
        <x:v>0</x:v>
      </x:c>
      <x:c r="V22" s="21" t="n">
        <x:f>0/60</x:f>
        <x:v>0</x:v>
      </x:c>
      <x:c r="W22" s="20" t="n">
        <x:v>0</x:v>
      </x:c>
      <x:c r="X22" s="20" t="n">
        <x:v>0</x:v>
      </x:c>
      <x:c r="Y22" s="20" t="n">
        <x:v>0</x:v>
      </x:c>
      <x:c r="Z22" s="20" t="n">
        <x:v>0</x:v>
      </x:c>
    </x:row>
    <x:row r="23" ht="23" customHeight="1">
      <x:c r="A23" s="2" t="str">
        <x:v>2026-10-13_Night</x:v>
      </x:c>
      <x:c r="B23" s="19" t="n">
        <x:v>37000</x:v>
      </x:c>
      <x:c r="C23" s="19" t="n">
        <x:v>0</x:v>
      </x:c>
      <x:c r="D23" s="19" t="n">
        <x:f>B23-C23</x:f>
        <x:v>37000</x:v>
      </x:c>
      <x:c r="E23" s="19" t="n">
        <x:f>E22+D23</x:f>
        <x:v>483000</x:v>
      </x:c>
      <x:c r="F23" s="19" t="n">
        <x:v>37000</x:v>
      </x:c>
      <x:c r="G23" s="19"/>
      <x:c r="H23" s="19" t="n">
        <x:v>37000</x:v>
      </x:c>
      <x:c r="I23" s="19" t="n">
        <x:v>0</x:v>
      </x:c>
      <x:c r="J23" s="19" t="n">
        <x:v>0</x:v>
      </x:c>
      <x:c r="K23" s="19" t="n">
        <x:v>0</x:v>
      </x:c>
      <x:c r="L23" s="19" t="n">
        <x:v>45000</x:v>
      </x:c>
      <x:c r="M23" s="19" t="n">
        <x:v>55000</x:v>
      </x:c>
      <x:c r="N23" s="20" t="n">
        <x:v>5</x:v>
      </x:c>
      <x:c r="O23" s="20" t="n">
        <x:v>5</x:v>
      </x:c>
      <x:c r="P23" s="20" t="n">
        <x:v>3</x:v>
      </x:c>
      <x:c r="Q23" s="20" t="n">
        <x:v>3</x:v>
      </x:c>
      <x:c r="R23" s="20" t="n">
        <x:v>11</x:v>
      </x:c>
      <x:c r="S23" s="21" t="n">
        <x:f>4396/60</x:f>
        <x:v>73.26666666666667</x:v>
      </x:c>
      <x:c r="T23" s="21" t="n">
        <x:f>0/60</x:f>
        <x:v>0</x:v>
      </x:c>
      <x:c r="U23" s="21" t="n">
        <x:f>0/60</x:f>
        <x:v>0</x:v>
      </x:c>
      <x:c r="V23" s="21" t="n">
        <x:f>0/60</x:f>
        <x:v>0</x:v>
      </x:c>
      <x:c r="W23" s="20" t="n">
        <x:v>0</x:v>
      </x:c>
      <x:c r="X23" s="20" t="n">
        <x:v>0</x:v>
      </x:c>
      <x:c r="Y23" s="20" t="n">
        <x:v>0</x:v>
      </x:c>
      <x:c r="Z23" s="20" t="n">
        <x:v>0</x:v>
      </x:c>
    </x:row>
    <x:row r="24" ht="23" customHeight="1">
      <x:c r="A24" s="2" t="str">
        <x:v>2026-10-14_Night</x:v>
      </x:c>
      <x:c r="B24" s="19" t="n">
        <x:v>49000</x:v>
      </x:c>
      <x:c r="C24" s="19" t="n">
        <x:v>0</x:v>
      </x:c>
      <x:c r="D24" s="19" t="n">
        <x:f>B24-C24</x:f>
        <x:v>49000</x:v>
      </x:c>
      <x:c r="E24" s="19" t="n">
        <x:f>E23+D24</x:f>
        <x:v>532000</x:v>
      </x:c>
      <x:c r="F24" s="19" t="n">
        <x:v>49000</x:v>
      </x:c>
      <x:c r="G24" s="19"/>
      <x:c r="H24" s="19" t="n">
        <x:v>49000</x:v>
      </x:c>
      <x:c r="I24" s="19" t="n">
        <x:v>0</x:v>
      </x:c>
      <x:c r="J24" s="19" t="n">
        <x:v>0</x:v>
      </x:c>
      <x:c r="K24" s="19" t="n">
        <x:v>0</x:v>
      </x:c>
      <x:c r="L24" s="19" t="n">
        <x:v>56000</x:v>
      </x:c>
      <x:c r="M24" s="19" t="n">
        <x:v>64000</x:v>
      </x:c>
      <x:c r="N24" s="20" t="n">
        <x:v>1</x:v>
      </x:c>
      <x:c r="O24" s="20" t="n">
        <x:v>5</x:v>
      </x:c>
      <x:c r="P24" s="20" t="n">
        <x:v>5</x:v>
      </x:c>
      <x:c r="Q24" s="20" t="n">
        <x:v>5</x:v>
      </x:c>
      <x:c r="R24" s="20" t="n">
        <x:v>14</x:v>
      </x:c>
      <x:c r="S24" s="21" t="n">
        <x:f>4500/60</x:f>
        <x:v>75</x:v>
      </x:c>
      <x:c r="T24" s="21" t="n">
        <x:f>581/60</x:f>
        <x:v>9.683333333333334</x:v>
      </x:c>
      <x:c r="U24" s="21" t="n">
        <x:f>0/60</x:f>
        <x:v>0</x:v>
      </x:c>
      <x:c r="V24" s="21" t="n">
        <x:f>0/60</x:f>
        <x:v>0</x:v>
      </x:c>
      <x:c r="W24" s="20" t="n">
        <x:v>0</x:v>
      </x:c>
      <x:c r="X24" s="20" t="n">
        <x:v>0</x:v>
      </x:c>
      <x:c r="Y24" s="20" t="n">
        <x:v>0</x:v>
      </x:c>
      <x:c r="Z24" s="20" t="n">
        <x:v>0</x:v>
      </x:c>
    </x:row>
    <x:row r="25" ht="23" customHeight="1">
      <x:c r="A25" s="2" t="str">
        <x:v>2026-10-15_Night</x:v>
      </x:c>
      <x:c r="B25" s="19" t="n">
        <x:v>18000</x:v>
      </x:c>
      <x:c r="C25" s="19" t="n">
        <x:v>200000</x:v>
      </x:c>
      <x:c r="D25" s="19" t="n">
        <x:f>B25-C25</x:f>
        <x:v>-182000</x:v>
      </x:c>
      <x:c r="E25" s="19" t="n">
        <x:f>E24+D25</x:f>
        <x:v>350000</x:v>
      </x:c>
      <x:c r="F25" s="19" t="n">
        <x:v>-182000</x:v>
      </x:c>
      <x:c r="G25" s="19"/>
      <x:c r="H25" s="19" t="n">
        <x:v>18000</x:v>
      </x:c>
      <x:c r="I25" s="19" t="n">
        <x:v>0</x:v>
      </x:c>
      <x:c r="J25" s="19" t="n">
        <x:v>0</x:v>
      </x:c>
      <x:c r="K25" s="19" t="n">
        <x:v>200000</x:v>
      </x:c>
      <x:c r="L25" s="19" t="n">
        <x:v>224000</x:v>
      </x:c>
      <x:c r="M25" s="19" t="n">
        <x:v>215000</x:v>
      </x:c>
      <x:c r="N25" s="20" t="n">
        <x:v>2</x:v>
      </x:c>
      <x:c r="O25" s="20" t="n">
        <x:v>3</x:v>
      </x:c>
      <x:c r="P25" s="20" t="n">
        <x:v>7</x:v>
      </x:c>
      <x:c r="Q25" s="20" t="n">
        <x:v>7</x:v>
      </x:c>
      <x:c r="R25" s="20" t="n">
        <x:v>9</x:v>
      </x:c>
      <x:c r="S25" s="21" t="n">
        <x:f>22740/60</x:f>
        <x:v>379</x:v>
      </x:c>
      <x:c r="T25" s="21" t="n">
        <x:f>3870/60</x:f>
        <x:v>64.5</x:v>
      </x:c>
      <x:c r="U25" s="21" t="n">
        <x:f>0/60</x:f>
        <x:v>0</x:v>
      </x:c>
      <x:c r="V25" s="21" t="n">
        <x:f>0/60</x:f>
        <x:v>0</x:v>
      </x:c>
      <x:c r="W25" s="20" t="n">
        <x:v>0</x:v>
      </x:c>
      <x:c r="X25" s="20" t="n">
        <x:v>0</x:v>
      </x:c>
      <x:c r="Y25" s="20" t="n">
        <x:v>0</x:v>
      </x:c>
      <x:c r="Z25" s="20" t="n">
        <x:v>0</x:v>
      </x:c>
    </x:row>
    <x:row r="26" ht="23" customHeight="1">
      <x:c r="A26" s="2" t="str">
        <x:v>2026-10-16_Night</x:v>
      </x:c>
      <x:c r="B26" s="19" t="n">
        <x:v>127000</x:v>
      </x:c>
      <x:c r="C26" s="19" t="n">
        <x:v>144000</x:v>
      </x:c>
      <x:c r="D26" s="19" t="n">
        <x:f>B26-C26</x:f>
        <x:v>-17000</x:v>
      </x:c>
      <x:c r="E26" s="19" t="n">
        <x:f>E25+D26</x:f>
        <x:v>333000</x:v>
      </x:c>
      <x:c r="F26" s="19" t="n">
        <x:v>-17000</x:v>
      </x:c>
      <x:c r="G26" s="19"/>
      <x:c r="H26" s="19" t="n">
        <x:v>127000</x:v>
      </x:c>
      <x:c r="I26" s="19" t="n">
        <x:v>0</x:v>
      </x:c>
      <x:c r="J26" s="19" t="n">
        <x:v>0</x:v>
      </x:c>
      <x:c r="K26" s="19" t="n">
        <x:v>144000</x:v>
      </x:c>
      <x:c r="L26" s="19" t="n">
        <x:v>141000</x:v>
      </x:c>
      <x:c r="M26" s="19" t="n">
        <x:v>113000</x:v>
      </x:c>
      <x:c r="N26" s="20" t="n">
        <x:v>3</x:v>
      </x:c>
      <x:c r="O26" s="20" t="n">
        <x:v>7</x:v>
      </x:c>
      <x:c r="P26" s="20" t="n">
        <x:v>14</x:v>
      </x:c>
      <x:c r="Q26" s="20" t="n">
        <x:v>14</x:v>
      </x:c>
      <x:c r="R26" s="20" t="n">
        <x:v>32</x:v>
      </x:c>
      <x:c r="S26" s="21" t="n">
        <x:f>13325/60</x:f>
        <x:v>222.08333333333334</x:v>
      </x:c>
      <x:c r="T26" s="21" t="n">
        <x:f>5578/60</x:f>
        <x:v>92.96666666666667</x:v>
      </x:c>
      <x:c r="U26" s="21" t="n">
        <x:f>0/60</x:f>
        <x:v>0</x:v>
      </x:c>
      <x:c r="V26" s="21" t="n">
        <x:f>0/60</x:f>
        <x:v>0</x:v>
      </x:c>
      <x:c r="W26" s="20" t="n">
        <x:v>0</x:v>
      </x:c>
      <x:c r="X26" s="20" t="n">
        <x:v>0</x:v>
      </x:c>
      <x:c r="Y26" s="20" t="n">
        <x:v>0</x:v>
      </x:c>
      <x:c r="Z26" s="20" t="n">
        <x:v>0</x:v>
      </x:c>
    </x:row>
    <x:row r="27" ht="23" customHeight="1">
      <x:c r="A27" s="2" t="str">
        <x:v>2026-10-19_Night</x:v>
      </x:c>
      <x:c r="B27" s="19" t="n">
        <x:v>101000</x:v>
      </x:c>
      <x:c r="C27" s="19" t="n">
        <x:v>44000</x:v>
      </x:c>
      <x:c r="D27" s="19" t="n">
        <x:f>B27-C27</x:f>
        <x:v>57000</x:v>
      </x:c>
      <x:c r="E27" s="19" t="n">
        <x:f>E26+D27</x:f>
        <x:v>390000</x:v>
      </x:c>
      <x:c r="F27" s="19" t="n">
        <x:v>57000</x:v>
      </x:c>
      <x:c r="G27" s="19"/>
      <x:c r="H27" s="19" t="n">
        <x:v>101000</x:v>
      </x:c>
      <x:c r="I27" s="19" t="n">
        <x:v>0</x:v>
      </x:c>
      <x:c r="J27" s="19" t="n">
        <x:v>0</x:v>
      </x:c>
      <x:c r="K27" s="19" t="n">
        <x:v>44000</x:v>
      </x:c>
      <x:c r="L27" s="19" t="n">
        <x:v>60000</x:v>
      </x:c>
      <x:c r="M27" s="19" t="n">
        <x:v>65000</x:v>
      </x:c>
      <x:c r="N27" s="20" t="n">
        <x:v>5</x:v>
      </x:c>
      <x:c r="O27" s="20" t="n">
        <x:v>7</x:v>
      </x:c>
      <x:c r="P27" s="20" t="n">
        <x:v>14</x:v>
      </x:c>
      <x:c r="Q27" s="20" t="n">
        <x:v>14</x:v>
      </x:c>
      <x:c r="R27" s="20" t="n">
        <x:v>31</x:v>
      </x:c>
      <x:c r="S27" s="21" t="n">
        <x:f>24650/60</x:f>
        <x:v>410.8333333333333</x:v>
      </x:c>
      <x:c r="T27" s="21" t="n">
        <x:f>2511/60</x:f>
        <x:v>41.85</x:v>
      </x:c>
      <x:c r="U27" s="21" t="n">
        <x:f>0/60</x:f>
        <x:v>0</x:v>
      </x:c>
      <x:c r="V27" s="21" t="n">
        <x:f>0/60</x:f>
        <x:v>0</x:v>
      </x:c>
      <x:c r="W27" s="20" t="n">
        <x:v>0</x:v>
      </x:c>
      <x:c r="X27" s="20" t="n">
        <x:v>0</x:v>
      </x:c>
      <x:c r="Y27" s="20" t="n">
        <x:v>0</x:v>
      </x:c>
      <x:c r="Z27" s="20" t="n">
        <x:v>0</x:v>
      </x:c>
    </x:row>
    <x:row r="28" ht="23" customHeight="1">
      <x:c r="A28" s="2" t="str">
        <x:v>2026-10-20_Night</x:v>
      </x:c>
      <x:c r="B28" s="19" t="n">
        <x:v>91000</x:v>
      </x:c>
      <x:c r="C28" s="19" t="n">
        <x:v>0</x:v>
      </x:c>
      <x:c r="D28" s="19" t="n">
        <x:f>B28-C28</x:f>
        <x:v>91000</x:v>
      </x:c>
      <x:c r="E28" s="19" t="n">
        <x:f>E27+D28</x:f>
        <x:v>481000</x:v>
      </x:c>
      <x:c r="F28" s="19" t="n">
        <x:v>91000</x:v>
      </x:c>
      <x:c r="G28" s="19"/>
      <x:c r="H28" s="19" t="n">
        <x:v>91000</x:v>
      </x:c>
      <x:c r="I28" s="19" t="n">
        <x:v>0</x:v>
      </x:c>
      <x:c r="J28" s="19" t="n">
        <x:v>0</x:v>
      </x:c>
      <x:c r="K28" s="19" t="n">
        <x:v>0</x:v>
      </x:c>
      <x:c r="L28" s="19" t="n">
        <x:v>40000</x:v>
      </x:c>
      <x:c r="M28" s="19" t="n">
        <x:v>50000</x:v>
      </x:c>
      <x:c r="N28" s="20" t="n">
        <x:v>5</x:v>
      </x:c>
      <x:c r="O28" s="20" t="n">
        <x:v>5</x:v>
      </x:c>
      <x:c r="P28" s="20" t="n">
        <x:v>11</x:v>
      </x:c>
      <x:c r="Q28" s="20" t="n">
        <x:v>11</x:v>
      </x:c>
      <x:c r="R28" s="20" t="n">
        <x:v>22</x:v>
      </x:c>
      <x:c r="S28" s="21" t="n">
        <x:f>1470/60</x:f>
        <x:v>24.5</x:v>
      </x:c>
      <x:c r="T28" s="21" t="n">
        <x:f>0/60</x:f>
        <x:v>0</x:v>
      </x:c>
      <x:c r="U28" s="21" t="n">
        <x:f>0/60</x:f>
        <x:v>0</x:v>
      </x:c>
      <x:c r="V28" s="21" t="n">
        <x:f>0/60</x:f>
        <x:v>0</x:v>
      </x:c>
      <x:c r="W28" s="20" t="n">
        <x:v>0</x:v>
      </x:c>
      <x:c r="X28" s="20" t="n">
        <x:v>0</x:v>
      </x:c>
      <x:c r="Y28" s="20" t="n">
        <x:v>0</x:v>
      </x:c>
      <x:c r="Z28" s="20" t="n">
        <x:v>0</x:v>
      </x:c>
    </x:row>
    <x:row r="29" ht="23" customHeight="1">
      <x:c r="A29" s="2" t="str">
        <x:v>2026-10-21_Night</x:v>
      </x:c>
      <x:c r="B29" s="19" t="n">
        <x:v>56000</x:v>
      </x:c>
      <x:c r="C29" s="19" t="n">
        <x:v>0</x:v>
      </x:c>
      <x:c r="D29" s="19" t="n">
        <x:f>B29-C29</x:f>
        <x:v>56000</x:v>
      </x:c>
      <x:c r="E29" s="19" t="n">
        <x:f>E28+D29</x:f>
        <x:v>537000</x:v>
      </x:c>
      <x:c r="F29" s="19" t="n">
        <x:v>56000</x:v>
      </x:c>
      <x:c r="G29" s="19"/>
      <x:c r="H29" s="19" t="n">
        <x:v>56000</x:v>
      </x:c>
      <x:c r="I29" s="19" t="n">
        <x:v>0</x:v>
      </x:c>
      <x:c r="J29" s="19" t="n">
        <x:v>0</x:v>
      </x:c>
      <x:c r="K29" s="19" t="n">
        <x:v>0</x:v>
      </x:c>
      <x:c r="L29" s="19" t="n">
        <x:v>55000</x:v>
      </x:c>
      <x:c r="M29" s="19" t="n">
        <x:v>58000</x:v>
      </x:c>
      <x:c r="N29" s="20" t="n">
        <x:v>5</x:v>
      </x:c>
      <x:c r="O29" s="20" t="n">
        <x:v>5</x:v>
      </x:c>
      <x:c r="P29" s="20" t="n">
        <x:v>6</x:v>
      </x:c>
      <x:c r="Q29" s="20" t="n">
        <x:v>6</x:v>
      </x:c>
      <x:c r="R29" s="20" t="n">
        <x:v>22</x:v>
      </x:c>
      <x:c r="S29" s="21" t="n">
        <x:f>1646/60</x:f>
        <x:v>27.433333333333334</x:v>
      </x:c>
      <x:c r="T29" s="21" t="n">
        <x:f>0/60</x:f>
        <x:v>0</x:v>
      </x:c>
      <x:c r="U29" s="21" t="n">
        <x:f>0/60</x:f>
        <x:v>0</x:v>
      </x:c>
      <x:c r="V29" s="21" t="n">
        <x:f>0/60</x:f>
        <x:v>0</x:v>
      </x:c>
      <x:c r="W29" s="20" t="n">
        <x:v>0</x:v>
      </x:c>
      <x:c r="X29" s="20" t="n">
        <x:v>0</x:v>
      </x:c>
      <x:c r="Y29" s="20" t="n">
        <x:v>0</x:v>
      </x:c>
      <x:c r="Z29" s="20" t="n">
        <x:v>0</x:v>
      </x:c>
    </x:row>
    <x:row r="30" ht="23" customHeight="1">
      <x:c r="A30" s="2" t="str">
        <x:v>2026-10-22_Night</x:v>
      </x:c>
      <x:c r="B30" s="19" t="n">
        <x:v>36000</x:v>
      </x:c>
      <x:c r="C30" s="19" t="n">
        <x:v>0</x:v>
      </x:c>
      <x:c r="D30" s="19" t="n">
        <x:f>B30-C30</x:f>
        <x:v>36000</x:v>
      </x:c>
      <x:c r="E30" s="19" t="n">
        <x:f>E29+D30</x:f>
        <x:v>573000</x:v>
      </x:c>
      <x:c r="F30" s="19" t="n">
        <x:v>36000</x:v>
      </x:c>
      <x:c r="G30" s="19"/>
      <x:c r="H30" s="19" t="n">
        <x:v>36000</x:v>
      </x:c>
      <x:c r="I30" s="19" t="n">
        <x:v>0</x:v>
      </x:c>
      <x:c r="J30" s="19" t="n">
        <x:v>0</x:v>
      </x:c>
      <x:c r="K30" s="19" t="n">
        <x:v>0</x:v>
      </x:c>
      <x:c r="L30" s="19" t="n">
        <x:v>10000</x:v>
      </x:c>
      <x:c r="M30" s="19" t="n">
        <x:v>20000</x:v>
      </x:c>
      <x:c r="N30" s="20" t="n">
        <x:v>0</x:v>
      </x:c>
      <x:c r="O30" s="20" t="n">
        <x:v>5</x:v>
      </x:c>
      <x:c r="P30" s="20" t="n">
        <x:v>3</x:v>
      </x:c>
      <x:c r="Q30" s="20" t="n">
        <x:v>3</x:v>
      </x:c>
      <x:c r="R30" s="20" t="n">
        <x:v>7</x:v>
      </x:c>
      <x:c r="S30" s="21" t="n">
        <x:f>308/60</x:f>
        <x:v>5.133333333333334</x:v>
      </x:c>
      <x:c r="T30" s="21" t="n">
        <x:f>0/60</x:f>
        <x:v>0</x:v>
      </x:c>
      <x:c r="U30" s="21" t="n">
        <x:f>0/60</x:f>
        <x:v>0</x:v>
      </x:c>
      <x:c r="V30" s="21" t="n">
        <x:f>0/60</x:f>
        <x:v>0</x:v>
      </x:c>
      <x:c r="W30" s="20" t="n">
        <x:v>0</x:v>
      </x:c>
      <x:c r="X30" s="20" t="n">
        <x:v>0</x:v>
      </x:c>
      <x:c r="Y30" s="20" t="n">
        <x:v>0</x:v>
      </x:c>
      <x:c r="Z30" s="20" t="n">
        <x:v>0</x:v>
      </x:c>
    </x:row>
    <x:row r="31" ht="23" customHeight="1">
      <x:c r="A31" s="2" t="str">
        <x:v>2026-10-23_Night</x:v>
      </x:c>
      <x:c r="B31" s="19" t="n">
        <x:v>87000</x:v>
      </x:c>
      <x:c r="C31" s="19" t="n">
        <x:v>40000</x:v>
      </x:c>
      <x:c r="D31" s="19" t="n">
        <x:f>B31-C31</x:f>
        <x:v>47000</x:v>
      </x:c>
      <x:c r="E31" s="19" t="n">
        <x:f>E30+D31</x:f>
        <x:v>620000</x:v>
      </x:c>
      <x:c r="F31" s="19" t="n">
        <x:v>47000</x:v>
      </x:c>
      <x:c r="G31" s="19"/>
      <x:c r="H31" s="19" t="n">
        <x:v>87000</x:v>
      </x:c>
      <x:c r="I31" s="19" t="n">
        <x:v>0</x:v>
      </x:c>
      <x:c r="J31" s="19" t="n">
        <x:v>0</x:v>
      </x:c>
      <x:c r="K31" s="19" t="n">
        <x:v>40000</x:v>
      </x:c>
      <x:c r="L31" s="19" t="n">
        <x:v>65000</x:v>
      </x:c>
      <x:c r="M31" s="19" t="n">
        <x:v>62000</x:v>
      </x:c>
      <x:c r="N31" s="20" t="n">
        <x:v>5</x:v>
      </x:c>
      <x:c r="O31" s="20" t="n">
        <x:v>5</x:v>
      </x:c>
      <x:c r="P31" s="20" t="n">
        <x:v>11</x:v>
      </x:c>
      <x:c r="Q31" s="20" t="n">
        <x:v>11</x:v>
      </x:c>
      <x:c r="R31" s="20" t="n">
        <x:v>20</x:v>
      </x:c>
      <x:c r="S31" s="21" t="n">
        <x:f>38313/60</x:f>
        <x:v>638.55</x:v>
      </x:c>
      <x:c r="T31" s="21" t="n">
        <x:f>0/60</x:f>
        <x:v>0</x:v>
      </x:c>
      <x:c r="U31" s="21" t="n">
        <x:f>0/60</x:f>
        <x:v>0</x:v>
      </x:c>
      <x:c r="V31" s="21" t="n">
        <x:f>0/60</x:f>
        <x:v>0</x:v>
      </x:c>
      <x:c r="W31" s="20" t="n">
        <x:v>0</x:v>
      </x:c>
      <x:c r="X31" s="20" t="n">
        <x:v>0</x:v>
      </x:c>
      <x:c r="Y31" s="20" t="n">
        <x:v>0</x:v>
      </x:c>
      <x:c r="Z31" s="20" t="n">
        <x:v>0</x:v>
      </x:c>
    </x:row>
    <x:row r="32" ht="23" customHeight="1">
      <x:c r="A32" s="26" t="str">
        <x:v>25夜累計／最大</x:v>
      </x:c>
      <x:c r="B32" s="27" t="n">
        <x:f>SUM(B7:B31)</x:f>
        <x:v>1360000</x:v>
      </x:c>
      <x:c r="C32" s="27" t="n">
        <x:f>SUM(C7:C31)</x:f>
        <x:v>740000</x:v>
      </x:c>
      <x:c r="D32" s="27" t="n">
        <x:f>B32-C32</x:f>
        <x:v>620000</x:v>
      </x:c>
      <x:c r="E32" s="27" t="n">
        <x:f>E31</x:f>
        <x:v>620000</x:v>
      </x:c>
      <x:c r="F32" s="27" t="n">
        <x:f>SUM(F7:F31)</x:f>
        <x:v>620000</x:v>
      </x:c>
      <x:c r="G32" s="27"/>
      <x:c r="H32" s="27" t="n">
        <x:f>SUM(H7:H31)</x:f>
        <x:v>1360000</x:v>
      </x:c>
      <x:c r="I32" s="27" t="n">
        <x:f>SUM(I7:I31)</x:f>
        <x:v>0</x:v>
      </x:c>
      <x:c r="J32" s="27" t="n">
        <x:f>SUM(J7:J31)</x:f>
        <x:v>0</x:v>
      </x:c>
      <x:c r="K32" s="27" t="n">
        <x:f>SUM(K7:K31)</x:f>
        <x:v>740000</x:v>
      </x:c>
      <x:c r="L32" s="27" t="n">
        <x:f>MAX(L7:L31)</x:f>
        <x:v>241000</x:v>
      </x:c>
      <x:c r="M32" s="27" t="n">
        <x:f>MAX(M7:M31)</x:f>
        <x:v>237000</x:v>
      </x:c>
      <x:c r="N32" s="28" t="n">
        <x:f>MAX(N7:N31)</x:f>
        <x:v>8</x:v>
      </x:c>
      <x:c r="O32" s="28" t="n">
        <x:f>MAX(O7:O31)</x:f>
        <x:v>7</x:v>
      </x:c>
      <x:c r="P32" s="28" t="n">
        <x:f>SUM(P7:P31)</x:f>
        <x:v>172</x:v>
      </x:c>
      <x:c r="Q32" s="28" t="n">
        <x:f>SUM(Q7:Q31)</x:f>
        <x:v>172</x:v>
      </x:c>
      <x:c r="R32" s="28" t="n">
        <x:f>SUM(R7:R31)</x:f>
        <x:v>401</x:v>
      </x:c>
      <x:c r="S32" s="29" t="n">
        <x:f>SUM(S7:S31)</x:f>
        <x:v>4436.9833333333345</x:v>
      </x:c>
      <x:c r="T32" s="29" t="n">
        <x:f>SUM(T7:T31)</x:f>
        <x:v>958.4333333333333</x:v>
      </x:c>
      <x:c r="U32" s="29" t="n">
        <x:f>SUM(U7:U31)</x:f>
        <x:v>0</x:v>
      </x:c>
      <x:c r="V32" s="29" t="n">
        <x:f>SUM(V7:V31)</x:f>
        <x:v>0</x:v>
      </x:c>
      <x:c r="W32" s="28" t="n">
        <x:f>SUM(W7:W31)</x:f>
        <x:v>0</x:v>
      </x:c>
      <x:c r="X32" s="28" t="n">
        <x:f>SUM(X7:X31)</x:f>
        <x:v>0</x:v>
      </x:c>
      <x:c r="Y32" s="28" t="n">
        <x:f>SUM(Y7:Y31)</x:f>
        <x:v>0</x:v>
      </x:c>
      <x:c r="Z32" s="28" t="n">
        <x:f>SUM(Z7:Z31)</x:f>
        <x:v>0</x:v>
      </x:c>
    </x:row>
  </x:sheetData>
  <x:conditionalFormatting sqref="B7:M32">
    <x:cfRule type="cellIs" dxfId="1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daed6bffa9f4e4b"/>
  </x:tableParts>
</x:worksheet>
</file>

<file path=xl/worksheets/sheet16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3" customHeight="1">
      <x:c r="A2" s="4" t="str">
        <x:v>N02　全夜間の利益・損失・収支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3" ht="23" customHeight="1">
      <x:c r="A3" s="6" t="str">
        <x:v>日経mini・片方向上限10枚・手数料0・次正常ラージ気配代理。2026/09/21〜10/23の完了25夜。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3" customHeight="1">
      <x:c r="A4" s="6" t="str">
        <x:v>利益・損失は新規実約定IDごとの全返済収支で分類。旧親単位の利益損失とは異なります。未測定は空欄。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3" customHeight="1">
      <x:c r="A5" s="6" t="str">
        <x:v>全夜・利益80ptから40pt追尾。N：新手法を全夜運転。含み損・DD・保有時間・返済内訳も全夜。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4" customHeight="1">
      <x:c r="A6" s="15" t="str">
        <x:v>セッション</x:v>
      </x:c>
      <x:c r="B6" s="16" t="str">
        <x:v>利益（円）</x:v>
      </x:c>
      <x:c r="C6" s="16" t="str">
        <x:v>損失（円）</x:v>
      </x:c>
      <x:c r="D6" s="16" t="str">
        <x:v>全夜収支（円）</x:v>
      </x:c>
      <x:c r="E6" s="16" t="str">
        <x:v>累計（円）</x:v>
      </x:c>
      <x:c r="F6" s="16" t="str">
        <x:v>対象区間収支</x:v>
      </x:c>
      <x:c r="G6" s="16" t="str">
        <x:v>保存後半収支</x:v>
      </x:c>
      <x:c r="H6" s="16" t="str">
        <x:v>利益追尾の利益</x:v>
      </x:c>
      <x:c r="I6" s="16" t="str">
        <x:v>利益追尾の損失</x:v>
      </x:c>
      <x:c r="J6" s="16" t="str">
        <x:v>境界清算の利益</x:v>
      </x:c>
      <x:c r="K6" s="16" t="str">
        <x:v>境界清算の損失</x:v>
      </x:c>
      <x:c r="L6" s="16" t="str">
        <x:v>最大含み損（円）</x:v>
      </x:c>
      <x:c r="M6" s="16" t="str">
        <x:v>対象区間DD</x:v>
      </x:c>
      <x:c r="N6" s="16" t="str">
        <x:v>最大買い枚数</x:v>
      </x:c>
      <x:c r="O6" s="16" t="str">
        <x:v>最大売り枚数</x:v>
      </x:c>
      <x:c r="P6" s="16" t="str">
        <x:v>全夜新規件数</x:v>
      </x:c>
      <x:c r="Q6" s="16" t="str">
        <x:v>対象区間新規</x:v>
      </x:c>
      <x:c r="R6" s="16" t="str">
        <x:v>全新規枚数</x:v>
      </x:c>
      <x:c r="S6" s="16" t="str">
        <x:v>保有（分）</x:v>
      </x:c>
      <x:c r="T6" s="16" t="str">
        <x:v>両建て（分）</x:v>
      </x:c>
      <x:c r="U6" s="16" t="str">
        <x:v>買い上限（分）</x:v>
      </x:c>
      <x:c r="V6" s="16" t="str">
        <x:v>売り上限（分）</x:v>
      </x:c>
      <x:c r="W6" s="16" t="str">
        <x:v>上限拒否・縮小件数</x:v>
      </x:c>
      <x:c r="X6" s="16" t="str">
        <x:v>通知全拒否件数</x:v>
      </x:c>
      <x:c r="Y6" s="16" t="str">
        <x:v>実再参加件数</x:v>
      </x:c>
      <x:c r="Z6" s="17" t="str">
        <x:v>判断利益→実損失</x:v>
      </x:c>
    </x:row>
    <x:row r="7" ht="23" customHeight="1">
      <x:c r="A7" s="2" t="str">
        <x:v>2026-09-21_Night</x:v>
      </x:c>
      <x:c r="B7" s="19" t="n">
        <x:v>95000</x:v>
      </x:c>
      <x:c r="C7" s="19" t="n">
        <x:v>0</x:v>
      </x:c>
      <x:c r="D7" s="19" t="n">
        <x:f>B7-C7</x:f>
        <x:v>95000</x:v>
      </x:c>
      <x:c r="E7" s="19" t="n">
        <x:f>D7</x:f>
        <x:v>95000</x:v>
      </x:c>
      <x:c r="F7" s="19" t="n">
        <x:v>95000</x:v>
      </x:c>
      <x:c r="G7" s="19"/>
      <x:c r="H7" s="19" t="n">
        <x:v>95000</x:v>
      </x:c>
      <x:c r="I7" s="19" t="n">
        <x:v>0</x:v>
      </x:c>
      <x:c r="J7" s="19" t="n">
        <x:v>0</x:v>
      </x:c>
      <x:c r="K7" s="19" t="n">
        <x:v>0</x:v>
      </x:c>
      <x:c r="L7" s="19" t="n">
        <x:v>50000</x:v>
      </x:c>
      <x:c r="M7" s="19" t="n">
        <x:v>70000</x:v>
      </x:c>
      <x:c r="N7" s="20" t="n">
        <x:v>5</x:v>
      </x:c>
      <x:c r="O7" s="20" t="n">
        <x:v>0</x:v>
      </x:c>
      <x:c r="P7" s="20" t="n">
        <x:v>1</x:v>
      </x:c>
      <x:c r="Q7" s="20" t="n">
        <x:v>1</x:v>
      </x:c>
      <x:c r="R7" s="20" t="n">
        <x:v>5</x:v>
      </x:c>
      <x:c r="S7" s="21" t="n">
        <x:f>2201/60</x:f>
        <x:v>36.68333333333333</x:v>
      </x:c>
      <x:c r="T7" s="21" t="n">
        <x:f>0/60</x:f>
        <x:v>0</x:v>
      </x:c>
      <x:c r="U7" s="21" t="n">
        <x:f>0/60</x:f>
        <x:v>0</x:v>
      </x:c>
      <x:c r="V7" s="21" t="n">
        <x:f>0/60</x:f>
        <x:v>0</x:v>
      </x:c>
      <x:c r="W7" s="20" t="n">
        <x:v>0</x:v>
      </x:c>
      <x:c r="X7" s="20" t="n">
        <x:v>0</x:v>
      </x:c>
      <x:c r="Y7" s="20" t="n">
        <x:v>0</x:v>
      </x:c>
      <x:c r="Z7" s="20" t="n">
        <x:v>0</x:v>
      </x:c>
    </x:row>
    <x:row r="8" ht="23" customHeight="1">
      <x:c r="A8" s="2" t="str">
        <x:v>2026-09-22_Night</x:v>
      </x:c>
      <x:c r="B8" s="19" t="n">
        <x:v>80000</x:v>
      </x:c>
      <x:c r="C8" s="19" t="n">
        <x:v>0</x:v>
      </x:c>
      <x:c r="D8" s="19" t="n">
        <x:f>B8-C8</x:f>
        <x:v>80000</x:v>
      </x:c>
      <x:c r="E8" s="19" t="n">
        <x:f>E7+D8</x:f>
        <x:v>175000</x:v>
      </x:c>
      <x:c r="F8" s="19" t="n">
        <x:v>80000</x:v>
      </x:c>
      <x:c r="G8" s="19"/>
      <x:c r="H8" s="19" t="n">
        <x:v>80000</x:v>
      </x:c>
      <x:c r="I8" s="19" t="n">
        <x:v>0</x:v>
      </x:c>
      <x:c r="J8" s="19" t="n">
        <x:v>0</x:v>
      </x:c>
      <x:c r="K8" s="19" t="n">
        <x:v>0</x:v>
      </x:c>
      <x:c r="L8" s="19" t="n">
        <x:v>45000</x:v>
      </x:c>
      <x:c r="M8" s="19" t="n">
        <x:v>55000</x:v>
      </x:c>
      <x:c r="N8" s="20" t="n">
        <x:v>5</x:v>
      </x:c>
      <x:c r="O8" s="20" t="n">
        <x:v>0</x:v>
      </x:c>
      <x:c r="P8" s="20" t="n">
        <x:v>2</x:v>
      </x:c>
      <x:c r="Q8" s="20" t="n">
        <x:v>2</x:v>
      </x:c>
      <x:c r="R8" s="20" t="n">
        <x:v>10</x:v>
      </x:c>
      <x:c r="S8" s="21" t="n">
        <x:f>3265/60</x:f>
        <x:v>54.416666666666664</x:v>
      </x:c>
      <x:c r="T8" s="21" t="n">
        <x:f>0/60</x:f>
        <x:v>0</x:v>
      </x:c>
      <x:c r="U8" s="21" t="n">
        <x:f>0/60</x:f>
        <x:v>0</x:v>
      </x:c>
      <x:c r="V8" s="21" t="n">
        <x:f>0/60</x:f>
        <x:v>0</x:v>
      </x:c>
      <x:c r="W8" s="20" t="n">
        <x:v>0</x:v>
      </x:c>
      <x:c r="X8" s="20" t="n">
        <x:v>0</x:v>
      </x:c>
      <x:c r="Y8" s="20" t="n">
        <x:v>0</x:v>
      </x:c>
      <x:c r="Z8" s="20" t="n">
        <x:v>0</x:v>
      </x:c>
    </x:row>
    <x:row r="9" ht="23" customHeight="1">
      <x:c r="A9" s="2" t="str">
        <x:v>2026-09-23_Night</x:v>
      </x:c>
      <x:c r="B9" s="19" t="n">
        <x:v>67000</x:v>
      </x:c>
      <x:c r="C9" s="19" t="n">
        <x:v>0</x:v>
      </x:c>
      <x:c r="D9" s="19" t="n">
        <x:f>B9-C9</x:f>
        <x:v>67000</x:v>
      </x:c>
      <x:c r="E9" s="19" t="n">
        <x:f>E8+D9</x:f>
        <x:v>242000</x:v>
      </x:c>
      <x:c r="F9" s="19" t="n">
        <x:v>67000</x:v>
      </x:c>
      <x:c r="G9" s="19"/>
      <x:c r="H9" s="19" t="n">
        <x:v>67000</x:v>
      </x:c>
      <x:c r="I9" s="19" t="n">
        <x:v>0</x:v>
      </x:c>
      <x:c r="J9" s="19" t="n">
        <x:v>0</x:v>
      </x:c>
      <x:c r="K9" s="19" t="n">
        <x:v>0</x:v>
      </x:c>
      <x:c r="L9" s="19" t="n">
        <x:v>55000</x:v>
      </x:c>
      <x:c r="M9" s="19" t="n">
        <x:v>55000</x:v>
      </x:c>
      <x:c r="N9" s="20" t="n">
        <x:v>2</x:v>
      </x:c>
      <x:c r="O9" s="20" t="n">
        <x:v>5</x:v>
      </x:c>
      <x:c r="P9" s="20" t="n">
        <x:v>3</x:v>
      </x:c>
      <x:c r="Q9" s="20" t="n">
        <x:v>3</x:v>
      </x:c>
      <x:c r="R9" s="20" t="n">
        <x:v>7</x:v>
      </x:c>
      <x:c r="S9" s="21" t="n">
        <x:f>1957/60</x:f>
        <x:v>32.61666666666667</x:v>
      </x:c>
      <x:c r="T9" s="21" t="n">
        <x:f>0/60</x:f>
        <x:v>0</x:v>
      </x:c>
      <x:c r="U9" s="21" t="n">
        <x:f>0/60</x:f>
        <x:v>0</x:v>
      </x:c>
      <x:c r="V9" s="21" t="n">
        <x:f>0/60</x:f>
        <x:v>0</x:v>
      </x:c>
      <x:c r="W9" s="20" t="n">
        <x:v>0</x:v>
      </x:c>
      <x:c r="X9" s="20" t="n">
        <x:v>0</x:v>
      </x:c>
      <x:c r="Y9" s="20" t="n">
        <x:v>0</x:v>
      </x:c>
      <x:c r="Z9" s="20" t="n">
        <x:v>0</x:v>
      </x:c>
    </x:row>
    <x:row r="10" ht="23" customHeight="1">
      <x:c r="A10" s="2" t="str">
        <x:v>2026-09-24_Night</x:v>
      </x:c>
      <x:c r="B10" s="19" t="n">
        <x:v>71000</x:v>
      </x:c>
      <x:c r="C10" s="19" t="n">
        <x:v>0</x:v>
      </x:c>
      <x:c r="D10" s="19" t="n">
        <x:f>B10-C10</x:f>
        <x:v>71000</x:v>
      </x:c>
      <x:c r="E10" s="19" t="n">
        <x:f>E9+D10</x:f>
        <x:v>313000</x:v>
      </x:c>
      <x:c r="F10" s="19" t="n">
        <x:v>71000</x:v>
      </x:c>
      <x:c r="G10" s="19"/>
      <x:c r="H10" s="19" t="n">
        <x:v>71000</x:v>
      </x:c>
      <x:c r="I10" s="19" t="n">
        <x:v>0</x:v>
      </x:c>
      <x:c r="J10" s="19" t="n">
        <x:v>0</x:v>
      </x:c>
      <x:c r="K10" s="19" t="n">
        <x:v>0</x:v>
      </x:c>
      <x:c r="L10" s="19" t="n">
        <x:v>85000</x:v>
      </x:c>
      <x:c r="M10" s="19" t="n">
        <x:v>90000</x:v>
      </x:c>
      <x:c r="N10" s="20" t="n">
        <x:v>5</x:v>
      </x:c>
      <x:c r="O10" s="20" t="n">
        <x:v>2</x:v>
      </x:c>
      <x:c r="P10" s="20" t="n">
        <x:v>4</x:v>
      </x:c>
      <x:c r="Q10" s="20" t="n">
        <x:v>4</x:v>
      </x:c>
      <x:c r="R10" s="20" t="n">
        <x:v>12</x:v>
      </x:c>
      <x:c r="S10" s="21" t="n">
        <x:f>7579/60</x:f>
        <x:v>126.31666666666666</x:v>
      </x:c>
      <x:c r="T10" s="21" t="n">
        <x:f>0/60</x:f>
        <x:v>0</x:v>
      </x:c>
      <x:c r="U10" s="21" t="n">
        <x:f>0/60</x:f>
        <x:v>0</x:v>
      </x:c>
      <x:c r="V10" s="21" t="n">
        <x:f>0/60</x:f>
        <x:v>0</x:v>
      </x:c>
      <x:c r="W10" s="20" t="n">
        <x:v>0</x:v>
      </x:c>
      <x:c r="X10" s="20" t="n">
        <x:v>0</x:v>
      </x:c>
      <x:c r="Y10" s="20" t="n">
        <x:v>0</x:v>
      </x:c>
      <x:c r="Z10" s="20" t="n">
        <x:v>0</x:v>
      </x:c>
    </x:row>
    <x:row r="11" ht="23" customHeight="1">
      <x:c r="A11" s="2" t="str">
        <x:v>2026-09-25_Night</x:v>
      </x:c>
      <x:c r="B11" s="19" t="n">
        <x:v>54000</x:v>
      </x:c>
      <x:c r="C11" s="19" t="n">
        <x:v>0</x:v>
      </x:c>
      <x:c r="D11" s="19" t="n">
        <x:f>B11-C11</x:f>
        <x:v>54000</x:v>
      </x:c>
      <x:c r="E11" s="19" t="n">
        <x:f>E10+D11</x:f>
        <x:v>367000</x:v>
      </x:c>
      <x:c r="F11" s="19" t="n">
        <x:v>54000</x:v>
      </x:c>
      <x:c r="G11" s="19"/>
      <x:c r="H11" s="19" t="n">
        <x:v>54000</x:v>
      </x:c>
      <x:c r="I11" s="19" t="n">
        <x:v>0</x:v>
      </x:c>
      <x:c r="J11" s="19" t="n">
        <x:v>0</x:v>
      </x:c>
      <x:c r="K11" s="19" t="n">
        <x:v>0</x:v>
      </x:c>
      <x:c r="L11" s="19" t="n">
        <x:v>27000</x:v>
      </x:c>
      <x:c r="M11" s="19" t="n">
        <x:v>34000</x:v>
      </x:c>
      <x:c r="N11" s="20" t="n">
        <x:v>1</x:v>
      </x:c>
      <x:c r="O11" s="20" t="n">
        <x:v>5</x:v>
      </x:c>
      <x:c r="P11" s="20" t="n">
        <x:v>2</x:v>
      </x:c>
      <x:c r="Q11" s="20" t="n">
        <x:v>2</x:v>
      </x:c>
      <x:c r="R11" s="20" t="n">
        <x:v>6</x:v>
      </x:c>
      <x:c r="S11" s="21" t="n">
        <x:f>8179/60</x:f>
        <x:v>136.31666666666666</x:v>
      </x:c>
      <x:c r="T11" s="21" t="n">
        <x:f>232/60</x:f>
        <x:v>3.8666666666666667</x:v>
      </x:c>
      <x:c r="U11" s="21" t="n">
        <x:f>0/60</x:f>
        <x:v>0</x:v>
      </x:c>
      <x:c r="V11" s="21" t="n">
        <x:f>0/60</x:f>
        <x:v>0</x:v>
      </x:c>
      <x:c r="W11" s="20" t="n">
        <x:v>0</x:v>
      </x:c>
      <x:c r="X11" s="20" t="n">
        <x:v>0</x:v>
      </x:c>
      <x:c r="Y11" s="20" t="n">
        <x:v>0</x:v>
      </x:c>
      <x:c r="Z11" s="20" t="n">
        <x:v>0</x:v>
      </x:c>
    </x:row>
    <x:row r="12" ht="23" customHeight="1">
      <x:c r="A12" s="2" t="str">
        <x:v>2026-09-28_Night</x:v>
      </x:c>
      <x:c r="B12" s="19" t="n">
        <x:v>92000</x:v>
      </x:c>
      <x:c r="C12" s="19" t="n">
        <x:v>0</x:v>
      </x:c>
      <x:c r="D12" s="19" t="n">
        <x:f>B12-C12</x:f>
        <x:v>92000</x:v>
      </x:c>
      <x:c r="E12" s="19" t="n">
        <x:f>E11+D12</x:f>
        <x:v>459000</x:v>
      </x:c>
      <x:c r="F12" s="19" t="n">
        <x:v>92000</x:v>
      </x:c>
      <x:c r="G12" s="19"/>
      <x:c r="H12" s="19" t="n">
        <x:v>92000</x:v>
      </x:c>
      <x:c r="I12" s="19" t="n">
        <x:v>0</x:v>
      </x:c>
      <x:c r="J12" s="19" t="n">
        <x:v>0</x:v>
      </x:c>
      <x:c r="K12" s="19" t="n">
        <x:v>0</x:v>
      </x:c>
      <x:c r="L12" s="19" t="n">
        <x:v>189000</x:v>
      </x:c>
      <x:c r="M12" s="19" t="n">
        <x:v>160000</x:v>
      </x:c>
      <x:c r="N12" s="20" t="n">
        <x:v>3</x:v>
      </x:c>
      <x:c r="O12" s="20" t="n">
        <x:v>2</x:v>
      </x:c>
      <x:c r="P12" s="20" t="n">
        <x:v>5</x:v>
      </x:c>
      <x:c r="Q12" s="20" t="n">
        <x:v>5</x:v>
      </x:c>
      <x:c r="R12" s="20" t="n">
        <x:v>7</x:v>
      </x:c>
      <x:c r="S12" s="21" t="n">
        <x:f>11756/60</x:f>
        <x:v>195.93333333333334</x:v>
      </x:c>
      <x:c r="T12" s="21" t="n">
        <x:f>2400/60</x:f>
        <x:v>40</x:v>
      </x:c>
      <x:c r="U12" s="21" t="n">
        <x:f>0/60</x:f>
        <x:v>0</x:v>
      </x:c>
      <x:c r="V12" s="21" t="n">
        <x:f>0/60</x:f>
        <x:v>0</x:v>
      </x:c>
      <x:c r="W12" s="20" t="n">
        <x:v>0</x:v>
      </x:c>
      <x:c r="X12" s="20" t="n">
        <x:v>0</x:v>
      </x:c>
      <x:c r="Y12" s="20" t="n">
        <x:v>0</x:v>
      </x:c>
      <x:c r="Z12" s="20" t="n">
        <x:v>0</x:v>
      </x:c>
    </x:row>
    <x:row r="13" ht="23" customHeight="1">
      <x:c r="A13" s="2" t="str">
        <x:v>2026-09-29_Night</x:v>
      </x:c>
      <x:c r="B13" s="19" t="n">
        <x:v>133000</x:v>
      </x:c>
      <x:c r="C13" s="19" t="n">
        <x:v>47000</x:v>
      </x:c>
      <x:c r="D13" s="19" t="n">
        <x:f>B13-C13</x:f>
        <x:v>86000</x:v>
      </x:c>
      <x:c r="E13" s="19" t="n">
        <x:f>E12+D13</x:f>
        <x:v>545000</x:v>
      </x:c>
      <x:c r="F13" s="19" t="n">
        <x:v>86000</x:v>
      </x:c>
      <x:c r="G13" s="19"/>
      <x:c r="H13" s="19" t="n">
        <x:v>133000</x:v>
      </x:c>
      <x:c r="I13" s="19" t="n">
        <x:v>0</x:v>
      </x:c>
      <x:c r="J13" s="19" t="n">
        <x:v>0</x:v>
      </x:c>
      <x:c r="K13" s="19" t="n">
        <x:v>47000</x:v>
      </x:c>
      <x:c r="L13" s="19" t="n">
        <x:v>83000</x:v>
      </x:c>
      <x:c r="M13" s="19" t="n">
        <x:v>84000</x:v>
      </x:c>
      <x:c r="N13" s="20" t="n">
        <x:v>5</x:v>
      </x:c>
      <x:c r="O13" s="20" t="n">
        <x:v>6</x:v>
      </x:c>
      <x:c r="P13" s="20" t="n">
        <x:v>6</x:v>
      </x:c>
      <x:c r="Q13" s="20" t="n">
        <x:v>6</x:v>
      </x:c>
      <x:c r="R13" s="20" t="n">
        <x:v>14</x:v>
      </x:c>
      <x:c r="S13" s="21" t="n">
        <x:f>24658/60</x:f>
        <x:v>410.96666666666664</x:v>
      </x:c>
      <x:c r="T13" s="21" t="n">
        <x:f>16964/60</x:f>
        <x:v>282.73333333333335</x:v>
      </x:c>
      <x:c r="U13" s="21" t="n">
        <x:f>0/60</x:f>
        <x:v>0</x:v>
      </x:c>
      <x:c r="V13" s="21" t="n">
        <x:f>0/60</x:f>
        <x:v>0</x:v>
      </x:c>
      <x:c r="W13" s="20" t="n">
        <x:v>0</x:v>
      </x:c>
      <x:c r="X13" s="20" t="n">
        <x:v>0</x:v>
      </x:c>
      <x:c r="Y13" s="20" t="n">
        <x:v>0</x:v>
      </x:c>
      <x:c r="Z13" s="20" t="n">
        <x:v>0</x:v>
      </x:c>
    </x:row>
    <x:row r="14" ht="23" customHeight="1">
      <x:c r="A14" s="2" t="str">
        <x:v>2026-09-30_Night</x:v>
      </x:c>
      <x:c r="B14" s="19" t="n">
        <x:v>190000</x:v>
      </x:c>
      <x:c r="C14" s="19" t="n">
        <x:v>0</x:v>
      </x:c>
      <x:c r="D14" s="19" t="n">
        <x:f>B14-C14</x:f>
        <x:v>190000</x:v>
      </x:c>
      <x:c r="E14" s="19" t="n">
        <x:f>E13+D14</x:f>
        <x:v>735000</x:v>
      </x:c>
      <x:c r="F14" s="19" t="n">
        <x:v>190000</x:v>
      </x:c>
      <x:c r="G14" s="19"/>
      <x:c r="H14" s="19" t="n">
        <x:v>190000</x:v>
      </x:c>
      <x:c r="I14" s="19" t="n">
        <x:v>0</x:v>
      </x:c>
      <x:c r="J14" s="19" t="n">
        <x:v>0</x:v>
      </x:c>
      <x:c r="K14" s="19" t="n">
        <x:v>0</x:v>
      </x:c>
      <x:c r="L14" s="19" t="n">
        <x:v>90000</x:v>
      </x:c>
      <x:c r="M14" s="19" t="n">
        <x:v>110000</x:v>
      </x:c>
      <x:c r="N14" s="20" t="n">
        <x:v>6</x:v>
      </x:c>
      <x:c r="O14" s="20" t="n">
        <x:v>5</x:v>
      </x:c>
      <x:c r="P14" s="20" t="n">
        <x:v>6</x:v>
      </x:c>
      <x:c r="Q14" s="20" t="n">
        <x:v>6</x:v>
      </x:c>
      <x:c r="R14" s="20" t="n">
        <x:v>22</x:v>
      </x:c>
      <x:c r="S14" s="21" t="n">
        <x:f>4986/60</x:f>
        <x:v>83.1</x:v>
      </x:c>
      <x:c r="T14" s="21" t="n">
        <x:f>0/60</x:f>
        <x:v>0</x:v>
      </x:c>
      <x:c r="U14" s="21" t="n">
        <x:f>0/60</x:f>
        <x:v>0</x:v>
      </x:c>
      <x:c r="V14" s="21" t="n">
        <x:f>0/60</x:f>
        <x:v>0</x:v>
      </x:c>
      <x:c r="W14" s="20" t="n">
        <x:v>0</x:v>
      </x:c>
      <x:c r="X14" s="20" t="n">
        <x:v>0</x:v>
      </x:c>
      <x:c r="Y14" s="20" t="n">
        <x:v>0</x:v>
      </x:c>
      <x:c r="Z14" s="20" t="n">
        <x:v>0</x:v>
      </x:c>
    </x:row>
    <x:row r="15" ht="23" customHeight="1">
      <x:c r="A15" s="2" t="str">
        <x:v>2026-10-01_Night</x:v>
      </x:c>
      <x:c r="B15" s="19" t="n">
        <x:v>233000</x:v>
      </x:c>
      <x:c r="C15" s="19" t="n">
        <x:v>115000</x:v>
      </x:c>
      <x:c r="D15" s="19" t="n">
        <x:f>B15-C15</x:f>
        <x:v>118000</x:v>
      </x:c>
      <x:c r="E15" s="19" t="n">
        <x:f>E14+D15</x:f>
        <x:v>853000</x:v>
      </x:c>
      <x:c r="F15" s="19" t="n">
        <x:v>118000</x:v>
      </x:c>
      <x:c r="G15" s="19"/>
      <x:c r="H15" s="19" t="n">
        <x:v>233000</x:v>
      </x:c>
      <x:c r="I15" s="19" t="n">
        <x:v>0</x:v>
      </x:c>
      <x:c r="J15" s="19" t="n">
        <x:v>0</x:v>
      </x:c>
      <x:c r="K15" s="19" t="n">
        <x:v>115000</x:v>
      </x:c>
      <x:c r="L15" s="19" t="n">
        <x:v>498000</x:v>
      </x:c>
      <x:c r="M15" s="19" t="n">
        <x:v>370000</x:v>
      </x:c>
      <x:c r="N15" s="20" t="n">
        <x:v>8</x:v>
      </x:c>
      <x:c r="O15" s="20" t="n">
        <x:v>6</x:v>
      </x:c>
      <x:c r="P15" s="20" t="n">
        <x:v>16</x:v>
      </x:c>
      <x:c r="Q15" s="20" t="n">
        <x:v>16</x:v>
      </x:c>
      <x:c r="R15" s="20" t="n">
        <x:v>36</x:v>
      </x:c>
      <x:c r="S15" s="21" t="n">
        <x:f>40049/60</x:f>
        <x:v>667.4833333333333</x:v>
      </x:c>
      <x:c r="T15" s="21" t="n">
        <x:f>8595/60</x:f>
        <x:v>143.25</x:v>
      </x:c>
      <x:c r="U15" s="21" t="n">
        <x:f>0/60</x:f>
        <x:v>0</x:v>
      </x:c>
      <x:c r="V15" s="21" t="n">
        <x:f>0/60</x:f>
        <x:v>0</x:v>
      </x:c>
      <x:c r="W15" s="20" t="n">
        <x:v>0</x:v>
      </x:c>
      <x:c r="X15" s="20" t="n">
        <x:v>0</x:v>
      </x:c>
      <x:c r="Y15" s="20" t="n">
        <x:v>0</x:v>
      </x:c>
      <x:c r="Z15" s="20" t="n">
        <x:v>0</x:v>
      </x:c>
    </x:row>
    <x:row r="16" ht="23" customHeight="1">
      <x:c r="A16" s="2" t="str">
        <x:v>2026-10-02_Night</x:v>
      </x:c>
      <x:c r="B16" s="19" t="n">
        <x:v>205000</x:v>
      </x:c>
      <x:c r="C16" s="19" t="n">
        <x:v>70000</x:v>
      </x:c>
      <x:c r="D16" s="19" t="n">
        <x:f>B16-C16</x:f>
        <x:v>135000</x:v>
      </x:c>
      <x:c r="E16" s="19" t="n">
        <x:f>E15+D16</x:f>
        <x:v>988000</x:v>
      </x:c>
      <x:c r="F16" s="19" t="n">
        <x:v>135000</x:v>
      </x:c>
      <x:c r="G16" s="19"/>
      <x:c r="H16" s="19" t="n">
        <x:v>205000</x:v>
      </x:c>
      <x:c r="I16" s="19" t="n">
        <x:v>0</x:v>
      </x:c>
      <x:c r="J16" s="19" t="n">
        <x:v>0</x:v>
      </x:c>
      <x:c r="K16" s="19" t="n">
        <x:v>70000</x:v>
      </x:c>
      <x:c r="L16" s="19" t="n">
        <x:v>118000</x:v>
      </x:c>
      <x:c r="M16" s="19" t="n">
        <x:v>126000</x:v>
      </x:c>
      <x:c r="N16" s="20" t="n">
        <x:v>7</x:v>
      </x:c>
      <x:c r="O16" s="20" t="n">
        <x:v>8</x:v>
      </x:c>
      <x:c r="P16" s="20" t="n">
        <x:v>15</x:v>
      </x:c>
      <x:c r="Q16" s="20" t="n">
        <x:v>15</x:v>
      </x:c>
      <x:c r="R16" s="20" t="n">
        <x:v>28</x:v>
      </x:c>
      <x:c r="S16" s="21" t="n">
        <x:f>24781/60</x:f>
        <x:v>413.01666666666665</x:v>
      </x:c>
      <x:c r="T16" s="21" t="n">
        <x:f>289/60</x:f>
        <x:v>4.816666666666666</x:v>
      </x:c>
      <x:c r="U16" s="21" t="n">
        <x:f>0/60</x:f>
        <x:v>0</x:v>
      </x:c>
      <x:c r="V16" s="21" t="n">
        <x:f>0/60</x:f>
        <x:v>0</x:v>
      </x:c>
      <x:c r="W16" s="20" t="n">
        <x:v>0</x:v>
      </x:c>
      <x:c r="X16" s="20" t="n">
        <x:v>0</x:v>
      </x:c>
      <x:c r="Y16" s="20" t="n">
        <x:v>0</x:v>
      </x:c>
      <x:c r="Z16" s="20" t="n">
        <x:v>0</x:v>
      </x:c>
    </x:row>
    <x:row r="17" ht="23" customHeight="1">
      <x:c r="A17" s="2" t="str">
        <x:v>2026-10-05_Night</x:v>
      </x:c>
      <x:c r="B17" s="19" t="n">
        <x:v>56000</x:v>
      </x:c>
      <x:c r="C17" s="19" t="n">
        <x:v>44000</x:v>
      </x:c>
      <x:c r="D17" s="19" t="n">
        <x:f>B17-C17</x:f>
        <x:v>12000</x:v>
      </x:c>
      <x:c r="E17" s="19" t="n">
        <x:f>E16+D17</x:f>
        <x:v>1000000</x:v>
      </x:c>
      <x:c r="F17" s="19" t="n">
        <x:v>12000</x:v>
      </x:c>
      <x:c r="G17" s="19"/>
      <x:c r="H17" s="19" t="n">
        <x:v>52000</x:v>
      </x:c>
      <x:c r="I17" s="19" t="n">
        <x:v>0</x:v>
      </x:c>
      <x:c r="J17" s="19" t="n">
        <x:v>4000</x:v>
      </x:c>
      <x:c r="K17" s="19" t="n">
        <x:v>44000</x:v>
      </x:c>
      <x:c r="L17" s="19" t="n">
        <x:v>102000</x:v>
      </x:c>
      <x:c r="M17" s="19" t="n">
        <x:v>108000</x:v>
      </x:c>
      <x:c r="N17" s="20" t="n">
        <x:v>7</x:v>
      </x:c>
      <x:c r="O17" s="20" t="n">
        <x:v>5</x:v>
      </x:c>
      <x:c r="P17" s="20" t="n">
        <x:v>8</x:v>
      </x:c>
      <x:c r="Q17" s="20" t="n">
        <x:v>8</x:v>
      </x:c>
      <x:c r="R17" s="20" t="n">
        <x:v>19</x:v>
      </x:c>
      <x:c r="S17" s="21" t="n">
        <x:f>22674/60</x:f>
        <x:v>377.9</x:v>
      </x:c>
      <x:c r="T17" s="21" t="n">
        <x:f>20308/60</x:f>
        <x:v>338.46666666666664</x:v>
      </x:c>
      <x:c r="U17" s="21" t="n">
        <x:f>0/60</x:f>
        <x:v>0</x:v>
      </x:c>
      <x:c r="V17" s="21" t="n">
        <x:f>0/60</x:f>
        <x:v>0</x:v>
      </x:c>
      <x:c r="W17" s="20" t="n">
        <x:v>0</x:v>
      </x:c>
      <x:c r="X17" s="20" t="n">
        <x:v>0</x:v>
      </x:c>
      <x:c r="Y17" s="20" t="n">
        <x:v>0</x:v>
      </x:c>
      <x:c r="Z17" s="20" t="n">
        <x:v>0</x:v>
      </x:c>
    </x:row>
    <x:row r="18" ht="23" customHeight="1">
      <x:c r="A18" s="2" t="str">
        <x:v>2026-10-06_Night</x:v>
      </x:c>
      <x:c r="B18" s="19" t="n">
        <x:v>41000</x:v>
      </x:c>
      <x:c r="C18" s="19" t="n">
        <x:v>0</x:v>
      </x:c>
      <x:c r="D18" s="19" t="n">
        <x:f>B18-C18</x:f>
        <x:v>41000</x:v>
      </x:c>
      <x:c r="E18" s="19" t="n">
        <x:f>E17+D18</x:f>
        <x:v>1041000</x:v>
      </x:c>
      <x:c r="F18" s="19" t="n">
        <x:v>41000</x:v>
      </x:c>
      <x:c r="G18" s="19"/>
      <x:c r="H18" s="19" t="n">
        <x:v>41000</x:v>
      </x:c>
      <x:c r="I18" s="19" t="n">
        <x:v>0</x:v>
      </x:c>
      <x:c r="J18" s="19" t="n">
        <x:v>0</x:v>
      </x:c>
      <x:c r="K18" s="19" t="n">
        <x:v>0</x:v>
      </x:c>
      <x:c r="L18" s="19" t="n">
        <x:v>53000</x:v>
      </x:c>
      <x:c r="M18" s="19" t="n">
        <x:v>57000</x:v>
      </x:c>
      <x:c r="N18" s="20" t="n">
        <x:v>0</x:v>
      </x:c>
      <x:c r="O18" s="20" t="n">
        <x:v>7</x:v>
      </x:c>
      <x:c r="P18" s="20" t="n">
        <x:v>4</x:v>
      </x:c>
      <x:c r="Q18" s="20" t="n">
        <x:v>4</x:v>
      </x:c>
      <x:c r="R18" s="20" t="n">
        <x:v>8</x:v>
      </x:c>
      <x:c r="S18" s="21" t="n">
        <x:f>5869/60</x:f>
        <x:v>97.81666666666666</x:v>
      </x:c>
      <x:c r="T18" s="21" t="n">
        <x:f>0/60</x:f>
        <x:v>0</x:v>
      </x:c>
      <x:c r="U18" s="21" t="n">
        <x:f>0/60</x:f>
        <x:v>0</x:v>
      </x:c>
      <x:c r="V18" s="21" t="n">
        <x:f>0/60</x:f>
        <x:v>0</x:v>
      </x:c>
      <x:c r="W18" s="20" t="n">
        <x:v>0</x:v>
      </x:c>
      <x:c r="X18" s="20" t="n">
        <x:v>0</x:v>
      </x:c>
      <x:c r="Y18" s="20" t="n">
        <x:v>0</x:v>
      </x:c>
      <x:c r="Z18" s="20" t="n">
        <x:v>0</x:v>
      </x:c>
    </x:row>
    <x:row r="19" ht="23" customHeight="1">
      <x:c r="A19" s="2" t="str">
        <x:v>2026-10-07_Night</x:v>
      </x:c>
      <x:c r="B19" s="19" t="n">
        <x:v>29000</x:v>
      </x:c>
      <x:c r="C19" s="19" t="n">
        <x:v>57000</x:v>
      </x:c>
      <x:c r="D19" s="19" t="n">
        <x:f>B19-C19</x:f>
        <x:v>-28000</x:v>
      </x:c>
      <x:c r="E19" s="19" t="n">
        <x:f>E18+D19</x:f>
        <x:v>1013000</x:v>
      </x:c>
      <x:c r="F19" s="19" t="n">
        <x:v>-28000</x:v>
      </x:c>
      <x:c r="G19" s="19"/>
      <x:c r="H19" s="19" t="n">
        <x:v>29000</x:v>
      </x:c>
      <x:c r="I19" s="19" t="n">
        <x:v>0</x:v>
      </x:c>
      <x:c r="J19" s="19" t="n">
        <x:v>0</x:v>
      </x:c>
      <x:c r="K19" s="19" t="n">
        <x:v>57000</x:v>
      </x:c>
      <x:c r="L19" s="19" t="n">
        <x:v>123000</x:v>
      </x:c>
      <x:c r="M19" s="19" t="n">
        <x:v>143000</x:v>
      </x:c>
      <x:c r="N19" s="20" t="n">
        <x:v>2</x:v>
      </x:c>
      <x:c r="O19" s="20" t="n">
        <x:v>5</x:v>
      </x:c>
      <x:c r="P19" s="20" t="n">
        <x:v>5</x:v>
      </x:c>
      <x:c r="Q19" s="20" t="n">
        <x:v>5</x:v>
      </x:c>
      <x:c r="R19" s="20" t="n">
        <x:v>9</x:v>
      </x:c>
      <x:c r="S19" s="21" t="n">
        <x:f>34697/60</x:f>
        <x:v>578.2833333333333</x:v>
      </x:c>
      <x:c r="T19" s="21" t="n">
        <x:f>19943/60</x:f>
        <x:v>332.3833333333333</x:v>
      </x:c>
      <x:c r="U19" s="21" t="n">
        <x:f>0/60</x:f>
        <x:v>0</x:v>
      </x:c>
      <x:c r="V19" s="21" t="n">
        <x:f>0/60</x:f>
        <x:v>0</x:v>
      </x:c>
      <x:c r="W19" s="20" t="n">
        <x:v>0</x:v>
      </x:c>
      <x:c r="X19" s="20" t="n">
        <x:v>0</x:v>
      </x:c>
      <x:c r="Y19" s="20" t="n">
        <x:v>0</x:v>
      </x:c>
      <x:c r="Z19" s="20" t="n">
        <x:v>0</x:v>
      </x:c>
    </x:row>
    <x:row r="20" ht="23" customHeight="1">
      <x:c r="A20" s="2" t="str">
        <x:v>2026-10-08_Night</x:v>
      </x:c>
      <x:c r="B20" s="19" t="n">
        <x:v>186000</x:v>
      </x:c>
      <x:c r="C20" s="19" t="n">
        <x:v>201000</x:v>
      </x:c>
      <x:c r="D20" s="19" t="n">
        <x:f>B20-C20</x:f>
        <x:v>-15000</x:v>
      </x:c>
      <x:c r="E20" s="19" t="n">
        <x:f>E19+D20</x:f>
        <x:v>998000</x:v>
      </x:c>
      <x:c r="F20" s="19" t="n">
        <x:v>-15000</x:v>
      </x:c>
      <x:c r="G20" s="19"/>
      <x:c r="H20" s="19" t="n">
        <x:v>186000</x:v>
      </x:c>
      <x:c r="I20" s="19" t="n">
        <x:v>0</x:v>
      </x:c>
      <x:c r="J20" s="19" t="n">
        <x:v>0</x:v>
      </x:c>
      <x:c r="K20" s="19" t="n">
        <x:v>201000</x:v>
      </x:c>
      <x:c r="L20" s="19" t="n">
        <x:v>241000</x:v>
      </x:c>
      <x:c r="M20" s="19" t="n">
        <x:v>229000</x:v>
      </x:c>
      <x:c r="N20" s="20" t="n">
        <x:v>8</x:v>
      </x:c>
      <x:c r="O20" s="20" t="n">
        <x:v>7</x:v>
      </x:c>
      <x:c r="P20" s="20" t="n">
        <x:v>17</x:v>
      </x:c>
      <x:c r="Q20" s="20" t="n">
        <x:v>17</x:v>
      </x:c>
      <x:c r="R20" s="20" t="n">
        <x:v>30</x:v>
      </x:c>
      <x:c r="S20" s="21" t="n">
        <x:f>23578/60</x:f>
        <x:v>392.96666666666664</x:v>
      </x:c>
      <x:c r="T20" s="21" t="n">
        <x:f>12570/60</x:f>
        <x:v>209.5</x:v>
      </x:c>
      <x:c r="U20" s="21" t="n">
        <x:f>0/60</x:f>
        <x:v>0</x:v>
      </x:c>
      <x:c r="V20" s="21" t="n">
        <x:f>0/60</x:f>
        <x:v>0</x:v>
      </x:c>
      <x:c r="W20" s="20" t="n">
        <x:v>0</x:v>
      </x:c>
      <x:c r="X20" s="20" t="n">
        <x:v>0</x:v>
      </x:c>
      <x:c r="Y20" s="20" t="n">
        <x:v>0</x:v>
      </x:c>
      <x:c r="Z20" s="20" t="n">
        <x:v>0</x:v>
      </x:c>
    </x:row>
    <x:row r="21" ht="23" customHeight="1">
      <x:c r="A21" s="2" t="str">
        <x:v>2026-10-09_Night</x:v>
      </x:c>
      <x:c r="B21" s="19" t="n">
        <x:v>60000</x:v>
      </x:c>
      <x:c r="C21" s="19" t="n">
        <x:v>0</x:v>
      </x:c>
      <x:c r="D21" s="19" t="n">
        <x:f>B21-C21</x:f>
        <x:v>60000</x:v>
      </x:c>
      <x:c r="E21" s="19" t="n">
        <x:f>E20+D21</x:f>
        <x:v>1058000</x:v>
      </x:c>
      <x:c r="F21" s="19" t="n">
        <x:v>60000</x:v>
      </x:c>
      <x:c r="G21" s="19"/>
      <x:c r="H21" s="19" t="n">
        <x:v>60000</x:v>
      </x:c>
      <x:c r="I21" s="19" t="n">
        <x:v>0</x:v>
      </x:c>
      <x:c r="J21" s="19" t="n">
        <x:v>0</x:v>
      </x:c>
      <x:c r="K21" s="19" t="n">
        <x:v>0</x:v>
      </x:c>
      <x:c r="L21" s="19" t="n">
        <x:v>115000</x:v>
      </x:c>
      <x:c r="M21" s="19" t="n">
        <x:v>140000</x:v>
      </x:c>
      <x:c r="N21" s="20" t="n">
        <x:v>0</x:v>
      </x:c>
      <x:c r="O21" s="20" t="n">
        <x:v>5</x:v>
      </x:c>
      <x:c r="P21" s="20" t="n">
        <x:v>3</x:v>
      </x:c>
      <x:c r="Q21" s="20" t="n">
        <x:v>3</x:v>
      </x:c>
      <x:c r="R21" s="20" t="n">
        <x:v>15</x:v>
      </x:c>
      <x:c r="S21" s="21" t="n">
        <x:f>6739/60</x:f>
        <x:v>112.31666666666666</x:v>
      </x:c>
      <x:c r="T21" s="21" t="n">
        <x:f>0/60</x:f>
        <x:v>0</x:v>
      </x:c>
      <x:c r="U21" s="21" t="n">
        <x:f>0/60</x:f>
        <x:v>0</x:v>
      </x:c>
      <x:c r="V21" s="21" t="n">
        <x:f>0/60</x:f>
        <x:v>0</x:v>
      </x:c>
      <x:c r="W21" s="20" t="n">
        <x:v>0</x:v>
      </x:c>
      <x:c r="X21" s="20" t="n">
        <x:v>0</x:v>
      </x:c>
      <x:c r="Y21" s="20" t="n">
        <x:v>0</x:v>
      </x:c>
      <x:c r="Z21" s="20" t="n">
        <x:v>0</x:v>
      </x:c>
    </x:row>
    <x:row r="22" ht="23" customHeight="1">
      <x:c r="A22" s="2" t="str">
        <x:v>2026-10-12_Night</x:v>
      </x:c>
      <x:c r="B22" s="19" t="n">
        <x:v>95000</x:v>
      </x:c>
      <x:c r="C22" s="19" t="n">
        <x:v>0</x:v>
      </x:c>
      <x:c r="D22" s="19" t="n">
        <x:f>B22-C22</x:f>
        <x:v>95000</x:v>
      </x:c>
      <x:c r="E22" s="19" t="n">
        <x:f>E21+D22</x:f>
        <x:v>1153000</x:v>
      </x:c>
      <x:c r="F22" s="19" t="n">
        <x:v>95000</x:v>
      </x:c>
      <x:c r="G22" s="19"/>
      <x:c r="H22" s="19" t="n">
        <x:v>95000</x:v>
      </x:c>
      <x:c r="I22" s="19" t="n">
        <x:v>0</x:v>
      </x:c>
      <x:c r="J22" s="19" t="n">
        <x:v>0</x:v>
      </x:c>
      <x:c r="K22" s="19" t="n">
        <x:v>0</x:v>
      </x:c>
      <x:c r="L22" s="19" t="n">
        <x:v>10000</x:v>
      </x:c>
      <x:c r="M22" s="19" t="n">
        <x:v>20000</x:v>
      </x:c>
      <x:c r="N22" s="20" t="n">
        <x:v>0</x:v>
      </x:c>
      <x:c r="O22" s="20" t="n">
        <x:v>5</x:v>
      </x:c>
      <x:c r="P22" s="20" t="n">
        <x:v>1</x:v>
      </x:c>
      <x:c r="Q22" s="20" t="n">
        <x:v>1</x:v>
      </x:c>
      <x:c r="R22" s="20" t="n">
        <x:v>5</x:v>
      </x:c>
      <x:c r="S22" s="21" t="n">
        <x:f>639/60</x:f>
        <x:v>10.65</x:v>
      </x:c>
      <x:c r="T22" s="21" t="n">
        <x:f>0/60</x:f>
        <x:v>0</x:v>
      </x:c>
      <x:c r="U22" s="21" t="n">
        <x:f>0/60</x:f>
        <x:v>0</x:v>
      </x:c>
      <x:c r="V22" s="21" t="n">
        <x:f>0/60</x:f>
        <x:v>0</x:v>
      </x:c>
      <x:c r="W22" s="20" t="n">
        <x:v>0</x:v>
      </x:c>
      <x:c r="X22" s="20" t="n">
        <x:v>0</x:v>
      </x:c>
      <x:c r="Y22" s="20" t="n">
        <x:v>0</x:v>
      </x:c>
      <x:c r="Z22" s="20" t="n">
        <x:v>0</x:v>
      </x:c>
    </x:row>
    <x:row r="23" ht="23" customHeight="1">
      <x:c r="A23" s="2" t="str">
        <x:v>2026-10-13_Night</x:v>
      </x:c>
      <x:c r="B23" s="19" t="n">
        <x:v>57000</x:v>
      </x:c>
      <x:c r="C23" s="19" t="n">
        <x:v>0</x:v>
      </x:c>
      <x:c r="D23" s="19" t="n">
        <x:f>B23-C23</x:f>
        <x:v>57000</x:v>
      </x:c>
      <x:c r="E23" s="19" t="n">
        <x:f>E22+D23</x:f>
        <x:v>1210000</x:v>
      </x:c>
      <x:c r="F23" s="19" t="n">
        <x:v>57000</x:v>
      </x:c>
      <x:c r="G23" s="19"/>
      <x:c r="H23" s="19" t="n">
        <x:v>57000</x:v>
      </x:c>
      <x:c r="I23" s="19" t="n">
        <x:v>0</x:v>
      </x:c>
      <x:c r="J23" s="19" t="n">
        <x:v>0</x:v>
      </x:c>
      <x:c r="K23" s="19" t="n">
        <x:v>0</x:v>
      </x:c>
      <x:c r="L23" s="19" t="n">
        <x:v>175000</x:v>
      </x:c>
      <x:c r="M23" s="19" t="n">
        <x:v>200000</x:v>
      </x:c>
      <x:c r="N23" s="20" t="n">
        <x:v>5</x:v>
      </x:c>
      <x:c r="O23" s="20" t="n">
        <x:v>5</x:v>
      </x:c>
      <x:c r="P23" s="20" t="n">
        <x:v>3</x:v>
      </x:c>
      <x:c r="Q23" s="20" t="n">
        <x:v>3</x:v>
      </x:c>
      <x:c r="R23" s="20" t="n">
        <x:v>11</x:v>
      </x:c>
      <x:c r="S23" s="21" t="n">
        <x:f>23069/60</x:f>
        <x:v>384.48333333333335</x:v>
      </x:c>
      <x:c r="T23" s="21" t="n">
        <x:f>0/60</x:f>
        <x:v>0</x:v>
      </x:c>
      <x:c r="U23" s="21" t="n">
        <x:f>0/60</x:f>
        <x:v>0</x:v>
      </x:c>
      <x:c r="V23" s="21" t="n">
        <x:f>0/60</x:f>
        <x:v>0</x:v>
      </x:c>
      <x:c r="W23" s="20" t="n">
        <x:v>0</x:v>
      </x:c>
      <x:c r="X23" s="20" t="n">
        <x:v>0</x:v>
      </x:c>
      <x:c r="Y23" s="20" t="n">
        <x:v>0</x:v>
      </x:c>
      <x:c r="Z23" s="20" t="n">
        <x:v>0</x:v>
      </x:c>
    </x:row>
    <x:row r="24" ht="23" customHeight="1">
      <x:c r="A24" s="2" t="str">
        <x:v>2026-10-14_Night</x:v>
      </x:c>
      <x:c r="B24" s="19" t="n">
        <x:v>97000</x:v>
      </x:c>
      <x:c r="C24" s="19" t="n">
        <x:v>97000</x:v>
      </x:c>
      <x:c r="D24" s="19" t="n">
        <x:f>B24-C24</x:f>
        <x:v>0</x:v>
      </x:c>
      <x:c r="E24" s="19" t="n">
        <x:f>E23+D24</x:f>
        <x:v>1210000</x:v>
      </x:c>
      <x:c r="F24" s="19" t="n">
        <x:v>0</x:v>
      </x:c>
      <x:c r="G24" s="19"/>
      <x:c r="H24" s="19" t="n">
        <x:v>97000</x:v>
      </x:c>
      <x:c r="I24" s="19" t="n">
        <x:v>0</x:v>
      </x:c>
      <x:c r="J24" s="19" t="n">
        <x:v>0</x:v>
      </x:c>
      <x:c r="K24" s="19" t="n">
        <x:v>97000</x:v>
      </x:c>
      <x:c r="L24" s="19" t="n">
        <x:v>101000</x:v>
      </x:c>
      <x:c r="M24" s="19" t="n">
        <x:v>105000</x:v>
      </x:c>
      <x:c r="N24" s="20" t="n">
        <x:v>1</x:v>
      </x:c>
      <x:c r="O24" s="20" t="n">
        <x:v>5</x:v>
      </x:c>
      <x:c r="P24" s="20" t="n">
        <x:v>5</x:v>
      </x:c>
      <x:c r="Q24" s="20" t="n">
        <x:v>5</x:v>
      </x:c>
      <x:c r="R24" s="20" t="n">
        <x:v>14</x:v>
      </x:c>
      <x:c r="S24" s="21" t="n">
        <x:f>26646/60</x:f>
        <x:v>444.1</x:v>
      </x:c>
      <x:c r="T24" s="21" t="n">
        <x:f>1763/60</x:f>
        <x:v>29.383333333333333</x:v>
      </x:c>
      <x:c r="U24" s="21" t="n">
        <x:f>0/60</x:f>
        <x:v>0</x:v>
      </x:c>
      <x:c r="V24" s="21" t="n">
        <x:f>0/60</x:f>
        <x:v>0</x:v>
      </x:c>
      <x:c r="W24" s="20" t="n">
        <x:v>0</x:v>
      </x:c>
      <x:c r="X24" s="20" t="n">
        <x:v>0</x:v>
      </x:c>
      <x:c r="Y24" s="20" t="n">
        <x:v>0</x:v>
      </x:c>
      <x:c r="Z24" s="20" t="n">
        <x:v>0</x:v>
      </x:c>
    </x:row>
    <x:row r="25" ht="23" customHeight="1">
      <x:c r="A25" s="2" t="str">
        <x:v>2026-10-15_Night</x:v>
      </x:c>
      <x:c r="B25" s="19" t="n">
        <x:v>42000</x:v>
      </x:c>
      <x:c r="C25" s="19" t="n">
        <x:v>206000</x:v>
      </x:c>
      <x:c r="D25" s="19" t="n">
        <x:f>B25-C25</x:f>
        <x:v>-164000</x:v>
      </x:c>
      <x:c r="E25" s="19" t="n">
        <x:f>E24+D25</x:f>
        <x:v>1046000</x:v>
      </x:c>
      <x:c r="F25" s="19" t="n">
        <x:v>-164000</x:v>
      </x:c>
      <x:c r="G25" s="19"/>
      <x:c r="H25" s="19" t="n">
        <x:v>42000</x:v>
      </x:c>
      <x:c r="I25" s="19" t="n">
        <x:v>0</x:v>
      </x:c>
      <x:c r="J25" s="19" t="n">
        <x:v>0</x:v>
      </x:c>
      <x:c r="K25" s="19" t="n">
        <x:v>206000</x:v>
      </x:c>
      <x:c r="L25" s="19" t="n">
        <x:v>216000</x:v>
      </x:c>
      <x:c r="M25" s="19" t="n">
        <x:v>191000</x:v>
      </x:c>
      <x:c r="N25" s="20" t="n">
        <x:v>2</x:v>
      </x:c>
      <x:c r="O25" s="20" t="n">
        <x:v>3</x:v>
      </x:c>
      <x:c r="P25" s="20" t="n">
        <x:v>7</x:v>
      </x:c>
      <x:c r="Q25" s="20" t="n">
        <x:v>7</x:v>
      </x:c>
      <x:c r="R25" s="20" t="n">
        <x:v>9</x:v>
      </x:c>
      <x:c r="S25" s="21" t="n">
        <x:f>24312/60</x:f>
        <x:v>405.2</x:v>
      </x:c>
      <x:c r="T25" s="21" t="n">
        <x:f>10644/60</x:f>
        <x:v>177.4</x:v>
      </x:c>
      <x:c r="U25" s="21" t="n">
        <x:f>0/60</x:f>
        <x:v>0</x:v>
      </x:c>
      <x:c r="V25" s="21" t="n">
        <x:f>0/60</x:f>
        <x:v>0</x:v>
      </x:c>
      <x:c r="W25" s="20" t="n">
        <x:v>0</x:v>
      </x:c>
      <x:c r="X25" s="20" t="n">
        <x:v>0</x:v>
      </x:c>
      <x:c r="Y25" s="20" t="n">
        <x:v>0</x:v>
      </x:c>
      <x:c r="Z25" s="20" t="n">
        <x:v>0</x:v>
      </x:c>
    </x:row>
    <x:row r="26" ht="23" customHeight="1">
      <x:c r="A26" s="2" t="str">
        <x:v>2026-10-16_Night</x:v>
      </x:c>
      <x:c r="B26" s="19" t="n">
        <x:v>255000</x:v>
      </x:c>
      <x:c r="C26" s="19" t="n">
        <x:v>144000</x:v>
      </x:c>
      <x:c r="D26" s="19" t="n">
        <x:f>B26-C26</x:f>
        <x:v>111000</x:v>
      </x:c>
      <x:c r="E26" s="19" t="n">
        <x:f>E25+D26</x:f>
        <x:v>1157000</x:v>
      </x:c>
      <x:c r="F26" s="19" t="n">
        <x:v>111000</x:v>
      </x:c>
      <x:c r="G26" s="19"/>
      <x:c r="H26" s="19" t="n">
        <x:v>244000</x:v>
      </x:c>
      <x:c r="I26" s="19" t="n">
        <x:v>0</x:v>
      </x:c>
      <x:c r="J26" s="19" t="n">
        <x:v>11000</x:v>
      </x:c>
      <x:c r="K26" s="19" t="n">
        <x:v>144000</x:v>
      </x:c>
      <x:c r="L26" s="19" t="n">
        <x:v>132000</x:v>
      </x:c>
      <x:c r="M26" s="19" t="n">
        <x:v>99000</x:v>
      </x:c>
      <x:c r="N26" s="20" t="n">
        <x:v>3</x:v>
      </x:c>
      <x:c r="O26" s="20" t="n">
        <x:v>7</x:v>
      </x:c>
      <x:c r="P26" s="20" t="n">
        <x:v>14</x:v>
      </x:c>
      <x:c r="Q26" s="20" t="n">
        <x:v>14</x:v>
      </x:c>
      <x:c r="R26" s="20" t="n">
        <x:v>32</x:v>
      </x:c>
      <x:c r="S26" s="21" t="n">
        <x:f>13703/60</x:f>
        <x:v>228.38333333333333</x:v>
      </x:c>
      <x:c r="T26" s="21" t="n">
        <x:f>6049/60</x:f>
        <x:v>100.81666666666666</x:v>
      </x:c>
      <x:c r="U26" s="21" t="n">
        <x:f>0/60</x:f>
        <x:v>0</x:v>
      </x:c>
      <x:c r="V26" s="21" t="n">
        <x:f>0/60</x:f>
        <x:v>0</x:v>
      </x:c>
      <x:c r="W26" s="20" t="n">
        <x:v>0</x:v>
      </x:c>
      <x:c r="X26" s="20" t="n">
        <x:v>0</x:v>
      </x:c>
      <x:c r="Y26" s="20" t="n">
        <x:v>0</x:v>
      </x:c>
      <x:c r="Z26" s="20" t="n">
        <x:v>0</x:v>
      </x:c>
    </x:row>
    <x:row r="27" ht="23" customHeight="1">
      <x:c r="A27" s="2" t="str">
        <x:v>2026-10-19_Night</x:v>
      </x:c>
      <x:c r="B27" s="19" t="n">
        <x:v>203000</x:v>
      </x:c>
      <x:c r="C27" s="19" t="n">
        <x:v>44000</x:v>
      </x:c>
      <x:c r="D27" s="19" t="n">
        <x:f>B27-C27</x:f>
        <x:v>159000</x:v>
      </x:c>
      <x:c r="E27" s="19" t="n">
        <x:f>E26+D27</x:f>
        <x:v>1316000</x:v>
      </x:c>
      <x:c r="F27" s="19" t="n">
        <x:v>159000</x:v>
      </x:c>
      <x:c r="G27" s="19"/>
      <x:c r="H27" s="19" t="n">
        <x:v>203000</x:v>
      </x:c>
      <x:c r="I27" s="19" t="n">
        <x:v>0</x:v>
      </x:c>
      <x:c r="J27" s="19" t="n">
        <x:v>0</x:v>
      </x:c>
      <x:c r="K27" s="19" t="n">
        <x:v>44000</x:v>
      </x:c>
      <x:c r="L27" s="19" t="n">
        <x:v>60000</x:v>
      </x:c>
      <x:c r="M27" s="19" t="n">
        <x:v>75000</x:v>
      </x:c>
      <x:c r="N27" s="20" t="n">
        <x:v>5</x:v>
      </x:c>
      <x:c r="O27" s="20" t="n">
        <x:v>7</x:v>
      </x:c>
      <x:c r="P27" s="20" t="n">
        <x:v>14</x:v>
      </x:c>
      <x:c r="Q27" s="20" t="n">
        <x:v>14</x:v>
      </x:c>
      <x:c r="R27" s="20" t="n">
        <x:v>31</x:v>
      </x:c>
      <x:c r="S27" s="21" t="n">
        <x:f>26340/60</x:f>
        <x:v>439</x:v>
      </x:c>
      <x:c r="T27" s="21" t="n">
        <x:f>3337/60</x:f>
        <x:v>55.61666666666667</x:v>
      </x:c>
      <x:c r="U27" s="21" t="n">
        <x:f>0/60</x:f>
        <x:v>0</x:v>
      </x:c>
      <x:c r="V27" s="21" t="n">
        <x:f>0/60</x:f>
        <x:v>0</x:v>
      </x:c>
      <x:c r="W27" s="20" t="n">
        <x:v>0</x:v>
      </x:c>
      <x:c r="X27" s="20" t="n">
        <x:v>0</x:v>
      </x:c>
      <x:c r="Y27" s="20" t="n">
        <x:v>0</x:v>
      </x:c>
      <x:c r="Z27" s="20" t="n">
        <x:v>0</x:v>
      </x:c>
    </x:row>
    <x:row r="28" ht="23" customHeight="1">
      <x:c r="A28" s="2" t="str">
        <x:v>2026-10-20_Night</x:v>
      </x:c>
      <x:c r="B28" s="19" t="n">
        <x:v>116000</x:v>
      </x:c>
      <x:c r="C28" s="19" t="n">
        <x:v>49000</x:v>
      </x:c>
      <x:c r="D28" s="19" t="n">
        <x:f>B28-C28</x:f>
        <x:v>67000</x:v>
      </x:c>
      <x:c r="E28" s="19" t="n">
        <x:f>E27+D28</x:f>
        <x:v>1383000</x:v>
      </x:c>
      <x:c r="F28" s="19" t="n">
        <x:v>67000</x:v>
      </x:c>
      <x:c r="G28" s="19"/>
      <x:c r="H28" s="19" t="n">
        <x:v>116000</x:v>
      </x:c>
      <x:c r="I28" s="19" t="n">
        <x:v>0</x:v>
      </x:c>
      <x:c r="J28" s="19" t="n">
        <x:v>0</x:v>
      </x:c>
      <x:c r="K28" s="19" t="n">
        <x:v>49000</x:v>
      </x:c>
      <x:c r="L28" s="19" t="n">
        <x:v>55000</x:v>
      </x:c>
      <x:c r="M28" s="19" t="n">
        <x:v>90000</x:v>
      </x:c>
      <x:c r="N28" s="20" t="n">
        <x:v>5</x:v>
      </x:c>
      <x:c r="O28" s="20" t="n">
        <x:v>5</x:v>
      </x:c>
      <x:c r="P28" s="20" t="n">
        <x:v>11</x:v>
      </x:c>
      <x:c r="Q28" s="20" t="n">
        <x:v>11</x:v>
      </x:c>
      <x:c r="R28" s="20" t="n">
        <x:v>22</x:v>
      </x:c>
      <x:c r="S28" s="21" t="n">
        <x:f>24065/60</x:f>
        <x:v>401.0833333333333</x:v>
      </x:c>
      <x:c r="T28" s="21" t="n">
        <x:f>509/60</x:f>
        <x:v>8.483333333333333</x:v>
      </x:c>
      <x:c r="U28" s="21" t="n">
        <x:f>0/60</x:f>
        <x:v>0</x:v>
      </x:c>
      <x:c r="V28" s="21" t="n">
        <x:f>0/60</x:f>
        <x:v>0</x:v>
      </x:c>
      <x:c r="W28" s="20" t="n">
        <x:v>0</x:v>
      </x:c>
      <x:c r="X28" s="20" t="n">
        <x:v>0</x:v>
      </x:c>
      <x:c r="Y28" s="20" t="n">
        <x:v>0</x:v>
      </x:c>
      <x:c r="Z28" s="20" t="n">
        <x:v>0</x:v>
      </x:c>
    </x:row>
    <x:row r="29" ht="23" customHeight="1">
      <x:c r="A29" s="2" t="str">
        <x:v>2026-10-21_Night</x:v>
      </x:c>
      <x:c r="B29" s="19" t="n">
        <x:v>121000</x:v>
      </x:c>
      <x:c r="C29" s="19" t="n">
        <x:v>200000</x:v>
      </x:c>
      <x:c r="D29" s="19" t="n">
        <x:f>B29-C29</x:f>
        <x:v>-79000</x:v>
      </x:c>
      <x:c r="E29" s="19" t="n">
        <x:f>E28+D29</x:f>
        <x:v>1304000</x:v>
      </x:c>
      <x:c r="F29" s="19" t="n">
        <x:v>-79000</x:v>
      </x:c>
      <x:c r="G29" s="19"/>
      <x:c r="H29" s="19" t="n">
        <x:v>121000</x:v>
      </x:c>
      <x:c r="I29" s="19" t="n">
        <x:v>0</x:v>
      </x:c>
      <x:c r="J29" s="19" t="n">
        <x:v>0</x:v>
      </x:c>
      <x:c r="K29" s="19" t="n">
        <x:v>200000</x:v>
      </x:c>
      <x:c r="L29" s="19" t="n">
        <x:v>330000</x:v>
      </x:c>
      <x:c r="M29" s="19" t="n">
        <x:v>325000</x:v>
      </x:c>
      <x:c r="N29" s="20" t="n">
        <x:v>6</x:v>
      </x:c>
      <x:c r="O29" s="20" t="n">
        <x:v>10</x:v>
      </x:c>
      <x:c r="P29" s="20" t="n">
        <x:v>6</x:v>
      </x:c>
      <x:c r="Q29" s="20" t="n">
        <x:v>6</x:v>
      </x:c>
      <x:c r="R29" s="20" t="n">
        <x:v>22</x:v>
      </x:c>
      <x:c r="S29" s="21" t="n">
        <x:f>38276/60</x:f>
        <x:v>637.9333333333333</x:v>
      </x:c>
      <x:c r="T29" s="21" t="n">
        <x:f>2336/60</x:f>
        <x:v>38.93333333333333</x:v>
      </x:c>
      <x:c r="U29" s="21" t="n">
        <x:f>0/60</x:f>
        <x:v>0</x:v>
      </x:c>
      <x:c r="V29" s="21" t="n">
        <x:f>378/60</x:f>
        <x:v>6.3</x:v>
      </x:c>
      <x:c r="W29" s="20" t="n">
        <x:v>0</x:v>
      </x:c>
      <x:c r="X29" s="20" t="n">
        <x:v>0</x:v>
      </x:c>
      <x:c r="Y29" s="20" t="n">
        <x:v>0</x:v>
      </x:c>
      <x:c r="Z29" s="20" t="n">
        <x:v>0</x:v>
      </x:c>
    </x:row>
    <x:row r="30" ht="23" customHeight="1">
      <x:c r="A30" s="2" t="str">
        <x:v>2026-10-22_Night</x:v>
      </x:c>
      <x:c r="B30" s="19" t="n">
        <x:v>42000</x:v>
      </x:c>
      <x:c r="C30" s="19" t="n">
        <x:v>0</x:v>
      </x:c>
      <x:c r="D30" s="19" t="n">
        <x:f>B30-C30</x:f>
        <x:v>42000</x:v>
      </x:c>
      <x:c r="E30" s="19" t="n">
        <x:f>E29+D30</x:f>
        <x:v>1346000</x:v>
      </x:c>
      <x:c r="F30" s="19" t="n">
        <x:v>42000</x:v>
      </x:c>
      <x:c r="G30" s="19"/>
      <x:c r="H30" s="19" t="n">
        <x:v>42000</x:v>
      </x:c>
      <x:c r="I30" s="19" t="n">
        <x:v>0</x:v>
      </x:c>
      <x:c r="J30" s="19" t="n">
        <x:v>0</x:v>
      </x:c>
      <x:c r="K30" s="19" t="n">
        <x:v>0</x:v>
      </x:c>
      <x:c r="L30" s="19" t="n">
        <x:v>10000</x:v>
      </x:c>
      <x:c r="M30" s="19" t="n">
        <x:v>20000</x:v>
      </x:c>
      <x:c r="N30" s="20" t="n">
        <x:v>0</x:v>
      </x:c>
      <x:c r="O30" s="20" t="n">
        <x:v>5</x:v>
      </x:c>
      <x:c r="P30" s="20" t="n">
        <x:v>3</x:v>
      </x:c>
      <x:c r="Q30" s="20" t="n">
        <x:v>3</x:v>
      </x:c>
      <x:c r="R30" s="20" t="n">
        <x:v>7</x:v>
      </x:c>
      <x:c r="S30" s="21" t="n">
        <x:f>608/60</x:f>
        <x:v>10.133333333333333</x:v>
      </x:c>
      <x:c r="T30" s="21" t="n">
        <x:f>0/60</x:f>
        <x:v>0</x:v>
      </x:c>
      <x:c r="U30" s="21" t="n">
        <x:f>0/60</x:f>
        <x:v>0</x:v>
      </x:c>
      <x:c r="V30" s="21" t="n">
        <x:f>0/60</x:f>
        <x:v>0</x:v>
      </x:c>
      <x:c r="W30" s="20" t="n">
        <x:v>0</x:v>
      </x:c>
      <x:c r="X30" s="20" t="n">
        <x:v>0</x:v>
      </x:c>
      <x:c r="Y30" s="20" t="n">
        <x:v>0</x:v>
      </x:c>
      <x:c r="Z30" s="20" t="n">
        <x:v>0</x:v>
      </x:c>
    </x:row>
    <x:row r="31" ht="23" customHeight="1">
      <x:c r="A31" s="2" t="str">
        <x:v>2026-10-23_Night</x:v>
      </x:c>
      <x:c r="B31" s="19" t="n">
        <x:v>142000</x:v>
      </x:c>
      <x:c r="C31" s="19" t="n">
        <x:v>40000</x:v>
      </x:c>
      <x:c r="D31" s="19" t="n">
        <x:f>B31-C31</x:f>
        <x:v>102000</x:v>
      </x:c>
      <x:c r="E31" s="19" t="n">
        <x:f>E30+D31</x:f>
        <x:v>1448000</x:v>
      </x:c>
      <x:c r="F31" s="19" t="n">
        <x:v>102000</x:v>
      </x:c>
      <x:c r="G31" s="19"/>
      <x:c r="H31" s="19" t="n">
        <x:v>142000</x:v>
      </x:c>
      <x:c r="I31" s="19" t="n">
        <x:v>0</x:v>
      </x:c>
      <x:c r="J31" s="19" t="n">
        <x:v>0</x:v>
      </x:c>
      <x:c r="K31" s="19" t="n">
        <x:v>40000</x:v>
      </x:c>
      <x:c r="L31" s="19" t="n">
        <x:v>75000</x:v>
      </x:c>
      <x:c r="M31" s="19" t="n">
        <x:v>84000</x:v>
      </x:c>
      <x:c r="N31" s="20" t="n">
        <x:v>6</x:v>
      </x:c>
      <x:c r="O31" s="20" t="n">
        <x:v>5</x:v>
      </x:c>
      <x:c r="P31" s="20" t="n">
        <x:v>11</x:v>
      </x:c>
      <x:c r="Q31" s="20" t="n">
        <x:v>11</x:v>
      </x:c>
      <x:c r="R31" s="20" t="n">
        <x:v>20</x:v>
      </x:c>
      <x:c r="S31" s="21" t="n">
        <x:f>40135/60</x:f>
        <x:v>668.9166666666666</x:v>
      </x:c>
      <x:c r="T31" s="21" t="n">
        <x:f>0/60</x:f>
        <x:v>0</x:v>
      </x:c>
      <x:c r="U31" s="21" t="n">
        <x:f>0/60</x:f>
        <x:v>0</x:v>
      </x:c>
      <x:c r="V31" s="21" t="n">
        <x:f>0/60</x:f>
        <x:v>0</x:v>
      </x:c>
      <x:c r="W31" s="20" t="n">
        <x:v>0</x:v>
      </x:c>
      <x:c r="X31" s="20" t="n">
        <x:v>0</x:v>
      </x:c>
      <x:c r="Y31" s="20" t="n">
        <x:v>0</x:v>
      </x:c>
      <x:c r="Z31" s="20" t="n">
        <x:v>0</x:v>
      </x:c>
    </x:row>
    <x:row r="32" ht="23" customHeight="1">
      <x:c r="A32" s="26" t="str">
        <x:v>25夜累計／最大</x:v>
      </x:c>
      <x:c r="B32" s="27" t="n">
        <x:f>SUM(B7:B31)</x:f>
        <x:v>2762000</x:v>
      </x:c>
      <x:c r="C32" s="27" t="n">
        <x:f>SUM(C7:C31)</x:f>
        <x:v>1314000</x:v>
      </x:c>
      <x:c r="D32" s="27" t="n">
        <x:f>B32-C32</x:f>
        <x:v>1448000</x:v>
      </x:c>
      <x:c r="E32" s="27" t="n">
        <x:f>E31</x:f>
        <x:v>1448000</x:v>
      </x:c>
      <x:c r="F32" s="27" t="n">
        <x:f>SUM(F7:F31)</x:f>
        <x:v>1448000</x:v>
      </x:c>
      <x:c r="G32" s="27"/>
      <x:c r="H32" s="27" t="n">
        <x:f>SUM(H7:H31)</x:f>
        <x:v>2747000</x:v>
      </x:c>
      <x:c r="I32" s="27" t="n">
        <x:f>SUM(I7:I31)</x:f>
        <x:v>0</x:v>
      </x:c>
      <x:c r="J32" s="27" t="n">
        <x:f>SUM(J7:J31)</x:f>
        <x:v>15000</x:v>
      </x:c>
      <x:c r="K32" s="27" t="n">
        <x:f>SUM(K7:K31)</x:f>
        <x:v>1314000</x:v>
      </x:c>
      <x:c r="L32" s="27" t="n">
        <x:f>MAX(L7:L31)</x:f>
        <x:v>498000</x:v>
      </x:c>
      <x:c r="M32" s="27" t="n">
        <x:f>MAX(M7:M31)</x:f>
        <x:v>370000</x:v>
      </x:c>
      <x:c r="N32" s="28" t="n">
        <x:f>MAX(N7:N31)</x:f>
        <x:v>8</x:v>
      </x:c>
      <x:c r="O32" s="28" t="n">
        <x:f>MAX(O7:O31)</x:f>
        <x:v>10</x:v>
      </x:c>
      <x:c r="P32" s="28" t="n">
        <x:f>SUM(P7:P31)</x:f>
        <x:v>172</x:v>
      </x:c>
      <x:c r="Q32" s="28" t="n">
        <x:f>SUM(Q7:Q31)</x:f>
        <x:v>172</x:v>
      </x:c>
      <x:c r="R32" s="28" t="n">
        <x:f>SUM(R7:R31)</x:f>
        <x:v>401</x:v>
      </x:c>
      <x:c r="S32" s="29" t="n">
        <x:f>SUM(S7:S31)</x:f>
        <x:v>7346.016666666666</x:v>
      </x:c>
      <x:c r="T32" s="29" t="n">
        <x:f>SUM(T7:T31)</x:f>
        <x:v>1765.65</x:v>
      </x:c>
      <x:c r="U32" s="29" t="n">
        <x:f>SUM(U7:U31)</x:f>
        <x:v>0</x:v>
      </x:c>
      <x:c r="V32" s="29" t="n">
        <x:f>SUM(V7:V31)</x:f>
        <x:v>6.3</x:v>
      </x:c>
      <x:c r="W32" s="28" t="n">
        <x:f>SUM(W7:W31)</x:f>
        <x:v>0</x:v>
      </x:c>
      <x:c r="X32" s="28" t="n">
        <x:f>SUM(X7:X31)</x:f>
        <x:v>0</x:v>
      </x:c>
      <x:c r="Y32" s="28" t="n">
        <x:f>SUM(Y7:Y31)</x:f>
        <x:v>0</x:v>
      </x:c>
      <x:c r="Z32" s="28" t="n">
        <x:f>SUM(Z7:Z31)</x:f>
        <x:v>0</x:v>
      </x:c>
    </x:row>
  </x:sheetData>
  <x:conditionalFormatting sqref="B7:M32">
    <x:cfRule type="cellIs" dxfId="1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f51f6946d6c48d6"/>
  </x:tableParts>
</x:worksheet>
</file>

<file path=xl/worksheets/sheet17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3" customHeight="1">
      <x:c r="A2" s="4" t="str">
        <x:v>N03　全夜間の利益・損失・収支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3" ht="23" customHeight="1">
      <x:c r="A3" s="6" t="str">
        <x:v>日経mini・片方向上限10枚・手数料0・次正常ラージ気配代理。2026/09/21〜10/23の完了25夜。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3" customHeight="1">
      <x:c r="A4" s="6" t="str">
        <x:v>利益・損失は新規実約定IDごとの全返済収支で分類。旧親単位の利益損失とは異なります。未測定は空欄。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3" customHeight="1">
      <x:c r="A5" s="6" t="str">
        <x:v>全夜・利益160ptから80pt追尾。N：新手法を全夜運転。含み損・DD・保有時間・返済内訳も全夜。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4" customHeight="1">
      <x:c r="A6" s="15" t="str">
        <x:v>セッション</x:v>
      </x:c>
      <x:c r="B6" s="16" t="str">
        <x:v>利益（円）</x:v>
      </x:c>
      <x:c r="C6" s="16" t="str">
        <x:v>損失（円）</x:v>
      </x:c>
      <x:c r="D6" s="16" t="str">
        <x:v>全夜収支（円）</x:v>
      </x:c>
      <x:c r="E6" s="16" t="str">
        <x:v>累計（円）</x:v>
      </x:c>
      <x:c r="F6" s="16" t="str">
        <x:v>対象区間収支</x:v>
      </x:c>
      <x:c r="G6" s="16" t="str">
        <x:v>保存後半収支</x:v>
      </x:c>
      <x:c r="H6" s="16" t="str">
        <x:v>利益追尾の利益</x:v>
      </x:c>
      <x:c r="I6" s="16" t="str">
        <x:v>利益追尾の損失</x:v>
      </x:c>
      <x:c r="J6" s="16" t="str">
        <x:v>境界清算の利益</x:v>
      </x:c>
      <x:c r="K6" s="16" t="str">
        <x:v>境界清算の損失</x:v>
      </x:c>
      <x:c r="L6" s="16" t="str">
        <x:v>最大含み損（円）</x:v>
      </x:c>
      <x:c r="M6" s="16" t="str">
        <x:v>対象区間DD</x:v>
      </x:c>
      <x:c r="N6" s="16" t="str">
        <x:v>最大買い枚数</x:v>
      </x:c>
      <x:c r="O6" s="16" t="str">
        <x:v>最大売り枚数</x:v>
      </x:c>
      <x:c r="P6" s="16" t="str">
        <x:v>全夜新規件数</x:v>
      </x:c>
      <x:c r="Q6" s="16" t="str">
        <x:v>対象区間新規</x:v>
      </x:c>
      <x:c r="R6" s="16" t="str">
        <x:v>全新規枚数</x:v>
      </x:c>
      <x:c r="S6" s="16" t="str">
        <x:v>保有（分）</x:v>
      </x:c>
      <x:c r="T6" s="16" t="str">
        <x:v>両建て（分）</x:v>
      </x:c>
      <x:c r="U6" s="16" t="str">
        <x:v>買い上限（分）</x:v>
      </x:c>
      <x:c r="V6" s="16" t="str">
        <x:v>売り上限（分）</x:v>
      </x:c>
      <x:c r="W6" s="16" t="str">
        <x:v>上限拒否・縮小件数</x:v>
      </x:c>
      <x:c r="X6" s="16" t="str">
        <x:v>通知全拒否件数</x:v>
      </x:c>
      <x:c r="Y6" s="16" t="str">
        <x:v>実再参加件数</x:v>
      </x:c>
      <x:c r="Z6" s="17" t="str">
        <x:v>判断利益→実損失</x:v>
      </x:c>
    </x:row>
    <x:row r="7" ht="23" customHeight="1">
      <x:c r="A7" s="2" t="str">
        <x:v>2026-09-21_Night</x:v>
      </x:c>
      <x:c r="B7" s="19" t="n">
        <x:v>75000</x:v>
      </x:c>
      <x:c r="C7" s="19" t="n">
        <x:v>0</x:v>
      </x:c>
      <x:c r="D7" s="19" t="n">
        <x:f>B7-C7</x:f>
        <x:v>75000</x:v>
      </x:c>
      <x:c r="E7" s="19" t="n">
        <x:f>D7</x:f>
        <x:v>75000</x:v>
      </x:c>
      <x:c r="F7" s="19" t="n">
        <x:v>75000</x:v>
      </x:c>
      <x:c r="G7" s="19"/>
      <x:c r="H7" s="19" t="n">
        <x:v>75000</x:v>
      </x:c>
      <x:c r="I7" s="19" t="n">
        <x:v>0</x:v>
      </x:c>
      <x:c r="J7" s="19" t="n">
        <x:v>0</x:v>
      </x:c>
      <x:c r="K7" s="19" t="n">
        <x:v>0</x:v>
      </x:c>
      <x:c r="L7" s="19" t="n">
        <x:v>50000</x:v>
      </x:c>
      <x:c r="M7" s="19" t="n">
        <x:v>70000</x:v>
      </x:c>
      <x:c r="N7" s="20" t="n">
        <x:v>5</x:v>
      </x:c>
      <x:c r="O7" s="20" t="n">
        <x:v>0</x:v>
      </x:c>
      <x:c r="P7" s="20" t="n">
        <x:v>1</x:v>
      </x:c>
      <x:c r="Q7" s="20" t="n">
        <x:v>1</x:v>
      </x:c>
      <x:c r="R7" s="20" t="n">
        <x:v>5</x:v>
      </x:c>
      <x:c r="S7" s="21" t="n">
        <x:f>2339/60</x:f>
        <x:v>38.983333333333334</x:v>
      </x:c>
      <x:c r="T7" s="21" t="n">
        <x:f>0/60</x:f>
        <x:v>0</x:v>
      </x:c>
      <x:c r="U7" s="21" t="n">
        <x:f>0/60</x:f>
        <x:v>0</x:v>
      </x:c>
      <x:c r="V7" s="21" t="n">
        <x:f>0/60</x:f>
        <x:v>0</x:v>
      </x:c>
      <x:c r="W7" s="20" t="n">
        <x:v>0</x:v>
      </x:c>
      <x:c r="X7" s="20" t="n">
        <x:v>0</x:v>
      </x:c>
      <x:c r="Y7" s="20" t="n">
        <x:v>0</x:v>
      </x:c>
      <x:c r="Z7" s="20" t="n">
        <x:v>0</x:v>
      </x:c>
    </x:row>
    <x:row r="8" ht="23" customHeight="1">
      <x:c r="A8" s="2" t="str">
        <x:v>2026-09-22_Night</x:v>
      </x:c>
      <x:c r="B8" s="19" t="n">
        <x:v>125000</x:v>
      </x:c>
      <x:c r="C8" s="19" t="n">
        <x:v>0</x:v>
      </x:c>
      <x:c r="D8" s="19" t="n">
        <x:f>B8-C8</x:f>
        <x:v>125000</x:v>
      </x:c>
      <x:c r="E8" s="19" t="n">
        <x:f>E7+D8</x:f>
        <x:v>200000</x:v>
      </x:c>
      <x:c r="F8" s="19" t="n">
        <x:v>125000</x:v>
      </x:c>
      <x:c r="G8" s="19"/>
      <x:c r="H8" s="19" t="n">
        <x:v>125000</x:v>
      </x:c>
      <x:c r="I8" s="19" t="n">
        <x:v>0</x:v>
      </x:c>
      <x:c r="J8" s="19" t="n">
        <x:v>0</x:v>
      </x:c>
      <x:c r="K8" s="19" t="n">
        <x:v>0</x:v>
      </x:c>
      <x:c r="L8" s="19" t="n">
        <x:v>125000</x:v>
      </x:c>
      <x:c r="M8" s="19" t="n">
        <x:v>190000</x:v>
      </x:c>
      <x:c r="N8" s="20" t="n">
        <x:v>5</x:v>
      </x:c>
      <x:c r="O8" s="20" t="n">
        <x:v>0</x:v>
      </x:c>
      <x:c r="P8" s="20" t="n">
        <x:v>2</x:v>
      </x:c>
      <x:c r="Q8" s="20" t="n">
        <x:v>2</x:v>
      </x:c>
      <x:c r="R8" s="20" t="n">
        <x:v>10</x:v>
      </x:c>
      <x:c r="S8" s="21" t="n">
        <x:f>23553/60</x:f>
        <x:v>392.55</x:v>
      </x:c>
      <x:c r="T8" s="21" t="n">
        <x:f>0/60</x:f>
        <x:v>0</x:v>
      </x:c>
      <x:c r="U8" s="21" t="n">
        <x:f>0/60</x:f>
        <x:v>0</x:v>
      </x:c>
      <x:c r="V8" s="21" t="n">
        <x:f>0/60</x:f>
        <x:v>0</x:v>
      </x:c>
      <x:c r="W8" s="20" t="n">
        <x:v>0</x:v>
      </x:c>
      <x:c r="X8" s="20" t="n">
        <x:v>0</x:v>
      </x:c>
      <x:c r="Y8" s="20" t="n">
        <x:v>0</x:v>
      </x:c>
      <x:c r="Z8" s="20" t="n">
        <x:v>0</x:v>
      </x:c>
    </x:row>
    <x:row r="9" ht="23" customHeight="1">
      <x:c r="A9" s="2" t="str">
        <x:v>2026-09-23_Night</x:v>
      </x:c>
      <x:c r="B9" s="19" t="n">
        <x:v>93000</x:v>
      </x:c>
      <x:c r="C9" s="19" t="n">
        <x:v>20000</x:v>
      </x:c>
      <x:c r="D9" s="19" t="n">
        <x:f>B9-C9</x:f>
        <x:v>73000</x:v>
      </x:c>
      <x:c r="E9" s="19" t="n">
        <x:f>E8+D9</x:f>
        <x:v>273000</x:v>
      </x:c>
      <x:c r="F9" s="19" t="n">
        <x:v>73000</x:v>
      </x:c>
      <x:c r="G9" s="19"/>
      <x:c r="H9" s="19" t="n">
        <x:v>93000</x:v>
      </x:c>
      <x:c r="I9" s="19" t="n">
        <x:v>0</x:v>
      </x:c>
      <x:c r="J9" s="19" t="n">
        <x:v>0</x:v>
      </x:c>
      <x:c r="K9" s="19" t="n">
        <x:v>20000</x:v>
      </x:c>
      <x:c r="L9" s="19" t="n">
        <x:v>55000</x:v>
      </x:c>
      <x:c r="M9" s="19" t="n">
        <x:v>75000</x:v>
      </x:c>
      <x:c r="N9" s="20" t="n">
        <x:v>2</x:v>
      </x:c>
      <x:c r="O9" s="20" t="n">
        <x:v>5</x:v>
      </x:c>
      <x:c r="P9" s="20" t="n">
        <x:v>3</x:v>
      </x:c>
      <x:c r="Q9" s="20" t="n">
        <x:v>3</x:v>
      </x:c>
      <x:c r="R9" s="20" t="n">
        <x:v>7</x:v>
      </x:c>
      <x:c r="S9" s="21" t="n">
        <x:f>23115/60</x:f>
        <x:v>385.25</x:v>
      </x:c>
      <x:c r="T9" s="21" t="n">
        <x:f>0/60</x:f>
        <x:v>0</x:v>
      </x:c>
      <x:c r="U9" s="21" t="n">
        <x:f>0/60</x:f>
        <x:v>0</x:v>
      </x:c>
      <x:c r="V9" s="21" t="n">
        <x:f>0/60</x:f>
        <x:v>0</x:v>
      </x:c>
      <x:c r="W9" s="20" t="n">
        <x:v>0</x:v>
      </x:c>
      <x:c r="X9" s="20" t="n">
        <x:v>0</x:v>
      </x:c>
      <x:c r="Y9" s="20" t="n">
        <x:v>0</x:v>
      </x:c>
      <x:c r="Z9" s="20" t="n">
        <x:v>0</x:v>
      </x:c>
    </x:row>
    <x:row r="10" ht="23" customHeight="1">
      <x:c r="A10" s="2" t="str">
        <x:v>2026-09-24_Night</x:v>
      </x:c>
      <x:c r="B10" s="19" t="n">
        <x:v>139000</x:v>
      </x:c>
      <x:c r="C10" s="19" t="n">
        <x:v>0</x:v>
      </x:c>
      <x:c r="D10" s="19" t="n">
        <x:f>B10-C10</x:f>
        <x:v>139000</x:v>
      </x:c>
      <x:c r="E10" s="19" t="n">
        <x:f>E9+D10</x:f>
        <x:v>412000</x:v>
      </x:c>
      <x:c r="F10" s="19" t="n">
        <x:v>139000</x:v>
      </x:c>
      <x:c r="G10" s="19"/>
      <x:c r="H10" s="19" t="n">
        <x:v>139000</x:v>
      </x:c>
      <x:c r="I10" s="19" t="n">
        <x:v>0</x:v>
      </x:c>
      <x:c r="J10" s="19" t="n">
        <x:v>0</x:v>
      </x:c>
      <x:c r="K10" s="19" t="n">
        <x:v>0</x:v>
      </x:c>
      <x:c r="L10" s="19" t="n">
        <x:v>85000</x:v>
      </x:c>
      <x:c r="M10" s="19" t="n">
        <x:v>115000</x:v>
      </x:c>
      <x:c r="N10" s="20" t="n">
        <x:v>10</x:v>
      </x:c>
      <x:c r="O10" s="20" t="n">
        <x:v>2</x:v>
      </x:c>
      <x:c r="P10" s="20" t="n">
        <x:v>4</x:v>
      </x:c>
      <x:c r="Q10" s="20" t="n">
        <x:v>4</x:v>
      </x:c>
      <x:c r="R10" s="20" t="n">
        <x:v>12</x:v>
      </x:c>
      <x:c r="S10" s="21" t="n">
        <x:f>14295/60</x:f>
        <x:v>238.25</x:v>
      </x:c>
      <x:c r="T10" s="21" t="n">
        <x:f>0/60</x:f>
        <x:v>0</x:v>
      </x:c>
      <x:c r="U10" s="21" t="n">
        <x:f>2041/60</x:f>
        <x:v>34.016666666666666</x:v>
      </x:c>
      <x:c r="V10" s="21" t="n">
        <x:f>0/60</x:f>
        <x:v>0</x:v>
      </x:c>
      <x:c r="W10" s="20" t="n">
        <x:v>0</x:v>
      </x:c>
      <x:c r="X10" s="20" t="n">
        <x:v>0</x:v>
      </x:c>
      <x:c r="Y10" s="20" t="n">
        <x:v>0</x:v>
      </x:c>
      <x:c r="Z10" s="20" t="n">
        <x:v>0</x:v>
      </x:c>
    </x:row>
    <x:row r="11" ht="23" customHeight="1">
      <x:c r="A11" s="2" t="str">
        <x:v>2026-09-25_Night</x:v>
      </x:c>
      <x:c r="B11" s="19" t="n">
        <x:v>97000</x:v>
      </x:c>
      <x:c r="C11" s="19" t="n">
        <x:v>0</x:v>
      </x:c>
      <x:c r="D11" s="19" t="n">
        <x:f>B11-C11</x:f>
        <x:v>97000</x:v>
      </x:c>
      <x:c r="E11" s="19" t="n">
        <x:f>E10+D11</x:f>
        <x:v>509000</x:v>
      </x:c>
      <x:c r="F11" s="19" t="n">
        <x:v>97000</x:v>
      </x:c>
      <x:c r="G11" s="19"/>
      <x:c r="H11" s="19" t="n">
        <x:v>97000</x:v>
      </x:c>
      <x:c r="I11" s="19" t="n">
        <x:v>0</x:v>
      </x:c>
      <x:c r="J11" s="19" t="n">
        <x:v>0</x:v>
      </x:c>
      <x:c r="K11" s="19" t="n">
        <x:v>0</x:v>
      </x:c>
      <x:c r="L11" s="19" t="n">
        <x:v>27000</x:v>
      </x:c>
      <x:c r="M11" s="19" t="n">
        <x:v>43000</x:v>
      </x:c>
      <x:c r="N11" s="20" t="n">
        <x:v>1</x:v>
      </x:c>
      <x:c r="O11" s="20" t="n">
        <x:v>5</x:v>
      </x:c>
      <x:c r="P11" s="20" t="n">
        <x:v>2</x:v>
      </x:c>
      <x:c r="Q11" s="20" t="n">
        <x:v>2</x:v>
      </x:c>
      <x:c r="R11" s="20" t="n">
        <x:v>6</x:v>
      </x:c>
      <x:c r="S11" s="21" t="n">
        <x:f>8773/60</x:f>
        <x:v>146.21666666666667</x:v>
      </x:c>
      <x:c r="T11" s="21" t="n">
        <x:f>419/60</x:f>
        <x:v>6.983333333333333</x:v>
      </x:c>
      <x:c r="U11" s="21" t="n">
        <x:f>0/60</x:f>
        <x:v>0</x:v>
      </x:c>
      <x:c r="V11" s="21" t="n">
        <x:f>0/60</x:f>
        <x:v>0</x:v>
      </x:c>
      <x:c r="W11" s="20" t="n">
        <x:v>0</x:v>
      </x:c>
      <x:c r="X11" s="20" t="n">
        <x:v>0</x:v>
      </x:c>
      <x:c r="Y11" s="20" t="n">
        <x:v>0</x:v>
      </x:c>
      <x:c r="Z11" s="20" t="n">
        <x:v>0</x:v>
      </x:c>
    </x:row>
    <x:row r="12" ht="23" customHeight="1">
      <x:c r="A12" s="2" t="str">
        <x:v>2026-09-28_Night</x:v>
      </x:c>
      <x:c r="B12" s="19" t="n">
        <x:v>129000</x:v>
      </x:c>
      <x:c r="C12" s="19" t="n">
        <x:v>0</x:v>
      </x:c>
      <x:c r="D12" s="19" t="n">
        <x:f>B12-C12</x:f>
        <x:v>129000</x:v>
      </x:c>
      <x:c r="E12" s="19" t="n">
        <x:f>E11+D12</x:f>
        <x:v>638000</x:v>
      </x:c>
      <x:c r="F12" s="19" t="n">
        <x:v>129000</x:v>
      </x:c>
      <x:c r="G12" s="19"/>
      <x:c r="H12" s="19" t="n">
        <x:v>129000</x:v>
      </x:c>
      <x:c r="I12" s="19" t="n">
        <x:v>0</x:v>
      </x:c>
      <x:c r="J12" s="19" t="n">
        <x:v>0</x:v>
      </x:c>
      <x:c r="K12" s="19" t="n">
        <x:v>0</x:v>
      </x:c>
      <x:c r="L12" s="19" t="n">
        <x:v>189000</x:v>
      </x:c>
      <x:c r="M12" s="19" t="n">
        <x:v>118000</x:v>
      </x:c>
      <x:c r="N12" s="20" t="n">
        <x:v>3</x:v>
      </x:c>
      <x:c r="O12" s="20" t="n">
        <x:v>3</x:v>
      </x:c>
      <x:c r="P12" s="20" t="n">
        <x:v>5</x:v>
      </x:c>
      <x:c r="Q12" s="20" t="n">
        <x:v>5</x:v>
      </x:c>
      <x:c r="R12" s="20" t="n">
        <x:v>7</x:v>
      </x:c>
      <x:c r="S12" s="21" t="n">
        <x:f>12325/60</x:f>
        <x:v>205.41666666666666</x:v>
      </x:c>
      <x:c r="T12" s="21" t="n">
        <x:f>2728/60</x:f>
        <x:v>45.46666666666667</x:v>
      </x:c>
      <x:c r="U12" s="21" t="n">
        <x:f>0/60</x:f>
        <x:v>0</x:v>
      </x:c>
      <x:c r="V12" s="21" t="n">
        <x:f>0/60</x:f>
        <x:v>0</x:v>
      </x:c>
      <x:c r="W12" s="20" t="n">
        <x:v>0</x:v>
      </x:c>
      <x:c r="X12" s="20" t="n">
        <x:v>0</x:v>
      </x:c>
      <x:c r="Y12" s="20" t="n">
        <x:v>0</x:v>
      </x:c>
      <x:c r="Z12" s="20" t="n">
        <x:v>0</x:v>
      </x:c>
    </x:row>
    <x:row r="13" ht="23" customHeight="1">
      <x:c r="A13" s="2" t="str">
        <x:v>2026-09-29_Night</x:v>
      </x:c>
      <x:c r="B13" s="19" t="n">
        <x:v>157000</x:v>
      </x:c>
      <x:c r="C13" s="19" t="n">
        <x:v>75000</x:v>
      </x:c>
      <x:c r="D13" s="19" t="n">
        <x:f>B13-C13</x:f>
        <x:v>82000</x:v>
      </x:c>
      <x:c r="E13" s="19" t="n">
        <x:f>E12+D13</x:f>
        <x:v>720000</x:v>
      </x:c>
      <x:c r="F13" s="19" t="n">
        <x:v>82000</x:v>
      </x:c>
      <x:c r="G13" s="19"/>
      <x:c r="H13" s="19" t="n">
        <x:v>149000</x:v>
      </x:c>
      <x:c r="I13" s="19" t="n">
        <x:v>0</x:v>
      </x:c>
      <x:c r="J13" s="19" t="n">
        <x:v>8000</x:v>
      </x:c>
      <x:c r="K13" s="19" t="n">
        <x:v>75000</x:v>
      </x:c>
      <x:c r="L13" s="19" t="n">
        <x:v>83000</x:v>
      </x:c>
      <x:c r="M13" s="19" t="n">
        <x:v>84000</x:v>
      </x:c>
      <x:c r="N13" s="20" t="n">
        <x:v>5</x:v>
      </x:c>
      <x:c r="O13" s="20" t="n">
        <x:v>6</x:v>
      </x:c>
      <x:c r="P13" s="20" t="n">
        <x:v>6</x:v>
      </x:c>
      <x:c r="Q13" s="20" t="n">
        <x:v>6</x:v>
      </x:c>
      <x:c r="R13" s="20" t="n">
        <x:v>14</x:v>
      </x:c>
      <x:c r="S13" s="21" t="n">
        <x:f>24658/60</x:f>
        <x:v>410.96666666666664</x:v>
      </x:c>
      <x:c r="T13" s="21" t="n">
        <x:f>20875/60</x:f>
        <x:v>347.9166666666667</x:v>
      </x:c>
      <x:c r="U13" s="21" t="n">
        <x:f>0/60</x:f>
        <x:v>0</x:v>
      </x:c>
      <x:c r="V13" s="21" t="n">
        <x:f>0/60</x:f>
        <x:v>0</x:v>
      </x:c>
      <x:c r="W13" s="20" t="n">
        <x:v>0</x:v>
      </x:c>
      <x:c r="X13" s="20" t="n">
        <x:v>0</x:v>
      </x:c>
      <x:c r="Y13" s="20" t="n">
        <x:v>0</x:v>
      </x:c>
      <x:c r="Z13" s="20" t="n">
        <x:v>0</x:v>
      </x:c>
    </x:row>
    <x:row r="14" ht="23" customHeight="1">
      <x:c r="A14" s="2" t="str">
        <x:v>2026-09-30_Night</x:v>
      </x:c>
      <x:c r="B14" s="19" t="n">
        <x:v>190000</x:v>
      </x:c>
      <x:c r="C14" s="19" t="n">
        <x:v>59000</x:v>
      </x:c>
      <x:c r="D14" s="19" t="n">
        <x:f>B14-C14</x:f>
        <x:v>131000</x:v>
      </x:c>
      <x:c r="E14" s="19" t="n">
        <x:f>E13+D14</x:f>
        <x:v>851000</x:v>
      </x:c>
      <x:c r="F14" s="19" t="n">
        <x:v>131000</x:v>
      </x:c>
      <x:c r="G14" s="19"/>
      <x:c r="H14" s="19" t="n">
        <x:v>180000</x:v>
      </x:c>
      <x:c r="I14" s="19" t="n">
        <x:v>0</x:v>
      </x:c>
      <x:c r="J14" s="19" t="n">
        <x:v>10000</x:v>
      </x:c>
      <x:c r="K14" s="19" t="n">
        <x:v>59000</x:v>
      </x:c>
      <x:c r="L14" s="19" t="n">
        <x:v>334000</x:v>
      </x:c>
      <x:c r="M14" s="19" t="n">
        <x:v>275000</x:v>
      </x:c>
      <x:c r="N14" s="20" t="n">
        <x:v>7</x:v>
      </x:c>
      <x:c r="O14" s="20" t="n">
        <x:v>5</x:v>
      </x:c>
      <x:c r="P14" s="20" t="n">
        <x:v>6</x:v>
      </x:c>
      <x:c r="Q14" s="20" t="n">
        <x:v>6</x:v>
      </x:c>
      <x:c r="R14" s="20" t="n">
        <x:v>22</x:v>
      </x:c>
      <x:c r="S14" s="21" t="n">
        <x:f>34843/60</x:f>
        <x:v>580.7166666666667</x:v>
      </x:c>
      <x:c r="T14" s="21" t="n">
        <x:f>28511/60</x:f>
        <x:v>475.18333333333334</x:v>
      </x:c>
      <x:c r="U14" s="21" t="n">
        <x:f>0/60</x:f>
        <x:v>0</x:v>
      </x:c>
      <x:c r="V14" s="21" t="n">
        <x:f>0/60</x:f>
        <x:v>0</x:v>
      </x:c>
      <x:c r="W14" s="20" t="n">
        <x:v>0</x:v>
      </x:c>
      <x:c r="X14" s="20" t="n">
        <x:v>0</x:v>
      </x:c>
      <x:c r="Y14" s="20" t="n">
        <x:v>0</x:v>
      </x:c>
      <x:c r="Z14" s="20" t="n">
        <x:v>0</x:v>
      </x:c>
    </x:row>
    <x:row r="15" ht="23" customHeight="1">
      <x:c r="A15" s="2" t="str">
        <x:v>2026-10-01_Night</x:v>
      </x:c>
      <x:c r="B15" s="19" t="n">
        <x:v>450000</x:v>
      </x:c>
      <x:c r="C15" s="19" t="n">
        <x:v>115000</x:v>
      </x:c>
      <x:c r="D15" s="19" t="n">
        <x:f>B15-C15</x:f>
        <x:v>335000</x:v>
      </x:c>
      <x:c r="E15" s="19" t="n">
        <x:f>E14+D15</x:f>
        <x:v>1186000</x:v>
      </x:c>
      <x:c r="F15" s="19" t="n">
        <x:v>335000</x:v>
      </x:c>
      <x:c r="G15" s="19"/>
      <x:c r="H15" s="19" t="n">
        <x:v>450000</x:v>
      </x:c>
      <x:c r="I15" s="19" t="n">
        <x:v>0</x:v>
      </x:c>
      <x:c r="J15" s="19" t="n">
        <x:v>0</x:v>
      </x:c>
      <x:c r="K15" s="19" t="n">
        <x:v>115000</x:v>
      </x:c>
      <x:c r="L15" s="19" t="n">
        <x:v>640000</x:v>
      </x:c>
      <x:c r="M15" s="19" t="n">
        <x:v>500000</x:v>
      </x:c>
      <x:c r="N15" s="20" t="n">
        <x:v>10</x:v>
      </x:c>
      <x:c r="O15" s="20" t="n">
        <x:v>8</x:v>
      </x:c>
      <x:c r="P15" s="20" t="n">
        <x:v>15</x:v>
      </x:c>
      <x:c r="Q15" s="20" t="n">
        <x:v>15</x:v>
      </x:c>
      <x:c r="R15" s="20" t="n">
        <x:v>34</x:v>
      </x:c>
      <x:c r="S15" s="21" t="n">
        <x:f>41547/60</x:f>
        <x:v>692.45</x:v>
      </x:c>
      <x:c r="T15" s="21" t="n">
        <x:f>13140/60</x:f>
        <x:v>219</x:v>
      </x:c>
      <x:c r="U15" s="21" t="n">
        <x:f>6267/60</x:f>
        <x:v>104.45</x:v>
      </x:c>
      <x:c r="V15" s="21" t="n">
        <x:f>0/60</x:f>
        <x:v>0</x:v>
      </x:c>
      <x:c r="W15" s="20" t="n">
        <x:v>2</x:v>
      </x:c>
      <x:c r="X15" s="20" t="n">
        <x:v>1</x:v>
      </x:c>
      <x:c r="Y15" s="20" t="n">
        <x:v>0</x:v>
      </x:c>
      <x:c r="Z15" s="20" t="n">
        <x:v>0</x:v>
      </x:c>
    </x:row>
    <x:row r="16" ht="23" customHeight="1">
      <x:c r="A16" s="2" t="str">
        <x:v>2026-10-02_Night</x:v>
      </x:c>
      <x:c r="B16" s="19" t="n">
        <x:v>329000</x:v>
      </x:c>
      <x:c r="C16" s="19" t="n">
        <x:v>94000</x:v>
      </x:c>
      <x:c r="D16" s="19" t="n">
        <x:f>B16-C16</x:f>
        <x:v>235000</x:v>
      </x:c>
      <x:c r="E16" s="19" t="n">
        <x:f>E15+D16</x:f>
        <x:v>1421000</x:v>
      </x:c>
      <x:c r="F16" s="19" t="n">
        <x:v>235000</x:v>
      </x:c>
      <x:c r="G16" s="19"/>
      <x:c r="H16" s="19" t="n">
        <x:v>329000</x:v>
      </x:c>
      <x:c r="I16" s="19" t="n">
        <x:v>0</x:v>
      </x:c>
      <x:c r="J16" s="19" t="n">
        <x:v>0</x:v>
      </x:c>
      <x:c r="K16" s="19" t="n">
        <x:v>94000</x:v>
      </x:c>
      <x:c r="L16" s="19" t="n">
        <x:v>169000</x:v>
      </x:c>
      <x:c r="M16" s="19" t="n">
        <x:v>99000</x:v>
      </x:c>
      <x:c r="N16" s="20" t="n">
        <x:v>8</x:v>
      </x:c>
      <x:c r="O16" s="20" t="n">
        <x:v>10</x:v>
      </x:c>
      <x:c r="P16" s="20" t="n">
        <x:v>13</x:v>
      </x:c>
      <x:c r="Q16" s="20" t="n">
        <x:v>13</x:v>
      </x:c>
      <x:c r="R16" s="20" t="n">
        <x:v>24</x:v>
      </x:c>
      <x:c r="S16" s="21" t="n">
        <x:f>25293/60</x:f>
        <x:v>421.55</x:v>
      </x:c>
      <x:c r="T16" s="21" t="n">
        <x:f>24646/60</x:f>
        <x:v>410.76666666666665</x:v>
      </x:c>
      <x:c r="U16" s="21" t="n">
        <x:f>0/60</x:f>
        <x:v>0</x:v>
      </x:c>
      <x:c r="V16" s="21" t="n">
        <x:f>673/60</x:f>
        <x:v>11.216666666666667</x:v>
      </x:c>
      <x:c r="W16" s="20" t="n">
        <x:v>3</x:v>
      </x:c>
      <x:c r="X16" s="20" t="n">
        <x:v>2</x:v>
      </x:c>
      <x:c r="Y16" s="20" t="n">
        <x:v>0</x:v>
      </x:c>
      <x:c r="Z16" s="20" t="n">
        <x:v>0</x:v>
      </x:c>
    </x:row>
    <x:row r="17" ht="23" customHeight="1">
      <x:c r="A17" s="2" t="str">
        <x:v>2026-10-05_Night</x:v>
      </x:c>
      <x:c r="B17" s="19" t="n">
        <x:v>109000</x:v>
      </x:c>
      <x:c r="C17" s="19" t="n">
        <x:v>219000</x:v>
      </x:c>
      <x:c r="D17" s="19" t="n">
        <x:f>B17-C17</x:f>
        <x:v>-110000</x:v>
      </x:c>
      <x:c r="E17" s="19" t="n">
        <x:f>E16+D17</x:f>
        <x:v>1311000</x:v>
      </x:c>
      <x:c r="F17" s="19" t="n">
        <x:v>-110000</x:v>
      </x:c>
      <x:c r="G17" s="19"/>
      <x:c r="H17" s="19" t="n">
        <x:v>105000</x:v>
      </x:c>
      <x:c r="I17" s="19" t="n">
        <x:v>0</x:v>
      </x:c>
      <x:c r="J17" s="19" t="n">
        <x:v>4000</x:v>
      </x:c>
      <x:c r="K17" s="19" t="n">
        <x:v>219000</x:v>
      </x:c>
      <x:c r="L17" s="19" t="n">
        <x:v>225000</x:v>
      </x:c>
      <x:c r="M17" s="19" t="n">
        <x:v>215000</x:v>
      </x:c>
      <x:c r="N17" s="20" t="n">
        <x:v>7</x:v>
      </x:c>
      <x:c r="O17" s="20" t="n">
        <x:v>7</x:v>
      </x:c>
      <x:c r="P17" s="20" t="n">
        <x:v>8</x:v>
      </x:c>
      <x:c r="Q17" s="20" t="n">
        <x:v>8</x:v>
      </x:c>
      <x:c r="R17" s="20" t="n">
        <x:v>19</x:v>
      </x:c>
      <x:c r="S17" s="21" t="n">
        <x:f>43494/60</x:f>
        <x:v>724.9</x:v>
      </x:c>
      <x:c r="T17" s="21" t="n">
        <x:f>22972/60</x:f>
        <x:v>382.8666666666667</x:v>
      </x:c>
      <x:c r="U17" s="21" t="n">
        <x:f>0/60</x:f>
        <x:v>0</x:v>
      </x:c>
      <x:c r="V17" s="21" t="n">
        <x:f>0/60</x:f>
        <x:v>0</x:v>
      </x:c>
      <x:c r="W17" s="20" t="n">
        <x:v>0</x:v>
      </x:c>
      <x:c r="X17" s="20" t="n">
        <x:v>0</x:v>
      </x:c>
      <x:c r="Y17" s="20" t="n">
        <x:v>0</x:v>
      </x:c>
      <x:c r="Z17" s="20" t="n">
        <x:v>0</x:v>
      </x:c>
    </x:row>
    <x:row r="18" ht="23" customHeight="1">
      <x:c r="A18" s="2" t="str">
        <x:v>2026-10-06_Night</x:v>
      </x:c>
      <x:c r="B18" s="19" t="n">
        <x:v>83000</x:v>
      </x:c>
      <x:c r="C18" s="19" t="n">
        <x:v>0</x:v>
      </x:c>
      <x:c r="D18" s="19" t="n">
        <x:f>B18-C18</x:f>
        <x:v>83000</x:v>
      </x:c>
      <x:c r="E18" s="19" t="n">
        <x:f>E17+D18</x:f>
        <x:v>1394000</x:v>
      </x:c>
      <x:c r="F18" s="19" t="n">
        <x:v>83000</x:v>
      </x:c>
      <x:c r="G18" s="19"/>
      <x:c r="H18" s="19" t="n">
        <x:v>83000</x:v>
      </x:c>
      <x:c r="I18" s="19" t="n">
        <x:v>0</x:v>
      </x:c>
      <x:c r="J18" s="19" t="n">
        <x:v>0</x:v>
      </x:c>
      <x:c r="K18" s="19" t="n">
        <x:v>0</x:v>
      </x:c>
      <x:c r="L18" s="19" t="n">
        <x:v>53000</x:v>
      </x:c>
      <x:c r="M18" s="19" t="n">
        <x:v>66000</x:v>
      </x:c>
      <x:c r="N18" s="20" t="n">
        <x:v>0</x:v>
      </x:c>
      <x:c r="O18" s="20" t="n">
        <x:v>8</x:v>
      </x:c>
      <x:c r="P18" s="20" t="n">
        <x:v>4</x:v>
      </x:c>
      <x:c r="Q18" s="20" t="n">
        <x:v>4</x:v>
      </x:c>
      <x:c r="R18" s="20" t="n">
        <x:v>8</x:v>
      </x:c>
      <x:c r="S18" s="21" t="n">
        <x:f>12956/60</x:f>
        <x:v>215.93333333333334</x:v>
      </x:c>
      <x:c r="T18" s="21" t="n">
        <x:f>0/60</x:f>
        <x:v>0</x:v>
      </x:c>
      <x:c r="U18" s="21" t="n">
        <x:f>0/60</x:f>
        <x:v>0</x:v>
      </x:c>
      <x:c r="V18" s="21" t="n">
        <x:f>0/60</x:f>
        <x:v>0</x:v>
      </x:c>
      <x:c r="W18" s="20" t="n">
        <x:v>0</x:v>
      </x:c>
      <x:c r="X18" s="20" t="n">
        <x:v>0</x:v>
      </x:c>
      <x:c r="Y18" s="20" t="n">
        <x:v>0</x:v>
      </x:c>
      <x:c r="Z18" s="20" t="n">
        <x:v>0</x:v>
      </x:c>
    </x:row>
    <x:row r="19" ht="23" customHeight="1">
      <x:c r="A19" s="2" t="str">
        <x:v>2026-10-07_Night</x:v>
      </x:c>
      <x:c r="B19" s="19" t="n">
        <x:v>109000</x:v>
      </x:c>
      <x:c r="C19" s="19" t="n">
        <x:v>57000</x:v>
      </x:c>
      <x:c r="D19" s="19" t="n">
        <x:f>B19-C19</x:f>
        <x:v>52000</x:v>
      </x:c>
      <x:c r="E19" s="19" t="n">
        <x:f>E18+D19</x:f>
        <x:v>1446000</x:v>
      </x:c>
      <x:c r="F19" s="19" t="n">
        <x:v>52000</x:v>
      </x:c>
      <x:c r="G19" s="19"/>
      <x:c r="H19" s="19" t="n">
        <x:v>105000</x:v>
      </x:c>
      <x:c r="I19" s="19" t="n">
        <x:v>0</x:v>
      </x:c>
      <x:c r="J19" s="19" t="n">
        <x:v>4000</x:v>
      </x:c>
      <x:c r="K19" s="19" t="n">
        <x:v>57000</x:v>
      </x:c>
      <x:c r="L19" s="19" t="n">
        <x:v>123000</x:v>
      </x:c>
      <x:c r="M19" s="19" t="n">
        <x:v>163000</x:v>
      </x:c>
      <x:c r="N19" s="20" t="n">
        <x:v>2</x:v>
      </x:c>
      <x:c r="O19" s="20" t="n">
        <x:v>5</x:v>
      </x:c>
      <x:c r="P19" s="20" t="n">
        <x:v>5</x:v>
      </x:c>
      <x:c r="Q19" s="20" t="n">
        <x:v>5</x:v>
      </x:c>
      <x:c r="R19" s="20" t="n">
        <x:v>9</x:v>
      </x:c>
      <x:c r="S19" s="21" t="n">
        <x:f>38325/60</x:f>
        <x:v>638.75</x:v>
      </x:c>
      <x:c r="T19" s="21" t="n">
        <x:f>19943/60</x:f>
        <x:v>332.3833333333333</x:v>
      </x:c>
      <x:c r="U19" s="21" t="n">
        <x:f>0/60</x:f>
        <x:v>0</x:v>
      </x:c>
      <x:c r="V19" s="21" t="n">
        <x:f>0/60</x:f>
        <x:v>0</x:v>
      </x:c>
      <x:c r="W19" s="20" t="n">
        <x:v>0</x:v>
      </x:c>
      <x:c r="X19" s="20" t="n">
        <x:v>0</x:v>
      </x:c>
      <x:c r="Y19" s="20" t="n">
        <x:v>0</x:v>
      </x:c>
      <x:c r="Z19" s="20" t="n">
        <x:v>0</x:v>
      </x:c>
    </x:row>
    <x:row r="20" ht="23" customHeight="1">
      <x:c r="A20" s="2" t="str">
        <x:v>2026-10-08_Night</x:v>
      </x:c>
      <x:c r="B20" s="19" t="n">
        <x:v>411000</x:v>
      </x:c>
      <x:c r="C20" s="19" t="n">
        <x:v>202000</x:v>
      </x:c>
      <x:c r="D20" s="19" t="n">
        <x:f>B20-C20</x:f>
        <x:v>209000</x:v>
      </x:c>
      <x:c r="E20" s="19" t="n">
        <x:f>E19+D20</x:f>
        <x:v>1655000</x:v>
      </x:c>
      <x:c r="F20" s="19" t="n">
        <x:v>209000</x:v>
      </x:c>
      <x:c r="G20" s="19"/>
      <x:c r="H20" s="19" t="n">
        <x:v>411000</x:v>
      </x:c>
      <x:c r="I20" s="19" t="n">
        <x:v>0</x:v>
      </x:c>
      <x:c r="J20" s="19" t="n">
        <x:v>0</x:v>
      </x:c>
      <x:c r="K20" s="19" t="n">
        <x:v>202000</x:v>
      </x:c>
      <x:c r="L20" s="19" t="n">
        <x:v>240000</x:v>
      </x:c>
      <x:c r="M20" s="19" t="n">
        <x:v>236000</x:v>
      </x:c>
      <x:c r="N20" s="20" t="n">
        <x:v>10</x:v>
      </x:c>
      <x:c r="O20" s="20" t="n">
        <x:v>8</x:v>
      </x:c>
      <x:c r="P20" s="20" t="n">
        <x:v>17</x:v>
      </x:c>
      <x:c r="Q20" s="20" t="n">
        <x:v>17</x:v>
      </x:c>
      <x:c r="R20" s="20" t="n">
        <x:v>30</x:v>
      </x:c>
      <x:c r="S20" s="21" t="n">
        <x:f>25502/60</x:f>
        <x:v>425.03333333333336</x:v>
      </x:c>
      <x:c r="T20" s="21" t="n">
        <x:f>13339/60</x:f>
        <x:v>222.31666666666666</x:v>
      </x:c>
      <x:c r="U20" s="21" t="n">
        <x:f>296/60</x:f>
        <x:v>4.933333333333334</x:v>
      </x:c>
      <x:c r="V20" s="21" t="n">
        <x:f>0/60</x:f>
        <x:v>0</x:v>
      </x:c>
      <x:c r="W20" s="20" t="n">
        <x:v>0</x:v>
      </x:c>
      <x:c r="X20" s="20" t="n">
        <x:v>0</x:v>
      </x:c>
      <x:c r="Y20" s="20" t="n">
        <x:v>0</x:v>
      </x:c>
      <x:c r="Z20" s="20" t="n">
        <x:v>0</x:v>
      </x:c>
    </x:row>
    <x:row r="21" ht="23" customHeight="1">
      <x:c r="A21" s="2" t="str">
        <x:v>2026-10-09_Night</x:v>
      </x:c>
      <x:c r="B21" s="19" t="n">
        <x:v>145000</x:v>
      </x:c>
      <x:c r="C21" s="19" t="n">
        <x:v>0</x:v>
      </x:c>
      <x:c r="D21" s="19" t="n">
        <x:f>B21-C21</x:f>
        <x:v>145000</x:v>
      </x:c>
      <x:c r="E21" s="19" t="n">
        <x:f>E20+D21</x:f>
        <x:v>1800000</x:v>
      </x:c>
      <x:c r="F21" s="19" t="n">
        <x:v>145000</x:v>
      </x:c>
      <x:c r="G21" s="19"/>
      <x:c r="H21" s="19" t="n">
        <x:v>145000</x:v>
      </x:c>
      <x:c r="I21" s="19" t="n">
        <x:v>0</x:v>
      </x:c>
      <x:c r="J21" s="19" t="n">
        <x:v>0</x:v>
      </x:c>
      <x:c r="K21" s="19" t="n">
        <x:v>0</x:v>
      </x:c>
      <x:c r="L21" s="19" t="n">
        <x:v>115000</x:v>
      </x:c>
      <x:c r="M21" s="19" t="n">
        <x:v>180000</x:v>
      </x:c>
      <x:c r="N21" s="20" t="n">
        <x:v>0</x:v>
      </x:c>
      <x:c r="O21" s="20" t="n">
        <x:v>10</x:v>
      </x:c>
      <x:c r="P21" s="20" t="n">
        <x:v>3</x:v>
      </x:c>
      <x:c r="Q21" s="20" t="n">
        <x:v>3</x:v>
      </x:c>
      <x:c r="R21" s="20" t="n">
        <x:v>15</x:v>
      </x:c>
      <x:c r="S21" s="21" t="n">
        <x:f>23524/60</x:f>
        <x:v>392.06666666666666</x:v>
      </x:c>
      <x:c r="T21" s="21" t="n">
        <x:f>0/60</x:f>
        <x:v>0</x:v>
      </x:c>
      <x:c r="U21" s="21" t="n">
        <x:f>0/60</x:f>
        <x:v>0</x:v>
      </x:c>
      <x:c r="V21" s="21" t="n">
        <x:f>12721/60</x:f>
        <x:v>212.01666666666668</x:v>
      </x:c>
      <x:c r="W21" s="20" t="n">
        <x:v>0</x:v>
      </x:c>
      <x:c r="X21" s="20" t="n">
        <x:v>0</x:v>
      </x:c>
      <x:c r="Y21" s="20" t="n">
        <x:v>0</x:v>
      </x:c>
      <x:c r="Z21" s="20" t="n">
        <x:v>0</x:v>
      </x:c>
    </x:row>
    <x:row r="22" ht="23" customHeight="1">
      <x:c r="A22" s="2" t="str">
        <x:v>2026-10-12_Night</x:v>
      </x:c>
      <x:c r="B22" s="19" t="n">
        <x:v>80000</x:v>
      </x:c>
      <x:c r="C22" s="19" t="n">
        <x:v>0</x:v>
      </x:c>
      <x:c r="D22" s="19" t="n">
        <x:f>B22-C22</x:f>
        <x:v>80000</x:v>
      </x:c>
      <x:c r="E22" s="19" t="n">
        <x:f>E21+D22</x:f>
        <x:v>1880000</x:v>
      </x:c>
      <x:c r="F22" s="19" t="n">
        <x:v>80000</x:v>
      </x:c>
      <x:c r="G22" s="19"/>
      <x:c r="H22" s="19" t="n">
        <x:v>80000</x:v>
      </x:c>
      <x:c r="I22" s="19" t="n">
        <x:v>0</x:v>
      </x:c>
      <x:c r="J22" s="19" t="n">
        <x:v>0</x:v>
      </x:c>
      <x:c r="K22" s="19" t="n">
        <x:v>0</x:v>
      </x:c>
      <x:c r="L22" s="19" t="n">
        <x:v>10000</x:v>
      </x:c>
      <x:c r="M22" s="19" t="n">
        <x:v>40000</x:v>
      </x:c>
      <x:c r="N22" s="20" t="n">
        <x:v>0</x:v>
      </x:c>
      <x:c r="O22" s="20" t="n">
        <x:v>5</x:v>
      </x:c>
      <x:c r="P22" s="20" t="n">
        <x:v>1</x:v>
      </x:c>
      <x:c r="Q22" s="20" t="n">
        <x:v>1</x:v>
      </x:c>
      <x:c r="R22" s="20" t="n">
        <x:v>5</x:v>
      </x:c>
      <x:c r="S22" s="21" t="n">
        <x:f>822/60</x:f>
        <x:v>13.7</x:v>
      </x:c>
      <x:c r="T22" s="21" t="n">
        <x:f>0/60</x:f>
        <x:v>0</x:v>
      </x:c>
      <x:c r="U22" s="21" t="n">
        <x:f>0/60</x:f>
        <x:v>0</x:v>
      </x:c>
      <x:c r="V22" s="21" t="n">
        <x:f>0/60</x:f>
        <x:v>0</x:v>
      </x:c>
      <x:c r="W22" s="20" t="n">
        <x:v>0</x:v>
      </x:c>
      <x:c r="X22" s="20" t="n">
        <x:v>0</x:v>
      </x:c>
      <x:c r="Y22" s="20" t="n">
        <x:v>0</x:v>
      </x:c>
      <x:c r="Z22" s="20" t="n">
        <x:v>0</x:v>
      </x:c>
    </x:row>
    <x:row r="23" ht="23" customHeight="1">
      <x:c r="A23" s="2" t="str">
        <x:v>2026-10-13_Night</x:v>
      </x:c>
      <x:c r="B23" s="19" t="n">
        <x:v>99000</x:v>
      </x:c>
      <x:c r="C23" s="19" t="n">
        <x:v>0</x:v>
      </x:c>
      <x:c r="D23" s="19" t="n">
        <x:f>B23-C23</x:f>
        <x:v>99000</x:v>
      </x:c>
      <x:c r="E23" s="19" t="n">
        <x:f>E22+D23</x:f>
        <x:v>1979000</x:v>
      </x:c>
      <x:c r="F23" s="19" t="n">
        <x:v>99000</x:v>
      </x:c>
      <x:c r="G23" s="19"/>
      <x:c r="H23" s="19" t="n">
        <x:v>89000</x:v>
      </x:c>
      <x:c r="I23" s="19" t="n">
        <x:v>0</x:v>
      </x:c>
      <x:c r="J23" s="19" t="n">
        <x:v>10000</x:v>
      </x:c>
      <x:c r="K23" s="19" t="n">
        <x:v>0</x:v>
      </x:c>
      <x:c r="L23" s="19" t="n">
        <x:v>175000</x:v>
      </x:c>
      <x:c r="M23" s="19" t="n">
        <x:v>200000</x:v>
      </x:c>
      <x:c r="N23" s="20" t="n">
        <x:v>6</x:v>
      </x:c>
      <x:c r="O23" s="20" t="n">
        <x:v>5</x:v>
      </x:c>
      <x:c r="P23" s="20" t="n">
        <x:v>3</x:v>
      </x:c>
      <x:c r="Q23" s="20" t="n">
        <x:v>3</x:v>
      </x:c>
      <x:c r="R23" s="20" t="n">
        <x:v>11</x:v>
      </x:c>
      <x:c r="S23" s="21" t="n">
        <x:f>41415/60</x:f>
        <x:v>690.25</x:v>
      </x:c>
      <x:c r="T23" s="21" t="n">
        <x:f>6174/60</x:f>
        <x:v>102.9</x:v>
      </x:c>
      <x:c r="U23" s="21" t="n">
        <x:f>0/60</x:f>
        <x:v>0</x:v>
      </x:c>
      <x:c r="V23" s="21" t="n">
        <x:f>0/60</x:f>
        <x:v>0</x:v>
      </x:c>
      <x:c r="W23" s="20" t="n">
        <x:v>0</x:v>
      </x:c>
      <x:c r="X23" s="20" t="n">
        <x:v>0</x:v>
      </x:c>
      <x:c r="Y23" s="20" t="n">
        <x:v>0</x:v>
      </x:c>
      <x:c r="Z23" s="20" t="n">
        <x:v>0</x:v>
      </x:c>
    </x:row>
    <x:row r="24" ht="23" customHeight="1">
      <x:c r="A24" s="2" t="str">
        <x:v>2026-10-14_Night</x:v>
      </x:c>
      <x:c r="B24" s="19" t="n">
        <x:v>201000</x:v>
      </x:c>
      <x:c r="C24" s="19" t="n">
        <x:v>97000</x:v>
      </x:c>
      <x:c r="D24" s="19" t="n">
        <x:f>B24-C24</x:f>
        <x:v>104000</x:v>
      </x:c>
      <x:c r="E24" s="19" t="n">
        <x:f>E23+D24</x:f>
        <x:v>2083000</x:v>
      </x:c>
      <x:c r="F24" s="19" t="n">
        <x:v>104000</x:v>
      </x:c>
      <x:c r="G24" s="19"/>
      <x:c r="H24" s="19" t="n">
        <x:v>201000</x:v>
      </x:c>
      <x:c r="I24" s="19" t="n">
        <x:v>0</x:v>
      </x:c>
      <x:c r="J24" s="19" t="n">
        <x:v>0</x:v>
      </x:c>
      <x:c r="K24" s="19" t="n">
        <x:v>97000</x:v>
      </x:c>
      <x:c r="L24" s="19" t="n">
        <x:v>101000</x:v>
      </x:c>
      <x:c r="M24" s="19" t="n">
        <x:v>119000</x:v>
      </x:c>
      <x:c r="N24" s="20" t="n">
        <x:v>1</x:v>
      </x:c>
      <x:c r="O24" s="20" t="n">
        <x:v>5</x:v>
      </x:c>
      <x:c r="P24" s="20" t="n">
        <x:v>5</x:v>
      </x:c>
      <x:c r="Q24" s="20" t="n">
        <x:v>5</x:v>
      </x:c>
      <x:c r="R24" s="20" t="n">
        <x:v>14</x:v>
      </x:c>
      <x:c r="S24" s="21" t="n">
        <x:f>32888/60</x:f>
        <x:v>548.1333333333333</x:v>
      </x:c>
      <x:c r="T24" s="21" t="n">
        <x:f>2600/60</x:f>
        <x:v>43.333333333333336</x:v>
      </x:c>
      <x:c r="U24" s="21" t="n">
        <x:f>0/60</x:f>
        <x:v>0</x:v>
      </x:c>
      <x:c r="V24" s="21" t="n">
        <x:f>0/60</x:f>
        <x:v>0</x:v>
      </x:c>
      <x:c r="W24" s="20" t="n">
        <x:v>0</x:v>
      </x:c>
      <x:c r="X24" s="20" t="n">
        <x:v>0</x:v>
      </x:c>
      <x:c r="Y24" s="20" t="n">
        <x:v>0</x:v>
      </x:c>
      <x:c r="Z24" s="20" t="n">
        <x:v>0</x:v>
      </x:c>
    </x:row>
    <x:row r="25" ht="23" customHeight="1">
      <x:c r="A25" s="2" t="str">
        <x:v>2026-10-15_Night</x:v>
      </x:c>
      <x:c r="B25" s="19" t="n">
        <x:v>95000</x:v>
      </x:c>
      <x:c r="C25" s="19" t="n">
        <x:v>206000</x:v>
      </x:c>
      <x:c r="D25" s="19" t="n">
        <x:f>B25-C25</x:f>
        <x:v>-111000</x:v>
      </x:c>
      <x:c r="E25" s="19" t="n">
        <x:f>E24+D25</x:f>
        <x:v>1972000</x:v>
      </x:c>
      <x:c r="F25" s="19" t="n">
        <x:v>-111000</x:v>
      </x:c>
      <x:c r="G25" s="19"/>
      <x:c r="H25" s="19" t="n">
        <x:v>95000</x:v>
      </x:c>
      <x:c r="I25" s="19" t="n">
        <x:v>0</x:v>
      </x:c>
      <x:c r="J25" s="19" t="n">
        <x:v>0</x:v>
      </x:c>
      <x:c r="K25" s="19" t="n">
        <x:v>206000</x:v>
      </x:c>
      <x:c r="L25" s="19" t="n">
        <x:v>216000</x:v>
      </x:c>
      <x:c r="M25" s="19" t="n">
        <x:v>153000</x:v>
      </x:c>
      <x:c r="N25" s="20" t="n">
        <x:v>2</x:v>
      </x:c>
      <x:c r="O25" s="20" t="n">
        <x:v>3</x:v>
      </x:c>
      <x:c r="P25" s="20" t="n">
        <x:v>7</x:v>
      </x:c>
      <x:c r="Q25" s="20" t="n">
        <x:v>7</x:v>
      </x:c>
      <x:c r="R25" s="20" t="n">
        <x:v>9</x:v>
      </x:c>
      <x:c r="S25" s="21" t="n">
        <x:f>24545/60</x:f>
        <x:v>409.0833333333333</x:v>
      </x:c>
      <x:c r="T25" s="21" t="n">
        <x:f>12642/60</x:f>
        <x:v>210.7</x:v>
      </x:c>
      <x:c r="U25" s="21" t="n">
        <x:f>0/60</x:f>
        <x:v>0</x:v>
      </x:c>
      <x:c r="V25" s="21" t="n">
        <x:f>0/60</x:f>
        <x:v>0</x:v>
      </x:c>
      <x:c r="W25" s="20" t="n">
        <x:v>0</x:v>
      </x:c>
      <x:c r="X25" s="20" t="n">
        <x:v>0</x:v>
      </x:c>
      <x:c r="Y25" s="20" t="n">
        <x:v>0</x:v>
      </x:c>
      <x:c r="Z25" s="20" t="n">
        <x:v>0</x:v>
      </x:c>
    </x:row>
    <x:row r="26" ht="23" customHeight="1">
      <x:c r="A26" s="2" t="str">
        <x:v>2026-10-16_Night</x:v>
      </x:c>
      <x:c r="B26" s="19" t="n">
        <x:v>435000</x:v>
      </x:c>
      <x:c r="C26" s="19" t="n">
        <x:v>144000</x:v>
      </x:c>
      <x:c r="D26" s="19" t="n">
        <x:f>B26-C26</x:f>
        <x:v>291000</x:v>
      </x:c>
      <x:c r="E26" s="19" t="n">
        <x:f>E25+D26</x:f>
        <x:v>2263000</x:v>
      </x:c>
      <x:c r="F26" s="19" t="n">
        <x:v>291000</x:v>
      </x:c>
      <x:c r="G26" s="19"/>
      <x:c r="H26" s="19" t="n">
        <x:v>391000</x:v>
      </x:c>
      <x:c r="I26" s="19" t="n">
        <x:v>0</x:v>
      </x:c>
      <x:c r="J26" s="19" t="n">
        <x:v>44000</x:v>
      </x:c>
      <x:c r="K26" s="19" t="n">
        <x:v>144000</x:v>
      </x:c>
      <x:c r="L26" s="19" t="n">
        <x:v>132000</x:v>
      </x:c>
      <x:c r="M26" s="19" t="n">
        <x:v>172000</x:v>
      </x:c>
      <x:c r="N26" s="20" t="n">
        <x:v>3</x:v>
      </x:c>
      <x:c r="O26" s="20" t="n">
        <x:v>10</x:v>
      </x:c>
      <x:c r="P26" s="20" t="n">
        <x:v>12</x:v>
      </x:c>
      <x:c r="Q26" s="20" t="n">
        <x:v>12</x:v>
      </x:c>
      <x:c r="R26" s="20" t="n">
        <x:v>30</x:v>
      </x:c>
      <x:c r="S26" s="21" t="n">
        <x:f>17641/60</x:f>
        <x:v>294.01666666666665</x:v>
      </x:c>
      <x:c r="T26" s="21" t="n">
        <x:f>6778/60</x:f>
        <x:v>112.96666666666667</x:v>
      </x:c>
      <x:c r="U26" s="21" t="n">
        <x:f>0/60</x:f>
        <x:v>0</x:v>
      </x:c>
      <x:c r="V26" s="21" t="n">
        <x:f>845/60</x:f>
        <x:v>14.083333333333334</x:v>
      </x:c>
      <x:c r="W26" s="20" t="n">
        <x:v>2</x:v>
      </x:c>
      <x:c r="X26" s="20" t="n">
        <x:v>2</x:v>
      </x:c>
      <x:c r="Y26" s="20" t="n">
        <x:v>0</x:v>
      </x:c>
      <x:c r="Z26" s="20" t="n">
        <x:v>0</x:v>
      </x:c>
    </x:row>
    <x:row r="27" ht="23" customHeight="1">
      <x:c r="A27" s="2" t="str">
        <x:v>2026-10-19_Night</x:v>
      </x:c>
      <x:c r="B27" s="19" t="n">
        <x:v>246000</x:v>
      </x:c>
      <x:c r="C27" s="19" t="n">
        <x:v>74000</x:v>
      </x:c>
      <x:c r="D27" s="19" t="n">
        <x:f>B27-C27</x:f>
        <x:v>172000</x:v>
      </x:c>
      <x:c r="E27" s="19" t="n">
        <x:f>E26+D27</x:f>
        <x:v>2435000</x:v>
      </x:c>
      <x:c r="F27" s="19" t="n">
        <x:v>172000</x:v>
      </x:c>
      <x:c r="G27" s="19"/>
      <x:c r="H27" s="19" t="n">
        <x:v>246000</x:v>
      </x:c>
      <x:c r="I27" s="19" t="n">
        <x:v>0</x:v>
      </x:c>
      <x:c r="J27" s="19" t="n">
        <x:v>0</x:v>
      </x:c>
      <x:c r="K27" s="19" t="n">
        <x:v>74000</x:v>
      </x:c>
      <x:c r="L27" s="19" t="n">
        <x:v>372000</x:v>
      </x:c>
      <x:c r="M27" s="19" t="n">
        <x:v>349000</x:v>
      </x:c>
      <x:c r="N27" s="20" t="n">
        <x:v>5</x:v>
      </x:c>
      <x:c r="O27" s="20" t="n">
        <x:v>10</x:v>
      </x:c>
      <x:c r="P27" s="20" t="n">
        <x:v>13</x:v>
      </x:c>
      <x:c r="Q27" s="20" t="n">
        <x:v>13</x:v>
      </x:c>
      <x:c r="R27" s="20" t="n">
        <x:v>26</x:v>
      </x:c>
      <x:c r="S27" s="21" t="n">
        <x:f>34891/60</x:f>
        <x:v>581.5166666666667</x:v>
      </x:c>
      <x:c r="T27" s="21" t="n">
        <x:f>29074/60</x:f>
        <x:v>484.56666666666666</x:v>
      </x:c>
      <x:c r="U27" s="21" t="n">
        <x:f>0/60</x:f>
        <x:v>0</x:v>
      </x:c>
      <x:c r="V27" s="21" t="n">
        <x:f>4412/60</x:f>
        <x:v>73.53333333333333</x:v>
      </x:c>
      <x:c r="W27" s="20" t="n">
        <x:v>1</x:v>
      </x:c>
      <x:c r="X27" s="20" t="n">
        <x:v>1</x:v>
      </x:c>
      <x:c r="Y27" s="20" t="n">
        <x:v>0</x:v>
      </x:c>
      <x:c r="Z27" s="20" t="n">
        <x:v>0</x:v>
      </x:c>
    </x:row>
    <x:row r="28" ht="23" customHeight="1">
      <x:c r="A28" s="2" t="str">
        <x:v>2026-10-20_Night</x:v>
      </x:c>
      <x:c r="B28" s="19" t="n">
        <x:v>297000</x:v>
      </x:c>
      <x:c r="C28" s="19" t="n">
        <x:v>647000</x:v>
      </x:c>
      <x:c r="D28" s="19" t="n">
        <x:f>B28-C28</x:f>
        <x:v>-350000</x:v>
      </x:c>
      <x:c r="E28" s="19" t="n">
        <x:f>E27+D28</x:f>
        <x:v>2085000</x:v>
      </x:c>
      <x:c r="F28" s="19" t="n">
        <x:v>-350000</x:v>
      </x:c>
      <x:c r="G28" s="19"/>
      <x:c r="H28" s="19" t="n">
        <x:v>297000</x:v>
      </x:c>
      <x:c r="I28" s="19" t="n">
        <x:v>0</x:v>
      </x:c>
      <x:c r="J28" s="19" t="n">
        <x:v>0</x:v>
      </x:c>
      <x:c r="K28" s="19" t="n">
        <x:v>647000</x:v>
      </x:c>
      <x:c r="L28" s="19" t="n">
        <x:v>656000</x:v>
      </x:c>
      <x:c r="M28" s="19" t="n">
        <x:v>421000</x:v>
      </x:c>
      <x:c r="N28" s="20" t="n">
        <x:v>7</x:v>
      </x:c>
      <x:c r="O28" s="20" t="n">
        <x:v>10</x:v>
      </x:c>
      <x:c r="P28" s="20" t="n">
        <x:v>11</x:v>
      </x:c>
      <x:c r="Q28" s="20" t="n">
        <x:v>11</x:v>
      </x:c>
      <x:c r="R28" s="20" t="n">
        <x:v>22</x:v>
      </x:c>
      <x:c r="S28" s="21" t="n">
        <x:f>42195/60</x:f>
        <x:v>703.25</x:v>
      </x:c>
      <x:c r="T28" s="21" t="n">
        <x:f>7271/60</x:f>
        <x:v>121.18333333333334</x:v>
      </x:c>
      <x:c r="U28" s="21" t="n">
        <x:f>0/60</x:f>
        <x:v>0</x:v>
      </x:c>
      <x:c r="V28" s="21" t="n">
        <x:f>51/60</x:f>
        <x:v>0.85</x:v>
      </x:c>
      <x:c r="W28" s="20" t="n">
        <x:v>0</x:v>
      </x:c>
      <x:c r="X28" s="20" t="n">
        <x:v>0</x:v>
      </x:c>
      <x:c r="Y28" s="20" t="n">
        <x:v>0</x:v>
      </x:c>
      <x:c r="Z28" s="20" t="n">
        <x:v>0</x:v>
      </x:c>
    </x:row>
    <x:row r="29" ht="23" customHeight="1">
      <x:c r="A29" s="2" t="str">
        <x:v>2026-10-21_Night</x:v>
      </x:c>
      <x:c r="B29" s="19" t="n">
        <x:v>211000</x:v>
      </x:c>
      <x:c r="C29" s="19" t="n">
        <x:v>200000</x:v>
      </x:c>
      <x:c r="D29" s="19" t="n">
        <x:f>B29-C29</x:f>
        <x:v>11000</x:v>
      </x:c>
      <x:c r="E29" s="19" t="n">
        <x:f>E28+D29</x:f>
        <x:v>2096000</x:v>
      </x:c>
      <x:c r="F29" s="19" t="n">
        <x:v>11000</x:v>
      </x:c>
      <x:c r="G29" s="19"/>
      <x:c r="H29" s="19" t="n">
        <x:v>211000</x:v>
      </x:c>
      <x:c r="I29" s="19" t="n">
        <x:v>0</x:v>
      </x:c>
      <x:c r="J29" s="19" t="n">
        <x:v>0</x:v>
      </x:c>
      <x:c r="K29" s="19" t="n">
        <x:v>200000</x:v>
      </x:c>
      <x:c r="L29" s="19" t="n">
        <x:v>295000</x:v>
      </x:c>
      <x:c r="M29" s="19" t="n">
        <x:v>325000</x:v>
      </x:c>
      <x:c r="N29" s="20" t="n">
        <x:v>10</x:v>
      </x:c>
      <x:c r="O29" s="20" t="n">
        <x:v>10</x:v>
      </x:c>
      <x:c r="P29" s="20" t="n">
        <x:v>6</x:v>
      </x:c>
      <x:c r="Q29" s="20" t="n">
        <x:v>6</x:v>
      </x:c>
      <x:c r="R29" s="20" t="n">
        <x:v>21</x:v>
      </x:c>
      <x:c r="S29" s="21" t="n">
        <x:f>38276/60</x:f>
        <x:v>637.9333333333333</x:v>
      </x:c>
      <x:c r="T29" s="21" t="n">
        <x:f>8731/60</x:f>
        <x:v>145.51666666666668</x:v>
      </x:c>
      <x:c r="U29" s="21" t="n">
        <x:f>2281/60</x:f>
        <x:v>38.016666666666666</x:v>
      </x:c>
      <x:c r="V29" s="21" t="n">
        <x:f>680/60</x:f>
        <x:v>11.333333333333334</x:v>
      </x:c>
      <x:c r="W29" s="20" t="n">
        <x:v>1</x:v>
      </x:c>
      <x:c r="X29" s="20" t="n">
        <x:v>0</x:v>
      </x:c>
      <x:c r="Y29" s="20" t="n">
        <x:v>0</x:v>
      </x:c>
      <x:c r="Z29" s="20" t="n">
        <x:v>0</x:v>
      </x:c>
    </x:row>
    <x:row r="30" ht="23" customHeight="1">
      <x:c r="A30" s="2" t="str">
        <x:v>2026-10-22_Night</x:v>
      </x:c>
      <x:c r="B30" s="19" t="n">
        <x:v>143000</x:v>
      </x:c>
      <x:c r="C30" s="19" t="n">
        <x:v>0</x:v>
      </x:c>
      <x:c r="D30" s="19" t="n">
        <x:f>B30-C30</x:f>
        <x:v>143000</x:v>
      </x:c>
      <x:c r="E30" s="19" t="n">
        <x:f>E29+D30</x:f>
        <x:v>2239000</x:v>
      </x:c>
      <x:c r="F30" s="19" t="n">
        <x:v>143000</x:v>
      </x:c>
      <x:c r="G30" s="19"/>
      <x:c r="H30" s="19" t="n">
        <x:v>143000</x:v>
      </x:c>
      <x:c r="I30" s="19" t="n">
        <x:v>0</x:v>
      </x:c>
      <x:c r="J30" s="19" t="n">
        <x:v>0</x:v>
      </x:c>
      <x:c r="K30" s="19" t="n">
        <x:v>0</x:v>
      </x:c>
      <x:c r="L30" s="19" t="n">
        <x:v>10000</x:v>
      </x:c>
      <x:c r="M30" s="19" t="n">
        <x:v>40000</x:v>
      </x:c>
      <x:c r="N30" s="20" t="n">
        <x:v>0</x:v>
      </x:c>
      <x:c r="O30" s="20" t="n">
        <x:v>5</x:v>
      </x:c>
      <x:c r="P30" s="20" t="n">
        <x:v>3</x:v>
      </x:c>
      <x:c r="Q30" s="20" t="n">
        <x:v>3</x:v>
      </x:c>
      <x:c r="R30" s="20" t="n">
        <x:v>7</x:v>
      </x:c>
      <x:c r="S30" s="21" t="n">
        <x:f>1668/60</x:f>
        <x:v>27.8</x:v>
      </x:c>
      <x:c r="T30" s="21" t="n">
        <x:f>0/60</x:f>
        <x:v>0</x:v>
      </x:c>
      <x:c r="U30" s="21" t="n">
        <x:f>0/60</x:f>
        <x:v>0</x:v>
      </x:c>
      <x:c r="V30" s="21" t="n">
        <x:f>0/60</x:f>
        <x:v>0</x:v>
      </x:c>
      <x:c r="W30" s="20" t="n">
        <x:v>0</x:v>
      </x:c>
      <x:c r="X30" s="20" t="n">
        <x:v>0</x:v>
      </x:c>
      <x:c r="Y30" s="20" t="n">
        <x:v>0</x:v>
      </x:c>
      <x:c r="Z30" s="20" t="n">
        <x:v>0</x:v>
      </x:c>
    </x:row>
    <x:row r="31" ht="23" customHeight="1">
      <x:c r="A31" s="2" t="str">
        <x:v>2026-10-23_Night</x:v>
      </x:c>
      <x:c r="B31" s="19" t="n">
        <x:v>287000</x:v>
      </x:c>
      <x:c r="C31" s="19" t="n">
        <x:v>41000</x:v>
      </x:c>
      <x:c r="D31" s="19" t="n">
        <x:f>B31-C31</x:f>
        <x:v>246000</x:v>
      </x:c>
      <x:c r="E31" s="19" t="n">
        <x:f>E30+D31</x:f>
        <x:v>2485000</x:v>
      </x:c>
      <x:c r="F31" s="19" t="n">
        <x:v>246000</x:v>
      </x:c>
      <x:c r="G31" s="19"/>
      <x:c r="H31" s="19" t="n">
        <x:v>287000</x:v>
      </x:c>
      <x:c r="I31" s="19" t="n">
        <x:v>0</x:v>
      </x:c>
      <x:c r="J31" s="19" t="n">
        <x:v>0</x:v>
      </x:c>
      <x:c r="K31" s="19" t="n">
        <x:v>41000</x:v>
      </x:c>
      <x:c r="L31" s="19" t="n">
        <x:v>115000</x:v>
      </x:c>
      <x:c r="M31" s="19" t="n">
        <x:v>178000</x:v>
      </x:c>
      <x:c r="N31" s="20" t="n">
        <x:v>7</x:v>
      </x:c>
      <x:c r="O31" s="20" t="n">
        <x:v>5</x:v>
      </x:c>
      <x:c r="P31" s="20" t="n">
        <x:v>11</x:v>
      </x:c>
      <x:c r="Q31" s="20" t="n">
        <x:v>11</x:v>
      </x:c>
      <x:c r="R31" s="20" t="n">
        <x:v>20</x:v>
      </x:c>
      <x:c r="S31" s="21" t="n">
        <x:f>41830/60</x:f>
        <x:v>697.1666666666666</x:v>
      </x:c>
      <x:c r="T31" s="21" t="n">
        <x:f>2097/60</x:f>
        <x:v>34.95</x:v>
      </x:c>
      <x:c r="U31" s="21" t="n">
        <x:f>0/60</x:f>
        <x:v>0</x:v>
      </x:c>
      <x:c r="V31" s="21" t="n">
        <x:f>0/60</x:f>
        <x:v>0</x:v>
      </x:c>
      <x:c r="W31" s="20" t="n">
        <x:v>0</x:v>
      </x:c>
      <x:c r="X31" s="20" t="n">
        <x:v>0</x:v>
      </x:c>
      <x:c r="Y31" s="20" t="n">
        <x:v>0</x:v>
      </x:c>
      <x:c r="Z31" s="20" t="n">
        <x:v>0</x:v>
      </x:c>
    </x:row>
    <x:row r="32" ht="23" customHeight="1">
      <x:c r="A32" s="26" t="str">
        <x:v>25夜累計／最大</x:v>
      </x:c>
      <x:c r="B32" s="27" t="n">
        <x:f>SUM(B7:B31)</x:f>
        <x:v>4735000</x:v>
      </x:c>
      <x:c r="C32" s="27" t="n">
        <x:f>SUM(C7:C31)</x:f>
        <x:v>2250000</x:v>
      </x:c>
      <x:c r="D32" s="27" t="n">
        <x:f>B32-C32</x:f>
        <x:v>2485000</x:v>
      </x:c>
      <x:c r="E32" s="27" t="n">
        <x:f>E31</x:f>
        <x:v>2485000</x:v>
      </x:c>
      <x:c r="F32" s="27" t="n">
        <x:f>SUM(F7:F31)</x:f>
        <x:v>2485000</x:v>
      </x:c>
      <x:c r="G32" s="27"/>
      <x:c r="H32" s="27" t="n">
        <x:f>SUM(H7:H31)</x:f>
        <x:v>4655000</x:v>
      </x:c>
      <x:c r="I32" s="27" t="n">
        <x:f>SUM(I7:I31)</x:f>
        <x:v>0</x:v>
      </x:c>
      <x:c r="J32" s="27" t="n">
        <x:f>SUM(J7:J31)</x:f>
        <x:v>80000</x:v>
      </x:c>
      <x:c r="K32" s="27" t="n">
        <x:f>SUM(K7:K31)</x:f>
        <x:v>2250000</x:v>
      </x:c>
      <x:c r="L32" s="27" t="n">
        <x:f>MAX(L7:L31)</x:f>
        <x:v>656000</x:v>
      </x:c>
      <x:c r="M32" s="27" t="n">
        <x:f>MAX(M7:M31)</x:f>
        <x:v>500000</x:v>
      </x:c>
      <x:c r="N32" s="28" t="n">
        <x:f>MAX(N7:N31)</x:f>
        <x:v>10</x:v>
      </x:c>
      <x:c r="O32" s="28" t="n">
        <x:f>MAX(O7:O31)</x:f>
        <x:v>10</x:v>
      </x:c>
      <x:c r="P32" s="28" t="n">
        <x:f>SUM(P7:P31)</x:f>
        <x:v>166</x:v>
      </x:c>
      <x:c r="Q32" s="28" t="n">
        <x:f>SUM(Q7:Q31)</x:f>
        <x:v>166</x:v>
      </x:c>
      <x:c r="R32" s="28" t="n">
        <x:f>SUM(R7:R31)</x:f>
        <x:v>387</x:v>
      </x:c>
      <x:c r="S32" s="29" t="n">
        <x:f>SUM(S7:S31)</x:f>
        <x:v>10511.883333333331</x:v>
      </x:c>
      <x:c r="T32" s="29" t="n">
        <x:f>SUM(T7:T31)</x:f>
        <x:v>3699</x:v>
      </x:c>
      <x:c r="U32" s="29" t="n">
        <x:f>SUM(U7:U31)</x:f>
        <x:v>181.41666666666669</x:v>
      </x:c>
      <x:c r="V32" s="29" t="n">
        <x:f>SUM(V7:V31)</x:f>
        <x:v>323.03333333333336</x:v>
      </x:c>
      <x:c r="W32" s="28" t="n">
        <x:f>SUM(W7:W31)</x:f>
        <x:v>9</x:v>
      </x:c>
      <x:c r="X32" s="28" t="n">
        <x:f>SUM(X7:X31)</x:f>
        <x:v>6</x:v>
      </x:c>
      <x:c r="Y32" s="28" t="n">
        <x:f>SUM(Y7:Y31)</x:f>
        <x:v>0</x:v>
      </x:c>
      <x:c r="Z32" s="28" t="n">
        <x:f>SUM(Z7:Z31)</x:f>
        <x:v>0</x:v>
      </x:c>
    </x:row>
  </x:sheetData>
  <x:conditionalFormatting sqref="B7:M32">
    <x:cfRule type="cellIs" dxfId="1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cc9fab1ce2f41fa"/>
  </x:tableParts>
</x:worksheet>
</file>

<file path=xl/worksheets/sheet18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3" customHeight="1">
      <x:c r="A2" s="4" t="str">
        <x:v>N04　全夜間の利益・損失・収支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3" ht="23" customHeight="1">
      <x:c r="A3" s="6" t="str">
        <x:v>日経mini・片方向上限10枚・手数料0・次正常ラージ気配代理。2026/09/21〜10/23の完了25夜。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3" customHeight="1">
      <x:c r="A4" s="6" t="str">
        <x:v>利益・損失は新規実約定IDごとの全返済収支で分類。旧親単位の利益損失とは異なります。未測定は空欄。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3" customHeight="1">
      <x:c r="A5" s="6" t="str">
        <x:v>全夜・80/40追尾・各通知最大1枚。N：新手法を全夜運転。含み損・DD・保有時間・返済内訳も全夜。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4" customHeight="1">
      <x:c r="A6" s="15" t="str">
        <x:v>セッション</x:v>
      </x:c>
      <x:c r="B6" s="16" t="str">
        <x:v>利益（円）</x:v>
      </x:c>
      <x:c r="C6" s="16" t="str">
        <x:v>損失（円）</x:v>
      </x:c>
      <x:c r="D6" s="16" t="str">
        <x:v>全夜収支（円）</x:v>
      </x:c>
      <x:c r="E6" s="16" t="str">
        <x:v>累計（円）</x:v>
      </x:c>
      <x:c r="F6" s="16" t="str">
        <x:v>対象区間収支</x:v>
      </x:c>
      <x:c r="G6" s="16" t="str">
        <x:v>保存後半収支</x:v>
      </x:c>
      <x:c r="H6" s="16" t="str">
        <x:v>利益追尾の利益</x:v>
      </x:c>
      <x:c r="I6" s="16" t="str">
        <x:v>利益追尾の損失</x:v>
      </x:c>
      <x:c r="J6" s="16" t="str">
        <x:v>境界清算の利益</x:v>
      </x:c>
      <x:c r="K6" s="16" t="str">
        <x:v>境界清算の損失</x:v>
      </x:c>
      <x:c r="L6" s="16" t="str">
        <x:v>最大含み損（円）</x:v>
      </x:c>
      <x:c r="M6" s="16" t="str">
        <x:v>対象区間DD</x:v>
      </x:c>
      <x:c r="N6" s="16" t="str">
        <x:v>最大買い枚数</x:v>
      </x:c>
      <x:c r="O6" s="16" t="str">
        <x:v>最大売り枚数</x:v>
      </x:c>
      <x:c r="P6" s="16" t="str">
        <x:v>全夜新規件数</x:v>
      </x:c>
      <x:c r="Q6" s="16" t="str">
        <x:v>対象区間新規</x:v>
      </x:c>
      <x:c r="R6" s="16" t="str">
        <x:v>全新規枚数</x:v>
      </x:c>
      <x:c r="S6" s="16" t="str">
        <x:v>保有（分）</x:v>
      </x:c>
      <x:c r="T6" s="16" t="str">
        <x:v>両建て（分）</x:v>
      </x:c>
      <x:c r="U6" s="16" t="str">
        <x:v>買い上限（分）</x:v>
      </x:c>
      <x:c r="V6" s="16" t="str">
        <x:v>売り上限（分）</x:v>
      </x:c>
      <x:c r="W6" s="16" t="str">
        <x:v>上限拒否・縮小件数</x:v>
      </x:c>
      <x:c r="X6" s="16" t="str">
        <x:v>通知全拒否件数</x:v>
      </x:c>
      <x:c r="Y6" s="16" t="str">
        <x:v>実再参加件数</x:v>
      </x:c>
      <x:c r="Z6" s="17" t="str">
        <x:v>判断利益→実損失</x:v>
      </x:c>
    </x:row>
    <x:row r="7" ht="23" customHeight="1">
      <x:c r="A7" s="2" t="str">
        <x:v>2026-09-21_Night</x:v>
      </x:c>
      <x:c r="B7" s="19" t="n">
        <x:v>19000</x:v>
      </x:c>
      <x:c r="C7" s="19" t="n">
        <x:v>0</x:v>
      </x:c>
      <x:c r="D7" s="19" t="n">
        <x:f>B7-C7</x:f>
        <x:v>19000</x:v>
      </x:c>
      <x:c r="E7" s="19" t="n">
        <x:f>D7</x:f>
        <x:v>19000</x:v>
      </x:c>
      <x:c r="F7" s="19" t="n">
        <x:v>19000</x:v>
      </x:c>
      <x:c r="G7" s="19"/>
      <x:c r="H7" s="19" t="n">
        <x:v>19000</x:v>
      </x:c>
      <x:c r="I7" s="19" t="n">
        <x:v>0</x:v>
      </x:c>
      <x:c r="J7" s="19" t="n">
        <x:v>0</x:v>
      </x:c>
      <x:c r="K7" s="19" t="n">
        <x:v>0</x:v>
      </x:c>
      <x:c r="L7" s="19" t="n">
        <x:v>10000</x:v>
      </x:c>
      <x:c r="M7" s="19" t="n">
        <x:v>14000</x:v>
      </x:c>
      <x:c r="N7" s="20" t="n">
        <x:v>1</x:v>
      </x:c>
      <x:c r="O7" s="20" t="n">
        <x:v>0</x:v>
      </x:c>
      <x:c r="P7" s="20" t="n">
        <x:v>1</x:v>
      </x:c>
      <x:c r="Q7" s="20" t="n">
        <x:v>1</x:v>
      </x:c>
      <x:c r="R7" s="20" t="n">
        <x:v>1</x:v>
      </x:c>
      <x:c r="S7" s="21" t="n">
        <x:f>2201/60</x:f>
        <x:v>36.68333333333333</x:v>
      </x:c>
      <x:c r="T7" s="21" t="n">
        <x:f>0/60</x:f>
        <x:v>0</x:v>
      </x:c>
      <x:c r="U7" s="21" t="n">
        <x:f>0/60</x:f>
        <x:v>0</x:v>
      </x:c>
      <x:c r="V7" s="21" t="n">
        <x:f>0/60</x:f>
        <x:v>0</x:v>
      </x:c>
      <x:c r="W7" s="20" t="n">
        <x:v>0</x:v>
      </x:c>
      <x:c r="X7" s="20" t="n">
        <x:v>0</x:v>
      </x:c>
      <x:c r="Y7" s="20" t="n">
        <x:v>0</x:v>
      </x:c>
      <x:c r="Z7" s="20" t="n">
        <x:v>0</x:v>
      </x:c>
    </x:row>
    <x:row r="8" ht="23" customHeight="1">
      <x:c r="A8" s="2" t="str">
        <x:v>2026-09-22_Night</x:v>
      </x:c>
      <x:c r="B8" s="19" t="n">
        <x:v>16000</x:v>
      </x:c>
      <x:c r="C8" s="19" t="n">
        <x:v>0</x:v>
      </x:c>
      <x:c r="D8" s="19" t="n">
        <x:f>B8-C8</x:f>
        <x:v>16000</x:v>
      </x:c>
      <x:c r="E8" s="19" t="n">
        <x:f>E7+D8</x:f>
        <x:v>35000</x:v>
      </x:c>
      <x:c r="F8" s="19" t="n">
        <x:v>16000</x:v>
      </x:c>
      <x:c r="G8" s="19"/>
      <x:c r="H8" s="19" t="n">
        <x:v>16000</x:v>
      </x:c>
      <x:c r="I8" s="19" t="n">
        <x:v>0</x:v>
      </x:c>
      <x:c r="J8" s="19" t="n">
        <x:v>0</x:v>
      </x:c>
      <x:c r="K8" s="19" t="n">
        <x:v>0</x:v>
      </x:c>
      <x:c r="L8" s="19" t="n">
        <x:v>9000</x:v>
      </x:c>
      <x:c r="M8" s="19" t="n">
        <x:v>11000</x:v>
      </x:c>
      <x:c r="N8" s="20" t="n">
        <x:v>1</x:v>
      </x:c>
      <x:c r="O8" s="20" t="n">
        <x:v>0</x:v>
      </x:c>
      <x:c r="P8" s="20" t="n">
        <x:v>2</x:v>
      </x:c>
      <x:c r="Q8" s="20" t="n">
        <x:v>2</x:v>
      </x:c>
      <x:c r="R8" s="20" t="n">
        <x:v>2</x:v>
      </x:c>
      <x:c r="S8" s="21" t="n">
        <x:f>3265/60</x:f>
        <x:v>54.416666666666664</x:v>
      </x:c>
      <x:c r="T8" s="21" t="n">
        <x:f>0/60</x:f>
        <x:v>0</x:v>
      </x:c>
      <x:c r="U8" s="21" t="n">
        <x:f>0/60</x:f>
        <x:v>0</x:v>
      </x:c>
      <x:c r="V8" s="21" t="n">
        <x:f>0/60</x:f>
        <x:v>0</x:v>
      </x:c>
      <x:c r="W8" s="20" t="n">
        <x:v>0</x:v>
      </x:c>
      <x:c r="X8" s="20" t="n">
        <x:v>0</x:v>
      </x:c>
      <x:c r="Y8" s="20" t="n">
        <x:v>0</x:v>
      </x:c>
      <x:c r="Z8" s="20" t="n">
        <x:v>0</x:v>
      </x:c>
    </x:row>
    <x:row r="9" ht="23" customHeight="1">
      <x:c r="A9" s="2" t="str">
        <x:v>2026-09-23_Night</x:v>
      </x:c>
      <x:c r="B9" s="19" t="n">
        <x:v>23000</x:v>
      </x:c>
      <x:c r="C9" s="19" t="n">
        <x:v>0</x:v>
      </x:c>
      <x:c r="D9" s="19" t="n">
        <x:f>B9-C9</x:f>
        <x:v>23000</x:v>
      </x:c>
      <x:c r="E9" s="19" t="n">
        <x:f>E8+D9</x:f>
        <x:v>58000</x:v>
      </x:c>
      <x:c r="F9" s="19" t="n">
        <x:v>23000</x:v>
      </x:c>
      <x:c r="G9" s="19"/>
      <x:c r="H9" s="19" t="n">
        <x:v>23000</x:v>
      </x:c>
      <x:c r="I9" s="19" t="n">
        <x:v>0</x:v>
      </x:c>
      <x:c r="J9" s="19" t="n">
        <x:v>0</x:v>
      </x:c>
      <x:c r="K9" s="19" t="n">
        <x:v>0</x:v>
      </x:c>
      <x:c r="L9" s="19" t="n">
        <x:v>11000</x:v>
      </x:c>
      <x:c r="M9" s="19" t="n">
        <x:v>12000</x:v>
      </x:c>
      <x:c r="N9" s="20" t="n">
        <x:v>2</x:v>
      </x:c>
      <x:c r="O9" s="20" t="n">
        <x:v>1</x:v>
      </x:c>
      <x:c r="P9" s="20" t="n">
        <x:v>3</x:v>
      </x:c>
      <x:c r="Q9" s="20" t="n">
        <x:v>3</x:v>
      </x:c>
      <x:c r="R9" s="20" t="n">
        <x:v>3</x:v>
      </x:c>
      <x:c r="S9" s="21" t="n">
        <x:f>1957/60</x:f>
        <x:v>32.61666666666667</x:v>
      </x:c>
      <x:c r="T9" s="21" t="n">
        <x:f>0/60</x:f>
        <x:v>0</x:v>
      </x:c>
      <x:c r="U9" s="21" t="n">
        <x:f>0/60</x:f>
        <x:v>0</x:v>
      </x:c>
      <x:c r="V9" s="21" t="n">
        <x:f>0/60</x:f>
        <x:v>0</x:v>
      </x:c>
      <x:c r="W9" s="20" t="n">
        <x:v>0</x:v>
      </x:c>
      <x:c r="X9" s="20" t="n">
        <x:v>0</x:v>
      </x:c>
      <x:c r="Y9" s="20" t="n">
        <x:v>0</x:v>
      </x:c>
      <x:c r="Z9" s="20" t="n">
        <x:v>0</x:v>
      </x:c>
    </x:row>
    <x:row r="10" ht="23" customHeight="1">
      <x:c r="A10" s="2" t="str">
        <x:v>2026-09-24_Night</x:v>
      </x:c>
      <x:c r="B10" s="19" t="n">
        <x:v>27000</x:v>
      </x:c>
      <x:c r="C10" s="19" t="n">
        <x:v>0</x:v>
      </x:c>
      <x:c r="D10" s="19" t="n">
        <x:f>B10-C10</x:f>
        <x:v>27000</x:v>
      </x:c>
      <x:c r="E10" s="19" t="n">
        <x:f>E9+D10</x:f>
        <x:v>85000</x:v>
      </x:c>
      <x:c r="F10" s="19" t="n">
        <x:v>27000</x:v>
      </x:c>
      <x:c r="G10" s="19"/>
      <x:c r="H10" s="19" t="n">
        <x:v>27000</x:v>
      </x:c>
      <x:c r="I10" s="19" t="n">
        <x:v>0</x:v>
      </x:c>
      <x:c r="J10" s="19" t="n">
        <x:v>0</x:v>
      </x:c>
      <x:c r="K10" s="19" t="n">
        <x:v>0</x:v>
      </x:c>
      <x:c r="L10" s="19" t="n">
        <x:v>17000</x:v>
      </x:c>
      <x:c r="M10" s="19" t="n">
        <x:v>18000</x:v>
      </x:c>
      <x:c r="N10" s="20" t="n">
        <x:v>1</x:v>
      </x:c>
      <x:c r="O10" s="20" t="n">
        <x:v>2</x:v>
      </x:c>
      <x:c r="P10" s="20" t="n">
        <x:v>4</x:v>
      </x:c>
      <x:c r="Q10" s="20" t="n">
        <x:v>4</x:v>
      </x:c>
      <x:c r="R10" s="20" t="n">
        <x:v>4</x:v>
      </x:c>
      <x:c r="S10" s="21" t="n">
        <x:f>7579/60</x:f>
        <x:v>126.31666666666666</x:v>
      </x:c>
      <x:c r="T10" s="21" t="n">
        <x:f>0/60</x:f>
        <x:v>0</x:v>
      </x:c>
      <x:c r="U10" s="21" t="n">
        <x:f>0/60</x:f>
        <x:v>0</x:v>
      </x:c>
      <x:c r="V10" s="21" t="n">
        <x:f>0/60</x:f>
        <x:v>0</x:v>
      </x:c>
      <x:c r="W10" s="20" t="n">
        <x:v>0</x:v>
      </x:c>
      <x:c r="X10" s="20" t="n">
        <x:v>0</x:v>
      </x:c>
      <x:c r="Y10" s="20" t="n">
        <x:v>0</x:v>
      </x:c>
      <x:c r="Z10" s="20" t="n">
        <x:v>0</x:v>
      </x:c>
    </x:row>
    <x:row r="11" ht="23" customHeight="1">
      <x:c r="A11" s="2" t="str">
        <x:v>2026-09-25_Night</x:v>
      </x:c>
      <x:c r="B11" s="19" t="n">
        <x:v>30000</x:v>
      </x:c>
      <x:c r="C11" s="19" t="n">
        <x:v>0</x:v>
      </x:c>
      <x:c r="D11" s="19" t="n">
        <x:f>B11-C11</x:f>
        <x:v>30000</x:v>
      </x:c>
      <x:c r="E11" s="19" t="n">
        <x:f>E10+D11</x:f>
        <x:v>115000</x:v>
      </x:c>
      <x:c r="F11" s="19" t="n">
        <x:v>30000</x:v>
      </x:c>
      <x:c r="G11" s="19"/>
      <x:c r="H11" s="19" t="n">
        <x:v>30000</x:v>
      </x:c>
      <x:c r="I11" s="19" t="n">
        <x:v>0</x:v>
      </x:c>
      <x:c r="J11" s="19" t="n">
        <x:v>0</x:v>
      </x:c>
      <x:c r="K11" s="19" t="n">
        <x:v>0</x:v>
      </x:c>
      <x:c r="L11" s="19" t="n">
        <x:v>27000</x:v>
      </x:c>
      <x:c r="M11" s="19" t="n">
        <x:v>28000</x:v>
      </x:c>
      <x:c r="N11" s="20" t="n">
        <x:v>1</x:v>
      </x:c>
      <x:c r="O11" s="20" t="n">
        <x:v>1</x:v>
      </x:c>
      <x:c r="P11" s="20" t="n">
        <x:v>2</x:v>
      </x:c>
      <x:c r="Q11" s="20" t="n">
        <x:v>2</x:v>
      </x:c>
      <x:c r="R11" s="20" t="n">
        <x:v>2</x:v>
      </x:c>
      <x:c r="S11" s="21" t="n">
        <x:f>8179/60</x:f>
        <x:v>136.31666666666666</x:v>
      </x:c>
      <x:c r="T11" s="21" t="n">
        <x:f>232/60</x:f>
        <x:v>3.8666666666666667</x:v>
      </x:c>
      <x:c r="U11" s="21" t="n">
        <x:f>0/60</x:f>
        <x:v>0</x:v>
      </x:c>
      <x:c r="V11" s="21" t="n">
        <x:f>0/60</x:f>
        <x:v>0</x:v>
      </x:c>
      <x:c r="W11" s="20" t="n">
        <x:v>0</x:v>
      </x:c>
      <x:c r="X11" s="20" t="n">
        <x:v>0</x:v>
      </x:c>
      <x:c r="Y11" s="20" t="n">
        <x:v>0</x:v>
      </x:c>
      <x:c r="Z11" s="20" t="n">
        <x:v>0</x:v>
      </x:c>
    </x:row>
    <x:row r="12" ht="23" customHeight="1">
      <x:c r="A12" s="2" t="str">
        <x:v>2026-09-28_Night</x:v>
      </x:c>
      <x:c r="B12" s="19" t="n">
        <x:v>68000</x:v>
      </x:c>
      <x:c r="C12" s="19" t="n">
        <x:v>0</x:v>
      </x:c>
      <x:c r="D12" s="19" t="n">
        <x:f>B12-C12</x:f>
        <x:v>68000</x:v>
      </x:c>
      <x:c r="E12" s="19" t="n">
        <x:f>E11+D12</x:f>
        <x:v>183000</x:v>
      </x:c>
      <x:c r="F12" s="19" t="n">
        <x:v>68000</x:v>
      </x:c>
      <x:c r="G12" s="19"/>
      <x:c r="H12" s="19" t="n">
        <x:v>68000</x:v>
      </x:c>
      <x:c r="I12" s="19" t="n">
        <x:v>0</x:v>
      </x:c>
      <x:c r="J12" s="19" t="n">
        <x:v>0</x:v>
      </x:c>
      <x:c r="K12" s="19" t="n">
        <x:v>0</x:v>
      </x:c>
      <x:c r="L12" s="19" t="n">
        <x:v>126000</x:v>
      </x:c>
      <x:c r="M12" s="19" t="n">
        <x:v>105000</x:v>
      </x:c>
      <x:c r="N12" s="20" t="n">
        <x:v>2</x:v>
      </x:c>
      <x:c r="O12" s="20" t="n">
        <x:v>1</x:v>
      </x:c>
      <x:c r="P12" s="20" t="n">
        <x:v>5</x:v>
      </x:c>
      <x:c r="Q12" s="20" t="n">
        <x:v>5</x:v>
      </x:c>
      <x:c r="R12" s="20" t="n">
        <x:v>5</x:v>
      </x:c>
      <x:c r="S12" s="21" t="n">
        <x:f>11756/60</x:f>
        <x:v>195.93333333333334</x:v>
      </x:c>
      <x:c r="T12" s="21" t="n">
        <x:f>2400/60</x:f>
        <x:v>40</x:v>
      </x:c>
      <x:c r="U12" s="21" t="n">
        <x:f>0/60</x:f>
        <x:v>0</x:v>
      </x:c>
      <x:c r="V12" s="21" t="n">
        <x:f>0/60</x:f>
        <x:v>0</x:v>
      </x:c>
      <x:c r="W12" s="20" t="n">
        <x:v>0</x:v>
      </x:c>
      <x:c r="X12" s="20" t="n">
        <x:v>0</x:v>
      </x:c>
      <x:c r="Y12" s="20" t="n">
        <x:v>0</x:v>
      </x:c>
      <x:c r="Z12" s="20" t="n">
        <x:v>0</x:v>
      </x:c>
    </x:row>
    <x:row r="13" ht="23" customHeight="1">
      <x:c r="A13" s="2" t="str">
        <x:v>2026-09-29_Night</x:v>
      </x:c>
      <x:c r="B13" s="19" t="n">
        <x:v>37000</x:v>
      </x:c>
      <x:c r="C13" s="19" t="n">
        <x:v>47000</x:v>
      </x:c>
      <x:c r="D13" s="19" t="n">
        <x:f>B13-C13</x:f>
        <x:v>-10000</x:v>
      </x:c>
      <x:c r="E13" s="19" t="n">
        <x:f>E12+D13</x:f>
        <x:v>173000</x:v>
      </x:c>
      <x:c r="F13" s="19" t="n">
        <x:v>-10000</x:v>
      </x:c>
      <x:c r="G13" s="19"/>
      <x:c r="H13" s="19" t="n">
        <x:v>37000</x:v>
      </x:c>
      <x:c r="I13" s="19" t="n">
        <x:v>0</x:v>
      </x:c>
      <x:c r="J13" s="19" t="n">
        <x:v>0</x:v>
      </x:c>
      <x:c r="K13" s="19" t="n">
        <x:v>47000</x:v>
      </x:c>
      <x:c r="L13" s="19" t="n">
        <x:v>61000</x:v>
      </x:c>
      <x:c r="M13" s="19" t="n">
        <x:v>61000</x:v>
      </x:c>
      <x:c r="N13" s="20" t="n">
        <x:v>1</x:v>
      </x:c>
      <x:c r="O13" s="20" t="n">
        <x:v>3</x:v>
      </x:c>
      <x:c r="P13" s="20" t="n">
        <x:v>6</x:v>
      </x:c>
      <x:c r="Q13" s="20" t="n">
        <x:v>6</x:v>
      </x:c>
      <x:c r="R13" s="20" t="n">
        <x:v>6</x:v>
      </x:c>
      <x:c r="S13" s="21" t="n">
        <x:f>24658/60</x:f>
        <x:v>410.96666666666664</x:v>
      </x:c>
      <x:c r="T13" s="21" t="n">
        <x:f>16964/60</x:f>
        <x:v>282.73333333333335</x:v>
      </x:c>
      <x:c r="U13" s="21" t="n">
        <x:f>0/60</x:f>
        <x:v>0</x:v>
      </x:c>
      <x:c r="V13" s="21" t="n">
        <x:f>0/60</x:f>
        <x:v>0</x:v>
      </x:c>
      <x:c r="W13" s="20" t="n">
        <x:v>0</x:v>
      </x:c>
      <x:c r="X13" s="20" t="n">
        <x:v>0</x:v>
      </x:c>
      <x:c r="Y13" s="20" t="n">
        <x:v>0</x:v>
      </x:c>
      <x:c r="Z13" s="20" t="n">
        <x:v>0</x:v>
      </x:c>
    </x:row>
    <x:row r="14" ht="23" customHeight="1">
      <x:c r="A14" s="2" t="str">
        <x:v>2026-09-30_Night</x:v>
      </x:c>
      <x:c r="B14" s="19" t="n">
        <x:v>46000</x:v>
      </x:c>
      <x:c r="C14" s="19" t="n">
        <x:v>0</x:v>
      </x:c>
      <x:c r="D14" s="19" t="n">
        <x:f>B14-C14</x:f>
        <x:v>46000</x:v>
      </x:c>
      <x:c r="E14" s="19" t="n">
        <x:f>E13+D14</x:f>
        <x:v>219000</x:v>
      </x:c>
      <x:c r="F14" s="19" t="n">
        <x:v>46000</x:v>
      </x:c>
      <x:c r="G14" s="19"/>
      <x:c r="H14" s="19" t="n">
        <x:v>46000</x:v>
      </x:c>
      <x:c r="I14" s="19" t="n">
        <x:v>0</x:v>
      </x:c>
      <x:c r="J14" s="19" t="n">
        <x:v>0</x:v>
      </x:c>
      <x:c r="K14" s="19" t="n">
        <x:v>0</x:v>
      </x:c>
      <x:c r="L14" s="19" t="n">
        <x:v>18000</x:v>
      </x:c>
      <x:c r="M14" s="19" t="n">
        <x:v>22000</x:v>
      </x:c>
      <x:c r="N14" s="20" t="n">
        <x:v>2</x:v>
      </x:c>
      <x:c r="O14" s="20" t="n">
        <x:v>1</x:v>
      </x:c>
      <x:c r="P14" s="20" t="n">
        <x:v>6</x:v>
      </x:c>
      <x:c r="Q14" s="20" t="n">
        <x:v>6</x:v>
      </x:c>
      <x:c r="R14" s="20" t="n">
        <x:v>6</x:v>
      </x:c>
      <x:c r="S14" s="21" t="n">
        <x:f>4986/60</x:f>
        <x:v>83.1</x:v>
      </x:c>
      <x:c r="T14" s="21" t="n">
        <x:f>0/60</x:f>
        <x:v>0</x:v>
      </x:c>
      <x:c r="U14" s="21" t="n">
        <x:f>0/60</x:f>
        <x:v>0</x:v>
      </x:c>
      <x:c r="V14" s="21" t="n">
        <x:f>0/60</x:f>
        <x:v>0</x:v>
      </x:c>
      <x:c r="W14" s="20" t="n">
        <x:v>0</x:v>
      </x:c>
      <x:c r="X14" s="20" t="n">
        <x:v>0</x:v>
      </x:c>
      <x:c r="Y14" s="20" t="n">
        <x:v>0</x:v>
      </x:c>
      <x:c r="Z14" s="20" t="n">
        <x:v>0</x:v>
      </x:c>
    </x:row>
    <x:row r="15" ht="23" customHeight="1">
      <x:c r="A15" s="2" t="str">
        <x:v>2026-10-01_Night</x:v>
      </x:c>
      <x:c r="B15" s="19" t="n">
        <x:v>110000</x:v>
      </x:c>
      <x:c r="C15" s="19" t="n">
        <x:v>23000</x:v>
      </x:c>
      <x:c r="D15" s="19" t="n">
        <x:f>B15-C15</x:f>
        <x:v>87000</x:v>
      </x:c>
      <x:c r="E15" s="19" t="n">
        <x:f>E14+D15</x:f>
        <x:v>306000</x:v>
      </x:c>
      <x:c r="F15" s="19" t="n">
        <x:v>87000</x:v>
      </x:c>
      <x:c r="G15" s="19"/>
      <x:c r="H15" s="19" t="n">
        <x:v>110000</x:v>
      </x:c>
      <x:c r="I15" s="19" t="n">
        <x:v>0</x:v>
      </x:c>
      <x:c r="J15" s="19" t="n">
        <x:v>0</x:v>
      </x:c>
      <x:c r="K15" s="19" t="n">
        <x:v>23000</x:v>
      </x:c>
      <x:c r="L15" s="19" t="n">
        <x:v>134000</x:v>
      </x:c>
      <x:c r="M15" s="19" t="n">
        <x:v>94000</x:v>
      </x:c>
      <x:c r="N15" s="20" t="n">
        <x:v>4</x:v>
      </x:c>
      <x:c r="O15" s="20" t="n">
        <x:v>3</x:v>
      </x:c>
      <x:c r="P15" s="20" t="n">
        <x:v>16</x:v>
      </x:c>
      <x:c r="Q15" s="20" t="n">
        <x:v>16</x:v>
      </x:c>
      <x:c r="R15" s="20" t="n">
        <x:v>16</x:v>
      </x:c>
      <x:c r="S15" s="21" t="n">
        <x:f>40049/60</x:f>
        <x:v>667.4833333333333</x:v>
      </x:c>
      <x:c r="T15" s="21" t="n">
        <x:f>8595/60</x:f>
        <x:v>143.25</x:v>
      </x:c>
      <x:c r="U15" s="21" t="n">
        <x:f>0/60</x:f>
        <x:v>0</x:v>
      </x:c>
      <x:c r="V15" s="21" t="n">
        <x:f>0/60</x:f>
        <x:v>0</x:v>
      </x:c>
      <x:c r="W15" s="20" t="n">
        <x:v>0</x:v>
      </x:c>
      <x:c r="X15" s="20" t="n">
        <x:v>0</x:v>
      </x:c>
      <x:c r="Y15" s="20" t="n">
        <x:v>0</x:v>
      </x:c>
      <x:c r="Z15" s="20" t="n">
        <x:v>0</x:v>
      </x:c>
    </x:row>
    <x:row r="16" ht="23" customHeight="1">
      <x:c r="A16" s="2" t="str">
        <x:v>2026-10-02_Night</x:v>
      </x:c>
      <x:c r="B16" s="19" t="n">
        <x:v>89000</x:v>
      </x:c>
      <x:c r="C16" s="19" t="n">
        <x:v>53000</x:v>
      </x:c>
      <x:c r="D16" s="19" t="n">
        <x:f>B16-C16</x:f>
        <x:v>36000</x:v>
      </x:c>
      <x:c r="E16" s="19" t="n">
        <x:f>E15+D16</x:f>
        <x:v>342000</x:v>
      </x:c>
      <x:c r="F16" s="19" t="n">
        <x:v>36000</x:v>
      </x:c>
      <x:c r="G16" s="19"/>
      <x:c r="H16" s="19" t="n">
        <x:v>89000</x:v>
      </x:c>
      <x:c r="I16" s="19" t="n">
        <x:v>0</x:v>
      </x:c>
      <x:c r="J16" s="19" t="n">
        <x:v>0</x:v>
      </x:c>
      <x:c r="K16" s="19" t="n">
        <x:v>53000</x:v>
      </x:c>
      <x:c r="L16" s="19" t="n">
        <x:v>85000</x:v>
      </x:c>
      <x:c r="M16" s="19" t="n">
        <x:v>89000</x:v>
      </x:c>
      <x:c r="N16" s="20" t="n">
        <x:v>2</x:v>
      </x:c>
      <x:c r="O16" s="20" t="n">
        <x:v>4</x:v>
      </x:c>
      <x:c r="P16" s="20" t="n">
        <x:v>15</x:v>
      </x:c>
      <x:c r="Q16" s="20" t="n">
        <x:v>15</x:v>
      </x:c>
      <x:c r="R16" s="20" t="n">
        <x:v>15</x:v>
      </x:c>
      <x:c r="S16" s="21" t="n">
        <x:f>24781/60</x:f>
        <x:v>413.01666666666665</x:v>
      </x:c>
      <x:c r="T16" s="21" t="n">
        <x:f>289/60</x:f>
        <x:v>4.816666666666666</x:v>
      </x:c>
      <x:c r="U16" s="21" t="n">
        <x:f>0/60</x:f>
        <x:v>0</x:v>
      </x:c>
      <x:c r="V16" s="21" t="n">
        <x:f>0/60</x:f>
        <x:v>0</x:v>
      </x:c>
      <x:c r="W16" s="20" t="n">
        <x:v>0</x:v>
      </x:c>
      <x:c r="X16" s="20" t="n">
        <x:v>0</x:v>
      </x:c>
      <x:c r="Y16" s="20" t="n">
        <x:v>0</x:v>
      </x:c>
      <x:c r="Z16" s="20" t="n">
        <x:v>0</x:v>
      </x:c>
    </x:row>
    <x:row r="17" ht="23" customHeight="1">
      <x:c r="A17" s="2" t="str">
        <x:v>2026-10-05_Night</x:v>
      </x:c>
      <x:c r="B17" s="19" t="n">
        <x:v>29000</x:v>
      </x:c>
      <x:c r="C17" s="19" t="n">
        <x:v>22000</x:v>
      </x:c>
      <x:c r="D17" s="19" t="n">
        <x:f>B17-C17</x:f>
        <x:v>7000</x:v>
      </x:c>
      <x:c r="E17" s="19" t="n">
        <x:f>E16+D17</x:f>
        <x:v>349000</x:v>
      </x:c>
      <x:c r="F17" s="19" t="n">
        <x:v>7000</x:v>
      </x:c>
      <x:c r="G17" s="19"/>
      <x:c r="H17" s="19" t="n">
        <x:v>27000</x:v>
      </x:c>
      <x:c r="I17" s="19" t="n">
        <x:v>0</x:v>
      </x:c>
      <x:c r="J17" s="19" t="n">
        <x:v>2000</x:v>
      </x:c>
      <x:c r="K17" s="19" t="n">
        <x:v>22000</x:v>
      </x:c>
      <x:c r="L17" s="19" t="n">
        <x:v>33000</x:v>
      </x:c>
      <x:c r="M17" s="19" t="n">
        <x:v>41000</x:v>
      </x:c>
      <x:c r="N17" s="20" t="n">
        <x:v>3</x:v>
      </x:c>
      <x:c r="O17" s="20" t="n">
        <x:v>1</x:v>
      </x:c>
      <x:c r="P17" s="20" t="n">
        <x:v>8</x:v>
      </x:c>
      <x:c r="Q17" s="20" t="n">
        <x:v>8</x:v>
      </x:c>
      <x:c r="R17" s="20" t="n">
        <x:v>8</x:v>
      </x:c>
      <x:c r="S17" s="21" t="n">
        <x:f>22674/60</x:f>
        <x:v>377.9</x:v>
      </x:c>
      <x:c r="T17" s="21" t="n">
        <x:f>20308/60</x:f>
        <x:v>338.46666666666664</x:v>
      </x:c>
      <x:c r="U17" s="21" t="n">
        <x:f>0/60</x:f>
        <x:v>0</x:v>
      </x:c>
      <x:c r="V17" s="21" t="n">
        <x:f>0/60</x:f>
        <x:v>0</x:v>
      </x:c>
      <x:c r="W17" s="20" t="n">
        <x:v>0</x:v>
      </x:c>
      <x:c r="X17" s="20" t="n">
        <x:v>0</x:v>
      </x:c>
      <x:c r="Y17" s="20" t="n">
        <x:v>0</x:v>
      </x:c>
      <x:c r="Z17" s="20" t="n">
        <x:v>0</x:v>
      </x:c>
    </x:row>
    <x:row r="18" ht="23" customHeight="1">
      <x:c r="A18" s="2" t="str">
        <x:v>2026-10-06_Night</x:v>
      </x:c>
      <x:c r="B18" s="19" t="n">
        <x:v>21000</x:v>
      </x:c>
      <x:c r="C18" s="19" t="n">
        <x:v>0</x:v>
      </x:c>
      <x:c r="D18" s="19" t="n">
        <x:f>B18-C18</x:f>
        <x:v>21000</x:v>
      </x:c>
      <x:c r="E18" s="19" t="n">
        <x:f>E17+D18</x:f>
        <x:v>370000</x:v>
      </x:c>
      <x:c r="F18" s="19" t="n">
        <x:v>21000</x:v>
      </x:c>
      <x:c r="G18" s="19"/>
      <x:c r="H18" s="19" t="n">
        <x:v>21000</x:v>
      </x:c>
      <x:c r="I18" s="19" t="n">
        <x:v>0</x:v>
      </x:c>
      <x:c r="J18" s="19" t="n">
        <x:v>0</x:v>
      </x:c>
      <x:c r="K18" s="19" t="n">
        <x:v>0</x:v>
      </x:c>
      <x:c r="L18" s="19" t="n">
        <x:v>23000</x:v>
      </x:c>
      <x:c r="M18" s="19" t="n">
        <x:v>25000</x:v>
      </x:c>
      <x:c r="N18" s="20" t="n">
        <x:v>0</x:v>
      </x:c>
      <x:c r="O18" s="20" t="n">
        <x:v>3</x:v>
      </x:c>
      <x:c r="P18" s="20" t="n">
        <x:v>4</x:v>
      </x:c>
      <x:c r="Q18" s="20" t="n">
        <x:v>4</x:v>
      </x:c>
      <x:c r="R18" s="20" t="n">
        <x:v>4</x:v>
      </x:c>
      <x:c r="S18" s="21" t="n">
        <x:f>5869/60</x:f>
        <x:v>97.81666666666666</x:v>
      </x:c>
      <x:c r="T18" s="21" t="n">
        <x:f>0/60</x:f>
        <x:v>0</x:v>
      </x:c>
      <x:c r="U18" s="21" t="n">
        <x:f>0/60</x:f>
        <x:v>0</x:v>
      </x:c>
      <x:c r="V18" s="21" t="n">
        <x:f>0/60</x:f>
        <x:v>0</x:v>
      </x:c>
      <x:c r="W18" s="20" t="n">
        <x:v>0</x:v>
      </x:c>
      <x:c r="X18" s="20" t="n">
        <x:v>0</x:v>
      </x:c>
      <x:c r="Y18" s="20" t="n">
        <x:v>0</x:v>
      </x:c>
      <x:c r="Z18" s="20" t="n">
        <x:v>0</x:v>
      </x:c>
    </x:row>
    <x:row r="19" ht="23" customHeight="1">
      <x:c r="A19" s="2" t="str">
        <x:v>2026-10-07_Night</x:v>
      </x:c>
      <x:c r="B19" s="19" t="n">
        <x:v>9000</x:v>
      </x:c>
      <x:c r="C19" s="19" t="n">
        <x:v>57000</x:v>
      </x:c>
      <x:c r="D19" s="19" t="n">
        <x:f>B19-C19</x:f>
        <x:v>-48000</x:v>
      </x:c>
      <x:c r="E19" s="19" t="n">
        <x:f>E18+D19</x:f>
        <x:v>322000</x:v>
      </x:c>
      <x:c r="F19" s="19" t="n">
        <x:v>-48000</x:v>
      </x:c>
      <x:c r="G19" s="19"/>
      <x:c r="H19" s="19" t="n">
        <x:v>9000</x:v>
      </x:c>
      <x:c r="I19" s="19" t="n">
        <x:v>0</x:v>
      </x:c>
      <x:c r="J19" s="19" t="n">
        <x:v>0</x:v>
      </x:c>
      <x:c r="K19" s="19" t="n">
        <x:v>57000</x:v>
      </x:c>
      <x:c r="L19" s="19" t="n">
        <x:v>123000</x:v>
      </x:c>
      <x:c r="M19" s="19" t="n">
        <x:v>127000</x:v>
      </x:c>
      <x:c r="N19" s="20" t="n">
        <x:v>2</x:v>
      </x:c>
      <x:c r="O19" s="20" t="n">
        <x:v>2</x:v>
      </x:c>
      <x:c r="P19" s="20" t="n">
        <x:v>5</x:v>
      </x:c>
      <x:c r="Q19" s="20" t="n">
        <x:v>5</x:v>
      </x:c>
      <x:c r="R19" s="20" t="n">
        <x:v>5</x:v>
      </x:c>
      <x:c r="S19" s="21" t="n">
        <x:f>34697/60</x:f>
        <x:v>578.2833333333333</x:v>
      </x:c>
      <x:c r="T19" s="21" t="n">
        <x:f>19943/60</x:f>
        <x:v>332.3833333333333</x:v>
      </x:c>
      <x:c r="U19" s="21" t="n">
        <x:f>0/60</x:f>
        <x:v>0</x:v>
      </x:c>
      <x:c r="V19" s="21" t="n">
        <x:f>0/60</x:f>
        <x:v>0</x:v>
      </x:c>
      <x:c r="W19" s="20" t="n">
        <x:v>0</x:v>
      </x:c>
      <x:c r="X19" s="20" t="n">
        <x:v>0</x:v>
      </x:c>
      <x:c r="Y19" s="20" t="n">
        <x:v>0</x:v>
      </x:c>
      <x:c r="Z19" s="20" t="n">
        <x:v>0</x:v>
      </x:c>
    </x:row>
    <x:row r="20" ht="23" customHeight="1">
      <x:c r="A20" s="2" t="str">
        <x:v>2026-10-08_Night</x:v>
      </x:c>
      <x:c r="B20" s="19" t="n">
        <x:v>115000</x:v>
      </x:c>
      <x:c r="C20" s="19" t="n">
        <x:v>120000</x:v>
      </x:c>
      <x:c r="D20" s="19" t="n">
        <x:f>B20-C20</x:f>
        <x:v>-5000</x:v>
      </x:c>
      <x:c r="E20" s="19" t="n">
        <x:f>E19+D20</x:f>
        <x:v>317000</x:v>
      </x:c>
      <x:c r="F20" s="19" t="n">
        <x:v>-5000</x:v>
      </x:c>
      <x:c r="G20" s="19"/>
      <x:c r="H20" s="19" t="n">
        <x:v>115000</x:v>
      </x:c>
      <x:c r="I20" s="19" t="n">
        <x:v>0</x:v>
      </x:c>
      <x:c r="J20" s="19" t="n">
        <x:v>0</x:v>
      </x:c>
      <x:c r="K20" s="19" t="n">
        <x:v>120000</x:v>
      </x:c>
      <x:c r="L20" s="19" t="n">
        <x:v>126000</x:v>
      </x:c>
      <x:c r="M20" s="19" t="n">
        <x:v>110000</x:v>
      </x:c>
      <x:c r="N20" s="20" t="n">
        <x:v>4</x:v>
      </x:c>
      <x:c r="O20" s="20" t="n">
        <x:v>2</x:v>
      </x:c>
      <x:c r="P20" s="20" t="n">
        <x:v>17</x:v>
      </x:c>
      <x:c r="Q20" s="20" t="n">
        <x:v>17</x:v>
      </x:c>
      <x:c r="R20" s="20" t="n">
        <x:v>17</x:v>
      </x:c>
      <x:c r="S20" s="21" t="n">
        <x:f>23578/60</x:f>
        <x:v>392.96666666666664</x:v>
      </x:c>
      <x:c r="T20" s="21" t="n">
        <x:f>12570/60</x:f>
        <x:v>209.5</x:v>
      </x:c>
      <x:c r="U20" s="21" t="n">
        <x:f>0/60</x:f>
        <x:v>0</x:v>
      </x:c>
      <x:c r="V20" s="21" t="n">
        <x:f>0/60</x:f>
        <x:v>0</x:v>
      </x:c>
      <x:c r="W20" s="20" t="n">
        <x:v>0</x:v>
      </x:c>
      <x:c r="X20" s="20" t="n">
        <x:v>0</x:v>
      </x:c>
      <x:c r="Y20" s="20" t="n">
        <x:v>0</x:v>
      </x:c>
      <x:c r="Z20" s="20" t="n">
        <x:v>0</x:v>
      </x:c>
    </x:row>
    <x:row r="21" ht="23" customHeight="1">
      <x:c r="A21" s="2" t="str">
        <x:v>2026-10-09_Night</x:v>
      </x:c>
      <x:c r="B21" s="19" t="n">
        <x:v>12000</x:v>
      </x:c>
      <x:c r="C21" s="19" t="n">
        <x:v>0</x:v>
      </x:c>
      <x:c r="D21" s="19" t="n">
        <x:f>B21-C21</x:f>
        <x:v>12000</x:v>
      </x:c>
      <x:c r="E21" s="19" t="n">
        <x:f>E20+D21</x:f>
        <x:v>329000</x:v>
      </x:c>
      <x:c r="F21" s="19" t="n">
        <x:v>12000</x:v>
      </x:c>
      <x:c r="G21" s="19"/>
      <x:c r="H21" s="19" t="n">
        <x:v>12000</x:v>
      </x:c>
      <x:c r="I21" s="19" t="n">
        <x:v>0</x:v>
      </x:c>
      <x:c r="J21" s="19" t="n">
        <x:v>0</x:v>
      </x:c>
      <x:c r="K21" s="19" t="n">
        <x:v>0</x:v>
      </x:c>
      <x:c r="L21" s="19" t="n">
        <x:v>23000</x:v>
      </x:c>
      <x:c r="M21" s="19" t="n">
        <x:v>28000</x:v>
      </x:c>
      <x:c r="N21" s="20" t="n">
        <x:v>0</x:v>
      </x:c>
      <x:c r="O21" s="20" t="n">
        <x:v>1</x:v>
      </x:c>
      <x:c r="P21" s="20" t="n">
        <x:v>3</x:v>
      </x:c>
      <x:c r="Q21" s="20" t="n">
        <x:v>3</x:v>
      </x:c>
      <x:c r="R21" s="20" t="n">
        <x:v>3</x:v>
      </x:c>
      <x:c r="S21" s="21" t="n">
        <x:f>6739/60</x:f>
        <x:v>112.31666666666666</x:v>
      </x:c>
      <x:c r="T21" s="21" t="n">
        <x:f>0/60</x:f>
        <x:v>0</x:v>
      </x:c>
      <x:c r="U21" s="21" t="n">
        <x:f>0/60</x:f>
        <x:v>0</x:v>
      </x:c>
      <x:c r="V21" s="21" t="n">
        <x:f>0/60</x:f>
        <x:v>0</x:v>
      </x:c>
      <x:c r="W21" s="20" t="n">
        <x:v>0</x:v>
      </x:c>
      <x:c r="X21" s="20" t="n">
        <x:v>0</x:v>
      </x:c>
      <x:c r="Y21" s="20" t="n">
        <x:v>0</x:v>
      </x:c>
      <x:c r="Z21" s="20" t="n">
        <x:v>0</x:v>
      </x:c>
    </x:row>
    <x:row r="22" ht="23" customHeight="1">
      <x:c r="A22" s="2" t="str">
        <x:v>2026-10-12_Night</x:v>
      </x:c>
      <x:c r="B22" s="19" t="n">
        <x:v>19000</x:v>
      </x:c>
      <x:c r="C22" s="19" t="n">
        <x:v>0</x:v>
      </x:c>
      <x:c r="D22" s="19" t="n">
        <x:f>B22-C22</x:f>
        <x:v>19000</x:v>
      </x:c>
      <x:c r="E22" s="19" t="n">
        <x:f>E21+D22</x:f>
        <x:v>348000</x:v>
      </x:c>
      <x:c r="F22" s="19" t="n">
        <x:v>19000</x:v>
      </x:c>
      <x:c r="G22" s="19"/>
      <x:c r="H22" s="19" t="n">
        <x:v>19000</x:v>
      </x:c>
      <x:c r="I22" s="19" t="n">
        <x:v>0</x:v>
      </x:c>
      <x:c r="J22" s="19" t="n">
        <x:v>0</x:v>
      </x:c>
      <x:c r="K22" s="19" t="n">
        <x:v>0</x:v>
      </x:c>
      <x:c r="L22" s="19" t="n">
        <x:v>2000</x:v>
      </x:c>
      <x:c r="M22" s="19" t="n">
        <x:v>4000</x:v>
      </x:c>
      <x:c r="N22" s="20" t="n">
        <x:v>0</x:v>
      </x:c>
      <x:c r="O22" s="20" t="n">
        <x:v>1</x:v>
      </x:c>
      <x:c r="P22" s="20" t="n">
        <x:v>1</x:v>
      </x:c>
      <x:c r="Q22" s="20" t="n">
        <x:v>1</x:v>
      </x:c>
      <x:c r="R22" s="20" t="n">
        <x:v>1</x:v>
      </x:c>
      <x:c r="S22" s="21" t="n">
        <x:f>639/60</x:f>
        <x:v>10.65</x:v>
      </x:c>
      <x:c r="T22" s="21" t="n">
        <x:f>0/60</x:f>
        <x:v>0</x:v>
      </x:c>
      <x:c r="U22" s="21" t="n">
        <x:f>0/60</x:f>
        <x:v>0</x:v>
      </x:c>
      <x:c r="V22" s="21" t="n">
        <x:f>0/60</x:f>
        <x:v>0</x:v>
      </x:c>
      <x:c r="W22" s="20" t="n">
        <x:v>0</x:v>
      </x:c>
      <x:c r="X22" s="20" t="n">
        <x:v>0</x:v>
      </x:c>
      <x:c r="Y22" s="20" t="n">
        <x:v>0</x:v>
      </x:c>
      <x:c r="Z22" s="20" t="n">
        <x:v>0</x:v>
      </x:c>
    </x:row>
    <x:row r="23" ht="23" customHeight="1">
      <x:c r="A23" s="2" t="str">
        <x:v>2026-10-13_Night</x:v>
      </x:c>
      <x:c r="B23" s="19" t="n">
        <x:v>17000</x:v>
      </x:c>
      <x:c r="C23" s="19" t="n">
        <x:v>0</x:v>
      </x:c>
      <x:c r="D23" s="19" t="n">
        <x:f>B23-C23</x:f>
        <x:v>17000</x:v>
      </x:c>
      <x:c r="E23" s="19" t="n">
        <x:f>E22+D23</x:f>
        <x:v>365000</x:v>
      </x:c>
      <x:c r="F23" s="19" t="n">
        <x:v>17000</x:v>
      </x:c>
      <x:c r="G23" s="19"/>
      <x:c r="H23" s="19" t="n">
        <x:v>17000</x:v>
      </x:c>
      <x:c r="I23" s="19" t="n">
        <x:v>0</x:v>
      </x:c>
      <x:c r="J23" s="19" t="n">
        <x:v>0</x:v>
      </x:c>
      <x:c r="K23" s="19" t="n">
        <x:v>0</x:v>
      </x:c>
      <x:c r="L23" s="19" t="n">
        <x:v>35000</x:v>
      </x:c>
      <x:c r="M23" s="19" t="n">
        <x:v>40000</x:v>
      </x:c>
      <x:c r="N23" s="20" t="n">
        <x:v>1</x:v>
      </x:c>
      <x:c r="O23" s="20" t="n">
        <x:v>1</x:v>
      </x:c>
      <x:c r="P23" s="20" t="n">
        <x:v>3</x:v>
      </x:c>
      <x:c r="Q23" s="20" t="n">
        <x:v>3</x:v>
      </x:c>
      <x:c r="R23" s="20" t="n">
        <x:v>3</x:v>
      </x:c>
      <x:c r="S23" s="21" t="n">
        <x:f>23069/60</x:f>
        <x:v>384.48333333333335</x:v>
      </x:c>
      <x:c r="T23" s="21" t="n">
        <x:f>0/60</x:f>
        <x:v>0</x:v>
      </x:c>
      <x:c r="U23" s="21" t="n">
        <x:f>0/60</x:f>
        <x:v>0</x:v>
      </x:c>
      <x:c r="V23" s="21" t="n">
        <x:f>0/60</x:f>
        <x:v>0</x:v>
      </x:c>
      <x:c r="W23" s="20" t="n">
        <x:v>0</x:v>
      </x:c>
      <x:c r="X23" s="20" t="n">
        <x:v>0</x:v>
      </x:c>
      <x:c r="Y23" s="20" t="n">
        <x:v>0</x:v>
      </x:c>
      <x:c r="Z23" s="20" t="n">
        <x:v>0</x:v>
      </x:c>
    </x:row>
    <x:row r="24" ht="23" customHeight="1">
      <x:c r="A24" s="2" t="str">
        <x:v>2026-10-14_Night</x:v>
      </x:c>
      <x:c r="B24" s="19" t="n">
        <x:v>37000</x:v>
      </x:c>
      <x:c r="C24" s="19" t="n">
        <x:v>97000</x:v>
      </x:c>
      <x:c r="D24" s="19" t="n">
        <x:f>B24-C24</x:f>
        <x:v>-60000</x:v>
      </x:c>
      <x:c r="E24" s="19" t="n">
        <x:f>E23+D24</x:f>
        <x:v>305000</x:v>
      </x:c>
      <x:c r="F24" s="19" t="n">
        <x:v>-60000</x:v>
      </x:c>
      <x:c r="G24" s="19"/>
      <x:c r="H24" s="19" t="n">
        <x:v>37000</x:v>
      </x:c>
      <x:c r="I24" s="19" t="n">
        <x:v>0</x:v>
      </x:c>
      <x:c r="J24" s="19" t="n">
        <x:v>0</x:v>
      </x:c>
      <x:c r="K24" s="19" t="n">
        <x:v>97000</x:v>
      </x:c>
      <x:c r="L24" s="19" t="n">
        <x:v>101000</x:v>
      </x:c>
      <x:c r="M24" s="19" t="n">
        <x:v>98000</x:v>
      </x:c>
      <x:c r="N24" s="20" t="n">
        <x:v>1</x:v>
      </x:c>
      <x:c r="O24" s="20" t="n">
        <x:v>1</x:v>
      </x:c>
      <x:c r="P24" s="20" t="n">
        <x:v>5</x:v>
      </x:c>
      <x:c r="Q24" s="20" t="n">
        <x:v>5</x:v>
      </x:c>
      <x:c r="R24" s="20" t="n">
        <x:v>5</x:v>
      </x:c>
      <x:c r="S24" s="21" t="n">
        <x:f>26646/60</x:f>
        <x:v>444.1</x:v>
      </x:c>
      <x:c r="T24" s="21" t="n">
        <x:f>1763/60</x:f>
        <x:v>29.383333333333333</x:v>
      </x:c>
      <x:c r="U24" s="21" t="n">
        <x:f>0/60</x:f>
        <x:v>0</x:v>
      </x:c>
      <x:c r="V24" s="21" t="n">
        <x:f>0/60</x:f>
        <x:v>0</x:v>
      </x:c>
      <x:c r="W24" s="20" t="n">
        <x:v>0</x:v>
      </x:c>
      <x:c r="X24" s="20" t="n">
        <x:v>0</x:v>
      </x:c>
      <x:c r="Y24" s="20" t="n">
        <x:v>0</x:v>
      </x:c>
      <x:c r="Z24" s="20" t="n">
        <x:v>0</x:v>
      </x:c>
    </x:row>
    <x:row r="25" ht="23" customHeight="1">
      <x:c r="A25" s="2" t="str">
        <x:v>2026-10-15_Night</x:v>
      </x:c>
      <x:c r="B25" s="19" t="n">
        <x:v>42000</x:v>
      </x:c>
      <x:c r="C25" s="19" t="n">
        <x:v>159000</x:v>
      </x:c>
      <x:c r="D25" s="19" t="n">
        <x:f>B25-C25</x:f>
        <x:v>-117000</x:v>
      </x:c>
      <x:c r="E25" s="19" t="n">
        <x:f>E24+D25</x:f>
        <x:v>188000</x:v>
      </x:c>
      <x:c r="F25" s="19" t="n">
        <x:v>-117000</x:v>
      </x:c>
      <x:c r="G25" s="19"/>
      <x:c r="H25" s="19" t="n">
        <x:v>42000</x:v>
      </x:c>
      <x:c r="I25" s="19" t="n">
        <x:v>0</x:v>
      </x:c>
      <x:c r="J25" s="19" t="n">
        <x:v>0</x:v>
      </x:c>
      <x:c r="K25" s="19" t="n">
        <x:v>159000</x:v>
      </x:c>
      <x:c r="L25" s="19" t="n">
        <x:v>168000</x:v>
      </x:c>
      <x:c r="M25" s="19" t="n">
        <x:v>143000</x:v>
      </x:c>
      <x:c r="N25" s="20" t="n">
        <x:v>2</x:v>
      </x:c>
      <x:c r="O25" s="20" t="n">
        <x:v>2</x:v>
      </x:c>
      <x:c r="P25" s="20" t="n">
        <x:v>7</x:v>
      </x:c>
      <x:c r="Q25" s="20" t="n">
        <x:v>7</x:v>
      </x:c>
      <x:c r="R25" s="20" t="n">
        <x:v>7</x:v>
      </x:c>
      <x:c r="S25" s="21" t="n">
        <x:f>24312/60</x:f>
        <x:v>405.2</x:v>
      </x:c>
      <x:c r="T25" s="21" t="n">
        <x:f>10644/60</x:f>
        <x:v>177.4</x:v>
      </x:c>
      <x:c r="U25" s="21" t="n">
        <x:f>0/60</x:f>
        <x:v>0</x:v>
      </x:c>
      <x:c r="V25" s="21" t="n">
        <x:f>0/60</x:f>
        <x:v>0</x:v>
      </x:c>
      <x:c r="W25" s="20" t="n">
        <x:v>0</x:v>
      </x:c>
      <x:c r="X25" s="20" t="n">
        <x:v>0</x:v>
      </x:c>
      <x:c r="Y25" s="20" t="n">
        <x:v>0</x:v>
      </x:c>
      <x:c r="Z25" s="20" t="n">
        <x:v>0</x:v>
      </x:c>
    </x:row>
    <x:row r="26" ht="23" customHeight="1">
      <x:c r="A26" s="2" t="str">
        <x:v>2026-10-16_Night</x:v>
      </x:c>
      <x:c r="B26" s="19" t="n">
        <x:v>109000</x:v>
      </x:c>
      <x:c r="C26" s="19" t="n">
        <x:v>96000</x:v>
      </x:c>
      <x:c r="D26" s="19" t="n">
        <x:f>B26-C26</x:f>
        <x:v>13000</x:v>
      </x:c>
      <x:c r="E26" s="19" t="n">
        <x:f>E25+D26</x:f>
        <x:v>201000</x:v>
      </x:c>
      <x:c r="F26" s="19" t="n">
        <x:v>13000</x:v>
      </x:c>
      <x:c r="G26" s="19"/>
      <x:c r="H26" s="19" t="n">
        <x:v>98000</x:v>
      </x:c>
      <x:c r="I26" s="19" t="n">
        <x:v>0</x:v>
      </x:c>
      <x:c r="J26" s="19" t="n">
        <x:v>11000</x:v>
      </x:c>
      <x:c r="K26" s="19" t="n">
        <x:v>96000</x:v>
      </x:c>
      <x:c r="L26" s="19" t="n">
        <x:v>85000</x:v>
      </x:c>
      <x:c r="M26" s="19" t="n">
        <x:v>55000</x:v>
      </x:c>
      <x:c r="N26" s="20" t="n">
        <x:v>2</x:v>
      </x:c>
      <x:c r="O26" s="20" t="n">
        <x:v>4</x:v>
      </x:c>
      <x:c r="P26" s="20" t="n">
        <x:v>14</x:v>
      </x:c>
      <x:c r="Q26" s="20" t="n">
        <x:v>14</x:v>
      </x:c>
      <x:c r="R26" s="20" t="n">
        <x:v>14</x:v>
      </x:c>
      <x:c r="S26" s="21" t="n">
        <x:f>13703/60</x:f>
        <x:v>228.38333333333333</x:v>
      </x:c>
      <x:c r="T26" s="21" t="n">
        <x:f>6049/60</x:f>
        <x:v>100.81666666666666</x:v>
      </x:c>
      <x:c r="U26" s="21" t="n">
        <x:f>0/60</x:f>
        <x:v>0</x:v>
      </x:c>
      <x:c r="V26" s="21" t="n">
        <x:f>0/60</x:f>
        <x:v>0</x:v>
      </x:c>
      <x:c r="W26" s="20" t="n">
        <x:v>0</x:v>
      </x:c>
      <x:c r="X26" s="20" t="n">
        <x:v>0</x:v>
      </x:c>
      <x:c r="Y26" s="20" t="n">
        <x:v>0</x:v>
      </x:c>
      <x:c r="Z26" s="20" t="n">
        <x:v>0</x:v>
      </x:c>
    </x:row>
    <x:row r="27" ht="23" customHeight="1">
      <x:c r="A27" s="2" t="str">
        <x:v>2026-10-19_Night</x:v>
      </x:c>
      <x:c r="B27" s="19" t="n">
        <x:v>87000</x:v>
      </x:c>
      <x:c r="C27" s="19" t="n">
        <x:v>44000</x:v>
      </x:c>
      <x:c r="D27" s="19" t="n">
        <x:f>B27-C27</x:f>
        <x:v>43000</x:v>
      </x:c>
      <x:c r="E27" s="19" t="n">
        <x:f>E26+D27</x:f>
        <x:v>244000</x:v>
      </x:c>
      <x:c r="F27" s="19" t="n">
        <x:v>43000</x:v>
      </x:c>
      <x:c r="G27" s="19"/>
      <x:c r="H27" s="19" t="n">
        <x:v>87000</x:v>
      </x:c>
      <x:c r="I27" s="19" t="n">
        <x:v>0</x:v>
      </x:c>
      <x:c r="J27" s="19" t="n">
        <x:v>0</x:v>
      </x:c>
      <x:c r="K27" s="19" t="n">
        <x:v>44000</x:v>
      </x:c>
      <x:c r="L27" s="19" t="n">
        <x:v>60000</x:v>
      </x:c>
      <x:c r="M27" s="19" t="n">
        <x:v>46000</x:v>
      </x:c>
      <x:c r="N27" s="20" t="n">
        <x:v>3</x:v>
      </x:c>
      <x:c r="O27" s="20" t="n">
        <x:v>3</x:v>
      </x:c>
      <x:c r="P27" s="20" t="n">
        <x:v>14</x:v>
      </x:c>
      <x:c r="Q27" s="20" t="n">
        <x:v>14</x:v>
      </x:c>
      <x:c r="R27" s="20" t="n">
        <x:v>14</x:v>
      </x:c>
      <x:c r="S27" s="21" t="n">
        <x:f>26340/60</x:f>
        <x:v>439</x:v>
      </x:c>
      <x:c r="T27" s="21" t="n">
        <x:f>3337/60</x:f>
        <x:v>55.61666666666667</x:v>
      </x:c>
      <x:c r="U27" s="21" t="n">
        <x:f>0/60</x:f>
        <x:v>0</x:v>
      </x:c>
      <x:c r="V27" s="21" t="n">
        <x:f>0/60</x:f>
        <x:v>0</x:v>
      </x:c>
      <x:c r="W27" s="20" t="n">
        <x:v>0</x:v>
      </x:c>
      <x:c r="X27" s="20" t="n">
        <x:v>0</x:v>
      </x:c>
      <x:c r="Y27" s="20" t="n">
        <x:v>0</x:v>
      </x:c>
      <x:c r="Z27" s="20" t="n">
        <x:v>0</x:v>
      </x:c>
    </x:row>
    <x:row r="28" ht="23" customHeight="1">
      <x:c r="A28" s="2" t="str">
        <x:v>2026-10-20_Night</x:v>
      </x:c>
      <x:c r="B28" s="19" t="n">
        <x:v>52000</x:v>
      </x:c>
      <x:c r="C28" s="19" t="n">
        <x:v>49000</x:v>
      </x:c>
      <x:c r="D28" s="19" t="n">
        <x:f>B28-C28</x:f>
        <x:v>3000</x:v>
      </x:c>
      <x:c r="E28" s="19" t="n">
        <x:f>E27+D28</x:f>
        <x:v>247000</x:v>
      </x:c>
      <x:c r="F28" s="19" t="n">
        <x:v>3000</x:v>
      </x:c>
      <x:c r="G28" s="19"/>
      <x:c r="H28" s="19" t="n">
        <x:v>52000</x:v>
      </x:c>
      <x:c r="I28" s="19" t="n">
        <x:v>0</x:v>
      </x:c>
      <x:c r="J28" s="19" t="n">
        <x:v>0</x:v>
      </x:c>
      <x:c r="K28" s="19" t="n">
        <x:v>49000</x:v>
      </x:c>
      <x:c r="L28" s="19" t="n">
        <x:v>51000</x:v>
      </x:c>
      <x:c r="M28" s="19" t="n">
        <x:v>54000</x:v>
      </x:c>
      <x:c r="N28" s="20" t="n">
        <x:v>2</x:v>
      </x:c>
      <x:c r="O28" s="20" t="n">
        <x:v>3</x:v>
      </x:c>
      <x:c r="P28" s="20" t="n">
        <x:v>11</x:v>
      </x:c>
      <x:c r="Q28" s="20" t="n">
        <x:v>11</x:v>
      </x:c>
      <x:c r="R28" s="20" t="n">
        <x:v>11</x:v>
      </x:c>
      <x:c r="S28" s="21" t="n">
        <x:f>24065/60</x:f>
        <x:v>401.0833333333333</x:v>
      </x:c>
      <x:c r="T28" s="21" t="n">
        <x:f>509/60</x:f>
        <x:v>8.483333333333333</x:v>
      </x:c>
      <x:c r="U28" s="21" t="n">
        <x:f>0/60</x:f>
        <x:v>0</x:v>
      </x:c>
      <x:c r="V28" s="21" t="n">
        <x:f>0/60</x:f>
        <x:v>0</x:v>
      </x:c>
      <x:c r="W28" s="20" t="n">
        <x:v>0</x:v>
      </x:c>
      <x:c r="X28" s="20" t="n">
        <x:v>0</x:v>
      </x:c>
      <x:c r="Y28" s="20" t="n">
        <x:v>0</x:v>
      </x:c>
      <x:c r="Z28" s="20" t="n">
        <x:v>0</x:v>
      </x:c>
    </x:row>
    <x:row r="29" ht="23" customHeight="1">
      <x:c r="A29" s="2" t="str">
        <x:v>2026-10-21_Night</x:v>
      </x:c>
      <x:c r="B29" s="19" t="n">
        <x:v>33000</x:v>
      </x:c>
      <x:c r="C29" s="19" t="n">
        <x:v>40000</x:v>
      </x:c>
      <x:c r="D29" s="19" t="n">
        <x:f>B29-C29</x:f>
        <x:v>-7000</x:v>
      </x:c>
      <x:c r="E29" s="19" t="n">
        <x:f>E28+D29</x:f>
        <x:v>240000</x:v>
      </x:c>
      <x:c r="F29" s="19" t="n">
        <x:v>-7000</x:v>
      </x:c>
      <x:c r="G29" s="19"/>
      <x:c r="H29" s="19" t="n">
        <x:v>33000</x:v>
      </x:c>
      <x:c r="I29" s="19" t="n">
        <x:v>0</x:v>
      </x:c>
      <x:c r="J29" s="19" t="n">
        <x:v>0</x:v>
      </x:c>
      <x:c r="K29" s="19" t="n">
        <x:v>40000</x:v>
      </x:c>
      <x:c r="L29" s="19" t="n">
        <x:v>66000</x:v>
      </x:c>
      <x:c r="M29" s="19" t="n">
        <x:v>65000</x:v>
      </x:c>
      <x:c r="N29" s="20" t="n">
        <x:v>2</x:v>
      </x:c>
      <x:c r="O29" s="20" t="n">
        <x:v>2</x:v>
      </x:c>
      <x:c r="P29" s="20" t="n">
        <x:v>6</x:v>
      </x:c>
      <x:c r="Q29" s="20" t="n">
        <x:v>6</x:v>
      </x:c>
      <x:c r="R29" s="20" t="n">
        <x:v>6</x:v>
      </x:c>
      <x:c r="S29" s="21" t="n">
        <x:f>38276/60</x:f>
        <x:v>637.9333333333333</x:v>
      </x:c>
      <x:c r="T29" s="21" t="n">
        <x:f>2336/60</x:f>
        <x:v>38.93333333333333</x:v>
      </x:c>
      <x:c r="U29" s="21" t="n">
        <x:f>0/60</x:f>
        <x:v>0</x:v>
      </x:c>
      <x:c r="V29" s="21" t="n">
        <x:f>0/60</x:f>
        <x:v>0</x:v>
      </x:c>
      <x:c r="W29" s="20" t="n">
        <x:v>0</x:v>
      </x:c>
      <x:c r="X29" s="20" t="n">
        <x:v>0</x:v>
      </x:c>
      <x:c r="Y29" s="20" t="n">
        <x:v>0</x:v>
      </x:c>
      <x:c r="Z29" s="20" t="n">
        <x:v>0</x:v>
      </x:c>
    </x:row>
    <x:row r="30" ht="23" customHeight="1">
      <x:c r="A30" s="2" t="str">
        <x:v>2026-10-22_Night</x:v>
      </x:c>
      <x:c r="B30" s="19" t="n">
        <x:v>22000</x:v>
      </x:c>
      <x:c r="C30" s="19" t="n">
        <x:v>0</x:v>
      </x:c>
      <x:c r="D30" s="19" t="n">
        <x:f>B30-C30</x:f>
        <x:v>22000</x:v>
      </x:c>
      <x:c r="E30" s="19" t="n">
        <x:f>E29+D30</x:f>
        <x:v>262000</x:v>
      </x:c>
      <x:c r="F30" s="19" t="n">
        <x:v>22000</x:v>
      </x:c>
      <x:c r="G30" s="19"/>
      <x:c r="H30" s="19" t="n">
        <x:v>22000</x:v>
      </x:c>
      <x:c r="I30" s="19" t="n">
        <x:v>0</x:v>
      </x:c>
      <x:c r="J30" s="19" t="n">
        <x:v>0</x:v>
      </x:c>
      <x:c r="K30" s="19" t="n">
        <x:v>0</x:v>
      </x:c>
      <x:c r="L30" s="19" t="n">
        <x:v>2000</x:v>
      </x:c>
      <x:c r="M30" s="19" t="n">
        <x:v>8000</x:v>
      </x:c>
      <x:c r="N30" s="20" t="n">
        <x:v>0</x:v>
      </x:c>
      <x:c r="O30" s="20" t="n">
        <x:v>2</x:v>
      </x:c>
      <x:c r="P30" s="20" t="n">
        <x:v>3</x:v>
      </x:c>
      <x:c r="Q30" s="20" t="n">
        <x:v>3</x:v>
      </x:c>
      <x:c r="R30" s="20" t="n">
        <x:v>3</x:v>
      </x:c>
      <x:c r="S30" s="21" t="n">
        <x:f>608/60</x:f>
        <x:v>10.133333333333333</x:v>
      </x:c>
      <x:c r="T30" s="21" t="n">
        <x:f>0/60</x:f>
        <x:v>0</x:v>
      </x:c>
      <x:c r="U30" s="21" t="n">
        <x:f>0/60</x:f>
        <x:v>0</x:v>
      </x:c>
      <x:c r="V30" s="21" t="n">
        <x:f>0/60</x:f>
        <x:v>0</x:v>
      </x:c>
      <x:c r="W30" s="20" t="n">
        <x:v>0</x:v>
      </x:c>
      <x:c r="X30" s="20" t="n">
        <x:v>0</x:v>
      </x:c>
      <x:c r="Y30" s="20" t="n">
        <x:v>0</x:v>
      </x:c>
      <x:c r="Z30" s="20" t="n">
        <x:v>0</x:v>
      </x:c>
    </x:row>
    <x:row r="31" ht="23" customHeight="1">
      <x:c r="A31" s="2" t="str">
        <x:v>2026-10-23_Night</x:v>
      </x:c>
      <x:c r="B31" s="19" t="n">
        <x:v>74000</x:v>
      </x:c>
      <x:c r="C31" s="19" t="n">
        <x:v>40000</x:v>
      </x:c>
      <x:c r="D31" s="19" t="n">
        <x:f>B31-C31</x:f>
        <x:v>34000</x:v>
      </x:c>
      <x:c r="E31" s="19" t="n">
        <x:f>E30+D31</x:f>
        <x:v>296000</x:v>
      </x:c>
      <x:c r="F31" s="19" t="n">
        <x:v>34000</x:v>
      </x:c>
      <x:c r="G31" s="19"/>
      <x:c r="H31" s="19" t="n">
        <x:v>74000</x:v>
      </x:c>
      <x:c r="I31" s="19" t="n">
        <x:v>0</x:v>
      </x:c>
      <x:c r="J31" s="19" t="n">
        <x:v>0</x:v>
      </x:c>
      <x:c r="K31" s="19" t="n">
        <x:v>40000</x:v>
      </x:c>
      <x:c r="L31" s="19" t="n">
        <x:v>75000</x:v>
      </x:c>
      <x:c r="M31" s="19" t="n">
        <x:v>75000</x:v>
      </x:c>
      <x:c r="N31" s="20" t="n">
        <x:v>4</x:v>
      </x:c>
      <x:c r="O31" s="20" t="n">
        <x:v>4</x:v>
      </x:c>
      <x:c r="P31" s="20" t="n">
        <x:v>11</x:v>
      </x:c>
      <x:c r="Q31" s="20" t="n">
        <x:v>11</x:v>
      </x:c>
      <x:c r="R31" s="20" t="n">
        <x:v>11</x:v>
      </x:c>
      <x:c r="S31" s="21" t="n">
        <x:f>40135/60</x:f>
        <x:v>668.9166666666666</x:v>
      </x:c>
      <x:c r="T31" s="21" t="n">
        <x:f>0/60</x:f>
        <x:v>0</x:v>
      </x:c>
      <x:c r="U31" s="21" t="n">
        <x:f>0/60</x:f>
        <x:v>0</x:v>
      </x:c>
      <x:c r="V31" s="21" t="n">
        <x:f>0/60</x:f>
        <x:v>0</x:v>
      </x:c>
      <x:c r="W31" s="20" t="n">
        <x:v>0</x:v>
      </x:c>
      <x:c r="X31" s="20" t="n">
        <x:v>0</x:v>
      </x:c>
      <x:c r="Y31" s="20" t="n">
        <x:v>0</x:v>
      </x:c>
      <x:c r="Z31" s="20" t="n">
        <x:v>0</x:v>
      </x:c>
    </x:row>
    <x:row r="32" ht="23" customHeight="1">
      <x:c r="A32" s="26" t="str">
        <x:v>25夜累計／最大</x:v>
      </x:c>
      <x:c r="B32" s="27" t="n">
        <x:f>SUM(B7:B31)</x:f>
        <x:v>1143000</x:v>
      </x:c>
      <x:c r="C32" s="27" t="n">
        <x:f>SUM(C7:C31)</x:f>
        <x:v>847000</x:v>
      </x:c>
      <x:c r="D32" s="27" t="n">
        <x:f>B32-C32</x:f>
        <x:v>296000</x:v>
      </x:c>
      <x:c r="E32" s="27" t="n">
        <x:f>E31</x:f>
        <x:v>296000</x:v>
      </x:c>
      <x:c r="F32" s="27" t="n">
        <x:f>SUM(F7:F31)</x:f>
        <x:v>296000</x:v>
      </x:c>
      <x:c r="G32" s="27"/>
      <x:c r="H32" s="27" t="n">
        <x:f>SUM(H7:H31)</x:f>
        <x:v>1130000</x:v>
      </x:c>
      <x:c r="I32" s="27" t="n">
        <x:f>SUM(I7:I31)</x:f>
        <x:v>0</x:v>
      </x:c>
      <x:c r="J32" s="27" t="n">
        <x:f>SUM(J7:J31)</x:f>
        <x:v>13000</x:v>
      </x:c>
      <x:c r="K32" s="27" t="n">
        <x:f>SUM(K7:K31)</x:f>
        <x:v>847000</x:v>
      </x:c>
      <x:c r="L32" s="27" t="n">
        <x:f>MAX(L7:L31)</x:f>
        <x:v>168000</x:v>
      </x:c>
      <x:c r="M32" s="27" t="n">
        <x:f>MAX(M7:M31)</x:f>
        <x:v>143000</x:v>
      </x:c>
      <x:c r="N32" s="28" t="n">
        <x:f>MAX(N7:N31)</x:f>
        <x:v>4</x:v>
      </x:c>
      <x:c r="O32" s="28" t="n">
        <x:f>MAX(O7:O31)</x:f>
        <x:v>4</x:v>
      </x:c>
      <x:c r="P32" s="28" t="n">
        <x:f>SUM(P7:P31)</x:f>
        <x:v>172</x:v>
      </x:c>
      <x:c r="Q32" s="28" t="n">
        <x:f>SUM(Q7:Q31)</x:f>
        <x:v>172</x:v>
      </x:c>
      <x:c r="R32" s="28" t="n">
        <x:f>SUM(R7:R31)</x:f>
        <x:v>172</x:v>
      </x:c>
      <x:c r="S32" s="29" t="n">
        <x:f>SUM(S7:S31)</x:f>
        <x:v>7346.016666666666</x:v>
      </x:c>
      <x:c r="T32" s="29" t="n">
        <x:f>SUM(T7:T31)</x:f>
        <x:v>1765.65</x:v>
      </x:c>
      <x:c r="U32" s="29" t="n">
        <x:f>SUM(U7:U31)</x:f>
        <x:v>0</x:v>
      </x:c>
      <x:c r="V32" s="29" t="n">
        <x:f>SUM(V7:V31)</x:f>
        <x:v>0</x:v>
      </x:c>
      <x:c r="W32" s="28" t="n">
        <x:f>SUM(W7:W31)</x:f>
        <x:v>0</x:v>
      </x:c>
      <x:c r="X32" s="28" t="n">
        <x:f>SUM(X7:X31)</x:f>
        <x:v>0</x:v>
      </x:c>
      <x:c r="Y32" s="28" t="n">
        <x:f>SUM(Y7:Y31)</x:f>
        <x:v>0</x:v>
      </x:c>
      <x:c r="Z32" s="28" t="n">
        <x:f>SUM(Z7:Z31)</x:f>
        <x:v>0</x:v>
      </x:c>
    </x:row>
  </x:sheetData>
  <x:conditionalFormatting sqref="B7:M32">
    <x:cfRule type="cellIs" dxfId="1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31e0bdfdcdb44da"/>
  </x:tableParts>
</x:worksheet>
</file>

<file path=xl/worksheets/sheet19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3" customHeight="1">
      <x:c r="A2" s="4" t="str">
        <x:v>N05　全夜間の利益・損失・収支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3" ht="23" customHeight="1">
      <x:c r="A3" s="6" t="str">
        <x:v>日経mini・片方向上限10枚・手数料0・次正常ラージ気配代理。2026/09/21〜10/23の完了25夜。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3" customHeight="1">
      <x:c r="A4" s="6" t="str">
        <x:v>利益・損失は新規実約定IDごとの全返済収支で分類。旧親単位の利益損失とは異なります。未測定は空欄。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3" customHeight="1">
      <x:c r="A5" s="6" t="str">
        <x:v>全夜・80/40通常追尾・判断時損失でも返済。N：新手法を全夜運転。含み損・DD・保有時間・返済内訳も全夜。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4" customHeight="1">
      <x:c r="A6" s="15" t="str">
        <x:v>セッション</x:v>
      </x:c>
      <x:c r="B6" s="16" t="str">
        <x:v>利益（円）</x:v>
      </x:c>
      <x:c r="C6" s="16" t="str">
        <x:v>損失（円）</x:v>
      </x:c>
      <x:c r="D6" s="16" t="str">
        <x:v>全夜収支（円）</x:v>
      </x:c>
      <x:c r="E6" s="16" t="str">
        <x:v>累計（円）</x:v>
      </x:c>
      <x:c r="F6" s="16" t="str">
        <x:v>対象区間収支</x:v>
      </x:c>
      <x:c r="G6" s="16" t="str">
        <x:v>保存後半収支</x:v>
      </x:c>
      <x:c r="H6" s="16" t="str">
        <x:v>利益追尾の利益</x:v>
      </x:c>
      <x:c r="I6" s="16" t="str">
        <x:v>利益追尾の損失</x:v>
      </x:c>
      <x:c r="J6" s="16" t="str">
        <x:v>境界清算の利益</x:v>
      </x:c>
      <x:c r="K6" s="16" t="str">
        <x:v>境界清算の損失</x:v>
      </x:c>
      <x:c r="L6" s="16" t="str">
        <x:v>最大含み損（円）</x:v>
      </x:c>
      <x:c r="M6" s="16" t="str">
        <x:v>対象区間DD</x:v>
      </x:c>
      <x:c r="N6" s="16" t="str">
        <x:v>最大買い枚数</x:v>
      </x:c>
      <x:c r="O6" s="16" t="str">
        <x:v>最大売り枚数</x:v>
      </x:c>
      <x:c r="P6" s="16" t="str">
        <x:v>全夜新規件数</x:v>
      </x:c>
      <x:c r="Q6" s="16" t="str">
        <x:v>対象区間新規</x:v>
      </x:c>
      <x:c r="R6" s="16" t="str">
        <x:v>全新規枚数</x:v>
      </x:c>
      <x:c r="S6" s="16" t="str">
        <x:v>保有（分）</x:v>
      </x:c>
      <x:c r="T6" s="16" t="str">
        <x:v>両建て（分）</x:v>
      </x:c>
      <x:c r="U6" s="16" t="str">
        <x:v>買い上限（分）</x:v>
      </x:c>
      <x:c r="V6" s="16" t="str">
        <x:v>売り上限（分）</x:v>
      </x:c>
      <x:c r="W6" s="16" t="str">
        <x:v>上限拒否・縮小件数</x:v>
      </x:c>
      <x:c r="X6" s="16" t="str">
        <x:v>通知全拒否件数</x:v>
      </x:c>
      <x:c r="Y6" s="16" t="str">
        <x:v>実再参加件数</x:v>
      </x:c>
      <x:c r="Z6" s="17" t="str">
        <x:v>判断利益→実損失</x:v>
      </x:c>
    </x:row>
    <x:row r="7" ht="23" customHeight="1">
      <x:c r="A7" s="2" t="str">
        <x:v>2026-09-21_Night</x:v>
      </x:c>
      <x:c r="B7" s="19" t="n">
        <x:v>95000</x:v>
      </x:c>
      <x:c r="C7" s="19" t="n">
        <x:v>0</x:v>
      </x:c>
      <x:c r="D7" s="19" t="n">
        <x:f>B7-C7</x:f>
        <x:v>95000</x:v>
      </x:c>
      <x:c r="E7" s="19" t="n">
        <x:f>D7</x:f>
        <x:v>95000</x:v>
      </x:c>
      <x:c r="F7" s="19" t="n">
        <x:v>95000</x:v>
      </x:c>
      <x:c r="G7" s="19"/>
      <x:c r="H7" s="19" t="n">
        <x:v>95000</x:v>
      </x:c>
      <x:c r="I7" s="19" t="n">
        <x:v>0</x:v>
      </x:c>
      <x:c r="J7" s="19" t="n">
        <x:v>0</x:v>
      </x:c>
      <x:c r="K7" s="19" t="n">
        <x:v>0</x:v>
      </x:c>
      <x:c r="L7" s="19" t="n">
        <x:v>50000</x:v>
      </x:c>
      <x:c r="M7" s="19" t="n">
        <x:v>70000</x:v>
      </x:c>
      <x:c r="N7" s="20" t="n">
        <x:v>5</x:v>
      </x:c>
      <x:c r="O7" s="20" t="n">
        <x:v>0</x:v>
      </x:c>
      <x:c r="P7" s="20" t="n">
        <x:v>1</x:v>
      </x:c>
      <x:c r="Q7" s="20" t="n">
        <x:v>1</x:v>
      </x:c>
      <x:c r="R7" s="20" t="n">
        <x:v>5</x:v>
      </x:c>
      <x:c r="S7" s="21" t="n">
        <x:f>2201/60</x:f>
        <x:v>36.68333333333333</x:v>
      </x:c>
      <x:c r="T7" s="21" t="n">
        <x:f>0/60</x:f>
        <x:v>0</x:v>
      </x:c>
      <x:c r="U7" s="21" t="n">
        <x:f>0/60</x:f>
        <x:v>0</x:v>
      </x:c>
      <x:c r="V7" s="21" t="n">
        <x:f>0/60</x:f>
        <x:v>0</x:v>
      </x:c>
      <x:c r="W7" s="20" t="n">
        <x:v>0</x:v>
      </x:c>
      <x:c r="X7" s="20" t="n">
        <x:v>0</x:v>
      </x:c>
      <x:c r="Y7" s="20" t="n">
        <x:v>0</x:v>
      </x:c>
      <x:c r="Z7" s="20" t="n">
        <x:v>0</x:v>
      </x:c>
    </x:row>
    <x:row r="8" ht="23" customHeight="1">
      <x:c r="A8" s="2" t="str">
        <x:v>2026-09-22_Night</x:v>
      </x:c>
      <x:c r="B8" s="19" t="n">
        <x:v>80000</x:v>
      </x:c>
      <x:c r="C8" s="19" t="n">
        <x:v>0</x:v>
      </x:c>
      <x:c r="D8" s="19" t="n">
        <x:f>B8-C8</x:f>
        <x:v>80000</x:v>
      </x:c>
      <x:c r="E8" s="19" t="n">
        <x:f>E7+D8</x:f>
        <x:v>175000</x:v>
      </x:c>
      <x:c r="F8" s="19" t="n">
        <x:v>80000</x:v>
      </x:c>
      <x:c r="G8" s="19"/>
      <x:c r="H8" s="19" t="n">
        <x:v>80000</x:v>
      </x:c>
      <x:c r="I8" s="19" t="n">
        <x:v>0</x:v>
      </x:c>
      <x:c r="J8" s="19" t="n">
        <x:v>0</x:v>
      </x:c>
      <x:c r="K8" s="19" t="n">
        <x:v>0</x:v>
      </x:c>
      <x:c r="L8" s="19" t="n">
        <x:v>45000</x:v>
      </x:c>
      <x:c r="M8" s="19" t="n">
        <x:v>55000</x:v>
      </x:c>
      <x:c r="N8" s="20" t="n">
        <x:v>5</x:v>
      </x:c>
      <x:c r="O8" s="20" t="n">
        <x:v>0</x:v>
      </x:c>
      <x:c r="P8" s="20" t="n">
        <x:v>2</x:v>
      </x:c>
      <x:c r="Q8" s="20" t="n">
        <x:v>2</x:v>
      </x:c>
      <x:c r="R8" s="20" t="n">
        <x:v>10</x:v>
      </x:c>
      <x:c r="S8" s="21" t="n">
        <x:f>3265/60</x:f>
        <x:v>54.416666666666664</x:v>
      </x:c>
      <x:c r="T8" s="21" t="n">
        <x:f>0/60</x:f>
        <x:v>0</x:v>
      </x:c>
      <x:c r="U8" s="21" t="n">
        <x:f>0/60</x:f>
        <x:v>0</x:v>
      </x:c>
      <x:c r="V8" s="21" t="n">
        <x:f>0/60</x:f>
        <x:v>0</x:v>
      </x:c>
      <x:c r="W8" s="20" t="n">
        <x:v>0</x:v>
      </x:c>
      <x:c r="X8" s="20" t="n">
        <x:v>0</x:v>
      </x:c>
      <x:c r="Y8" s="20" t="n">
        <x:v>0</x:v>
      </x:c>
      <x:c r="Z8" s="20" t="n">
        <x:v>0</x:v>
      </x:c>
    </x:row>
    <x:row r="9" ht="23" customHeight="1">
      <x:c r="A9" s="2" t="str">
        <x:v>2026-09-23_Night</x:v>
      </x:c>
      <x:c r="B9" s="19" t="n">
        <x:v>67000</x:v>
      </x:c>
      <x:c r="C9" s="19" t="n">
        <x:v>0</x:v>
      </x:c>
      <x:c r="D9" s="19" t="n">
        <x:f>B9-C9</x:f>
        <x:v>67000</x:v>
      </x:c>
      <x:c r="E9" s="19" t="n">
        <x:f>E8+D9</x:f>
        <x:v>242000</x:v>
      </x:c>
      <x:c r="F9" s="19" t="n">
        <x:v>67000</x:v>
      </x:c>
      <x:c r="G9" s="19"/>
      <x:c r="H9" s="19" t="n">
        <x:v>67000</x:v>
      </x:c>
      <x:c r="I9" s="19" t="n">
        <x:v>0</x:v>
      </x:c>
      <x:c r="J9" s="19" t="n">
        <x:v>0</x:v>
      </x:c>
      <x:c r="K9" s="19" t="n">
        <x:v>0</x:v>
      </x:c>
      <x:c r="L9" s="19" t="n">
        <x:v>55000</x:v>
      </x:c>
      <x:c r="M9" s="19" t="n">
        <x:v>55000</x:v>
      </x:c>
      <x:c r="N9" s="20" t="n">
        <x:v>2</x:v>
      </x:c>
      <x:c r="O9" s="20" t="n">
        <x:v>5</x:v>
      </x:c>
      <x:c r="P9" s="20" t="n">
        <x:v>3</x:v>
      </x:c>
      <x:c r="Q9" s="20" t="n">
        <x:v>3</x:v>
      </x:c>
      <x:c r="R9" s="20" t="n">
        <x:v>7</x:v>
      </x:c>
      <x:c r="S9" s="21" t="n">
        <x:f>1957/60</x:f>
        <x:v>32.61666666666667</x:v>
      </x:c>
      <x:c r="T9" s="21" t="n">
        <x:f>0/60</x:f>
        <x:v>0</x:v>
      </x:c>
      <x:c r="U9" s="21" t="n">
        <x:f>0/60</x:f>
        <x:v>0</x:v>
      </x:c>
      <x:c r="V9" s="21" t="n">
        <x:f>0/60</x:f>
        <x:v>0</x:v>
      </x:c>
      <x:c r="W9" s="20" t="n">
        <x:v>0</x:v>
      </x:c>
      <x:c r="X9" s="20" t="n">
        <x:v>0</x:v>
      </x:c>
      <x:c r="Y9" s="20" t="n">
        <x:v>0</x:v>
      </x:c>
      <x:c r="Z9" s="20" t="n">
        <x:v>0</x:v>
      </x:c>
    </x:row>
    <x:row r="10" ht="23" customHeight="1">
      <x:c r="A10" s="2" t="str">
        <x:v>2026-09-24_Night</x:v>
      </x:c>
      <x:c r="B10" s="19" t="n">
        <x:v>71000</x:v>
      </x:c>
      <x:c r="C10" s="19" t="n">
        <x:v>0</x:v>
      </x:c>
      <x:c r="D10" s="19" t="n">
        <x:f>B10-C10</x:f>
        <x:v>71000</x:v>
      </x:c>
      <x:c r="E10" s="19" t="n">
        <x:f>E9+D10</x:f>
        <x:v>313000</x:v>
      </x:c>
      <x:c r="F10" s="19" t="n">
        <x:v>71000</x:v>
      </x:c>
      <x:c r="G10" s="19"/>
      <x:c r="H10" s="19" t="n">
        <x:v>71000</x:v>
      </x:c>
      <x:c r="I10" s="19" t="n">
        <x:v>0</x:v>
      </x:c>
      <x:c r="J10" s="19" t="n">
        <x:v>0</x:v>
      </x:c>
      <x:c r="K10" s="19" t="n">
        <x:v>0</x:v>
      </x:c>
      <x:c r="L10" s="19" t="n">
        <x:v>85000</x:v>
      </x:c>
      <x:c r="M10" s="19" t="n">
        <x:v>90000</x:v>
      </x:c>
      <x:c r="N10" s="20" t="n">
        <x:v>5</x:v>
      </x:c>
      <x:c r="O10" s="20" t="n">
        <x:v>2</x:v>
      </x:c>
      <x:c r="P10" s="20" t="n">
        <x:v>4</x:v>
      </x:c>
      <x:c r="Q10" s="20" t="n">
        <x:v>4</x:v>
      </x:c>
      <x:c r="R10" s="20" t="n">
        <x:v>12</x:v>
      </x:c>
      <x:c r="S10" s="21" t="n">
        <x:f>7579/60</x:f>
        <x:v>126.31666666666666</x:v>
      </x:c>
      <x:c r="T10" s="21" t="n">
        <x:f>0/60</x:f>
        <x:v>0</x:v>
      </x:c>
      <x:c r="U10" s="21" t="n">
        <x:f>0/60</x:f>
        <x:v>0</x:v>
      </x:c>
      <x:c r="V10" s="21" t="n">
        <x:f>0/60</x:f>
        <x:v>0</x:v>
      </x:c>
      <x:c r="W10" s="20" t="n">
        <x:v>0</x:v>
      </x:c>
      <x:c r="X10" s="20" t="n">
        <x:v>0</x:v>
      </x:c>
      <x:c r="Y10" s="20" t="n">
        <x:v>0</x:v>
      </x:c>
      <x:c r="Z10" s="20" t="n">
        <x:v>0</x:v>
      </x:c>
    </x:row>
    <x:row r="11" ht="23" customHeight="1">
      <x:c r="A11" s="2" t="str">
        <x:v>2026-09-25_Night</x:v>
      </x:c>
      <x:c r="B11" s="19" t="n">
        <x:v>54000</x:v>
      </x:c>
      <x:c r="C11" s="19" t="n">
        <x:v>0</x:v>
      </x:c>
      <x:c r="D11" s="19" t="n">
        <x:f>B11-C11</x:f>
        <x:v>54000</x:v>
      </x:c>
      <x:c r="E11" s="19" t="n">
        <x:f>E10+D11</x:f>
        <x:v>367000</x:v>
      </x:c>
      <x:c r="F11" s="19" t="n">
        <x:v>54000</x:v>
      </x:c>
      <x:c r="G11" s="19"/>
      <x:c r="H11" s="19" t="n">
        <x:v>54000</x:v>
      </x:c>
      <x:c r="I11" s="19" t="n">
        <x:v>0</x:v>
      </x:c>
      <x:c r="J11" s="19" t="n">
        <x:v>0</x:v>
      </x:c>
      <x:c r="K11" s="19" t="n">
        <x:v>0</x:v>
      </x:c>
      <x:c r="L11" s="19" t="n">
        <x:v>27000</x:v>
      </x:c>
      <x:c r="M11" s="19" t="n">
        <x:v>34000</x:v>
      </x:c>
      <x:c r="N11" s="20" t="n">
        <x:v>1</x:v>
      </x:c>
      <x:c r="O11" s="20" t="n">
        <x:v>5</x:v>
      </x:c>
      <x:c r="P11" s="20" t="n">
        <x:v>2</x:v>
      </x:c>
      <x:c r="Q11" s="20" t="n">
        <x:v>2</x:v>
      </x:c>
      <x:c r="R11" s="20" t="n">
        <x:v>6</x:v>
      </x:c>
      <x:c r="S11" s="21" t="n">
        <x:f>8179/60</x:f>
        <x:v>136.31666666666666</x:v>
      </x:c>
      <x:c r="T11" s="21" t="n">
        <x:f>232/60</x:f>
        <x:v>3.8666666666666667</x:v>
      </x:c>
      <x:c r="U11" s="21" t="n">
        <x:f>0/60</x:f>
        <x:v>0</x:v>
      </x:c>
      <x:c r="V11" s="21" t="n">
        <x:f>0/60</x:f>
        <x:v>0</x:v>
      </x:c>
      <x:c r="W11" s="20" t="n">
        <x:v>0</x:v>
      </x:c>
      <x:c r="X11" s="20" t="n">
        <x:v>0</x:v>
      </x:c>
      <x:c r="Y11" s="20" t="n">
        <x:v>0</x:v>
      </x:c>
      <x:c r="Z11" s="20" t="n">
        <x:v>0</x:v>
      </x:c>
    </x:row>
    <x:row r="12" ht="23" customHeight="1">
      <x:c r="A12" s="2" t="str">
        <x:v>2026-09-28_Night</x:v>
      </x:c>
      <x:c r="B12" s="19" t="n">
        <x:v>92000</x:v>
      </x:c>
      <x:c r="C12" s="19" t="n">
        <x:v>0</x:v>
      </x:c>
      <x:c r="D12" s="19" t="n">
        <x:f>B12-C12</x:f>
        <x:v>92000</x:v>
      </x:c>
      <x:c r="E12" s="19" t="n">
        <x:f>E11+D12</x:f>
        <x:v>459000</x:v>
      </x:c>
      <x:c r="F12" s="19" t="n">
        <x:v>92000</x:v>
      </x:c>
      <x:c r="G12" s="19"/>
      <x:c r="H12" s="19" t="n">
        <x:v>92000</x:v>
      </x:c>
      <x:c r="I12" s="19" t="n">
        <x:v>0</x:v>
      </x:c>
      <x:c r="J12" s="19" t="n">
        <x:v>0</x:v>
      </x:c>
      <x:c r="K12" s="19" t="n">
        <x:v>0</x:v>
      </x:c>
      <x:c r="L12" s="19" t="n">
        <x:v>189000</x:v>
      </x:c>
      <x:c r="M12" s="19" t="n">
        <x:v>160000</x:v>
      </x:c>
      <x:c r="N12" s="20" t="n">
        <x:v>3</x:v>
      </x:c>
      <x:c r="O12" s="20" t="n">
        <x:v>2</x:v>
      </x:c>
      <x:c r="P12" s="20" t="n">
        <x:v>5</x:v>
      </x:c>
      <x:c r="Q12" s="20" t="n">
        <x:v>5</x:v>
      </x:c>
      <x:c r="R12" s="20" t="n">
        <x:v>7</x:v>
      </x:c>
      <x:c r="S12" s="21" t="n">
        <x:f>11756/60</x:f>
        <x:v>195.93333333333334</x:v>
      </x:c>
      <x:c r="T12" s="21" t="n">
        <x:f>2400/60</x:f>
        <x:v>40</x:v>
      </x:c>
      <x:c r="U12" s="21" t="n">
        <x:f>0/60</x:f>
        <x:v>0</x:v>
      </x:c>
      <x:c r="V12" s="21" t="n">
        <x:f>0/60</x:f>
        <x:v>0</x:v>
      </x:c>
      <x:c r="W12" s="20" t="n">
        <x:v>0</x:v>
      </x:c>
      <x:c r="X12" s="20" t="n">
        <x:v>0</x:v>
      </x:c>
      <x:c r="Y12" s="20" t="n">
        <x:v>0</x:v>
      </x:c>
      <x:c r="Z12" s="20" t="n">
        <x:v>0</x:v>
      </x:c>
    </x:row>
    <x:row r="13" ht="23" customHeight="1">
      <x:c r="A13" s="2" t="str">
        <x:v>2026-09-29_Night</x:v>
      </x:c>
      <x:c r="B13" s="19" t="n">
        <x:v>133000</x:v>
      </x:c>
      <x:c r="C13" s="19" t="n">
        <x:v>47000</x:v>
      </x:c>
      <x:c r="D13" s="19" t="n">
        <x:f>B13-C13</x:f>
        <x:v>86000</x:v>
      </x:c>
      <x:c r="E13" s="19" t="n">
        <x:f>E12+D13</x:f>
        <x:v>545000</x:v>
      </x:c>
      <x:c r="F13" s="19" t="n">
        <x:v>86000</x:v>
      </x:c>
      <x:c r="G13" s="19"/>
      <x:c r="H13" s="19" t="n">
        <x:v>133000</x:v>
      </x:c>
      <x:c r="I13" s="19" t="n">
        <x:v>0</x:v>
      </x:c>
      <x:c r="J13" s="19" t="n">
        <x:v>0</x:v>
      </x:c>
      <x:c r="K13" s="19" t="n">
        <x:v>47000</x:v>
      </x:c>
      <x:c r="L13" s="19" t="n">
        <x:v>83000</x:v>
      </x:c>
      <x:c r="M13" s="19" t="n">
        <x:v>84000</x:v>
      </x:c>
      <x:c r="N13" s="20" t="n">
        <x:v>5</x:v>
      </x:c>
      <x:c r="O13" s="20" t="n">
        <x:v>6</x:v>
      </x:c>
      <x:c r="P13" s="20" t="n">
        <x:v>6</x:v>
      </x:c>
      <x:c r="Q13" s="20" t="n">
        <x:v>6</x:v>
      </x:c>
      <x:c r="R13" s="20" t="n">
        <x:v>14</x:v>
      </x:c>
      <x:c r="S13" s="21" t="n">
        <x:f>24658/60</x:f>
        <x:v>410.96666666666664</x:v>
      </x:c>
      <x:c r="T13" s="21" t="n">
        <x:f>16964/60</x:f>
        <x:v>282.73333333333335</x:v>
      </x:c>
      <x:c r="U13" s="21" t="n">
        <x:f>0/60</x:f>
        <x:v>0</x:v>
      </x:c>
      <x:c r="V13" s="21" t="n">
        <x:f>0/60</x:f>
        <x:v>0</x:v>
      </x:c>
      <x:c r="W13" s="20" t="n">
        <x:v>0</x:v>
      </x:c>
      <x:c r="X13" s="20" t="n">
        <x:v>0</x:v>
      </x:c>
      <x:c r="Y13" s="20" t="n">
        <x:v>0</x:v>
      </x:c>
      <x:c r="Z13" s="20" t="n">
        <x:v>0</x:v>
      </x:c>
    </x:row>
    <x:row r="14" ht="23" customHeight="1">
      <x:c r="A14" s="2" t="str">
        <x:v>2026-09-30_Night</x:v>
      </x:c>
      <x:c r="B14" s="19" t="n">
        <x:v>190000</x:v>
      </x:c>
      <x:c r="C14" s="19" t="n">
        <x:v>0</x:v>
      </x:c>
      <x:c r="D14" s="19" t="n">
        <x:f>B14-C14</x:f>
        <x:v>190000</x:v>
      </x:c>
      <x:c r="E14" s="19" t="n">
        <x:f>E13+D14</x:f>
        <x:v>735000</x:v>
      </x:c>
      <x:c r="F14" s="19" t="n">
        <x:v>190000</x:v>
      </x:c>
      <x:c r="G14" s="19"/>
      <x:c r="H14" s="19" t="n">
        <x:v>190000</x:v>
      </x:c>
      <x:c r="I14" s="19" t="n">
        <x:v>0</x:v>
      </x:c>
      <x:c r="J14" s="19" t="n">
        <x:v>0</x:v>
      </x:c>
      <x:c r="K14" s="19" t="n">
        <x:v>0</x:v>
      </x:c>
      <x:c r="L14" s="19" t="n">
        <x:v>90000</x:v>
      </x:c>
      <x:c r="M14" s="19" t="n">
        <x:v>110000</x:v>
      </x:c>
      <x:c r="N14" s="20" t="n">
        <x:v>6</x:v>
      </x:c>
      <x:c r="O14" s="20" t="n">
        <x:v>5</x:v>
      </x:c>
      <x:c r="P14" s="20" t="n">
        <x:v>6</x:v>
      </x:c>
      <x:c r="Q14" s="20" t="n">
        <x:v>6</x:v>
      </x:c>
      <x:c r="R14" s="20" t="n">
        <x:v>22</x:v>
      </x:c>
      <x:c r="S14" s="21" t="n">
        <x:f>4986/60</x:f>
        <x:v>83.1</x:v>
      </x:c>
      <x:c r="T14" s="21" t="n">
        <x:f>0/60</x:f>
        <x:v>0</x:v>
      </x:c>
      <x:c r="U14" s="21" t="n">
        <x:f>0/60</x:f>
        <x:v>0</x:v>
      </x:c>
      <x:c r="V14" s="21" t="n">
        <x:f>0/60</x:f>
        <x:v>0</x:v>
      </x:c>
      <x:c r="W14" s="20" t="n">
        <x:v>0</x:v>
      </x:c>
      <x:c r="X14" s="20" t="n">
        <x:v>0</x:v>
      </x:c>
      <x:c r="Y14" s="20" t="n">
        <x:v>0</x:v>
      </x:c>
      <x:c r="Z14" s="20" t="n">
        <x:v>0</x:v>
      </x:c>
    </x:row>
    <x:row r="15" ht="23" customHeight="1">
      <x:c r="A15" s="2" t="str">
        <x:v>2026-10-01_Night</x:v>
      </x:c>
      <x:c r="B15" s="19" t="n">
        <x:v>233000</x:v>
      </x:c>
      <x:c r="C15" s="19" t="n">
        <x:v>115000</x:v>
      </x:c>
      <x:c r="D15" s="19" t="n">
        <x:f>B15-C15</x:f>
        <x:v>118000</x:v>
      </x:c>
      <x:c r="E15" s="19" t="n">
        <x:f>E14+D15</x:f>
        <x:v>853000</x:v>
      </x:c>
      <x:c r="F15" s="19" t="n">
        <x:v>118000</x:v>
      </x:c>
      <x:c r="G15" s="19"/>
      <x:c r="H15" s="19" t="n">
        <x:v>233000</x:v>
      </x:c>
      <x:c r="I15" s="19" t="n">
        <x:v>0</x:v>
      </x:c>
      <x:c r="J15" s="19" t="n">
        <x:v>0</x:v>
      </x:c>
      <x:c r="K15" s="19" t="n">
        <x:v>115000</x:v>
      </x:c>
      <x:c r="L15" s="19" t="n">
        <x:v>498000</x:v>
      </x:c>
      <x:c r="M15" s="19" t="n">
        <x:v>370000</x:v>
      </x:c>
      <x:c r="N15" s="20" t="n">
        <x:v>8</x:v>
      </x:c>
      <x:c r="O15" s="20" t="n">
        <x:v>6</x:v>
      </x:c>
      <x:c r="P15" s="20" t="n">
        <x:v>16</x:v>
      </x:c>
      <x:c r="Q15" s="20" t="n">
        <x:v>16</x:v>
      </x:c>
      <x:c r="R15" s="20" t="n">
        <x:v>36</x:v>
      </x:c>
      <x:c r="S15" s="21" t="n">
        <x:f>40049/60</x:f>
        <x:v>667.4833333333333</x:v>
      </x:c>
      <x:c r="T15" s="21" t="n">
        <x:f>8595/60</x:f>
        <x:v>143.25</x:v>
      </x:c>
      <x:c r="U15" s="21" t="n">
        <x:f>0/60</x:f>
        <x:v>0</x:v>
      </x:c>
      <x:c r="V15" s="21" t="n">
        <x:f>0/60</x:f>
        <x:v>0</x:v>
      </x:c>
      <x:c r="W15" s="20" t="n">
        <x:v>0</x:v>
      </x:c>
      <x:c r="X15" s="20" t="n">
        <x:v>0</x:v>
      </x:c>
      <x:c r="Y15" s="20" t="n">
        <x:v>0</x:v>
      </x:c>
      <x:c r="Z15" s="20" t="n">
        <x:v>0</x:v>
      </x:c>
    </x:row>
    <x:row r="16" ht="23" customHeight="1">
      <x:c r="A16" s="2" t="str">
        <x:v>2026-10-02_Night</x:v>
      </x:c>
      <x:c r="B16" s="19" t="n">
        <x:v>205000</x:v>
      </x:c>
      <x:c r="C16" s="19" t="n">
        <x:v>70000</x:v>
      </x:c>
      <x:c r="D16" s="19" t="n">
        <x:f>B16-C16</x:f>
        <x:v>135000</x:v>
      </x:c>
      <x:c r="E16" s="19" t="n">
        <x:f>E15+D16</x:f>
        <x:v>988000</x:v>
      </x:c>
      <x:c r="F16" s="19" t="n">
        <x:v>135000</x:v>
      </x:c>
      <x:c r="G16" s="19"/>
      <x:c r="H16" s="19" t="n">
        <x:v>205000</x:v>
      </x:c>
      <x:c r="I16" s="19" t="n">
        <x:v>0</x:v>
      </x:c>
      <x:c r="J16" s="19" t="n">
        <x:v>0</x:v>
      </x:c>
      <x:c r="K16" s="19" t="n">
        <x:v>70000</x:v>
      </x:c>
      <x:c r="L16" s="19" t="n">
        <x:v>118000</x:v>
      </x:c>
      <x:c r="M16" s="19" t="n">
        <x:v>126000</x:v>
      </x:c>
      <x:c r="N16" s="20" t="n">
        <x:v>7</x:v>
      </x:c>
      <x:c r="O16" s="20" t="n">
        <x:v>8</x:v>
      </x:c>
      <x:c r="P16" s="20" t="n">
        <x:v>15</x:v>
      </x:c>
      <x:c r="Q16" s="20" t="n">
        <x:v>15</x:v>
      </x:c>
      <x:c r="R16" s="20" t="n">
        <x:v>28</x:v>
      </x:c>
      <x:c r="S16" s="21" t="n">
        <x:f>24781/60</x:f>
        <x:v>413.01666666666665</x:v>
      </x:c>
      <x:c r="T16" s="21" t="n">
        <x:f>289/60</x:f>
        <x:v>4.816666666666666</x:v>
      </x:c>
      <x:c r="U16" s="21" t="n">
        <x:f>0/60</x:f>
        <x:v>0</x:v>
      </x:c>
      <x:c r="V16" s="21" t="n">
        <x:f>0/60</x:f>
        <x:v>0</x:v>
      </x:c>
      <x:c r="W16" s="20" t="n">
        <x:v>0</x:v>
      </x:c>
      <x:c r="X16" s="20" t="n">
        <x:v>0</x:v>
      </x:c>
      <x:c r="Y16" s="20" t="n">
        <x:v>0</x:v>
      </x:c>
      <x:c r="Z16" s="20" t="n">
        <x:v>0</x:v>
      </x:c>
    </x:row>
    <x:row r="17" ht="23" customHeight="1">
      <x:c r="A17" s="2" t="str">
        <x:v>2026-10-05_Night</x:v>
      </x:c>
      <x:c r="B17" s="19" t="n">
        <x:v>56000</x:v>
      </x:c>
      <x:c r="C17" s="19" t="n">
        <x:v>44000</x:v>
      </x:c>
      <x:c r="D17" s="19" t="n">
        <x:f>B17-C17</x:f>
        <x:v>12000</x:v>
      </x:c>
      <x:c r="E17" s="19" t="n">
        <x:f>E16+D17</x:f>
        <x:v>1000000</x:v>
      </x:c>
      <x:c r="F17" s="19" t="n">
        <x:v>12000</x:v>
      </x:c>
      <x:c r="G17" s="19"/>
      <x:c r="H17" s="19" t="n">
        <x:v>52000</x:v>
      </x:c>
      <x:c r="I17" s="19" t="n">
        <x:v>0</x:v>
      </x:c>
      <x:c r="J17" s="19" t="n">
        <x:v>4000</x:v>
      </x:c>
      <x:c r="K17" s="19" t="n">
        <x:v>44000</x:v>
      </x:c>
      <x:c r="L17" s="19" t="n">
        <x:v>102000</x:v>
      </x:c>
      <x:c r="M17" s="19" t="n">
        <x:v>108000</x:v>
      </x:c>
      <x:c r="N17" s="20" t="n">
        <x:v>7</x:v>
      </x:c>
      <x:c r="O17" s="20" t="n">
        <x:v>5</x:v>
      </x:c>
      <x:c r="P17" s="20" t="n">
        <x:v>8</x:v>
      </x:c>
      <x:c r="Q17" s="20" t="n">
        <x:v>8</x:v>
      </x:c>
      <x:c r="R17" s="20" t="n">
        <x:v>19</x:v>
      </x:c>
      <x:c r="S17" s="21" t="n">
        <x:f>22674/60</x:f>
        <x:v>377.9</x:v>
      </x:c>
      <x:c r="T17" s="21" t="n">
        <x:f>20308/60</x:f>
        <x:v>338.46666666666664</x:v>
      </x:c>
      <x:c r="U17" s="21" t="n">
        <x:f>0/60</x:f>
        <x:v>0</x:v>
      </x:c>
      <x:c r="V17" s="21" t="n">
        <x:f>0/60</x:f>
        <x:v>0</x:v>
      </x:c>
      <x:c r="W17" s="20" t="n">
        <x:v>0</x:v>
      </x:c>
      <x:c r="X17" s="20" t="n">
        <x:v>0</x:v>
      </x:c>
      <x:c r="Y17" s="20" t="n">
        <x:v>0</x:v>
      </x:c>
      <x:c r="Z17" s="20" t="n">
        <x:v>0</x:v>
      </x:c>
    </x:row>
    <x:row r="18" ht="23" customHeight="1">
      <x:c r="A18" s="2" t="str">
        <x:v>2026-10-06_Night</x:v>
      </x:c>
      <x:c r="B18" s="19" t="n">
        <x:v>41000</x:v>
      </x:c>
      <x:c r="C18" s="19" t="n">
        <x:v>0</x:v>
      </x:c>
      <x:c r="D18" s="19" t="n">
        <x:f>B18-C18</x:f>
        <x:v>41000</x:v>
      </x:c>
      <x:c r="E18" s="19" t="n">
        <x:f>E17+D18</x:f>
        <x:v>1041000</x:v>
      </x:c>
      <x:c r="F18" s="19" t="n">
        <x:v>41000</x:v>
      </x:c>
      <x:c r="G18" s="19"/>
      <x:c r="H18" s="19" t="n">
        <x:v>41000</x:v>
      </x:c>
      <x:c r="I18" s="19" t="n">
        <x:v>0</x:v>
      </x:c>
      <x:c r="J18" s="19" t="n">
        <x:v>0</x:v>
      </x:c>
      <x:c r="K18" s="19" t="n">
        <x:v>0</x:v>
      </x:c>
      <x:c r="L18" s="19" t="n">
        <x:v>53000</x:v>
      </x:c>
      <x:c r="M18" s="19" t="n">
        <x:v>57000</x:v>
      </x:c>
      <x:c r="N18" s="20" t="n">
        <x:v>0</x:v>
      </x:c>
      <x:c r="O18" s="20" t="n">
        <x:v>7</x:v>
      </x:c>
      <x:c r="P18" s="20" t="n">
        <x:v>4</x:v>
      </x:c>
      <x:c r="Q18" s="20" t="n">
        <x:v>4</x:v>
      </x:c>
      <x:c r="R18" s="20" t="n">
        <x:v>8</x:v>
      </x:c>
      <x:c r="S18" s="21" t="n">
        <x:f>5869/60</x:f>
        <x:v>97.81666666666666</x:v>
      </x:c>
      <x:c r="T18" s="21" t="n">
        <x:f>0/60</x:f>
        <x:v>0</x:v>
      </x:c>
      <x:c r="U18" s="21" t="n">
        <x:f>0/60</x:f>
        <x:v>0</x:v>
      </x:c>
      <x:c r="V18" s="21" t="n">
        <x:f>0/60</x:f>
        <x:v>0</x:v>
      </x:c>
      <x:c r="W18" s="20" t="n">
        <x:v>0</x:v>
      </x:c>
      <x:c r="X18" s="20" t="n">
        <x:v>0</x:v>
      </x:c>
      <x:c r="Y18" s="20" t="n">
        <x:v>0</x:v>
      </x:c>
      <x:c r="Z18" s="20" t="n">
        <x:v>0</x:v>
      </x:c>
    </x:row>
    <x:row r="19" ht="23" customHeight="1">
      <x:c r="A19" s="2" t="str">
        <x:v>2026-10-07_Night</x:v>
      </x:c>
      <x:c r="B19" s="19" t="n">
        <x:v>29000</x:v>
      </x:c>
      <x:c r="C19" s="19" t="n">
        <x:v>57000</x:v>
      </x:c>
      <x:c r="D19" s="19" t="n">
        <x:f>B19-C19</x:f>
        <x:v>-28000</x:v>
      </x:c>
      <x:c r="E19" s="19" t="n">
        <x:f>E18+D19</x:f>
        <x:v>1013000</x:v>
      </x:c>
      <x:c r="F19" s="19" t="n">
        <x:v>-28000</x:v>
      </x:c>
      <x:c r="G19" s="19"/>
      <x:c r="H19" s="19" t="n">
        <x:v>29000</x:v>
      </x:c>
      <x:c r="I19" s="19" t="n">
        <x:v>0</x:v>
      </x:c>
      <x:c r="J19" s="19" t="n">
        <x:v>0</x:v>
      </x:c>
      <x:c r="K19" s="19" t="n">
        <x:v>57000</x:v>
      </x:c>
      <x:c r="L19" s="19" t="n">
        <x:v>123000</x:v>
      </x:c>
      <x:c r="M19" s="19" t="n">
        <x:v>143000</x:v>
      </x:c>
      <x:c r="N19" s="20" t="n">
        <x:v>2</x:v>
      </x:c>
      <x:c r="O19" s="20" t="n">
        <x:v>5</x:v>
      </x:c>
      <x:c r="P19" s="20" t="n">
        <x:v>5</x:v>
      </x:c>
      <x:c r="Q19" s="20" t="n">
        <x:v>5</x:v>
      </x:c>
      <x:c r="R19" s="20" t="n">
        <x:v>9</x:v>
      </x:c>
      <x:c r="S19" s="21" t="n">
        <x:f>34697/60</x:f>
        <x:v>578.2833333333333</x:v>
      </x:c>
      <x:c r="T19" s="21" t="n">
        <x:f>19943/60</x:f>
        <x:v>332.3833333333333</x:v>
      </x:c>
      <x:c r="U19" s="21" t="n">
        <x:f>0/60</x:f>
        <x:v>0</x:v>
      </x:c>
      <x:c r="V19" s="21" t="n">
        <x:f>0/60</x:f>
        <x:v>0</x:v>
      </x:c>
      <x:c r="W19" s="20" t="n">
        <x:v>0</x:v>
      </x:c>
      <x:c r="X19" s="20" t="n">
        <x:v>0</x:v>
      </x:c>
      <x:c r="Y19" s="20" t="n">
        <x:v>0</x:v>
      </x:c>
      <x:c r="Z19" s="20" t="n">
        <x:v>0</x:v>
      </x:c>
    </x:row>
    <x:row r="20" ht="23" customHeight="1">
      <x:c r="A20" s="2" t="str">
        <x:v>2026-10-08_Night</x:v>
      </x:c>
      <x:c r="B20" s="19" t="n">
        <x:v>186000</x:v>
      </x:c>
      <x:c r="C20" s="19" t="n">
        <x:v>201000</x:v>
      </x:c>
      <x:c r="D20" s="19" t="n">
        <x:f>B20-C20</x:f>
        <x:v>-15000</x:v>
      </x:c>
      <x:c r="E20" s="19" t="n">
        <x:f>E19+D20</x:f>
        <x:v>998000</x:v>
      </x:c>
      <x:c r="F20" s="19" t="n">
        <x:v>-15000</x:v>
      </x:c>
      <x:c r="G20" s="19"/>
      <x:c r="H20" s="19" t="n">
        <x:v>186000</x:v>
      </x:c>
      <x:c r="I20" s="19" t="n">
        <x:v>0</x:v>
      </x:c>
      <x:c r="J20" s="19" t="n">
        <x:v>0</x:v>
      </x:c>
      <x:c r="K20" s="19" t="n">
        <x:v>201000</x:v>
      </x:c>
      <x:c r="L20" s="19" t="n">
        <x:v>241000</x:v>
      </x:c>
      <x:c r="M20" s="19" t="n">
        <x:v>229000</x:v>
      </x:c>
      <x:c r="N20" s="20" t="n">
        <x:v>8</x:v>
      </x:c>
      <x:c r="O20" s="20" t="n">
        <x:v>7</x:v>
      </x:c>
      <x:c r="P20" s="20" t="n">
        <x:v>17</x:v>
      </x:c>
      <x:c r="Q20" s="20" t="n">
        <x:v>17</x:v>
      </x:c>
      <x:c r="R20" s="20" t="n">
        <x:v>30</x:v>
      </x:c>
      <x:c r="S20" s="21" t="n">
        <x:f>23578/60</x:f>
        <x:v>392.96666666666664</x:v>
      </x:c>
      <x:c r="T20" s="21" t="n">
        <x:f>12570/60</x:f>
        <x:v>209.5</x:v>
      </x:c>
      <x:c r="U20" s="21" t="n">
        <x:f>0/60</x:f>
        <x:v>0</x:v>
      </x:c>
      <x:c r="V20" s="21" t="n">
        <x:f>0/60</x:f>
        <x:v>0</x:v>
      </x:c>
      <x:c r="W20" s="20" t="n">
        <x:v>0</x:v>
      </x:c>
      <x:c r="X20" s="20" t="n">
        <x:v>0</x:v>
      </x:c>
      <x:c r="Y20" s="20" t="n">
        <x:v>0</x:v>
      </x:c>
      <x:c r="Z20" s="20" t="n">
        <x:v>0</x:v>
      </x:c>
    </x:row>
    <x:row r="21" ht="23" customHeight="1">
      <x:c r="A21" s="2" t="str">
        <x:v>2026-10-09_Night</x:v>
      </x:c>
      <x:c r="B21" s="19" t="n">
        <x:v>60000</x:v>
      </x:c>
      <x:c r="C21" s="19" t="n">
        <x:v>0</x:v>
      </x:c>
      <x:c r="D21" s="19" t="n">
        <x:f>B21-C21</x:f>
        <x:v>60000</x:v>
      </x:c>
      <x:c r="E21" s="19" t="n">
        <x:f>E20+D21</x:f>
        <x:v>1058000</x:v>
      </x:c>
      <x:c r="F21" s="19" t="n">
        <x:v>60000</x:v>
      </x:c>
      <x:c r="G21" s="19"/>
      <x:c r="H21" s="19" t="n">
        <x:v>60000</x:v>
      </x:c>
      <x:c r="I21" s="19" t="n">
        <x:v>0</x:v>
      </x:c>
      <x:c r="J21" s="19" t="n">
        <x:v>0</x:v>
      </x:c>
      <x:c r="K21" s="19" t="n">
        <x:v>0</x:v>
      </x:c>
      <x:c r="L21" s="19" t="n">
        <x:v>115000</x:v>
      </x:c>
      <x:c r="M21" s="19" t="n">
        <x:v>140000</x:v>
      </x:c>
      <x:c r="N21" s="20" t="n">
        <x:v>0</x:v>
      </x:c>
      <x:c r="O21" s="20" t="n">
        <x:v>5</x:v>
      </x:c>
      <x:c r="P21" s="20" t="n">
        <x:v>3</x:v>
      </x:c>
      <x:c r="Q21" s="20" t="n">
        <x:v>3</x:v>
      </x:c>
      <x:c r="R21" s="20" t="n">
        <x:v>15</x:v>
      </x:c>
      <x:c r="S21" s="21" t="n">
        <x:f>6739/60</x:f>
        <x:v>112.31666666666666</x:v>
      </x:c>
      <x:c r="T21" s="21" t="n">
        <x:f>0/60</x:f>
        <x:v>0</x:v>
      </x:c>
      <x:c r="U21" s="21" t="n">
        <x:f>0/60</x:f>
        <x:v>0</x:v>
      </x:c>
      <x:c r="V21" s="21" t="n">
        <x:f>0/60</x:f>
        <x:v>0</x:v>
      </x:c>
      <x:c r="W21" s="20" t="n">
        <x:v>0</x:v>
      </x:c>
      <x:c r="X21" s="20" t="n">
        <x:v>0</x:v>
      </x:c>
      <x:c r="Y21" s="20" t="n">
        <x:v>0</x:v>
      </x:c>
      <x:c r="Z21" s="20" t="n">
        <x:v>0</x:v>
      </x:c>
    </x:row>
    <x:row r="22" ht="23" customHeight="1">
      <x:c r="A22" s="2" t="str">
        <x:v>2026-10-12_Night</x:v>
      </x:c>
      <x:c r="B22" s="19" t="n">
        <x:v>95000</x:v>
      </x:c>
      <x:c r="C22" s="19" t="n">
        <x:v>0</x:v>
      </x:c>
      <x:c r="D22" s="19" t="n">
        <x:f>B22-C22</x:f>
        <x:v>95000</x:v>
      </x:c>
      <x:c r="E22" s="19" t="n">
        <x:f>E21+D22</x:f>
        <x:v>1153000</x:v>
      </x:c>
      <x:c r="F22" s="19" t="n">
        <x:v>95000</x:v>
      </x:c>
      <x:c r="G22" s="19"/>
      <x:c r="H22" s="19" t="n">
        <x:v>95000</x:v>
      </x:c>
      <x:c r="I22" s="19" t="n">
        <x:v>0</x:v>
      </x:c>
      <x:c r="J22" s="19" t="n">
        <x:v>0</x:v>
      </x:c>
      <x:c r="K22" s="19" t="n">
        <x:v>0</x:v>
      </x:c>
      <x:c r="L22" s="19" t="n">
        <x:v>10000</x:v>
      </x:c>
      <x:c r="M22" s="19" t="n">
        <x:v>20000</x:v>
      </x:c>
      <x:c r="N22" s="20" t="n">
        <x:v>0</x:v>
      </x:c>
      <x:c r="O22" s="20" t="n">
        <x:v>5</x:v>
      </x:c>
      <x:c r="P22" s="20" t="n">
        <x:v>1</x:v>
      </x:c>
      <x:c r="Q22" s="20" t="n">
        <x:v>1</x:v>
      </x:c>
      <x:c r="R22" s="20" t="n">
        <x:v>5</x:v>
      </x:c>
      <x:c r="S22" s="21" t="n">
        <x:f>639/60</x:f>
        <x:v>10.65</x:v>
      </x:c>
      <x:c r="T22" s="21" t="n">
        <x:f>0/60</x:f>
        <x:v>0</x:v>
      </x:c>
      <x:c r="U22" s="21" t="n">
        <x:f>0/60</x:f>
        <x:v>0</x:v>
      </x:c>
      <x:c r="V22" s="21" t="n">
        <x:f>0/60</x:f>
        <x:v>0</x:v>
      </x:c>
      <x:c r="W22" s="20" t="n">
        <x:v>0</x:v>
      </x:c>
      <x:c r="X22" s="20" t="n">
        <x:v>0</x:v>
      </x:c>
      <x:c r="Y22" s="20" t="n">
        <x:v>0</x:v>
      </x:c>
      <x:c r="Z22" s="20" t="n">
        <x:v>0</x:v>
      </x:c>
    </x:row>
    <x:row r="23" ht="23" customHeight="1">
      <x:c r="A23" s="2" t="str">
        <x:v>2026-10-13_Night</x:v>
      </x:c>
      <x:c r="B23" s="19" t="n">
        <x:v>57000</x:v>
      </x:c>
      <x:c r="C23" s="19" t="n">
        <x:v>0</x:v>
      </x:c>
      <x:c r="D23" s="19" t="n">
        <x:f>B23-C23</x:f>
        <x:v>57000</x:v>
      </x:c>
      <x:c r="E23" s="19" t="n">
        <x:f>E22+D23</x:f>
        <x:v>1210000</x:v>
      </x:c>
      <x:c r="F23" s="19" t="n">
        <x:v>57000</x:v>
      </x:c>
      <x:c r="G23" s="19"/>
      <x:c r="H23" s="19" t="n">
        <x:v>57000</x:v>
      </x:c>
      <x:c r="I23" s="19" t="n">
        <x:v>0</x:v>
      </x:c>
      <x:c r="J23" s="19" t="n">
        <x:v>0</x:v>
      </x:c>
      <x:c r="K23" s="19" t="n">
        <x:v>0</x:v>
      </x:c>
      <x:c r="L23" s="19" t="n">
        <x:v>175000</x:v>
      </x:c>
      <x:c r="M23" s="19" t="n">
        <x:v>200000</x:v>
      </x:c>
      <x:c r="N23" s="20" t="n">
        <x:v>5</x:v>
      </x:c>
      <x:c r="O23" s="20" t="n">
        <x:v>5</x:v>
      </x:c>
      <x:c r="P23" s="20" t="n">
        <x:v>3</x:v>
      </x:c>
      <x:c r="Q23" s="20" t="n">
        <x:v>3</x:v>
      </x:c>
      <x:c r="R23" s="20" t="n">
        <x:v>11</x:v>
      </x:c>
      <x:c r="S23" s="21" t="n">
        <x:f>23069/60</x:f>
        <x:v>384.48333333333335</x:v>
      </x:c>
      <x:c r="T23" s="21" t="n">
        <x:f>0/60</x:f>
        <x:v>0</x:v>
      </x:c>
      <x:c r="U23" s="21" t="n">
        <x:f>0/60</x:f>
        <x:v>0</x:v>
      </x:c>
      <x:c r="V23" s="21" t="n">
        <x:f>0/60</x:f>
        <x:v>0</x:v>
      </x:c>
      <x:c r="W23" s="20" t="n">
        <x:v>0</x:v>
      </x:c>
      <x:c r="X23" s="20" t="n">
        <x:v>0</x:v>
      </x:c>
      <x:c r="Y23" s="20" t="n">
        <x:v>0</x:v>
      </x:c>
      <x:c r="Z23" s="20" t="n">
        <x:v>0</x:v>
      </x:c>
    </x:row>
    <x:row r="24" ht="23" customHeight="1">
      <x:c r="A24" s="2" t="str">
        <x:v>2026-10-14_Night</x:v>
      </x:c>
      <x:c r="B24" s="19" t="n">
        <x:v>97000</x:v>
      </x:c>
      <x:c r="C24" s="19" t="n">
        <x:v>97000</x:v>
      </x:c>
      <x:c r="D24" s="19" t="n">
        <x:f>B24-C24</x:f>
        <x:v>0</x:v>
      </x:c>
      <x:c r="E24" s="19" t="n">
        <x:f>E23+D24</x:f>
        <x:v>1210000</x:v>
      </x:c>
      <x:c r="F24" s="19" t="n">
        <x:v>0</x:v>
      </x:c>
      <x:c r="G24" s="19"/>
      <x:c r="H24" s="19" t="n">
        <x:v>97000</x:v>
      </x:c>
      <x:c r="I24" s="19" t="n">
        <x:v>0</x:v>
      </x:c>
      <x:c r="J24" s="19" t="n">
        <x:v>0</x:v>
      </x:c>
      <x:c r="K24" s="19" t="n">
        <x:v>97000</x:v>
      </x:c>
      <x:c r="L24" s="19" t="n">
        <x:v>101000</x:v>
      </x:c>
      <x:c r="M24" s="19" t="n">
        <x:v>105000</x:v>
      </x:c>
      <x:c r="N24" s="20" t="n">
        <x:v>1</x:v>
      </x:c>
      <x:c r="O24" s="20" t="n">
        <x:v>5</x:v>
      </x:c>
      <x:c r="P24" s="20" t="n">
        <x:v>5</x:v>
      </x:c>
      <x:c r="Q24" s="20" t="n">
        <x:v>5</x:v>
      </x:c>
      <x:c r="R24" s="20" t="n">
        <x:v>14</x:v>
      </x:c>
      <x:c r="S24" s="21" t="n">
        <x:f>26646/60</x:f>
        <x:v>444.1</x:v>
      </x:c>
      <x:c r="T24" s="21" t="n">
        <x:f>1763/60</x:f>
        <x:v>29.383333333333333</x:v>
      </x:c>
      <x:c r="U24" s="21" t="n">
        <x:f>0/60</x:f>
        <x:v>0</x:v>
      </x:c>
      <x:c r="V24" s="21" t="n">
        <x:f>0/60</x:f>
        <x:v>0</x:v>
      </x:c>
      <x:c r="W24" s="20" t="n">
        <x:v>0</x:v>
      </x:c>
      <x:c r="X24" s="20" t="n">
        <x:v>0</x:v>
      </x:c>
      <x:c r="Y24" s="20" t="n">
        <x:v>0</x:v>
      </x:c>
      <x:c r="Z24" s="20" t="n">
        <x:v>0</x:v>
      </x:c>
    </x:row>
    <x:row r="25" ht="23" customHeight="1">
      <x:c r="A25" s="2" t="str">
        <x:v>2026-10-15_Night</x:v>
      </x:c>
      <x:c r="B25" s="19" t="n">
        <x:v>42000</x:v>
      </x:c>
      <x:c r="C25" s="19" t="n">
        <x:v>206000</x:v>
      </x:c>
      <x:c r="D25" s="19" t="n">
        <x:f>B25-C25</x:f>
        <x:v>-164000</x:v>
      </x:c>
      <x:c r="E25" s="19" t="n">
        <x:f>E24+D25</x:f>
        <x:v>1046000</x:v>
      </x:c>
      <x:c r="F25" s="19" t="n">
        <x:v>-164000</x:v>
      </x:c>
      <x:c r="G25" s="19"/>
      <x:c r="H25" s="19" t="n">
        <x:v>42000</x:v>
      </x:c>
      <x:c r="I25" s="19" t="n">
        <x:v>0</x:v>
      </x:c>
      <x:c r="J25" s="19" t="n">
        <x:v>0</x:v>
      </x:c>
      <x:c r="K25" s="19" t="n">
        <x:v>206000</x:v>
      </x:c>
      <x:c r="L25" s="19" t="n">
        <x:v>216000</x:v>
      </x:c>
      <x:c r="M25" s="19" t="n">
        <x:v>191000</x:v>
      </x:c>
      <x:c r="N25" s="20" t="n">
        <x:v>2</x:v>
      </x:c>
      <x:c r="O25" s="20" t="n">
        <x:v>3</x:v>
      </x:c>
      <x:c r="P25" s="20" t="n">
        <x:v>7</x:v>
      </x:c>
      <x:c r="Q25" s="20" t="n">
        <x:v>7</x:v>
      </x:c>
      <x:c r="R25" s="20" t="n">
        <x:v>9</x:v>
      </x:c>
      <x:c r="S25" s="21" t="n">
        <x:f>24312/60</x:f>
        <x:v>405.2</x:v>
      </x:c>
      <x:c r="T25" s="21" t="n">
        <x:f>10644/60</x:f>
        <x:v>177.4</x:v>
      </x:c>
      <x:c r="U25" s="21" t="n">
        <x:f>0/60</x:f>
        <x:v>0</x:v>
      </x:c>
      <x:c r="V25" s="21" t="n">
        <x:f>0/60</x:f>
        <x:v>0</x:v>
      </x:c>
      <x:c r="W25" s="20" t="n">
        <x:v>0</x:v>
      </x:c>
      <x:c r="X25" s="20" t="n">
        <x:v>0</x:v>
      </x:c>
      <x:c r="Y25" s="20" t="n">
        <x:v>0</x:v>
      </x:c>
      <x:c r="Z25" s="20" t="n">
        <x:v>0</x:v>
      </x:c>
    </x:row>
    <x:row r="26" ht="23" customHeight="1">
      <x:c r="A26" s="2" t="str">
        <x:v>2026-10-16_Night</x:v>
      </x:c>
      <x:c r="B26" s="19" t="n">
        <x:v>255000</x:v>
      </x:c>
      <x:c r="C26" s="19" t="n">
        <x:v>144000</x:v>
      </x:c>
      <x:c r="D26" s="19" t="n">
        <x:f>B26-C26</x:f>
        <x:v>111000</x:v>
      </x:c>
      <x:c r="E26" s="19" t="n">
        <x:f>E25+D26</x:f>
        <x:v>1157000</x:v>
      </x:c>
      <x:c r="F26" s="19" t="n">
        <x:v>111000</x:v>
      </x:c>
      <x:c r="G26" s="19"/>
      <x:c r="H26" s="19" t="n">
        <x:v>244000</x:v>
      </x:c>
      <x:c r="I26" s="19" t="n">
        <x:v>0</x:v>
      </x:c>
      <x:c r="J26" s="19" t="n">
        <x:v>11000</x:v>
      </x:c>
      <x:c r="K26" s="19" t="n">
        <x:v>144000</x:v>
      </x:c>
      <x:c r="L26" s="19" t="n">
        <x:v>132000</x:v>
      </x:c>
      <x:c r="M26" s="19" t="n">
        <x:v>99000</x:v>
      </x:c>
      <x:c r="N26" s="20" t="n">
        <x:v>3</x:v>
      </x:c>
      <x:c r="O26" s="20" t="n">
        <x:v>7</x:v>
      </x:c>
      <x:c r="P26" s="20" t="n">
        <x:v>14</x:v>
      </x:c>
      <x:c r="Q26" s="20" t="n">
        <x:v>14</x:v>
      </x:c>
      <x:c r="R26" s="20" t="n">
        <x:v>32</x:v>
      </x:c>
      <x:c r="S26" s="21" t="n">
        <x:f>13703/60</x:f>
        <x:v>228.38333333333333</x:v>
      </x:c>
      <x:c r="T26" s="21" t="n">
        <x:f>6049/60</x:f>
        <x:v>100.81666666666666</x:v>
      </x:c>
      <x:c r="U26" s="21" t="n">
        <x:f>0/60</x:f>
        <x:v>0</x:v>
      </x:c>
      <x:c r="V26" s="21" t="n">
        <x:f>0/60</x:f>
        <x:v>0</x:v>
      </x:c>
      <x:c r="W26" s="20" t="n">
        <x:v>0</x:v>
      </x:c>
      <x:c r="X26" s="20" t="n">
        <x:v>0</x:v>
      </x:c>
      <x:c r="Y26" s="20" t="n">
        <x:v>0</x:v>
      </x:c>
      <x:c r="Z26" s="20" t="n">
        <x:v>0</x:v>
      </x:c>
    </x:row>
    <x:row r="27" ht="23" customHeight="1">
      <x:c r="A27" s="2" t="str">
        <x:v>2026-10-19_Night</x:v>
      </x:c>
      <x:c r="B27" s="19" t="n">
        <x:v>203000</x:v>
      </x:c>
      <x:c r="C27" s="19" t="n">
        <x:v>44000</x:v>
      </x:c>
      <x:c r="D27" s="19" t="n">
        <x:f>B27-C27</x:f>
        <x:v>159000</x:v>
      </x:c>
      <x:c r="E27" s="19" t="n">
        <x:f>E26+D27</x:f>
        <x:v>1316000</x:v>
      </x:c>
      <x:c r="F27" s="19" t="n">
        <x:v>159000</x:v>
      </x:c>
      <x:c r="G27" s="19"/>
      <x:c r="H27" s="19" t="n">
        <x:v>203000</x:v>
      </x:c>
      <x:c r="I27" s="19" t="n">
        <x:v>0</x:v>
      </x:c>
      <x:c r="J27" s="19" t="n">
        <x:v>0</x:v>
      </x:c>
      <x:c r="K27" s="19" t="n">
        <x:v>44000</x:v>
      </x:c>
      <x:c r="L27" s="19" t="n">
        <x:v>60000</x:v>
      </x:c>
      <x:c r="M27" s="19" t="n">
        <x:v>75000</x:v>
      </x:c>
      <x:c r="N27" s="20" t="n">
        <x:v>5</x:v>
      </x:c>
      <x:c r="O27" s="20" t="n">
        <x:v>7</x:v>
      </x:c>
      <x:c r="P27" s="20" t="n">
        <x:v>14</x:v>
      </x:c>
      <x:c r="Q27" s="20" t="n">
        <x:v>14</x:v>
      </x:c>
      <x:c r="R27" s="20" t="n">
        <x:v>31</x:v>
      </x:c>
      <x:c r="S27" s="21" t="n">
        <x:f>26340/60</x:f>
        <x:v>439</x:v>
      </x:c>
      <x:c r="T27" s="21" t="n">
        <x:f>3337/60</x:f>
        <x:v>55.61666666666667</x:v>
      </x:c>
      <x:c r="U27" s="21" t="n">
        <x:f>0/60</x:f>
        <x:v>0</x:v>
      </x:c>
      <x:c r="V27" s="21" t="n">
        <x:f>0/60</x:f>
        <x:v>0</x:v>
      </x:c>
      <x:c r="W27" s="20" t="n">
        <x:v>0</x:v>
      </x:c>
      <x:c r="X27" s="20" t="n">
        <x:v>0</x:v>
      </x:c>
      <x:c r="Y27" s="20" t="n">
        <x:v>0</x:v>
      </x:c>
      <x:c r="Z27" s="20" t="n">
        <x:v>0</x:v>
      </x:c>
    </x:row>
    <x:row r="28" ht="23" customHeight="1">
      <x:c r="A28" s="2" t="str">
        <x:v>2026-10-20_Night</x:v>
      </x:c>
      <x:c r="B28" s="19" t="n">
        <x:v>116000</x:v>
      </x:c>
      <x:c r="C28" s="19" t="n">
        <x:v>49000</x:v>
      </x:c>
      <x:c r="D28" s="19" t="n">
        <x:f>B28-C28</x:f>
        <x:v>67000</x:v>
      </x:c>
      <x:c r="E28" s="19" t="n">
        <x:f>E27+D28</x:f>
        <x:v>1383000</x:v>
      </x:c>
      <x:c r="F28" s="19" t="n">
        <x:v>67000</x:v>
      </x:c>
      <x:c r="G28" s="19"/>
      <x:c r="H28" s="19" t="n">
        <x:v>116000</x:v>
      </x:c>
      <x:c r="I28" s="19" t="n">
        <x:v>0</x:v>
      </x:c>
      <x:c r="J28" s="19" t="n">
        <x:v>0</x:v>
      </x:c>
      <x:c r="K28" s="19" t="n">
        <x:v>49000</x:v>
      </x:c>
      <x:c r="L28" s="19" t="n">
        <x:v>55000</x:v>
      </x:c>
      <x:c r="M28" s="19" t="n">
        <x:v>90000</x:v>
      </x:c>
      <x:c r="N28" s="20" t="n">
        <x:v>5</x:v>
      </x:c>
      <x:c r="O28" s="20" t="n">
        <x:v>5</x:v>
      </x:c>
      <x:c r="P28" s="20" t="n">
        <x:v>11</x:v>
      </x:c>
      <x:c r="Q28" s="20" t="n">
        <x:v>11</x:v>
      </x:c>
      <x:c r="R28" s="20" t="n">
        <x:v>22</x:v>
      </x:c>
      <x:c r="S28" s="21" t="n">
        <x:f>24065/60</x:f>
        <x:v>401.0833333333333</x:v>
      </x:c>
      <x:c r="T28" s="21" t="n">
        <x:f>509/60</x:f>
        <x:v>8.483333333333333</x:v>
      </x:c>
      <x:c r="U28" s="21" t="n">
        <x:f>0/60</x:f>
        <x:v>0</x:v>
      </x:c>
      <x:c r="V28" s="21" t="n">
        <x:f>0/60</x:f>
        <x:v>0</x:v>
      </x:c>
      <x:c r="W28" s="20" t="n">
        <x:v>0</x:v>
      </x:c>
      <x:c r="X28" s="20" t="n">
        <x:v>0</x:v>
      </x:c>
      <x:c r="Y28" s="20" t="n">
        <x:v>0</x:v>
      </x:c>
      <x:c r="Z28" s="20" t="n">
        <x:v>0</x:v>
      </x:c>
    </x:row>
    <x:row r="29" ht="23" customHeight="1">
      <x:c r="A29" s="2" t="str">
        <x:v>2026-10-21_Night</x:v>
      </x:c>
      <x:c r="B29" s="19" t="n">
        <x:v>121000</x:v>
      </x:c>
      <x:c r="C29" s="19" t="n">
        <x:v>200000</x:v>
      </x:c>
      <x:c r="D29" s="19" t="n">
        <x:f>B29-C29</x:f>
        <x:v>-79000</x:v>
      </x:c>
      <x:c r="E29" s="19" t="n">
        <x:f>E28+D29</x:f>
        <x:v>1304000</x:v>
      </x:c>
      <x:c r="F29" s="19" t="n">
        <x:v>-79000</x:v>
      </x:c>
      <x:c r="G29" s="19"/>
      <x:c r="H29" s="19" t="n">
        <x:v>121000</x:v>
      </x:c>
      <x:c r="I29" s="19" t="n">
        <x:v>0</x:v>
      </x:c>
      <x:c r="J29" s="19" t="n">
        <x:v>0</x:v>
      </x:c>
      <x:c r="K29" s="19" t="n">
        <x:v>200000</x:v>
      </x:c>
      <x:c r="L29" s="19" t="n">
        <x:v>330000</x:v>
      </x:c>
      <x:c r="M29" s="19" t="n">
        <x:v>325000</x:v>
      </x:c>
      <x:c r="N29" s="20" t="n">
        <x:v>6</x:v>
      </x:c>
      <x:c r="O29" s="20" t="n">
        <x:v>10</x:v>
      </x:c>
      <x:c r="P29" s="20" t="n">
        <x:v>6</x:v>
      </x:c>
      <x:c r="Q29" s="20" t="n">
        <x:v>6</x:v>
      </x:c>
      <x:c r="R29" s="20" t="n">
        <x:v>22</x:v>
      </x:c>
      <x:c r="S29" s="21" t="n">
        <x:f>38276/60</x:f>
        <x:v>637.9333333333333</x:v>
      </x:c>
      <x:c r="T29" s="21" t="n">
        <x:f>2336/60</x:f>
        <x:v>38.93333333333333</x:v>
      </x:c>
      <x:c r="U29" s="21" t="n">
        <x:f>0/60</x:f>
        <x:v>0</x:v>
      </x:c>
      <x:c r="V29" s="21" t="n">
        <x:f>378/60</x:f>
        <x:v>6.3</x:v>
      </x:c>
      <x:c r="W29" s="20" t="n">
        <x:v>0</x:v>
      </x:c>
      <x:c r="X29" s="20" t="n">
        <x:v>0</x:v>
      </x:c>
      <x:c r="Y29" s="20" t="n">
        <x:v>0</x:v>
      </x:c>
      <x:c r="Z29" s="20" t="n">
        <x:v>0</x:v>
      </x:c>
    </x:row>
    <x:row r="30" ht="23" customHeight="1">
      <x:c r="A30" s="2" t="str">
        <x:v>2026-10-22_Night</x:v>
      </x:c>
      <x:c r="B30" s="19" t="n">
        <x:v>42000</x:v>
      </x:c>
      <x:c r="C30" s="19" t="n">
        <x:v>0</x:v>
      </x:c>
      <x:c r="D30" s="19" t="n">
        <x:f>B30-C30</x:f>
        <x:v>42000</x:v>
      </x:c>
      <x:c r="E30" s="19" t="n">
        <x:f>E29+D30</x:f>
        <x:v>1346000</x:v>
      </x:c>
      <x:c r="F30" s="19" t="n">
        <x:v>42000</x:v>
      </x:c>
      <x:c r="G30" s="19"/>
      <x:c r="H30" s="19" t="n">
        <x:v>42000</x:v>
      </x:c>
      <x:c r="I30" s="19" t="n">
        <x:v>0</x:v>
      </x:c>
      <x:c r="J30" s="19" t="n">
        <x:v>0</x:v>
      </x:c>
      <x:c r="K30" s="19" t="n">
        <x:v>0</x:v>
      </x:c>
      <x:c r="L30" s="19" t="n">
        <x:v>10000</x:v>
      </x:c>
      <x:c r="M30" s="19" t="n">
        <x:v>20000</x:v>
      </x:c>
      <x:c r="N30" s="20" t="n">
        <x:v>0</x:v>
      </x:c>
      <x:c r="O30" s="20" t="n">
        <x:v>5</x:v>
      </x:c>
      <x:c r="P30" s="20" t="n">
        <x:v>3</x:v>
      </x:c>
      <x:c r="Q30" s="20" t="n">
        <x:v>3</x:v>
      </x:c>
      <x:c r="R30" s="20" t="n">
        <x:v>7</x:v>
      </x:c>
      <x:c r="S30" s="21" t="n">
        <x:f>608/60</x:f>
        <x:v>10.133333333333333</x:v>
      </x:c>
      <x:c r="T30" s="21" t="n">
        <x:f>0/60</x:f>
        <x:v>0</x:v>
      </x:c>
      <x:c r="U30" s="21" t="n">
        <x:f>0/60</x:f>
        <x:v>0</x:v>
      </x:c>
      <x:c r="V30" s="21" t="n">
        <x:f>0/60</x:f>
        <x:v>0</x:v>
      </x:c>
      <x:c r="W30" s="20" t="n">
        <x:v>0</x:v>
      </x:c>
      <x:c r="X30" s="20" t="n">
        <x:v>0</x:v>
      </x:c>
      <x:c r="Y30" s="20" t="n">
        <x:v>0</x:v>
      </x:c>
      <x:c r="Z30" s="20" t="n">
        <x:v>0</x:v>
      </x:c>
    </x:row>
    <x:row r="31" ht="23" customHeight="1">
      <x:c r="A31" s="2" t="str">
        <x:v>2026-10-23_Night</x:v>
      </x:c>
      <x:c r="B31" s="19" t="n">
        <x:v>142000</x:v>
      </x:c>
      <x:c r="C31" s="19" t="n">
        <x:v>40000</x:v>
      </x:c>
      <x:c r="D31" s="19" t="n">
        <x:f>B31-C31</x:f>
        <x:v>102000</x:v>
      </x:c>
      <x:c r="E31" s="19" t="n">
        <x:f>E30+D31</x:f>
        <x:v>1448000</x:v>
      </x:c>
      <x:c r="F31" s="19" t="n">
        <x:v>102000</x:v>
      </x:c>
      <x:c r="G31" s="19"/>
      <x:c r="H31" s="19" t="n">
        <x:v>142000</x:v>
      </x:c>
      <x:c r="I31" s="19" t="n">
        <x:v>0</x:v>
      </x:c>
      <x:c r="J31" s="19" t="n">
        <x:v>0</x:v>
      </x:c>
      <x:c r="K31" s="19" t="n">
        <x:v>40000</x:v>
      </x:c>
      <x:c r="L31" s="19" t="n">
        <x:v>75000</x:v>
      </x:c>
      <x:c r="M31" s="19" t="n">
        <x:v>84000</x:v>
      </x:c>
      <x:c r="N31" s="20" t="n">
        <x:v>6</x:v>
      </x:c>
      <x:c r="O31" s="20" t="n">
        <x:v>5</x:v>
      </x:c>
      <x:c r="P31" s="20" t="n">
        <x:v>11</x:v>
      </x:c>
      <x:c r="Q31" s="20" t="n">
        <x:v>11</x:v>
      </x:c>
      <x:c r="R31" s="20" t="n">
        <x:v>20</x:v>
      </x:c>
      <x:c r="S31" s="21" t="n">
        <x:f>40135/60</x:f>
        <x:v>668.9166666666666</x:v>
      </x:c>
      <x:c r="T31" s="21" t="n">
        <x:f>0/60</x:f>
        <x:v>0</x:v>
      </x:c>
      <x:c r="U31" s="21" t="n">
        <x:f>0/60</x:f>
        <x:v>0</x:v>
      </x:c>
      <x:c r="V31" s="21" t="n">
        <x:f>0/60</x:f>
        <x:v>0</x:v>
      </x:c>
      <x:c r="W31" s="20" t="n">
        <x:v>0</x:v>
      </x:c>
      <x:c r="X31" s="20" t="n">
        <x:v>0</x:v>
      </x:c>
      <x:c r="Y31" s="20" t="n">
        <x:v>0</x:v>
      </x:c>
      <x:c r="Z31" s="20" t="n">
        <x:v>0</x:v>
      </x:c>
    </x:row>
    <x:row r="32" ht="23" customHeight="1">
      <x:c r="A32" s="26" t="str">
        <x:v>25夜累計／最大</x:v>
      </x:c>
      <x:c r="B32" s="27" t="n">
        <x:f>SUM(B7:B31)</x:f>
        <x:v>2762000</x:v>
      </x:c>
      <x:c r="C32" s="27" t="n">
        <x:f>SUM(C7:C31)</x:f>
        <x:v>1314000</x:v>
      </x:c>
      <x:c r="D32" s="27" t="n">
        <x:f>B32-C32</x:f>
        <x:v>1448000</x:v>
      </x:c>
      <x:c r="E32" s="27" t="n">
        <x:f>E31</x:f>
        <x:v>1448000</x:v>
      </x:c>
      <x:c r="F32" s="27" t="n">
        <x:f>SUM(F7:F31)</x:f>
        <x:v>1448000</x:v>
      </x:c>
      <x:c r="G32" s="27"/>
      <x:c r="H32" s="27" t="n">
        <x:f>SUM(H7:H31)</x:f>
        <x:v>2747000</x:v>
      </x:c>
      <x:c r="I32" s="27" t="n">
        <x:f>SUM(I7:I31)</x:f>
        <x:v>0</x:v>
      </x:c>
      <x:c r="J32" s="27" t="n">
        <x:f>SUM(J7:J31)</x:f>
        <x:v>15000</x:v>
      </x:c>
      <x:c r="K32" s="27" t="n">
        <x:f>SUM(K7:K31)</x:f>
        <x:v>1314000</x:v>
      </x:c>
      <x:c r="L32" s="27" t="n">
        <x:f>MAX(L7:L31)</x:f>
        <x:v>498000</x:v>
      </x:c>
      <x:c r="M32" s="27" t="n">
        <x:f>MAX(M7:M31)</x:f>
        <x:v>370000</x:v>
      </x:c>
      <x:c r="N32" s="28" t="n">
        <x:f>MAX(N7:N31)</x:f>
        <x:v>8</x:v>
      </x:c>
      <x:c r="O32" s="28" t="n">
        <x:f>MAX(O7:O31)</x:f>
        <x:v>10</x:v>
      </x:c>
      <x:c r="P32" s="28" t="n">
        <x:f>SUM(P7:P31)</x:f>
        <x:v>172</x:v>
      </x:c>
      <x:c r="Q32" s="28" t="n">
        <x:f>SUM(Q7:Q31)</x:f>
        <x:v>172</x:v>
      </x:c>
      <x:c r="R32" s="28" t="n">
        <x:f>SUM(R7:R31)</x:f>
        <x:v>401</x:v>
      </x:c>
      <x:c r="S32" s="29" t="n">
        <x:f>SUM(S7:S31)</x:f>
        <x:v>7346.016666666666</x:v>
      </x:c>
      <x:c r="T32" s="29" t="n">
        <x:f>SUM(T7:T31)</x:f>
        <x:v>1765.65</x:v>
      </x:c>
      <x:c r="U32" s="29" t="n">
        <x:f>SUM(U7:U31)</x:f>
        <x:v>0</x:v>
      </x:c>
      <x:c r="V32" s="29" t="n">
        <x:f>SUM(V7:V31)</x:f>
        <x:v>6.3</x:v>
      </x:c>
      <x:c r="W32" s="28" t="n">
        <x:f>SUM(W7:W31)</x:f>
        <x:v>0</x:v>
      </x:c>
      <x:c r="X32" s="28" t="n">
        <x:f>SUM(X7:X31)</x:f>
        <x:v>0</x:v>
      </x:c>
      <x:c r="Y32" s="28" t="n">
        <x:f>SUM(Y7:Y31)</x:f>
        <x:v>0</x:v>
      </x:c>
      <x:c r="Z32" s="28" t="n">
        <x:f>SUM(Z7:Z31)</x:f>
        <x:v>0</x:v>
      </x:c>
    </x:row>
  </x:sheetData>
  <x:conditionalFormatting sqref="B7:M32">
    <x:cfRule type="cellIs" dxfId="1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f49e79277974075"/>
  </x:tableParts>
</x:worksheet>
</file>

<file path=xl/worksheets/sheet20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3" customHeight="1">
      <x:c r="A2" s="4" t="str">
        <x:v>N06　全夜間の利益・損失・収支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3" ht="23" customHeight="1">
      <x:c r="A3" s="6" t="str">
        <x:v>日経mini・片方向上限10枚・手数料0・次正常ラージ気配代理。2026/09/21〜10/23の完了25夜。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3" customHeight="1">
      <x:c r="A4" s="6" t="str">
        <x:v>利益・損失は新規実約定IDごとの全返済収支で分類。旧親単位の利益損失とは異なります。未測定は空欄。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3" customHeight="1">
      <x:c r="A5" s="6" t="str">
        <x:v>全夜・80/40追尾・黒字返済後40pt追尾再新規。N：新手法を全夜運転。含み損・DD・保有時間・返済内訳も全夜。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4" customHeight="1">
      <x:c r="A6" s="15" t="str">
        <x:v>セッション</x:v>
      </x:c>
      <x:c r="B6" s="16" t="str">
        <x:v>利益（円）</x:v>
      </x:c>
      <x:c r="C6" s="16" t="str">
        <x:v>損失（円）</x:v>
      </x:c>
      <x:c r="D6" s="16" t="str">
        <x:v>全夜収支（円）</x:v>
      </x:c>
      <x:c r="E6" s="16" t="str">
        <x:v>累計（円）</x:v>
      </x:c>
      <x:c r="F6" s="16" t="str">
        <x:v>対象区間収支</x:v>
      </x:c>
      <x:c r="G6" s="16" t="str">
        <x:v>保存後半収支</x:v>
      </x:c>
      <x:c r="H6" s="16" t="str">
        <x:v>利益追尾の利益</x:v>
      </x:c>
      <x:c r="I6" s="16" t="str">
        <x:v>利益追尾の損失</x:v>
      </x:c>
      <x:c r="J6" s="16" t="str">
        <x:v>境界清算の利益</x:v>
      </x:c>
      <x:c r="K6" s="16" t="str">
        <x:v>境界清算の損失</x:v>
      </x:c>
      <x:c r="L6" s="16" t="str">
        <x:v>最大含み損（円）</x:v>
      </x:c>
      <x:c r="M6" s="16" t="str">
        <x:v>対象区間DD</x:v>
      </x:c>
      <x:c r="N6" s="16" t="str">
        <x:v>最大買い枚数</x:v>
      </x:c>
      <x:c r="O6" s="16" t="str">
        <x:v>最大売り枚数</x:v>
      </x:c>
      <x:c r="P6" s="16" t="str">
        <x:v>全夜新規件数</x:v>
      </x:c>
      <x:c r="Q6" s="16" t="str">
        <x:v>対象区間新規</x:v>
      </x:c>
      <x:c r="R6" s="16" t="str">
        <x:v>全新規枚数</x:v>
      </x:c>
      <x:c r="S6" s="16" t="str">
        <x:v>保有（分）</x:v>
      </x:c>
      <x:c r="T6" s="16" t="str">
        <x:v>両建て（分）</x:v>
      </x:c>
      <x:c r="U6" s="16" t="str">
        <x:v>買い上限（分）</x:v>
      </x:c>
      <x:c r="V6" s="16" t="str">
        <x:v>売り上限（分）</x:v>
      </x:c>
      <x:c r="W6" s="16" t="str">
        <x:v>上限拒否・縮小件数</x:v>
      </x:c>
      <x:c r="X6" s="16" t="str">
        <x:v>通知全拒否件数</x:v>
      </x:c>
      <x:c r="Y6" s="16" t="str">
        <x:v>実再参加件数</x:v>
      </x:c>
      <x:c r="Z6" s="17" t="str">
        <x:v>判断利益→実損失</x:v>
      </x:c>
    </x:row>
    <x:row r="7" ht="23" customHeight="1">
      <x:c r="A7" s="2" t="str">
        <x:v>2026-09-21_Night</x:v>
      </x:c>
      <x:c r="B7" s="19" t="n">
        <x:v>265000</x:v>
      </x:c>
      <x:c r="C7" s="19" t="n">
        <x:v>40000</x:v>
      </x:c>
      <x:c r="D7" s="19" t="n">
        <x:f>B7-C7</x:f>
        <x:v>225000</x:v>
      </x:c>
      <x:c r="E7" s="19" t="n">
        <x:f>D7</x:f>
        <x:v>225000</x:v>
      </x:c>
      <x:c r="F7" s="19" t="n">
        <x:v>225000</x:v>
      </x:c>
      <x:c r="G7" s="19"/>
      <x:c r="H7" s="19" t="n">
        <x:v>265000</x:v>
      </x:c>
      <x:c r="I7" s="19" t="n">
        <x:v>0</x:v>
      </x:c>
      <x:c r="J7" s="19" t="n">
        <x:v>0</x:v>
      </x:c>
      <x:c r="K7" s="19" t="n">
        <x:v>40000</x:v>
      </x:c>
      <x:c r="L7" s="19" t="n">
        <x:v>60000</x:v>
      </x:c>
      <x:c r="M7" s="19" t="n">
        <x:v>80000</x:v>
      </x:c>
      <x:c r="N7" s="20" t="n">
        <x:v>5</x:v>
      </x:c>
      <x:c r="O7" s="20" t="n">
        <x:v>0</x:v>
      </x:c>
      <x:c r="P7" s="20" t="n">
        <x:v>7</x:v>
      </x:c>
      <x:c r="Q7" s="20" t="n">
        <x:v>7</x:v>
      </x:c>
      <x:c r="R7" s="20" t="n">
        <x:v>35</x:v>
      </x:c>
      <x:c r="S7" s="21" t="n">
        <x:f>21191/60</x:f>
        <x:v>353.18333333333334</x:v>
      </x:c>
      <x:c r="T7" s="21" t="n">
        <x:f>0/60</x:f>
        <x:v>0</x:v>
      </x:c>
      <x:c r="U7" s="21" t="n">
        <x:f>0/60</x:f>
        <x:v>0</x:v>
      </x:c>
      <x:c r="V7" s="21" t="n">
        <x:f>0/60</x:f>
        <x:v>0</x:v>
      </x:c>
      <x:c r="W7" s="20" t="n">
        <x:v>0</x:v>
      </x:c>
      <x:c r="X7" s="20" t="n">
        <x:v>0</x:v>
      </x:c>
      <x:c r="Y7" s="20" t="n">
        <x:v>6</x:v>
      </x:c>
      <x:c r="Z7" s="20" t="n">
        <x:v>0</x:v>
      </x:c>
    </x:row>
    <x:row r="8" ht="23" customHeight="1">
      <x:c r="A8" s="2" t="str">
        <x:v>2026-09-22_Night</x:v>
      </x:c>
      <x:c r="B8" s="19" t="n">
        <x:v>390000</x:v>
      </x:c>
      <x:c r="C8" s="19" t="n">
        <x:v>180000</x:v>
      </x:c>
      <x:c r="D8" s="19" t="n">
        <x:f>B8-C8</x:f>
        <x:v>210000</x:v>
      </x:c>
      <x:c r="E8" s="19" t="n">
        <x:f>E7+D8</x:f>
        <x:v>435000</x:v>
      </x:c>
      <x:c r="F8" s="19" t="n">
        <x:v>210000</x:v>
      </x:c>
      <x:c r="G8" s="19"/>
      <x:c r="H8" s="19" t="n">
        <x:v>390000</x:v>
      </x:c>
      <x:c r="I8" s="19" t="n">
        <x:v>0</x:v>
      </x:c>
      <x:c r="J8" s="19" t="n">
        <x:v>0</x:v>
      </x:c>
      <x:c r="K8" s="19" t="n">
        <x:v>180000</x:v>
      </x:c>
      <x:c r="L8" s="19" t="n">
        <x:v>300000</x:v>
      </x:c>
      <x:c r="M8" s="19" t="n">
        <x:v>340000</x:v>
      </x:c>
      <x:c r="N8" s="20" t="n">
        <x:v>10</x:v>
      </x:c>
      <x:c r="O8" s="20" t="n">
        <x:v>0</x:v>
      </x:c>
      <x:c r="P8" s="20" t="n">
        <x:v>14</x:v>
      </x:c>
      <x:c r="Q8" s="20" t="n">
        <x:v>14</x:v>
      </x:c>
      <x:c r="R8" s="20" t="n">
        <x:v>70</x:v>
      </x:c>
      <x:c r="S8" s="21" t="n">
        <x:f>40658/60</x:f>
        <x:v>677.6333333333333</x:v>
      </x:c>
      <x:c r="T8" s="21" t="n">
        <x:f>0/60</x:f>
        <x:v>0</x:v>
      </x:c>
      <x:c r="U8" s="21" t="n">
        <x:f>23648/60</x:f>
        <x:v>394.1333333333333</x:v>
      </x:c>
      <x:c r="V8" s="21" t="n">
        <x:f>0/60</x:f>
        <x:v>0</x:v>
      </x:c>
      <x:c r="W8" s="20" t="n">
        <x:v>0</x:v>
      </x:c>
      <x:c r="X8" s="20" t="n">
        <x:v>0</x:v>
      </x:c>
      <x:c r="Y8" s="20" t="n">
        <x:v>12</x:v>
      </x:c>
      <x:c r="Z8" s="20" t="n">
        <x:v>0</x:v>
      </x:c>
    </x:row>
    <x:row r="9" ht="23" customHeight="1">
      <x:c r="A9" s="2" t="str">
        <x:v>2026-09-23_Night</x:v>
      </x:c>
      <x:c r="B9" s="19" t="n">
        <x:v>162000</x:v>
      </x:c>
      <x:c r="C9" s="19" t="n">
        <x:v>171000</x:v>
      </x:c>
      <x:c r="D9" s="19" t="n">
        <x:f>B9-C9</x:f>
        <x:v>-9000</x:v>
      </x:c>
      <x:c r="E9" s="19" t="n">
        <x:f>E8+D9</x:f>
        <x:v>426000</x:v>
      </x:c>
      <x:c r="F9" s="19" t="n">
        <x:v>-9000</x:v>
      </x:c>
      <x:c r="G9" s="19"/>
      <x:c r="H9" s="19" t="n">
        <x:v>162000</x:v>
      </x:c>
      <x:c r="I9" s="19" t="n">
        <x:v>0</x:v>
      </x:c>
      <x:c r="J9" s="19" t="n">
        <x:v>0</x:v>
      </x:c>
      <x:c r="K9" s="19" t="n">
        <x:v>171000</x:v>
      </x:c>
      <x:c r="L9" s="19" t="n">
        <x:v>189000</x:v>
      </x:c>
      <x:c r="M9" s="19" t="n">
        <x:v>146000</x:v>
      </x:c>
      <x:c r="N9" s="20" t="n">
        <x:v>2</x:v>
      </x:c>
      <x:c r="O9" s="20" t="n">
        <x:v>5</x:v>
      </x:c>
      <x:c r="P9" s="20" t="n">
        <x:v>9</x:v>
      </x:c>
      <x:c r="Q9" s="20" t="n">
        <x:v>9</x:v>
      </x:c>
      <x:c r="R9" s="20" t="n">
        <x:v>29</x:v>
      </x:c>
      <x:c r="S9" s="21" t="n">
        <x:f>24672/60</x:f>
        <x:v>411.2</x:v>
      </x:c>
      <x:c r="T9" s="21" t="n">
        <x:f>21239/60</x:f>
        <x:v>353.98333333333335</x:v>
      </x:c>
      <x:c r="U9" s="21" t="n">
        <x:f>0/60</x:f>
        <x:v>0</x:v>
      </x:c>
      <x:c r="V9" s="21" t="n">
        <x:f>0/60</x:f>
        <x:v>0</x:v>
      </x:c>
      <x:c r="W9" s="20" t="n">
        <x:v>0</x:v>
      </x:c>
      <x:c r="X9" s="20" t="n">
        <x:v>0</x:v>
      </x:c>
      <x:c r="Y9" s="20" t="n">
        <x:v>6</x:v>
      </x:c>
      <x:c r="Z9" s="20" t="n">
        <x:v>0</x:v>
      </x:c>
    </x:row>
    <x:row r="10" ht="23" customHeight="1">
      <x:c r="A10" s="2" t="str">
        <x:v>2026-09-24_Night</x:v>
      </x:c>
      <x:c r="B10" s="19" t="n">
        <x:v>427000</x:v>
      </x:c>
      <x:c r="C10" s="19" t="n">
        <x:v>350000</x:v>
      </x:c>
      <x:c r="D10" s="19" t="n">
        <x:f>B10-C10</x:f>
        <x:v>77000</x:v>
      </x:c>
      <x:c r="E10" s="19" t="n">
        <x:f>E9+D10</x:f>
        <x:v>503000</x:v>
      </x:c>
      <x:c r="F10" s="19" t="n">
        <x:v>77000</x:v>
      </x:c>
      <x:c r="G10" s="19"/>
      <x:c r="H10" s="19" t="n">
        <x:v>427000</x:v>
      </x:c>
      <x:c r="I10" s="19" t="n">
        <x:v>0</x:v>
      </x:c>
      <x:c r="J10" s="19" t="n">
        <x:v>0</x:v>
      </x:c>
      <x:c r="K10" s="19" t="n">
        <x:v>350000</x:v>
      </x:c>
      <x:c r="L10" s="19" t="n">
        <x:v>432000</x:v>
      </x:c>
      <x:c r="M10" s="19" t="n">
        <x:v>393000</x:v>
      </x:c>
      <x:c r="N10" s="20" t="n">
        <x:v>10</x:v>
      </x:c>
      <x:c r="O10" s="20" t="n">
        <x:v>2</x:v>
      </x:c>
      <x:c r="P10" s="20" t="n">
        <x:v>22</x:v>
      </x:c>
      <x:c r="Q10" s="20" t="n">
        <x:v>22</x:v>
      </x:c>
      <x:c r="R10" s="20" t="n">
        <x:v>74</x:v>
      </x:c>
      <x:c r="S10" s="21" t="n">
        <x:f>35344/60</x:f>
        <x:v>589.0666666666667</x:v>
      </x:c>
      <x:c r="T10" s="21" t="n">
        <x:f>21270/60</x:f>
        <x:v>354.5</x:v>
      </x:c>
      <x:c r="U10" s="21" t="n">
        <x:f>27506/60</x:f>
        <x:v>458.43333333333334</x:v>
      </x:c>
      <x:c r="V10" s="21" t="n">
        <x:f>0/60</x:f>
        <x:v>0</x:v>
      </x:c>
      <x:c r="W10" s="20" t="n">
        <x:v>0</x:v>
      </x:c>
      <x:c r="X10" s="20" t="n">
        <x:v>0</x:v>
      </x:c>
      <x:c r="Y10" s="20" t="n">
        <x:v>18</x:v>
      </x:c>
      <x:c r="Z10" s="20" t="n">
        <x:v>0</x:v>
      </x:c>
    </x:row>
    <x:row r="11" ht="23" customHeight="1">
      <x:c r="A11" s="2" t="str">
        <x:v>2026-09-25_Night</x:v>
      </x:c>
      <x:c r="B11" s="19" t="n">
        <x:v>109000</x:v>
      </x:c>
      <x:c r="C11" s="19" t="n">
        <x:v>291000</x:v>
      </x:c>
      <x:c r="D11" s="19" t="n">
        <x:f>B11-C11</x:f>
        <x:v>-182000</x:v>
      </x:c>
      <x:c r="E11" s="19" t="n">
        <x:f>E10+D11</x:f>
        <x:v>321000</x:v>
      </x:c>
      <x:c r="F11" s="19" t="n">
        <x:v>-182000</x:v>
      </x:c>
      <x:c r="G11" s="19"/>
      <x:c r="H11" s="19" t="n">
        <x:v>109000</x:v>
      </x:c>
      <x:c r="I11" s="19" t="n">
        <x:v>0</x:v>
      </x:c>
      <x:c r="J11" s="19" t="n">
        <x:v>0</x:v>
      </x:c>
      <x:c r="K11" s="19" t="n">
        <x:v>291000</x:v>
      </x:c>
      <x:c r="L11" s="19" t="n">
        <x:v>315000</x:v>
      </x:c>
      <x:c r="M11" s="19" t="n">
        <x:v>281000</x:v>
      </x:c>
      <x:c r="N11" s="20" t="n">
        <x:v>1</x:v>
      </x:c>
      <x:c r="O11" s="20" t="n">
        <x:v>5</x:v>
      </x:c>
      <x:c r="P11" s="20" t="n">
        <x:v>7</x:v>
      </x:c>
      <x:c r="Q11" s="20" t="n">
        <x:v>7</x:v>
      </x:c>
      <x:c r="R11" s="20" t="n">
        <x:v>23</x:v>
      </x:c>
      <x:c r="S11" s="21" t="n">
        <x:f>25420/60</x:f>
        <x:v>423.6666666666667</x:v>
      </x:c>
      <x:c r="T11" s="21" t="n">
        <x:f>24307/60</x:f>
        <x:v>405.1166666666667</x:v>
      </x:c>
      <x:c r="U11" s="21" t="n">
        <x:f>0/60</x:f>
        <x:v>0</x:v>
      </x:c>
      <x:c r="V11" s="21" t="n">
        <x:f>0/60</x:f>
        <x:v>0</x:v>
      </x:c>
      <x:c r="W11" s="20" t="n">
        <x:v>0</x:v>
      </x:c>
      <x:c r="X11" s="20" t="n">
        <x:v>0</x:v>
      </x:c>
      <x:c r="Y11" s="20" t="n">
        <x:v>5</x:v>
      </x:c>
      <x:c r="Z11" s="20" t="n">
        <x:v>0</x:v>
      </x:c>
    </x:row>
    <x:row r="12" ht="23" customHeight="1">
      <x:c r="A12" s="2" t="str">
        <x:v>2026-09-28_Night</x:v>
      </x:c>
      <x:c r="B12" s="19" t="n">
        <x:v>179000</x:v>
      </x:c>
      <x:c r="C12" s="19" t="n">
        <x:v>281000</x:v>
      </x:c>
      <x:c r="D12" s="19" t="n">
        <x:f>B12-C12</x:f>
        <x:v>-102000</x:v>
      </x:c>
      <x:c r="E12" s="19" t="n">
        <x:f>E11+D12</x:f>
        <x:v>219000</x:v>
      </x:c>
      <x:c r="F12" s="19" t="n">
        <x:v>-102000</x:v>
      </x:c>
      <x:c r="G12" s="19"/>
      <x:c r="H12" s="19" t="n">
        <x:v>179000</x:v>
      </x:c>
      <x:c r="I12" s="19" t="n">
        <x:v>0</x:v>
      </x:c>
      <x:c r="J12" s="19" t="n">
        <x:v>0</x:v>
      </x:c>
      <x:c r="K12" s="19" t="n">
        <x:v>281000</x:v>
      </x:c>
      <x:c r="L12" s="19" t="n">
        <x:v>284000</x:v>
      </x:c>
      <x:c r="M12" s="19" t="n">
        <x:v>185000</x:v>
      </x:c>
      <x:c r="N12" s="20" t="n">
        <x:v>4</x:v>
      </x:c>
      <x:c r="O12" s="20" t="n">
        <x:v>3</x:v>
      </x:c>
      <x:c r="P12" s="20" t="n">
        <x:v>18</x:v>
      </x:c>
      <x:c r="Q12" s="20" t="n">
        <x:v>18</x:v>
      </x:c>
      <x:c r="R12" s="20" t="n">
        <x:v>24</x:v>
      </x:c>
      <x:c r="S12" s="21" t="n">
        <x:f>34936/60</x:f>
        <x:v>582.2666666666667</x:v>
      </x:c>
      <x:c r="T12" s="21" t="n">
        <x:f>24149/60</x:f>
        <x:v>402.48333333333335</x:v>
      </x:c>
      <x:c r="U12" s="21" t="n">
        <x:f>0/60</x:f>
        <x:v>0</x:v>
      </x:c>
      <x:c r="V12" s="21" t="n">
        <x:f>0/60</x:f>
        <x:v>0</x:v>
      </x:c>
      <x:c r="W12" s="20" t="n">
        <x:v>0</x:v>
      </x:c>
      <x:c r="X12" s="20" t="n">
        <x:v>0</x:v>
      </x:c>
      <x:c r="Y12" s="20" t="n">
        <x:v>13</x:v>
      </x:c>
      <x:c r="Z12" s="20" t="n">
        <x:v>0</x:v>
      </x:c>
    </x:row>
    <x:row r="13" ht="23" customHeight="1">
      <x:c r="A13" s="2" t="str">
        <x:v>2026-09-29_Night</x:v>
      </x:c>
      <x:c r="B13" s="19" t="n">
        <x:v>310000</x:v>
      </x:c>
      <x:c r="C13" s="19" t="n">
        <x:v>339000</x:v>
      </x:c>
      <x:c r="D13" s="19" t="n">
        <x:f>B13-C13</x:f>
        <x:v>-29000</x:v>
      </x:c>
      <x:c r="E13" s="19" t="n">
        <x:f>E12+D13</x:f>
        <x:v>190000</x:v>
      </x:c>
      <x:c r="F13" s="19" t="n">
        <x:v>-29000</x:v>
      </x:c>
      <x:c r="G13" s="19"/>
      <x:c r="H13" s="19" t="n">
        <x:v>310000</x:v>
      </x:c>
      <x:c r="I13" s="19" t="n">
        <x:v>0</x:v>
      </x:c>
      <x:c r="J13" s="19" t="n">
        <x:v>0</x:v>
      </x:c>
      <x:c r="K13" s="19" t="n">
        <x:v>339000</x:v>
      </x:c>
      <x:c r="L13" s="19" t="n">
        <x:v>345000</x:v>
      </x:c>
      <x:c r="M13" s="19" t="n">
        <x:v>143000</x:v>
      </x:c>
      <x:c r="N13" s="20" t="n">
        <x:v>6</x:v>
      </x:c>
      <x:c r="O13" s="20" t="n">
        <x:v>8</x:v>
      </x:c>
      <x:c r="P13" s="20" t="n">
        <x:v>20</x:v>
      </x:c>
      <x:c r="Q13" s="20" t="n">
        <x:v>20</x:v>
      </x:c>
      <x:c r="R13" s="20" t="n">
        <x:v>60</x:v>
      </x:c>
      <x:c r="S13" s="21" t="n">
        <x:f>24658/60</x:f>
        <x:v>410.96666666666664</x:v>
      </x:c>
      <x:c r="T13" s="21" t="n">
        <x:f>22783/60</x:f>
        <x:v>379.71666666666664</x:v>
      </x:c>
      <x:c r="U13" s="21" t="n">
        <x:f>0/60</x:f>
        <x:v>0</x:v>
      </x:c>
      <x:c r="V13" s="21" t="n">
        <x:f>0/60</x:f>
        <x:v>0</x:v>
      </x:c>
      <x:c r="W13" s="20" t="n">
        <x:v>0</x:v>
      </x:c>
      <x:c r="X13" s="20" t="n">
        <x:v>0</x:v>
      </x:c>
      <x:c r="Y13" s="20" t="n">
        <x:v>14</x:v>
      </x:c>
      <x:c r="Z13" s="20" t="n">
        <x:v>0</x:v>
      </x:c>
    </x:row>
    <x:row r="14" ht="23" customHeight="1">
      <x:c r="A14" s="2" t="str">
        <x:v>2026-09-30_Night</x:v>
      </x:c>
      <x:c r="B14" s="19" t="n">
        <x:v>280000</x:v>
      </x:c>
      <x:c r="C14" s="19" t="n">
        <x:v>710000</x:v>
      </x:c>
      <x:c r="D14" s="19" t="n">
        <x:f>B14-C14</x:f>
        <x:v>-430000</x:v>
      </x:c>
      <x:c r="E14" s="19" t="n">
        <x:f>E13+D14</x:f>
        <x:v>-240000</x:v>
      </x:c>
      <x:c r="F14" s="19" t="n">
        <x:v>-430000</x:v>
      </x:c>
      <x:c r="G14" s="19"/>
      <x:c r="H14" s="19" t="n">
        <x:v>280000</x:v>
      </x:c>
      <x:c r="I14" s="19" t="n">
        <x:v>0</x:v>
      </x:c>
      <x:c r="J14" s="19" t="n">
        <x:v>0</x:v>
      </x:c>
      <x:c r="K14" s="19" t="n">
        <x:v>710000</x:v>
      </x:c>
      <x:c r="L14" s="19" t="n">
        <x:v>765000</x:v>
      </x:c>
      <x:c r="M14" s="19" t="n">
        <x:v>530000</x:v>
      </x:c>
      <x:c r="N14" s="20" t="n">
        <x:v>10</x:v>
      </x:c>
      <x:c r="O14" s="20" t="n">
        <x:v>5</x:v>
      </x:c>
      <x:c r="P14" s="20" t="n">
        <x:v>10</x:v>
      </x:c>
      <x:c r="Q14" s="20" t="n">
        <x:v>10</x:v>
      </x:c>
      <x:c r="R14" s="20" t="n">
        <x:v>50</x:v>
      </x:c>
      <x:c r="S14" s="21" t="n">
        <x:f>34648/60</x:f>
        <x:v>577.4666666666667</x:v>
      </x:c>
      <x:c r="T14" s="21" t="n">
        <x:f>33082/60</x:f>
        <x:v>551.3666666666667</x:v>
      </x:c>
      <x:c r="U14" s="21" t="n">
        <x:f>29985/60</x:f>
        <x:v>499.75</x:v>
      </x:c>
      <x:c r="V14" s="21" t="n">
        <x:f>0/60</x:f>
        <x:v>0</x:v>
      </x:c>
      <x:c r="W14" s="20" t="n">
        <x:v>3</x:v>
      </x:c>
      <x:c r="X14" s="20" t="n">
        <x:v>3</x:v>
      </x:c>
      <x:c r="Y14" s="20" t="n">
        <x:v>7</x:v>
      </x:c>
      <x:c r="Z14" s="20" t="n">
        <x:v>0</x:v>
      </x:c>
    </x:row>
    <x:row r="15" ht="23" customHeight="1">
      <x:c r="A15" s="2" t="str">
        <x:v>2026-10-01_Night</x:v>
      </x:c>
      <x:c r="B15" s="19" t="n">
        <x:v>736000</x:v>
      </x:c>
      <x:c r="C15" s="19" t="n">
        <x:v>950000</x:v>
      </x:c>
      <x:c r="D15" s="19" t="n">
        <x:f>B15-C15</x:f>
        <x:v>-214000</x:v>
      </x:c>
      <x:c r="E15" s="19" t="n">
        <x:f>E14+D15</x:f>
        <x:v>-454000</x:v>
      </x:c>
      <x:c r="F15" s="19" t="n">
        <x:v>-214000</x:v>
      </x:c>
      <x:c r="G15" s="19"/>
      <x:c r="H15" s="19" t="n">
        <x:v>736000</x:v>
      </x:c>
      <x:c r="I15" s="19" t="n">
        <x:v>0</x:v>
      </x:c>
      <x:c r="J15" s="19" t="n">
        <x:v>0</x:v>
      </x:c>
      <x:c r="K15" s="19" t="n">
        <x:v>950000</x:v>
      </x:c>
      <x:c r="L15" s="19" t="n">
        <x:v>980000</x:v>
      </x:c>
      <x:c r="M15" s="19" t="n">
        <x:v>339000</x:v>
      </x:c>
      <x:c r="N15" s="20" t="n">
        <x:v>10</x:v>
      </x:c>
      <x:c r="O15" s="20" t="n">
        <x:v>10</x:v>
      </x:c>
      <x:c r="P15" s="20" t="n">
        <x:v>70</x:v>
      </x:c>
      <x:c r="Q15" s="20" t="n">
        <x:v>70</x:v>
      </x:c>
      <x:c r="R15" s="20" t="n">
        <x:v>138</x:v>
      </x:c>
      <x:c r="S15" s="21" t="n">
        <x:f>41266/60</x:f>
        <x:v>687.7666666666667</x:v>
      </x:c>
      <x:c r="T15" s="21" t="n">
        <x:f>38468/60</x:f>
        <x:v>641.1333333333333</x:v>
      </x:c>
      <x:c r="U15" s="21" t="n">
        <x:f>31760/60</x:f>
        <x:v>529.3333333333334</x:v>
      </x:c>
      <x:c r="V15" s="21" t="n">
        <x:f>26414/60</x:f>
        <x:v>440.23333333333335</x:v>
      </x:c>
      <x:c r="W15" s="20" t="n">
        <x:v>9</x:v>
      </x:c>
      <x:c r="X15" s="20" t="n">
        <x:v>8</x:v>
      </x:c>
      <x:c r="Y15" s="20" t="n">
        <x:v>62</x:v>
      </x:c>
      <x:c r="Z15" s="20" t="n">
        <x:v>0</x:v>
      </x:c>
    </x:row>
    <x:row r="16" ht="23" customHeight="1">
      <x:c r="A16" s="2" t="str">
        <x:v>2026-10-02_Night</x:v>
      </x:c>
      <x:c r="B16" s="19" t="n">
        <x:v>498000</x:v>
      </x:c>
      <x:c r="C16" s="19" t="n">
        <x:v>590000</x:v>
      </x:c>
      <x:c r="D16" s="19" t="n">
        <x:f>B16-C16</x:f>
        <x:v>-92000</x:v>
      </x:c>
      <x:c r="E16" s="19" t="n">
        <x:f>E15+D16</x:f>
        <x:v>-546000</x:v>
      </x:c>
      <x:c r="F16" s="19" t="n">
        <x:v>-92000</x:v>
      </x:c>
      <x:c r="G16" s="19"/>
      <x:c r="H16" s="19" t="n">
        <x:v>498000</x:v>
      </x:c>
      <x:c r="I16" s="19" t="n">
        <x:v>0</x:v>
      </x:c>
      <x:c r="J16" s="19" t="n">
        <x:v>0</x:v>
      </x:c>
      <x:c r="K16" s="19" t="n">
        <x:v>590000</x:v>
      </x:c>
      <x:c r="L16" s="19" t="n">
        <x:v>622000</x:v>
      </x:c>
      <x:c r="M16" s="19" t="n">
        <x:v>165000</x:v>
      </x:c>
      <x:c r="N16" s="20" t="n">
        <x:v>8</x:v>
      </x:c>
      <x:c r="O16" s="20" t="n">
        <x:v>10</x:v>
      </x:c>
      <x:c r="P16" s="20" t="n">
        <x:v>43</x:v>
      </x:c>
      <x:c r="Q16" s="20" t="n">
        <x:v>43</x:v>
      </x:c>
      <x:c r="R16" s="20" t="n">
        <x:v>85</x:v>
      </x:c>
      <x:c r="S16" s="21" t="n">
        <x:f>25293/60</x:f>
        <x:v>421.55</x:v>
      </x:c>
      <x:c r="T16" s="21" t="n">
        <x:f>24395/60</x:f>
        <x:v>406.5833333333333</x:v>
      </x:c>
      <x:c r="U16" s="21" t="n">
        <x:f>0/60</x:f>
        <x:v>0</x:v>
      </x:c>
      <x:c r="V16" s="21" t="n">
        <x:f>20716/60</x:f>
        <x:v>345.26666666666665</x:v>
      </x:c>
      <x:c r="W16" s="20" t="n">
        <x:v>5</x:v>
      </x:c>
      <x:c r="X16" s="20" t="n">
        <x:v>4</x:v>
      </x:c>
      <x:c r="Y16" s="20" t="n">
        <x:v>32</x:v>
      </x:c>
      <x:c r="Z16" s="20" t="n">
        <x:v>0</x:v>
      </x:c>
    </x:row>
    <x:row r="17" ht="23" customHeight="1">
      <x:c r="A17" s="2" t="str">
        <x:v>2026-10-05_Night</x:v>
      </x:c>
      <x:c r="B17" s="19" t="n">
        <x:v>144000</x:v>
      </x:c>
      <x:c r="C17" s="19" t="n">
        <x:v>264000</x:v>
      </x:c>
      <x:c r="D17" s="19" t="n">
        <x:f>B17-C17</x:f>
        <x:v>-120000</x:v>
      </x:c>
      <x:c r="E17" s="19" t="n">
        <x:f>E16+D17</x:f>
        <x:v>-666000</x:v>
      </x:c>
      <x:c r="F17" s="19" t="n">
        <x:v>-120000</x:v>
      </x:c>
      <x:c r="G17" s="19"/>
      <x:c r="H17" s="19" t="n">
        <x:v>140000</x:v>
      </x:c>
      <x:c r="I17" s="19" t="n">
        <x:v>0</x:v>
      </x:c>
      <x:c r="J17" s="19" t="n">
        <x:v>4000</x:v>
      </x:c>
      <x:c r="K17" s="19" t="n">
        <x:v>264000</x:v>
      </x:c>
      <x:c r="L17" s="19" t="n">
        <x:v>303000</x:v>
      </x:c>
      <x:c r="M17" s="19" t="n">
        <x:v>233000</x:v>
      </x:c>
      <x:c r="N17" s="20" t="n">
        <x:v>10</x:v>
      </x:c>
      <x:c r="O17" s="20" t="n">
        <x:v>7</x:v>
      </x:c>
      <x:c r="P17" s="20" t="n">
        <x:v>23</x:v>
      </x:c>
      <x:c r="Q17" s="20" t="n">
        <x:v>23</x:v>
      </x:c>
      <x:c r="R17" s="20" t="n">
        <x:v>44</x:v>
      </x:c>
      <x:c r="S17" s="21" t="n">
        <x:f>42986/60</x:f>
        <x:v>716.4333333333333</x:v>
      </x:c>
      <x:c r="T17" s="21" t="n">
        <x:f>24669/60</x:f>
        <x:v>411.15</x:v>
      </x:c>
      <x:c r="U17" s="21" t="n">
        <x:f>5583/60</x:f>
        <x:v>93.05</x:v>
      </x:c>
      <x:c r="V17" s="21" t="n">
        <x:f>0/60</x:f>
        <x:v>0</x:v>
      </x:c>
      <x:c r="W17" s="20" t="n">
        <x:v>1</x:v>
      </x:c>
      <x:c r="X17" s="20" t="n">
        <x:v>0</x:v>
      </x:c>
      <x:c r="Y17" s="20" t="n">
        <x:v>15</x:v>
      </x:c>
      <x:c r="Z17" s="20" t="n">
        <x:v>0</x:v>
      </x:c>
    </x:row>
    <x:row r="18" ht="23" customHeight="1">
      <x:c r="A18" s="2" t="str">
        <x:v>2026-10-06_Night</x:v>
      </x:c>
      <x:c r="B18" s="19" t="n">
        <x:v>109000</x:v>
      </x:c>
      <x:c r="C18" s="19" t="n">
        <x:v>16000</x:v>
      </x:c>
      <x:c r="D18" s="19" t="n">
        <x:f>B18-C18</x:f>
        <x:v>93000</x:v>
      </x:c>
      <x:c r="E18" s="19" t="n">
        <x:f>E17+D18</x:f>
        <x:v>-573000</x:v>
      </x:c>
      <x:c r="F18" s="19" t="n">
        <x:v>93000</x:v>
      </x:c>
      <x:c r="G18" s="19"/>
      <x:c r="H18" s="19" t="n">
        <x:v>109000</x:v>
      </x:c>
      <x:c r="I18" s="19" t="n">
        <x:v>0</x:v>
      </x:c>
      <x:c r="J18" s="19" t="n">
        <x:v>0</x:v>
      </x:c>
      <x:c r="K18" s="19" t="n">
        <x:v>16000</x:v>
      </x:c>
      <x:c r="L18" s="19" t="n">
        <x:v>72000</x:v>
      </x:c>
      <x:c r="M18" s="19" t="n">
        <x:v>112000</x:v>
      </x:c>
      <x:c r="N18" s="20" t="n">
        <x:v>0</x:v>
      </x:c>
      <x:c r="O18" s="20" t="n">
        <x:v>8</x:v>
      </x:c>
      <x:c r="P18" s="20" t="n">
        <x:v>15</x:v>
      </x:c>
      <x:c r="Q18" s="20" t="n">
        <x:v>15</x:v>
      </x:c>
      <x:c r="R18" s="20" t="n">
        <x:v>27</x:v>
      </x:c>
      <x:c r="S18" s="21" t="n">
        <x:f>24713/60</x:f>
        <x:v>411.8833333333333</x:v>
      </x:c>
      <x:c r="T18" s="21" t="n">
        <x:f>0/60</x:f>
        <x:v>0</x:v>
      </x:c>
      <x:c r="U18" s="21" t="n">
        <x:f>0/60</x:f>
        <x:v>0</x:v>
      </x:c>
      <x:c r="V18" s="21" t="n">
        <x:f>0/60</x:f>
        <x:v>0</x:v>
      </x:c>
      <x:c r="W18" s="20" t="n">
        <x:v>0</x:v>
      </x:c>
      <x:c r="X18" s="20" t="n">
        <x:v>0</x:v>
      </x:c>
      <x:c r="Y18" s="20" t="n">
        <x:v>11</x:v>
      </x:c>
      <x:c r="Z18" s="20" t="n">
        <x:v>0</x:v>
      </x:c>
    </x:row>
    <x:row r="19" ht="23" customHeight="1">
      <x:c r="A19" s="2" t="str">
        <x:v>2026-10-07_Night</x:v>
      </x:c>
      <x:c r="B19" s="19" t="n">
        <x:v>359000</x:v>
      </x:c>
      <x:c r="C19" s="19" t="n">
        <x:v>367000</x:v>
      </x:c>
      <x:c r="D19" s="19" t="n">
        <x:f>B19-C19</x:f>
        <x:v>-8000</x:v>
      </x:c>
      <x:c r="E19" s="19" t="n">
        <x:f>E18+D19</x:f>
        <x:v>-581000</x:v>
      </x:c>
      <x:c r="F19" s="19" t="n">
        <x:v>-8000</x:v>
      </x:c>
      <x:c r="G19" s="19"/>
      <x:c r="H19" s="19" t="n">
        <x:v>359000</x:v>
      </x:c>
      <x:c r="I19" s="19" t="n">
        <x:v>0</x:v>
      </x:c>
      <x:c r="J19" s="19" t="n">
        <x:v>0</x:v>
      </x:c>
      <x:c r="K19" s="19" t="n">
        <x:v>367000</x:v>
      </x:c>
      <x:c r="L19" s="19" t="n">
        <x:v>392000</x:v>
      </x:c>
      <x:c r="M19" s="19" t="n">
        <x:v>293000</x:v>
      </x:c>
      <x:c r="N19" s="20" t="n">
        <x:v>2</x:v>
      </x:c>
      <x:c r="O19" s="20" t="n">
        <x:v>7</x:v>
      </x:c>
      <x:c r="P19" s="20" t="n">
        <x:v>14</x:v>
      </x:c>
      <x:c r="Q19" s="20" t="n">
        <x:v>14</x:v>
      </x:c>
      <x:c r="R19" s="20" t="n">
        <x:v>50</x:v>
      </x:c>
      <x:c r="S19" s="21" t="n">
        <x:f>40851/60</x:f>
        <x:v>680.85</x:v>
      </x:c>
      <x:c r="T19" s="21" t="n">
        <x:f>31480/60</x:f>
        <x:v>524.6666666666666</x:v>
      </x:c>
      <x:c r="U19" s="21" t="n">
        <x:f>0/60</x:f>
        <x:v>0</x:v>
      </x:c>
      <x:c r="V19" s="21" t="n">
        <x:f>0/60</x:f>
        <x:v>0</x:v>
      </x:c>
      <x:c r="W19" s="20" t="n">
        <x:v>0</x:v>
      </x:c>
      <x:c r="X19" s="20" t="n">
        <x:v>0</x:v>
      </x:c>
      <x:c r="Y19" s="20" t="n">
        <x:v>9</x:v>
      </x:c>
      <x:c r="Z19" s="20" t="n">
        <x:v>0</x:v>
      </x:c>
    </x:row>
    <x:row r="20" ht="23" customHeight="1">
      <x:c r="A20" s="2" t="str">
        <x:v>2026-10-08_Night</x:v>
      </x:c>
      <x:c r="B20" s="19" t="n">
        <x:v>1131000</x:v>
      </x:c>
      <x:c r="C20" s="19" t="n">
        <x:v>921000</x:v>
      </x:c>
      <x:c r="D20" s="19" t="n">
        <x:f>B20-C20</x:f>
        <x:v>210000</x:v>
      </x:c>
      <x:c r="E20" s="19" t="n">
        <x:f>E19+D20</x:f>
        <x:v>-371000</x:v>
      </x:c>
      <x:c r="F20" s="19" t="n">
        <x:v>210000</x:v>
      </x:c>
      <x:c r="G20" s="19"/>
      <x:c r="H20" s="19" t="n">
        <x:v>1131000</x:v>
      </x:c>
      <x:c r="I20" s="19" t="n">
        <x:v>0</x:v>
      </x:c>
      <x:c r="J20" s="19" t="n">
        <x:v>0</x:v>
      </x:c>
      <x:c r="K20" s="19" t="n">
        <x:v>921000</x:v>
      </x:c>
      <x:c r="L20" s="19" t="n">
        <x:v>931000</x:v>
      </x:c>
      <x:c r="M20" s="19" t="n">
        <x:v>207000</x:v>
      </x:c>
      <x:c r="N20" s="20" t="n">
        <x:v>10</x:v>
      </x:c>
      <x:c r="O20" s="20" t="n">
        <x:v>10</x:v>
      </x:c>
      <x:c r="P20" s="20" t="n">
        <x:v>79</x:v>
      </x:c>
      <x:c r="Q20" s="20" t="n">
        <x:v>79</x:v>
      </x:c>
      <x:c r="R20" s="20" t="n">
        <x:v>159</x:v>
      </x:c>
      <x:c r="S20" s="21" t="n">
        <x:f>39715/60</x:f>
        <x:v>661.9166666666666</x:v>
      </x:c>
      <x:c r="T20" s="21" t="n">
        <x:f>23478/60</x:f>
        <x:v>391.3</x:v>
      </x:c>
      <x:c r="U20" s="21" t="n">
        <x:f>13968/60</x:f>
        <x:v>232.8</x:v>
      </x:c>
      <x:c r="V20" s="21" t="n">
        <x:f>19262/60</x:f>
        <x:v>321.03333333333336</x:v>
      </x:c>
      <x:c r="W20" s="20" t="n">
        <x:v>4</x:v>
      </x:c>
      <x:c r="X20" s="20" t="n">
        <x:v>4</x:v>
      </x:c>
      <x:c r="Y20" s="20" t="n">
        <x:v>66</x:v>
      </x:c>
      <x:c r="Z20" s="20" t="n">
        <x:v>0</x:v>
      </x:c>
    </x:row>
    <x:row r="21" ht="23" customHeight="1">
      <x:c r="A21" s="2" t="str">
        <x:v>2026-10-09_Night</x:v>
      </x:c>
      <x:c r="B21" s="19" t="n">
        <x:v>165000</x:v>
      </x:c>
      <x:c r="C21" s="19" t="n">
        <x:v>130000</x:v>
      </x:c>
      <x:c r="D21" s="19" t="n">
        <x:f>B21-C21</x:f>
        <x:v>35000</x:v>
      </x:c>
      <x:c r="E21" s="19" t="n">
        <x:f>E20+D21</x:f>
        <x:v>-336000</x:v>
      </x:c>
      <x:c r="F21" s="19" t="n">
        <x:v>35000</x:v>
      </x:c>
      <x:c r="G21" s="19"/>
      <x:c r="H21" s="19" t="n">
        <x:v>165000</x:v>
      </x:c>
      <x:c r="I21" s="19" t="n">
        <x:v>0</x:v>
      </x:c>
      <x:c r="J21" s="19" t="n">
        <x:v>0</x:v>
      </x:c>
      <x:c r="K21" s="19" t="n">
        <x:v>130000</x:v>
      </x:c>
      <x:c r="L21" s="19" t="n">
        <x:v>225000</x:v>
      </x:c>
      <x:c r="M21" s="19" t="n">
        <x:v>280000</x:v>
      </x:c>
      <x:c r="N21" s="20" t="n">
        <x:v>0</x:v>
      </x:c>
      <x:c r="O21" s="20" t="n">
        <x:v>10</x:v>
      </x:c>
      <x:c r="P21" s="20" t="n">
        <x:v>9</x:v>
      </x:c>
      <x:c r="Q21" s="20" t="n">
        <x:v>9</x:v>
      </x:c>
      <x:c r="R21" s="20" t="n">
        <x:v>45</x:v>
      </x:c>
      <x:c r="S21" s="21" t="n">
        <x:f>40620/60</x:f>
        <x:v>677</x:v>
      </x:c>
      <x:c r="T21" s="21" t="n">
        <x:f>0/60</x:f>
        <x:v>0</x:v>
      </x:c>
      <x:c r="U21" s="21" t="n">
        <x:f>0/60</x:f>
        <x:v>0</x:v>
      </x:c>
      <x:c r="V21" s="21" t="n">
        <x:f>28568/60</x:f>
        <x:v>476.1333333333333</x:v>
      </x:c>
      <x:c r="W21" s="20" t="n">
        <x:v>1</x:v>
      </x:c>
      <x:c r="X21" s="20" t="n">
        <x:v>1</x:v>
      </x:c>
      <x:c r="Y21" s="20" t="n">
        <x:v>7</x:v>
      </x:c>
      <x:c r="Z21" s="20" t="n">
        <x:v>0</x:v>
      </x:c>
    </x:row>
    <x:row r="22" ht="23" customHeight="1">
      <x:c r="A22" s="2" t="str">
        <x:v>2026-10-12_Night</x:v>
      </x:c>
      <x:c r="B22" s="19" t="n">
        <x:v>130000</x:v>
      </x:c>
      <x:c r="C22" s="19" t="n">
        <x:v>5000</x:v>
      </x:c>
      <x:c r="D22" s="19" t="n">
        <x:f>B22-C22</x:f>
        <x:v>125000</x:v>
      </x:c>
      <x:c r="E22" s="19" t="n">
        <x:f>E21+D22</x:f>
        <x:v>-211000</x:v>
      </x:c>
      <x:c r="F22" s="19" t="n">
        <x:v>125000</x:v>
      </x:c>
      <x:c r="G22" s="19"/>
      <x:c r="H22" s="19" t="n">
        <x:v>130000</x:v>
      </x:c>
      <x:c r="I22" s="19" t="n">
        <x:v>0</x:v>
      </x:c>
      <x:c r="J22" s="19" t="n">
        <x:v>0</x:v>
      </x:c>
      <x:c r="K22" s="19" t="n">
        <x:v>5000</x:v>
      </x:c>
      <x:c r="L22" s="19" t="n">
        <x:v>85000</x:v>
      </x:c>
      <x:c r="M22" s="19" t="n">
        <x:v>105000</x:v>
      </x:c>
      <x:c r="N22" s="20" t="n">
        <x:v>0</x:v>
      </x:c>
      <x:c r="O22" s="20" t="n">
        <x:v>5</x:v>
      </x:c>
      <x:c r="P22" s="20" t="n">
        <x:v>3</x:v>
      </x:c>
      <x:c r="Q22" s="20" t="n">
        <x:v>3</x:v>
      </x:c>
      <x:c r="R22" s="20" t="n">
        <x:v>15</x:v>
      </x:c>
      <x:c r="S22" s="21" t="n">
        <x:f>24025/60</x:f>
        <x:v>400.4166666666667</x:v>
      </x:c>
      <x:c r="T22" s="21" t="n">
        <x:f>0/60</x:f>
        <x:v>0</x:v>
      </x:c>
      <x:c r="U22" s="21" t="n">
        <x:f>0/60</x:f>
        <x:v>0</x:v>
      </x:c>
      <x:c r="V22" s="21" t="n">
        <x:f>0/60</x:f>
        <x:v>0</x:v>
      </x:c>
      <x:c r="W22" s="20" t="n">
        <x:v>0</x:v>
      </x:c>
      <x:c r="X22" s="20" t="n">
        <x:v>0</x:v>
      </x:c>
      <x:c r="Y22" s="20" t="n">
        <x:v>2</x:v>
      </x:c>
      <x:c r="Z22" s="20" t="n">
        <x:v>0</x:v>
      </x:c>
    </x:row>
    <x:row r="23" ht="23" customHeight="1">
      <x:c r="A23" s="2" t="str">
        <x:v>2026-10-13_Night</x:v>
      </x:c>
      <x:c r="B23" s="19" t="n">
        <x:v>99000</x:v>
      </x:c>
      <x:c r="C23" s="19" t="n">
        <x:v>194000</x:v>
      </x:c>
      <x:c r="D23" s="19" t="n">
        <x:f>B23-C23</x:f>
        <x:v>-95000</x:v>
      </x:c>
      <x:c r="E23" s="19" t="n">
        <x:f>E22+D23</x:f>
        <x:v>-306000</x:v>
      </x:c>
      <x:c r="F23" s="19" t="n">
        <x:v>-95000</x:v>
      </x:c>
      <x:c r="G23" s="19"/>
      <x:c r="H23" s="19" t="n">
        <x:v>99000</x:v>
      </x:c>
      <x:c r="I23" s="19" t="n">
        <x:v>0</x:v>
      </x:c>
      <x:c r="J23" s="19" t="n">
        <x:v>0</x:v>
      </x:c>
      <x:c r="K23" s="19" t="n">
        <x:v>194000</x:v>
      </x:c>
      <x:c r="L23" s="19" t="n">
        <x:v>207000</x:v>
      </x:c>
      <x:c r="M23" s="19" t="n">
        <x:v>200000</x:v>
      </x:c>
      <x:c r="N23" s="20" t="n">
        <x:v>6</x:v>
      </x:c>
      <x:c r="O23" s="20" t="n">
        <x:v>5</x:v>
      </x:c>
      <x:c r="P23" s="20" t="n">
        <x:v>8</x:v>
      </x:c>
      <x:c r="Q23" s="20" t="n">
        <x:v>8</x:v>
      </x:c>
      <x:c r="R23" s="20" t="n">
        <x:v>28</x:v>
      </x:c>
      <x:c r="S23" s="21" t="n">
        <x:f>41373/60</x:f>
        <x:v>689.55</x:v>
      </x:c>
      <x:c r="T23" s="21" t="n">
        <x:f>24311/60</x:f>
        <x:v>405.18333333333334</x:v>
      </x:c>
      <x:c r="U23" s="21" t="n">
        <x:f>0/60</x:f>
        <x:v>0</x:v>
      </x:c>
      <x:c r="V23" s="21" t="n">
        <x:f>0/60</x:f>
        <x:v>0</x:v>
      </x:c>
      <x:c r="W23" s="20" t="n">
        <x:v>0</x:v>
      </x:c>
      <x:c r="X23" s="20" t="n">
        <x:v>0</x:v>
      </x:c>
      <x:c r="Y23" s="20" t="n">
        <x:v>5</x:v>
      </x:c>
      <x:c r="Z23" s="20" t="n">
        <x:v>0</x:v>
      </x:c>
    </x:row>
    <x:row r="24" ht="23" customHeight="1">
      <x:c r="A24" s="2" t="str">
        <x:v>2026-10-14_Night</x:v>
      </x:c>
      <x:c r="B24" s="19" t="n">
        <x:v>922000</x:v>
      </x:c>
      <x:c r="C24" s="19" t="n">
        <x:v>228000</x:v>
      </x:c>
      <x:c r="D24" s="19" t="n">
        <x:f>B24-C24</x:f>
        <x:v>694000</x:v>
      </x:c>
      <x:c r="E24" s="19" t="n">
        <x:f>E23+D24</x:f>
        <x:v>388000</x:v>
      </x:c>
      <x:c r="F24" s="19" t="n">
        <x:v>694000</x:v>
      </x:c>
      <x:c r="G24" s="19"/>
      <x:c r="H24" s="19" t="n">
        <x:v>912000</x:v>
      </x:c>
      <x:c r="I24" s="19" t="n">
        <x:v>0</x:v>
      </x:c>
      <x:c r="J24" s="19" t="n">
        <x:v>10000</x:v>
      </x:c>
      <x:c r="K24" s="19" t="n">
        <x:v>228000</x:v>
      </x:c>
      <x:c r="L24" s="19" t="n">
        <x:v>300000</x:v>
      </x:c>
      <x:c r="M24" s="19" t="n">
        <x:v>275000</x:v>
      </x:c>
      <x:c r="N24" s="20" t="n">
        <x:v>2</x:v>
      </x:c>
      <x:c r="O24" s="20" t="n">
        <x:v>10</x:v>
      </x:c>
      <x:c r="P24" s="20" t="n">
        <x:v>42</x:v>
      </x:c>
      <x:c r="Q24" s="20" t="n">
        <x:v>42</x:v>
      </x:c>
      <x:c r="R24" s="20" t="n">
        <x:v>145</x:v>
      </x:c>
      <x:c r="S24" s="21" t="n">
        <x:f>41231/60</x:f>
        <x:v>687.1833333333333</x:v>
      </x:c>
      <x:c r="T24" s="21" t="n">
        <x:f>20867/60</x:f>
        <x:v>347.78333333333336</x:v>
      </x:c>
      <x:c r="U24" s="21" t="n">
        <x:f>0/60</x:f>
        <x:v>0</x:v>
      </x:c>
      <x:c r="V24" s="21" t="n">
        <x:f>16988/60</x:f>
        <x:v>283.1333333333333</x:v>
      </x:c>
      <x:c r="W24" s="20" t="n">
        <x:v>1</x:v>
      </x:c>
      <x:c r="X24" s="20" t="n">
        <x:v>0</x:v>
      </x:c>
      <x:c r="Y24" s="20" t="n">
        <x:v>37</x:v>
      </x:c>
      <x:c r="Z24" s="20" t="n">
        <x:v>0</x:v>
      </x:c>
    </x:row>
    <x:row r="25" ht="23" customHeight="1">
      <x:c r="A25" s="2" t="str">
        <x:v>2026-10-15_Night</x:v>
      </x:c>
      <x:c r="B25" s="19" t="n">
        <x:v>320000</x:v>
      </x:c>
      <x:c r="C25" s="19" t="n">
        <x:v>222000</x:v>
      </x:c>
      <x:c r="D25" s="19" t="n">
        <x:f>B25-C25</x:f>
        <x:v>98000</x:v>
      </x:c>
      <x:c r="E25" s="19" t="n">
        <x:f>E24+D25</x:f>
        <x:v>486000</x:v>
      </x:c>
      <x:c r="F25" s="19" t="n">
        <x:v>98000</x:v>
      </x:c>
      <x:c r="G25" s="19"/>
      <x:c r="H25" s="19" t="n">
        <x:v>320000</x:v>
      </x:c>
      <x:c r="I25" s="19" t="n">
        <x:v>0</x:v>
      </x:c>
      <x:c r="J25" s="19" t="n">
        <x:v>0</x:v>
      </x:c>
      <x:c r="K25" s="19" t="n">
        <x:v>222000</x:v>
      </x:c>
      <x:c r="L25" s="19" t="n">
        <x:v>234000</x:v>
      </x:c>
      <x:c r="M25" s="19" t="n">
        <x:v>57000</x:v>
      </x:c>
      <x:c r="N25" s="20" t="n">
        <x:v>6</x:v>
      </x:c>
      <x:c r="O25" s="20" t="n">
        <x:v>3</x:v>
      </x:c>
      <x:c r="P25" s="20" t="n">
        <x:v>41</x:v>
      </x:c>
      <x:c r="Q25" s="20" t="n">
        <x:v>41</x:v>
      </x:c>
      <x:c r="R25" s="20" t="n">
        <x:v>43</x:v>
      </x:c>
      <x:c r="S25" s="21" t="n">
        <x:f>24464/60</x:f>
        <x:v>407.73333333333335</x:v>
      </x:c>
      <x:c r="T25" s="21" t="n">
        <x:f>21511/60</x:f>
        <x:v>358.51666666666665</x:v>
      </x:c>
      <x:c r="U25" s="21" t="n">
        <x:f>0/60</x:f>
        <x:v>0</x:v>
      </x:c>
      <x:c r="V25" s="21" t="n">
        <x:f>0/60</x:f>
        <x:v>0</x:v>
      </x:c>
      <x:c r="W25" s="20" t="n">
        <x:v>0</x:v>
      </x:c>
      <x:c r="X25" s="20" t="n">
        <x:v>0</x:v>
      </x:c>
      <x:c r="Y25" s="20" t="n">
        <x:v>34</x:v>
      </x:c>
      <x:c r="Z25" s="20" t="n">
        <x:v>0</x:v>
      </x:c>
    </x:row>
    <x:row r="26" ht="23" customHeight="1">
      <x:c r="A26" s="2" t="str">
        <x:v>2026-10-16_Night</x:v>
      </x:c>
      <x:c r="B26" s="19" t="n">
        <x:v>1409000</x:v>
      </x:c>
      <x:c r="C26" s="19" t="n">
        <x:v>432000</x:v>
      </x:c>
      <x:c r="D26" s="19" t="n">
        <x:f>B26-C26</x:f>
        <x:v>977000</x:v>
      </x:c>
      <x:c r="E26" s="19" t="n">
        <x:f>E25+D26</x:f>
        <x:v>1463000</x:v>
      </x:c>
      <x:c r="F26" s="19" t="n">
        <x:v>977000</x:v>
      </x:c>
      <x:c r="G26" s="19"/>
      <x:c r="H26" s="19" t="n">
        <x:v>1314000</x:v>
      </x:c>
      <x:c r="I26" s="19" t="n">
        <x:v>0</x:v>
      </x:c>
      <x:c r="J26" s="19" t="n">
        <x:v>95000</x:v>
      </x:c>
      <x:c r="K26" s="19" t="n">
        <x:v>432000</x:v>
      </x:c>
      <x:c r="L26" s="19" t="n">
        <x:v>508000</x:v>
      </x:c>
      <x:c r="M26" s="19" t="n">
        <x:v>340000</x:v>
      </x:c>
      <x:c r="N26" s="20" t="n">
        <x:v>5</x:v>
      </x:c>
      <x:c r="O26" s="20" t="n">
        <x:v>10</x:v>
      </x:c>
      <x:c r="P26" s="20" t="n">
        <x:v>42</x:v>
      </x:c>
      <x:c r="Q26" s="20" t="n">
        <x:v>42</x:v>
      </x:c>
      <x:c r="R26" s="20" t="n">
        <x:v>143</x:v>
      </x:c>
      <x:c r="S26" s="21" t="n">
        <x:f>27746/60</x:f>
        <x:v>462.43333333333334</x:v>
      </x:c>
      <x:c r="T26" s="21" t="n">
        <x:f>23127/60</x:f>
        <x:v>385.45</x:v>
      </x:c>
      <x:c r="U26" s="21" t="n">
        <x:f>0/60</x:f>
        <x:v>0</x:v>
      </x:c>
      <x:c r="V26" s="21" t="n">
        <x:f>18444/60</x:f>
        <x:v>307.4</x:v>
      </x:c>
      <x:c r="W26" s="20" t="n">
        <x:v>7</x:v>
      </x:c>
      <x:c r="X26" s="20" t="n">
        <x:v>6</x:v>
      </x:c>
      <x:c r="Y26" s="20" t="n">
        <x:v>34</x:v>
      </x:c>
      <x:c r="Z26" s="20" t="n">
        <x:v>0</x:v>
      </x:c>
    </x:row>
    <x:row r="27" ht="23" customHeight="1">
      <x:c r="A27" s="2" t="str">
        <x:v>2026-10-19_Night</x:v>
      </x:c>
      <x:c r="B27" s="19" t="n">
        <x:v>445000</x:v>
      </x:c>
      <x:c r="C27" s="19" t="n">
        <x:v>625000</x:v>
      </x:c>
      <x:c r="D27" s="19" t="n">
        <x:f>B27-C27</x:f>
        <x:v>-180000</x:v>
      </x:c>
      <x:c r="E27" s="19" t="n">
        <x:f>E26+D27</x:f>
        <x:v>1283000</x:v>
      </x:c>
      <x:c r="F27" s="19" t="n">
        <x:v>-180000</x:v>
      </x:c>
      <x:c r="G27" s="19"/>
      <x:c r="H27" s="19" t="n">
        <x:v>445000</x:v>
      </x:c>
      <x:c r="I27" s="19" t="n">
        <x:v>0</x:v>
      </x:c>
      <x:c r="J27" s="19" t="n">
        <x:v>0</x:v>
      </x:c>
      <x:c r="K27" s="19" t="n">
        <x:v>625000</x:v>
      </x:c>
      <x:c r="L27" s="19" t="n">
        <x:v>635000</x:v>
      </x:c>
      <x:c r="M27" s="19" t="n">
        <x:v>235000</x:v>
      </x:c>
      <x:c r="N27" s="20" t="n">
        <x:v>10</x:v>
      </x:c>
      <x:c r="O27" s="20" t="n">
        <x:v>10</x:v>
      </x:c>
      <x:c r="P27" s="20" t="n">
        <x:v>48</x:v>
      </x:c>
      <x:c r="Q27" s="20" t="n">
        <x:v>48</x:v>
      </x:c>
      <x:c r="R27" s="20" t="n">
        <x:v>91</x:v>
      </x:c>
      <x:c r="S27" s="21" t="n">
        <x:f>34880/60</x:f>
        <x:v>581.3333333333334</x:v>
      </x:c>
      <x:c r="T27" s="21" t="n">
        <x:f>29127/60</x:f>
        <x:v>485.45</x:v>
      </x:c>
      <x:c r="U27" s="21" t="n">
        <x:f>23216/60</x:f>
        <x:v>386.93333333333334</x:v>
      </x:c>
      <x:c r="V27" s="21" t="n">
        <x:f>21409/60</x:f>
        <x:v>356.81666666666666</x:v>
      </x:c>
      <x:c r="W27" s="20" t="n">
        <x:v>5</x:v>
      </x:c>
      <x:c r="X27" s="20" t="n">
        <x:v>4</x:v>
      </x:c>
      <x:c r="Y27" s="20" t="n">
        <x:v>38</x:v>
      </x:c>
      <x:c r="Z27" s="20" t="n">
        <x:v>0</x:v>
      </x:c>
    </x:row>
    <x:row r="28" ht="23" customHeight="1">
      <x:c r="A28" s="2" t="str">
        <x:v>2026-10-20_Night</x:v>
      </x:c>
      <x:c r="B28" s="19" t="n">
        <x:v>812000</x:v>
      </x:c>
      <x:c r="C28" s="19" t="n">
        <x:v>809000</x:v>
      </x:c>
      <x:c r="D28" s="19" t="n">
        <x:f>B28-C28</x:f>
        <x:v>3000</x:v>
      </x:c>
      <x:c r="E28" s="19" t="n">
        <x:f>E27+D28</x:f>
        <x:v>1286000</x:v>
      </x:c>
      <x:c r="F28" s="19" t="n">
        <x:v>3000</x:v>
      </x:c>
      <x:c r="G28" s="19"/>
      <x:c r="H28" s="19" t="n">
        <x:v>809000</x:v>
      </x:c>
      <x:c r="I28" s="19" t="n">
        <x:v>0</x:v>
      </x:c>
      <x:c r="J28" s="19" t="n">
        <x:v>3000</x:v>
      </x:c>
      <x:c r="K28" s="19" t="n">
        <x:v>809000</x:v>
      </x:c>
      <x:c r="L28" s="19" t="n">
        <x:v>836000</x:v>
      </x:c>
      <x:c r="M28" s="19" t="n">
        <x:v>220000</x:v>
      </x:c>
      <x:c r="N28" s="20" t="n">
        <x:v>10</x:v>
      </x:c>
      <x:c r="O28" s="20" t="n">
        <x:v>10</x:v>
      </x:c>
      <x:c r="P28" s="20" t="n">
        <x:v>58</x:v>
      </x:c>
      <x:c r="Q28" s="20" t="n">
        <x:v>58</x:v>
      </x:c>
      <x:c r="R28" s="20" t="n">
        <x:v>125</x:v>
      </x:c>
      <x:c r="S28" s="21" t="n">
        <x:f>42089/60</x:f>
        <x:v>701.4833333333333</x:v>
      </x:c>
      <x:c r="T28" s="21" t="n">
        <x:f>29677/60</x:f>
        <x:v>494.6166666666667</x:v>
      </x:c>
      <x:c r="U28" s="21" t="n">
        <x:f>18673/60</x:f>
        <x:v>311.21666666666664</x:v>
      </x:c>
      <x:c r="V28" s="21" t="n">
        <x:f>20140/60</x:f>
        <x:v>335.6666666666667</x:v>
      </x:c>
      <x:c r="W28" s="20" t="n">
        <x:v>1</x:v>
      </x:c>
      <x:c r="X28" s="20" t="n">
        <x:v>1</x:v>
      </x:c>
      <x:c r="Y28" s="20" t="n">
        <x:v>48</x:v>
      </x:c>
      <x:c r="Z28" s="20" t="n">
        <x:v>0</x:v>
      </x:c>
    </x:row>
    <x:row r="29" ht="23" customHeight="1">
      <x:c r="A29" s="2" t="str">
        <x:v>2026-10-21_Night</x:v>
      </x:c>
      <x:c r="B29" s="19" t="n">
        <x:v>273000</x:v>
      </x:c>
      <x:c r="C29" s="19" t="n">
        <x:v>495000</x:v>
      </x:c>
      <x:c r="D29" s="19" t="n">
        <x:f>B29-C29</x:f>
        <x:v>-222000</x:v>
      </x:c>
      <x:c r="E29" s="19" t="n">
        <x:f>E28+D29</x:f>
        <x:v>1064000</x:v>
      </x:c>
      <x:c r="F29" s="19" t="n">
        <x:v>-222000</x:v>
      </x:c>
      <x:c r="G29" s="19"/>
      <x:c r="H29" s="19" t="n">
        <x:v>273000</x:v>
      </x:c>
      <x:c r="I29" s="19" t="n">
        <x:v>0</x:v>
      </x:c>
      <x:c r="J29" s="19" t="n">
        <x:v>0</x:v>
      </x:c>
      <x:c r="K29" s="19" t="n">
        <x:v>495000</x:v>
      </x:c>
      <x:c r="L29" s="19" t="n">
        <x:v>585000</x:v>
      </x:c>
      <x:c r="M29" s="19" t="n">
        <x:v>397000</x:v>
      </x:c>
      <x:c r="N29" s="20" t="n">
        <x:v>10</x:v>
      </x:c>
      <x:c r="O29" s="20" t="n">
        <x:v>10</x:v>
      </x:c>
      <x:c r="P29" s="20" t="n">
        <x:v>20</x:v>
      </x:c>
      <x:c r="Q29" s="20" t="n">
        <x:v>20</x:v>
      </x:c>
      <x:c r="R29" s="20" t="n">
        <x:v>58</x:v>
      </x:c>
      <x:c r="S29" s="21" t="n">
        <x:f>38276/60</x:f>
        <x:v>637.9333333333333</x:v>
      </x:c>
      <x:c r="T29" s="21" t="n">
        <x:f>23424/60</x:f>
        <x:v>390.4</x:v>
      </x:c>
      <x:c r="U29" s="21" t="n">
        <x:f>18867/60</x:f>
        <x:v>314.45</x:v>
      </x:c>
      <x:c r="V29" s="21" t="n">
        <x:f>24617/60</x:f>
        <x:v>410.28333333333336</x:v>
      </x:c>
      <x:c r="W29" s="20" t="n">
        <x:v>1</x:v>
      </x:c>
      <x:c r="X29" s="20" t="n">
        <x:v>0</x:v>
      </x:c>
      <x:c r="Y29" s="20" t="n">
        <x:v>14</x:v>
      </x:c>
      <x:c r="Z29" s="20" t="n">
        <x:v>0</x:v>
      </x:c>
    </x:row>
    <x:row r="30" ht="23" customHeight="1">
      <x:c r="A30" s="2" t="str">
        <x:v>2026-10-22_Night</x:v>
      </x:c>
      <x:c r="B30" s="19" t="n">
        <x:v>435000</x:v>
      </x:c>
      <x:c r="C30" s="19" t="n">
        <x:v>0</x:v>
      </x:c>
      <x:c r="D30" s="19" t="n">
        <x:f>B30-C30</x:f>
        <x:v>435000</x:v>
      </x:c>
      <x:c r="E30" s="19" t="n">
        <x:f>E29+D30</x:f>
        <x:v>1499000</x:v>
      </x:c>
      <x:c r="F30" s="19" t="n">
        <x:v>435000</x:v>
      </x:c>
      <x:c r="G30" s="19"/>
      <x:c r="H30" s="19" t="n">
        <x:v>400000</x:v>
      </x:c>
      <x:c r="I30" s="19" t="n">
        <x:v>0</x:v>
      </x:c>
      <x:c r="J30" s="19" t="n">
        <x:v>35000</x:v>
      </x:c>
      <x:c r="K30" s="19" t="n">
        <x:v>0</x:v>
      </x:c>
      <x:c r="L30" s="19" t="n">
        <x:v>210000</x:v>
      </x:c>
      <x:c r="M30" s="19" t="n">
        <x:v>238000</x:v>
      </x:c>
      <x:c r="N30" s="20" t="n">
        <x:v>0</x:v>
      </x:c>
      <x:c r="O30" s="20" t="n">
        <x:v>7</x:v>
      </x:c>
      <x:c r="P30" s="20" t="n">
        <x:v>30</x:v>
      </x:c>
      <x:c r="Q30" s="20" t="n">
        <x:v>30</x:v>
      </x:c>
      <x:c r="R30" s="20" t="n">
        <x:v>62</x:v>
      </x:c>
      <x:c r="S30" s="21" t="n">
        <x:f>23194/60</x:f>
        <x:v>386.56666666666666</x:v>
      </x:c>
      <x:c r="T30" s="21" t="n">
        <x:f>0/60</x:f>
        <x:v>0</x:v>
      </x:c>
      <x:c r="U30" s="21" t="n">
        <x:f>0/60</x:f>
        <x:v>0</x:v>
      </x:c>
      <x:c r="V30" s="21" t="n">
        <x:f>0/60</x:f>
        <x:v>0</x:v>
      </x:c>
      <x:c r="W30" s="20" t="n">
        <x:v>0</x:v>
      </x:c>
      <x:c r="X30" s="20" t="n">
        <x:v>0</x:v>
      </x:c>
      <x:c r="Y30" s="20" t="n">
        <x:v>27</x:v>
      </x:c>
      <x:c r="Z30" s="20" t="n">
        <x:v>0</x:v>
      </x:c>
    </x:row>
    <x:row r="31" ht="23" customHeight="1">
      <x:c r="A31" s="2" t="str">
        <x:v>2026-10-23_Night</x:v>
      </x:c>
      <x:c r="B31" s="19" t="n">
        <x:v>595000</x:v>
      </x:c>
      <x:c r="C31" s="19" t="n">
        <x:v>486000</x:v>
      </x:c>
      <x:c r="D31" s="19" t="n">
        <x:f>B31-C31</x:f>
        <x:v>109000</x:v>
      </x:c>
      <x:c r="E31" s="19" t="n">
        <x:f>E30+D31</x:f>
        <x:v>1608000</x:v>
      </x:c>
      <x:c r="F31" s="19" t="n">
        <x:v>109000</x:v>
      </x:c>
      <x:c r="G31" s="19"/>
      <x:c r="H31" s="19" t="n">
        <x:v>595000</x:v>
      </x:c>
      <x:c r="I31" s="19" t="n">
        <x:v>0</x:v>
      </x:c>
      <x:c r="J31" s="19" t="n">
        <x:v>0</x:v>
      </x:c>
      <x:c r="K31" s="19" t="n">
        <x:v>486000</x:v>
      </x:c>
      <x:c r="L31" s="19" t="n">
        <x:v>491000</x:v>
      </x:c>
      <x:c r="M31" s="19" t="n">
        <x:v>157000</x:v>
      </x:c>
      <x:c r="N31" s="20" t="n">
        <x:v>9</x:v>
      </x:c>
      <x:c r="O31" s="20" t="n">
        <x:v>10</x:v>
      </x:c>
      <x:c r="P31" s="20" t="n">
        <x:v>44</x:v>
      </x:c>
      <x:c r="Q31" s="20" t="n">
        <x:v>44</x:v>
      </x:c>
      <x:c r="R31" s="20" t="n">
        <x:v>87</x:v>
      </x:c>
      <x:c r="S31" s="21" t="n">
        <x:f>42063/60</x:f>
        <x:v>701.05</x:v>
      </x:c>
      <x:c r="T31" s="21" t="n">
        <x:f>38913/60</x:f>
        <x:v>648.55</x:v>
      </x:c>
      <x:c r="U31" s="21" t="n">
        <x:f>0/60</x:f>
        <x:v>0</x:v>
      </x:c>
      <x:c r="V31" s="21" t="n">
        <x:f>18056/60</x:f>
        <x:v>300.93333333333334</x:v>
      </x:c>
      <x:c r="W31" s="20" t="n">
        <x:v>1</x:v>
      </x:c>
      <x:c r="X31" s="20" t="n">
        <x:v>1</x:v>
      </x:c>
      <x:c r="Y31" s="20" t="n">
        <x:v>34</x:v>
      </x:c>
      <x:c r="Z31" s="20" t="n">
        <x:v>0</x:v>
      </x:c>
    </x:row>
    <x:row r="32" ht="23" customHeight="1">
      <x:c r="A32" s="26" t="str">
        <x:v>25夜累計／最大</x:v>
      </x:c>
      <x:c r="B32" s="27" t="n">
        <x:f>SUM(B7:B31)</x:f>
        <x:v>10704000</x:v>
      </x:c>
      <x:c r="C32" s="27" t="n">
        <x:f>SUM(C7:C31)</x:f>
        <x:v>9096000</x:v>
      </x:c>
      <x:c r="D32" s="27" t="n">
        <x:f>B32-C32</x:f>
        <x:v>1608000</x:v>
      </x:c>
      <x:c r="E32" s="27" t="n">
        <x:f>E31</x:f>
        <x:v>1608000</x:v>
      </x:c>
      <x:c r="F32" s="27" t="n">
        <x:f>SUM(F7:F31)</x:f>
        <x:v>1608000</x:v>
      </x:c>
      <x:c r="G32" s="27"/>
      <x:c r="H32" s="27" t="n">
        <x:f>SUM(H7:H31)</x:f>
        <x:v>10557000</x:v>
      </x:c>
      <x:c r="I32" s="27" t="n">
        <x:f>SUM(I7:I31)</x:f>
        <x:v>0</x:v>
      </x:c>
      <x:c r="J32" s="27" t="n">
        <x:f>SUM(J7:J31)</x:f>
        <x:v>147000</x:v>
      </x:c>
      <x:c r="K32" s="27" t="n">
        <x:f>SUM(K7:K31)</x:f>
        <x:v>9096000</x:v>
      </x:c>
      <x:c r="L32" s="27" t="n">
        <x:f>MAX(L7:L31)</x:f>
        <x:v>980000</x:v>
      </x:c>
      <x:c r="M32" s="27" t="n">
        <x:f>MAX(M7:M31)</x:f>
        <x:v>530000</x:v>
      </x:c>
      <x:c r="N32" s="28" t="n">
        <x:f>MAX(N7:N31)</x:f>
        <x:v>10</x:v>
      </x:c>
      <x:c r="O32" s="28" t="n">
        <x:f>MAX(O7:O31)</x:f>
        <x:v>10</x:v>
      </x:c>
      <x:c r="P32" s="28" t="n">
        <x:f>SUM(P7:P31)</x:f>
        <x:v>696</x:v>
      </x:c>
      <x:c r="Q32" s="28" t="n">
        <x:f>SUM(Q7:Q31)</x:f>
        <x:v>696</x:v>
      </x:c>
      <x:c r="R32" s="28" t="n">
        <x:f>SUM(R7:R31)</x:f>
        <x:v>1710</x:v>
      </x:c>
      <x:c r="S32" s="29" t="n">
        <x:f>SUM(S7:S31)</x:f>
        <x:v>13938.533333333331</x:v>
      </x:c>
      <x:c r="T32" s="29" t="n">
        <x:f>SUM(T7:T31)</x:f>
        <x:v>8337.949999999999</x:v>
      </x:c>
      <x:c r="U32" s="29" t="n">
        <x:f>SUM(U7:U31)</x:f>
        <x:v>3220.1</x:v>
      </x:c>
      <x:c r="V32" s="29" t="n">
        <x:f>SUM(V7:V31)</x:f>
        <x:v>3576.8999999999996</x:v>
      </x:c>
      <x:c r="W32" s="28" t="n">
        <x:f>SUM(W7:W31)</x:f>
        <x:v>39</x:v>
      </x:c>
      <x:c r="X32" s="28" t="n">
        <x:f>SUM(X7:X31)</x:f>
        <x:v>32</x:v>
      </x:c>
      <x:c r="Y32" s="28" t="n">
        <x:f>SUM(Y7:Y31)</x:f>
        <x:v>556</x:v>
      </x:c>
      <x:c r="Z32" s="28" t="n">
        <x:f>SUM(Z7:Z31)</x:f>
        <x:v>0</x:v>
      </x:c>
    </x:row>
  </x:sheetData>
  <x:conditionalFormatting sqref="B7:M32">
    <x:cfRule type="cellIs" dxfId="1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8efbc77d9d14f50"/>
  </x:tableParts>
</x:worksheet>
</file>

<file path=xl/worksheets/sheet21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3" customHeight="1">
      <x:c r="A2" s="4" t="str">
        <x:v>N07　全夜間の利益・損失・収支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3" ht="23" customHeight="1">
      <x:c r="A3" s="6" t="str">
        <x:v>日経mini・片方向上限10枚・手数料0・次正常ラージ気配代理。2026/09/21〜10/23の完了25夜。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3" customHeight="1">
      <x:c r="A4" s="6" t="str">
        <x:v>利益・損失は新規実約定IDごとの全返済収支で分類。旧親単位の利益損失とは異なります。未測定は空欄。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3" customHeight="1">
      <x:c r="A5" s="6" t="str">
        <x:v>全夜・80/40追尾・1枚・黒字返済後40pt追尾再新規。N：新手法を全夜運転。含み損・DD・保有時間・返済内訳も全夜。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4" customHeight="1">
      <x:c r="A6" s="15" t="str">
        <x:v>セッション</x:v>
      </x:c>
      <x:c r="B6" s="16" t="str">
        <x:v>利益（円）</x:v>
      </x:c>
      <x:c r="C6" s="16" t="str">
        <x:v>損失（円）</x:v>
      </x:c>
      <x:c r="D6" s="16" t="str">
        <x:v>全夜収支（円）</x:v>
      </x:c>
      <x:c r="E6" s="16" t="str">
        <x:v>累計（円）</x:v>
      </x:c>
      <x:c r="F6" s="16" t="str">
        <x:v>対象区間収支</x:v>
      </x:c>
      <x:c r="G6" s="16" t="str">
        <x:v>保存後半収支</x:v>
      </x:c>
      <x:c r="H6" s="16" t="str">
        <x:v>利益追尾の利益</x:v>
      </x:c>
      <x:c r="I6" s="16" t="str">
        <x:v>利益追尾の損失</x:v>
      </x:c>
      <x:c r="J6" s="16" t="str">
        <x:v>境界清算の利益</x:v>
      </x:c>
      <x:c r="K6" s="16" t="str">
        <x:v>境界清算の損失</x:v>
      </x:c>
      <x:c r="L6" s="16" t="str">
        <x:v>最大含み損（円）</x:v>
      </x:c>
      <x:c r="M6" s="16" t="str">
        <x:v>対象区間DD</x:v>
      </x:c>
      <x:c r="N6" s="16" t="str">
        <x:v>最大買い枚数</x:v>
      </x:c>
      <x:c r="O6" s="16" t="str">
        <x:v>最大売り枚数</x:v>
      </x:c>
      <x:c r="P6" s="16" t="str">
        <x:v>全夜新規件数</x:v>
      </x:c>
      <x:c r="Q6" s="16" t="str">
        <x:v>対象区間新規</x:v>
      </x:c>
      <x:c r="R6" s="16" t="str">
        <x:v>全新規枚数</x:v>
      </x:c>
      <x:c r="S6" s="16" t="str">
        <x:v>保有（分）</x:v>
      </x:c>
      <x:c r="T6" s="16" t="str">
        <x:v>両建て（分）</x:v>
      </x:c>
      <x:c r="U6" s="16" t="str">
        <x:v>買い上限（分）</x:v>
      </x:c>
      <x:c r="V6" s="16" t="str">
        <x:v>売り上限（分）</x:v>
      </x:c>
      <x:c r="W6" s="16" t="str">
        <x:v>上限拒否・縮小件数</x:v>
      </x:c>
      <x:c r="X6" s="16" t="str">
        <x:v>通知全拒否件数</x:v>
      </x:c>
      <x:c r="Y6" s="16" t="str">
        <x:v>実再参加件数</x:v>
      </x:c>
      <x:c r="Z6" s="17" t="str">
        <x:v>判断利益→実損失</x:v>
      </x:c>
    </x:row>
    <x:row r="7" ht="23" customHeight="1">
      <x:c r="A7" s="2" t="str">
        <x:v>2026-09-21_Night</x:v>
      </x:c>
      <x:c r="B7" s="19" t="n">
        <x:v>53000</x:v>
      </x:c>
      <x:c r="C7" s="19" t="n">
        <x:v>8000</x:v>
      </x:c>
      <x:c r="D7" s="19" t="n">
        <x:f>B7-C7</x:f>
        <x:v>45000</x:v>
      </x:c>
      <x:c r="E7" s="19" t="n">
        <x:f>D7</x:f>
        <x:v>45000</x:v>
      </x:c>
      <x:c r="F7" s="19" t="n">
        <x:v>45000</x:v>
      </x:c>
      <x:c r="G7" s="19"/>
      <x:c r="H7" s="19" t="n">
        <x:v>53000</x:v>
      </x:c>
      <x:c r="I7" s="19" t="n">
        <x:v>0</x:v>
      </x:c>
      <x:c r="J7" s="19" t="n">
        <x:v>0</x:v>
      </x:c>
      <x:c r="K7" s="19" t="n">
        <x:v>8000</x:v>
      </x:c>
      <x:c r="L7" s="19" t="n">
        <x:v>12000</x:v>
      </x:c>
      <x:c r="M7" s="19" t="n">
        <x:v>16000</x:v>
      </x:c>
      <x:c r="N7" s="20" t="n">
        <x:v>1</x:v>
      </x:c>
      <x:c r="O7" s="20" t="n">
        <x:v>0</x:v>
      </x:c>
      <x:c r="P7" s="20" t="n">
        <x:v>7</x:v>
      </x:c>
      <x:c r="Q7" s="20" t="n">
        <x:v>7</x:v>
      </x:c>
      <x:c r="R7" s="20" t="n">
        <x:v>7</x:v>
      </x:c>
      <x:c r="S7" s="21" t="n">
        <x:f>21191/60</x:f>
        <x:v>353.18333333333334</x:v>
      </x:c>
      <x:c r="T7" s="21" t="n">
        <x:f>0/60</x:f>
        <x:v>0</x:v>
      </x:c>
      <x:c r="U7" s="21" t="n">
        <x:f>0/60</x:f>
        <x:v>0</x:v>
      </x:c>
      <x:c r="V7" s="21" t="n">
        <x:f>0/60</x:f>
        <x:v>0</x:v>
      </x:c>
      <x:c r="W7" s="20" t="n">
        <x:v>0</x:v>
      </x:c>
      <x:c r="X7" s="20" t="n">
        <x:v>0</x:v>
      </x:c>
      <x:c r="Y7" s="20" t="n">
        <x:v>6</x:v>
      </x:c>
      <x:c r="Z7" s="20" t="n">
        <x:v>0</x:v>
      </x:c>
    </x:row>
    <x:row r="8" ht="23" customHeight="1">
      <x:c r="A8" s="2" t="str">
        <x:v>2026-09-22_Night</x:v>
      </x:c>
      <x:c r="B8" s="19" t="n">
        <x:v>78000</x:v>
      </x:c>
      <x:c r="C8" s="19" t="n">
        <x:v>36000</x:v>
      </x:c>
      <x:c r="D8" s="19" t="n">
        <x:f>B8-C8</x:f>
        <x:v>42000</x:v>
      </x:c>
      <x:c r="E8" s="19" t="n">
        <x:f>E7+D8</x:f>
        <x:v>87000</x:v>
      </x:c>
      <x:c r="F8" s="19" t="n">
        <x:v>42000</x:v>
      </x:c>
      <x:c r="G8" s="19"/>
      <x:c r="H8" s="19" t="n">
        <x:v>78000</x:v>
      </x:c>
      <x:c r="I8" s="19" t="n">
        <x:v>0</x:v>
      </x:c>
      <x:c r="J8" s="19" t="n">
        <x:v>0</x:v>
      </x:c>
      <x:c r="K8" s="19" t="n">
        <x:v>36000</x:v>
      </x:c>
      <x:c r="L8" s="19" t="n">
        <x:v>60000</x:v>
      </x:c>
      <x:c r="M8" s="19" t="n">
        <x:v>68000</x:v>
      </x:c>
      <x:c r="N8" s="20" t="n">
        <x:v>2</x:v>
      </x:c>
      <x:c r="O8" s="20" t="n">
        <x:v>0</x:v>
      </x:c>
      <x:c r="P8" s="20" t="n">
        <x:v>14</x:v>
      </x:c>
      <x:c r="Q8" s="20" t="n">
        <x:v>14</x:v>
      </x:c>
      <x:c r="R8" s="20" t="n">
        <x:v>14</x:v>
      </x:c>
      <x:c r="S8" s="21" t="n">
        <x:f>40658/60</x:f>
        <x:v>677.6333333333333</x:v>
      </x:c>
      <x:c r="T8" s="21" t="n">
        <x:f>0/60</x:f>
        <x:v>0</x:v>
      </x:c>
      <x:c r="U8" s="21" t="n">
        <x:f>0/60</x:f>
        <x:v>0</x:v>
      </x:c>
      <x:c r="V8" s="21" t="n">
        <x:f>0/60</x:f>
        <x:v>0</x:v>
      </x:c>
      <x:c r="W8" s="20" t="n">
        <x:v>0</x:v>
      </x:c>
      <x:c r="X8" s="20" t="n">
        <x:v>0</x:v>
      </x:c>
      <x:c r="Y8" s="20" t="n">
        <x:v>12</x:v>
      </x:c>
      <x:c r="Z8" s="20" t="n">
        <x:v>0</x:v>
      </x:c>
    </x:row>
    <x:row r="9" ht="23" customHeight="1">
      <x:c r="A9" s="2" t="str">
        <x:v>2026-09-23_Night</x:v>
      </x:c>
      <x:c r="B9" s="19" t="n">
        <x:v>42000</x:v>
      </x:c>
      <x:c r="C9" s="19" t="n">
        <x:v>75000</x:v>
      </x:c>
      <x:c r="D9" s="19" t="n">
        <x:f>B9-C9</x:f>
        <x:v>-33000</x:v>
      </x:c>
      <x:c r="E9" s="19" t="n">
        <x:f>E8+D9</x:f>
        <x:v>54000</x:v>
      </x:c>
      <x:c r="F9" s="19" t="n">
        <x:v>-33000</x:v>
      </x:c>
      <x:c r="G9" s="19"/>
      <x:c r="H9" s="19" t="n">
        <x:v>42000</x:v>
      </x:c>
      <x:c r="I9" s="19" t="n">
        <x:v>0</x:v>
      </x:c>
      <x:c r="J9" s="19" t="n">
        <x:v>0</x:v>
      </x:c>
      <x:c r="K9" s="19" t="n">
        <x:v>75000</x:v>
      </x:c>
      <x:c r="L9" s="19" t="n">
        <x:v>97000</x:v>
      </x:c>
      <x:c r="M9" s="19" t="n">
        <x:v>77000</x:v>
      </x:c>
      <x:c r="N9" s="20" t="n">
        <x:v>2</x:v>
      </x:c>
      <x:c r="O9" s="20" t="n">
        <x:v>1</x:v>
      </x:c>
      <x:c r="P9" s="20" t="n">
        <x:v>9</x:v>
      </x:c>
      <x:c r="Q9" s="20" t="n">
        <x:v>9</x:v>
      </x:c>
      <x:c r="R9" s="20" t="n">
        <x:v>9</x:v>
      </x:c>
      <x:c r="S9" s="21" t="n">
        <x:f>24672/60</x:f>
        <x:v>411.2</x:v>
      </x:c>
      <x:c r="T9" s="21" t="n">
        <x:f>21239/60</x:f>
        <x:v>353.98333333333335</x:v>
      </x:c>
      <x:c r="U9" s="21" t="n">
        <x:f>0/60</x:f>
        <x:v>0</x:v>
      </x:c>
      <x:c r="V9" s="21" t="n">
        <x:f>0/60</x:f>
        <x:v>0</x:v>
      </x:c>
      <x:c r="W9" s="20" t="n">
        <x:v>0</x:v>
      </x:c>
      <x:c r="X9" s="20" t="n">
        <x:v>0</x:v>
      </x:c>
      <x:c r="Y9" s="20" t="n">
        <x:v>6</x:v>
      </x:c>
      <x:c r="Z9" s="20" t="n">
        <x:v>0</x:v>
      </x:c>
    </x:row>
    <x:row r="10" ht="23" customHeight="1">
      <x:c r="A10" s="2" t="str">
        <x:v>2026-09-24_Night</x:v>
      </x:c>
      <x:c r="B10" s="19" t="n">
        <x:v>123000</x:v>
      </x:c>
      <x:c r="C10" s="19" t="n">
        <x:v>110000</x:v>
      </x:c>
      <x:c r="D10" s="19" t="n">
        <x:f>B10-C10</x:f>
        <x:v>13000</x:v>
      </x:c>
      <x:c r="E10" s="19" t="n">
        <x:f>E9+D10</x:f>
        <x:v>67000</x:v>
      </x:c>
      <x:c r="F10" s="19" t="n">
        <x:v>13000</x:v>
      </x:c>
      <x:c r="G10" s="19"/>
      <x:c r="H10" s="19" t="n">
        <x:v>123000</x:v>
      </x:c>
      <x:c r="I10" s="19" t="n">
        <x:v>0</x:v>
      </x:c>
      <x:c r="J10" s="19" t="n">
        <x:v>0</x:v>
      </x:c>
      <x:c r="K10" s="19" t="n">
        <x:v>110000</x:v>
      </x:c>
      <x:c r="L10" s="19" t="n">
        <x:v>126000</x:v>
      </x:c>
      <x:c r="M10" s="19" t="n">
        <x:v>43000</x:v>
      </x:c>
      <x:c r="N10" s="20" t="n">
        <x:v>2</x:v>
      </x:c>
      <x:c r="O10" s="20" t="n">
        <x:v>2</x:v>
      </x:c>
      <x:c r="P10" s="20" t="n">
        <x:v>22</x:v>
      </x:c>
      <x:c r="Q10" s="20" t="n">
        <x:v>22</x:v>
      </x:c>
      <x:c r="R10" s="20" t="n">
        <x:v>22</x:v>
      </x:c>
      <x:c r="S10" s="21" t="n">
        <x:f>35344/60</x:f>
        <x:v>589.0666666666667</x:v>
      </x:c>
      <x:c r="T10" s="21" t="n">
        <x:f>21270/60</x:f>
        <x:v>354.5</x:v>
      </x:c>
      <x:c r="U10" s="21" t="n">
        <x:f>0/60</x:f>
        <x:v>0</x:v>
      </x:c>
      <x:c r="V10" s="21" t="n">
        <x:f>0/60</x:f>
        <x:v>0</x:v>
      </x:c>
      <x:c r="W10" s="20" t="n">
        <x:v>0</x:v>
      </x:c>
      <x:c r="X10" s="20" t="n">
        <x:v>0</x:v>
      </x:c>
      <x:c r="Y10" s="20" t="n">
        <x:v>18</x:v>
      </x:c>
      <x:c r="Z10" s="20" t="n">
        <x:v>0</x:v>
      </x:c>
    </x:row>
    <x:row r="11" ht="23" customHeight="1">
      <x:c r="A11" s="2" t="str">
        <x:v>2026-09-25_Night</x:v>
      </x:c>
      <x:c r="B11" s="19" t="n">
        <x:v>45000</x:v>
      </x:c>
      <x:c r="C11" s="19" t="n">
        <x:v>63000</x:v>
      </x:c>
      <x:c r="D11" s="19" t="n">
        <x:f>B11-C11</x:f>
        <x:v>-18000</x:v>
      </x:c>
      <x:c r="E11" s="19" t="n">
        <x:f>E10+D11</x:f>
        <x:v>49000</x:v>
      </x:c>
      <x:c r="F11" s="19" t="n">
        <x:v>-18000</x:v>
      </x:c>
      <x:c r="G11" s="19"/>
      <x:c r="H11" s="19" t="n">
        <x:v>45000</x:v>
      </x:c>
      <x:c r="I11" s="19" t="n">
        <x:v>0</x:v>
      </x:c>
      <x:c r="J11" s="19" t="n">
        <x:v>0</x:v>
      </x:c>
      <x:c r="K11" s="19" t="n">
        <x:v>63000</x:v>
      </x:c>
      <x:c r="L11" s="19" t="n">
        <x:v>64000</x:v>
      </x:c>
      <x:c r="M11" s="19" t="n">
        <x:v>26000</x:v>
      </x:c>
      <x:c r="N11" s="20" t="n">
        <x:v>1</x:v>
      </x:c>
      <x:c r="O11" s="20" t="n">
        <x:v>1</x:v>
      </x:c>
      <x:c r="P11" s="20" t="n">
        <x:v>7</x:v>
      </x:c>
      <x:c r="Q11" s="20" t="n">
        <x:v>7</x:v>
      </x:c>
      <x:c r="R11" s="20" t="n">
        <x:v>7</x:v>
      </x:c>
      <x:c r="S11" s="21" t="n">
        <x:f>25420/60</x:f>
        <x:v>423.6666666666667</x:v>
      </x:c>
      <x:c r="T11" s="21" t="n">
        <x:f>24307/60</x:f>
        <x:v>405.1166666666667</x:v>
      </x:c>
      <x:c r="U11" s="21" t="n">
        <x:f>0/60</x:f>
        <x:v>0</x:v>
      </x:c>
      <x:c r="V11" s="21" t="n">
        <x:f>0/60</x:f>
        <x:v>0</x:v>
      </x:c>
      <x:c r="W11" s="20" t="n">
        <x:v>0</x:v>
      </x:c>
      <x:c r="X11" s="20" t="n">
        <x:v>0</x:v>
      </x:c>
      <x:c r="Y11" s="20" t="n">
        <x:v>5</x:v>
      </x:c>
      <x:c r="Z11" s="20" t="n">
        <x:v>0</x:v>
      </x:c>
    </x:row>
    <x:row r="12" ht="23" customHeight="1">
      <x:c r="A12" s="2" t="str">
        <x:v>2026-09-28_Night</x:v>
      </x:c>
      <x:c r="B12" s="19" t="n">
        <x:v>131000</x:v>
      </x:c>
      <x:c r="C12" s="19" t="n">
        <x:v>196000</x:v>
      </x:c>
      <x:c r="D12" s="19" t="n">
        <x:f>B12-C12</x:f>
        <x:v>-65000</x:v>
      </x:c>
      <x:c r="E12" s="19" t="n">
        <x:f>E11+D12</x:f>
        <x:v>-16000</x:v>
      </x:c>
      <x:c r="F12" s="19" t="n">
        <x:v>-65000</x:v>
      </x:c>
      <x:c r="G12" s="19"/>
      <x:c r="H12" s="19" t="n">
        <x:v>131000</x:v>
      </x:c>
      <x:c r="I12" s="19" t="n">
        <x:v>0</x:v>
      </x:c>
      <x:c r="J12" s="19" t="n">
        <x:v>0</x:v>
      </x:c>
      <x:c r="K12" s="19" t="n">
        <x:v>196000</x:v>
      </x:c>
      <x:c r="L12" s="19" t="n">
        <x:v>205000</x:v>
      </x:c>
      <x:c r="M12" s="19" t="n">
        <x:v>153000</x:v>
      </x:c>
      <x:c r="N12" s="20" t="n">
        <x:v>3</x:v>
      </x:c>
      <x:c r="O12" s="20" t="n">
        <x:v>2</x:v>
      </x:c>
      <x:c r="P12" s="20" t="n">
        <x:v>18</x:v>
      </x:c>
      <x:c r="Q12" s="20" t="n">
        <x:v>18</x:v>
      </x:c>
      <x:c r="R12" s="20" t="n">
        <x:v>18</x:v>
      </x:c>
      <x:c r="S12" s="21" t="n">
        <x:f>34936/60</x:f>
        <x:v>582.2666666666667</x:v>
      </x:c>
      <x:c r="T12" s="21" t="n">
        <x:f>24149/60</x:f>
        <x:v>402.48333333333335</x:v>
      </x:c>
      <x:c r="U12" s="21" t="n">
        <x:f>0/60</x:f>
        <x:v>0</x:v>
      </x:c>
      <x:c r="V12" s="21" t="n">
        <x:f>0/60</x:f>
        <x:v>0</x:v>
      </x:c>
      <x:c r="W12" s="20" t="n">
        <x:v>0</x:v>
      </x:c>
      <x:c r="X12" s="20" t="n">
        <x:v>0</x:v>
      </x:c>
      <x:c r="Y12" s="20" t="n">
        <x:v>13</x:v>
      </x:c>
      <x:c r="Z12" s="20" t="n">
        <x:v>0</x:v>
      </x:c>
    </x:row>
    <x:row r="13" ht="23" customHeight="1">
      <x:c r="A13" s="2" t="str">
        <x:v>2026-09-29_Night</x:v>
      </x:c>
      <x:c r="B13" s="19" t="n">
        <x:v>86000</x:v>
      </x:c>
      <x:c r="C13" s="19" t="n">
        <x:v>163000</x:v>
      </x:c>
      <x:c r="D13" s="19" t="n">
        <x:f>B13-C13</x:f>
        <x:v>-77000</x:v>
      </x:c>
      <x:c r="E13" s="19" t="n">
        <x:f>E12+D13</x:f>
        <x:v>-93000</x:v>
      </x:c>
      <x:c r="F13" s="19" t="n">
        <x:v>-77000</x:v>
      </x:c>
      <x:c r="G13" s="19"/>
      <x:c r="H13" s="19" t="n">
        <x:v>86000</x:v>
      </x:c>
      <x:c r="I13" s="19" t="n">
        <x:v>0</x:v>
      </x:c>
      <x:c r="J13" s="19" t="n">
        <x:v>0</x:v>
      </x:c>
      <x:c r="K13" s="19" t="n">
        <x:v>163000</x:v>
      </x:c>
      <x:c r="L13" s="19" t="n">
        <x:v>169000</x:v>
      </x:c>
      <x:c r="M13" s="19" t="n">
        <x:v>91000</x:v>
      </x:c>
      <x:c r="N13" s="20" t="n">
        <x:v>2</x:v>
      </x:c>
      <x:c r="O13" s="20" t="n">
        <x:v>4</x:v>
      </x:c>
      <x:c r="P13" s="20" t="n">
        <x:v>20</x:v>
      </x:c>
      <x:c r="Q13" s="20" t="n">
        <x:v>20</x:v>
      </x:c>
      <x:c r="R13" s="20" t="n">
        <x:v>20</x:v>
      </x:c>
      <x:c r="S13" s="21" t="n">
        <x:f>24658/60</x:f>
        <x:v>410.96666666666664</x:v>
      </x:c>
      <x:c r="T13" s="21" t="n">
        <x:f>22783/60</x:f>
        <x:v>379.71666666666664</x:v>
      </x:c>
      <x:c r="U13" s="21" t="n">
        <x:f>0/60</x:f>
        <x:v>0</x:v>
      </x:c>
      <x:c r="V13" s="21" t="n">
        <x:f>0/60</x:f>
        <x:v>0</x:v>
      </x:c>
      <x:c r="W13" s="20" t="n">
        <x:v>0</x:v>
      </x:c>
      <x:c r="X13" s="20" t="n">
        <x:v>0</x:v>
      </x:c>
      <x:c r="Y13" s="20" t="n">
        <x:v>14</x:v>
      </x:c>
      <x:c r="Z13" s="20" t="n">
        <x:v>0</x:v>
      </x:c>
    </x:row>
    <x:row r="14" ht="23" customHeight="1">
      <x:c r="A14" s="2" t="str">
        <x:v>2026-09-30_Night</x:v>
      </x:c>
      <x:c r="B14" s="19" t="n">
        <x:v>102000</x:v>
      </x:c>
      <x:c r="C14" s="19" t="n">
        <x:v>347000</x:v>
      </x:c>
      <x:c r="D14" s="19" t="n">
        <x:f>B14-C14</x:f>
        <x:v>-245000</x:v>
      </x:c>
      <x:c r="E14" s="19" t="n">
        <x:f>E13+D14</x:f>
        <x:v>-338000</x:v>
      </x:c>
      <x:c r="F14" s="19" t="n">
        <x:v>-245000</x:v>
      </x:c>
      <x:c r="G14" s="19"/>
      <x:c r="H14" s="19" t="n">
        <x:v>102000</x:v>
      </x:c>
      <x:c r="I14" s="19" t="n">
        <x:v>0</x:v>
      </x:c>
      <x:c r="J14" s="19" t="n">
        <x:v>0</x:v>
      </x:c>
      <x:c r="K14" s="19" t="n">
        <x:v>347000</x:v>
      </x:c>
      <x:c r="L14" s="19" t="n">
        <x:v>385000</x:v>
      </x:c>
      <x:c r="M14" s="19" t="n">
        <x:v>330000</x:v>
      </x:c>
      <x:c r="N14" s="20" t="n">
        <x:v>5</x:v>
      </x:c>
      <x:c r="O14" s="20" t="n">
        <x:v>1</x:v>
      </x:c>
      <x:c r="P14" s="20" t="n">
        <x:v>21</x:v>
      </x:c>
      <x:c r="Q14" s="20" t="n">
        <x:v>21</x:v>
      </x:c>
      <x:c r="R14" s="20" t="n">
        <x:v>21</x:v>
      </x:c>
      <x:c r="S14" s="21" t="n">
        <x:f>34648/60</x:f>
        <x:v>577.4666666666667</x:v>
      </x:c>
      <x:c r="T14" s="21" t="n">
        <x:f>33091/60</x:f>
        <x:v>551.5166666666667</x:v>
      </x:c>
      <x:c r="U14" s="21" t="n">
        <x:f>0/60</x:f>
        <x:v>0</x:v>
      </x:c>
      <x:c r="V14" s="21" t="n">
        <x:f>0/60</x:f>
        <x:v>0</x:v>
      </x:c>
      <x:c r="W14" s="20" t="n">
        <x:v>0</x:v>
      </x:c>
      <x:c r="X14" s="20" t="n">
        <x:v>0</x:v>
      </x:c>
      <x:c r="Y14" s="20" t="n">
        <x:v>15</x:v>
      </x:c>
      <x:c r="Z14" s="20" t="n">
        <x:v>0</x:v>
      </x:c>
    </x:row>
    <x:row r="15" ht="23" customHeight="1">
      <x:c r="A15" s="2" t="str">
        <x:v>2026-10-01_Night</x:v>
      </x:c>
      <x:c r="B15" s="19" t="n">
        <x:v>768000</x:v>
      </x:c>
      <x:c r="C15" s="19" t="n">
        <x:v>718000</x:v>
      </x:c>
      <x:c r="D15" s="19" t="n">
        <x:f>B15-C15</x:f>
        <x:v>50000</x:v>
      </x:c>
      <x:c r="E15" s="19" t="n">
        <x:f>E14+D15</x:f>
        <x:v>-288000</x:v>
      </x:c>
      <x:c r="F15" s="19" t="n">
        <x:v>50000</x:v>
      </x:c>
      <x:c r="G15" s="19"/>
      <x:c r="H15" s="19" t="n">
        <x:v>768000</x:v>
      </x:c>
      <x:c r="I15" s="19" t="n">
        <x:v>0</x:v>
      </x:c>
      <x:c r="J15" s="19" t="n">
        <x:v>0</x:v>
      </x:c>
      <x:c r="K15" s="19" t="n">
        <x:v>718000</x:v>
      </x:c>
      <x:c r="L15" s="19" t="n">
        <x:v>734000</x:v>
      </x:c>
      <x:c r="M15" s="19" t="n">
        <x:v>180000</x:v>
      </x:c>
      <x:c r="N15" s="20" t="n">
        <x:v>8</x:v>
      </x:c>
      <x:c r="O15" s="20" t="n">
        <x:v>8</x:v>
      </x:c>
      <x:c r="P15" s="20" t="n">
        <x:v>124</x:v>
      </x:c>
      <x:c r="Q15" s="20" t="n">
        <x:v>124</x:v>
      </x:c>
      <x:c r="R15" s="20" t="n">
        <x:v>124</x:v>
      </x:c>
      <x:c r="S15" s="21" t="n">
        <x:f>41266/60</x:f>
        <x:v>687.7666666666667</x:v>
      </x:c>
      <x:c r="T15" s="21" t="n">
        <x:f>38528/60</x:f>
        <x:v>642.1333333333333</x:v>
      </x:c>
      <x:c r="U15" s="21" t="n">
        <x:f>0/60</x:f>
        <x:v>0</x:v>
      </x:c>
      <x:c r="V15" s="21" t="n">
        <x:f>0/60</x:f>
        <x:v>0</x:v>
      </x:c>
      <x:c r="W15" s="20" t="n">
        <x:v>0</x:v>
      </x:c>
      <x:c r="X15" s="20" t="n">
        <x:v>0</x:v>
      </x:c>
      <x:c r="Y15" s="20" t="n">
        <x:v>108</x:v>
      </x:c>
      <x:c r="Z15" s="20" t="n">
        <x:v>0</x:v>
      </x:c>
    </x:row>
    <x:row r="16" ht="23" customHeight="1">
      <x:c r="A16" s="2" t="str">
        <x:v>2026-10-02_Night</x:v>
      </x:c>
      <x:c r="B16" s="19" t="n">
        <x:v>329000</x:v>
      </x:c>
      <x:c r="C16" s="19" t="n">
        <x:v>344000</x:v>
      </x:c>
      <x:c r="D16" s="19" t="n">
        <x:f>B16-C16</x:f>
        <x:v>-15000</x:v>
      </x:c>
      <x:c r="E16" s="19" t="n">
        <x:f>E15+D16</x:f>
        <x:v>-303000</x:v>
      </x:c>
      <x:c r="F16" s="19" t="n">
        <x:v>-15000</x:v>
      </x:c>
      <x:c r="G16" s="19"/>
      <x:c r="H16" s="19" t="n">
        <x:v>329000</x:v>
      </x:c>
      <x:c r="I16" s="19" t="n">
        <x:v>0</x:v>
      </x:c>
      <x:c r="J16" s="19" t="n">
        <x:v>0</x:v>
      </x:c>
      <x:c r="K16" s="19" t="n">
        <x:v>344000</x:v>
      </x:c>
      <x:c r="L16" s="19" t="n">
        <x:v>456000</x:v>
      </x:c>
      <x:c r="M16" s="19" t="n">
        <x:v>291000</x:v>
      </x:c>
      <x:c r="N16" s="20" t="n">
        <x:v>3</x:v>
      </x:c>
      <x:c r="O16" s="20" t="n">
        <x:v>10</x:v>
      </x:c>
      <x:c r="P16" s="20" t="n">
        <x:v>60</x:v>
      </x:c>
      <x:c r="Q16" s="20" t="n">
        <x:v>60</x:v>
      </x:c>
      <x:c r="R16" s="20" t="n">
        <x:v>60</x:v>
      </x:c>
      <x:c r="S16" s="21" t="n">
        <x:f>25293/60</x:f>
        <x:v>421.55</x:v>
      </x:c>
      <x:c r="T16" s="21" t="n">
        <x:f>24075/60</x:f>
        <x:v>401.25</x:v>
      </x:c>
      <x:c r="U16" s="21" t="n">
        <x:f>0/60</x:f>
        <x:v>0</x:v>
      </x:c>
      <x:c r="V16" s="21" t="n">
        <x:f>19950/60</x:f>
        <x:v>332.5</x:v>
      </x:c>
      <x:c r="W16" s="20" t="n">
        <x:v>2</x:v>
      </x:c>
      <x:c r="X16" s="20" t="n">
        <x:v>2</x:v>
      </x:c>
      <x:c r="Y16" s="20" t="n">
        <x:v>47</x:v>
      </x:c>
      <x:c r="Z16" s="20" t="n">
        <x:v>0</x:v>
      </x:c>
    </x:row>
    <x:row r="17" ht="23" customHeight="1">
      <x:c r="A17" s="2" t="str">
        <x:v>2026-10-05_Night</x:v>
      </x:c>
      <x:c r="B17" s="19" t="n">
        <x:v>85000</x:v>
      </x:c>
      <x:c r="C17" s="19" t="n">
        <x:v>90000</x:v>
      </x:c>
      <x:c r="D17" s="19" t="n">
        <x:f>B17-C17</x:f>
        <x:v>-5000</x:v>
      </x:c>
      <x:c r="E17" s="19" t="n">
        <x:f>E16+D17</x:f>
        <x:v>-308000</x:v>
      </x:c>
      <x:c r="F17" s="19" t="n">
        <x:v>-5000</x:v>
      </x:c>
      <x:c r="G17" s="19"/>
      <x:c r="H17" s="19" t="n">
        <x:v>83000</x:v>
      </x:c>
      <x:c r="I17" s="19" t="n">
        <x:v>0</x:v>
      </x:c>
      <x:c r="J17" s="19" t="n">
        <x:v>2000</x:v>
      </x:c>
      <x:c r="K17" s="19" t="n">
        <x:v>90000</x:v>
      </x:c>
      <x:c r="L17" s="19" t="n">
        <x:v>165000</x:v>
      </x:c>
      <x:c r="M17" s="19" t="n">
        <x:v>130000</x:v>
      </x:c>
      <x:c r="N17" s="20" t="n">
        <x:v>6</x:v>
      </x:c>
      <x:c r="O17" s="20" t="n">
        <x:v>2</x:v>
      </x:c>
      <x:c r="P17" s="20" t="n">
        <x:v>23</x:v>
      </x:c>
      <x:c r="Q17" s="20" t="n">
        <x:v>23</x:v>
      </x:c>
      <x:c r="R17" s="20" t="n">
        <x:v>23</x:v>
      </x:c>
      <x:c r="S17" s="21" t="n">
        <x:f>42986/60</x:f>
        <x:v>716.4333333333333</x:v>
      </x:c>
      <x:c r="T17" s="21" t="n">
        <x:f>24669/60</x:f>
        <x:v>411.15</x:v>
      </x:c>
      <x:c r="U17" s="21" t="n">
        <x:f>0/60</x:f>
        <x:v>0</x:v>
      </x:c>
      <x:c r="V17" s="21" t="n">
        <x:f>0/60</x:f>
        <x:v>0</x:v>
      </x:c>
      <x:c r="W17" s="20" t="n">
        <x:v>0</x:v>
      </x:c>
      <x:c r="X17" s="20" t="n">
        <x:v>0</x:v>
      </x:c>
      <x:c r="Y17" s="20" t="n">
        <x:v>15</x:v>
      </x:c>
      <x:c r="Z17" s="20" t="n">
        <x:v>0</x:v>
      </x:c>
    </x:row>
    <x:row r="18" ht="23" customHeight="1">
      <x:c r="A18" s="2" t="str">
        <x:v>2026-10-06_Night</x:v>
      </x:c>
      <x:c r="B18" s="19" t="n">
        <x:v>57000</x:v>
      </x:c>
      <x:c r="C18" s="19" t="n">
        <x:v>8000</x:v>
      </x:c>
      <x:c r="D18" s="19" t="n">
        <x:f>B18-C18</x:f>
        <x:v>49000</x:v>
      </x:c>
      <x:c r="E18" s="19" t="n">
        <x:f>E17+D18</x:f>
        <x:v>-259000</x:v>
      </x:c>
      <x:c r="F18" s="19" t="n">
        <x:v>49000</x:v>
      </x:c>
      <x:c r="G18" s="19"/>
      <x:c r="H18" s="19" t="n">
        <x:v>57000</x:v>
      </x:c>
      <x:c r="I18" s="19" t="n">
        <x:v>0</x:v>
      </x:c>
      <x:c r="J18" s="19" t="n">
        <x:v>0</x:v>
      </x:c>
      <x:c r="K18" s="19" t="n">
        <x:v>8000</x:v>
      </x:c>
      <x:c r="L18" s="19" t="n">
        <x:v>40000</x:v>
      </x:c>
      <x:c r="M18" s="19" t="n">
        <x:v>56000</x:v>
      </x:c>
      <x:c r="N18" s="20" t="n">
        <x:v>0</x:v>
      </x:c>
      <x:c r="O18" s="20" t="n">
        <x:v>4</x:v>
      </x:c>
      <x:c r="P18" s="20" t="n">
        <x:v>15</x:v>
      </x:c>
      <x:c r="Q18" s="20" t="n">
        <x:v>15</x:v>
      </x:c>
      <x:c r="R18" s="20" t="n">
        <x:v>15</x:v>
      </x:c>
      <x:c r="S18" s="21" t="n">
        <x:f>24713/60</x:f>
        <x:v>411.8833333333333</x:v>
      </x:c>
      <x:c r="T18" s="21" t="n">
        <x:f>0/60</x:f>
        <x:v>0</x:v>
      </x:c>
      <x:c r="U18" s="21" t="n">
        <x:f>0/60</x:f>
        <x:v>0</x:v>
      </x:c>
      <x:c r="V18" s="21" t="n">
        <x:f>0/60</x:f>
        <x:v>0</x:v>
      </x:c>
      <x:c r="W18" s="20" t="n">
        <x:v>0</x:v>
      </x:c>
      <x:c r="X18" s="20" t="n">
        <x:v>0</x:v>
      </x:c>
      <x:c r="Y18" s="20" t="n">
        <x:v>11</x:v>
      </x:c>
      <x:c r="Z18" s="20" t="n">
        <x:v>0</x:v>
      </x:c>
    </x:row>
    <x:row r="19" ht="23" customHeight="1">
      <x:c r="A19" s="2" t="str">
        <x:v>2026-10-07_Night</x:v>
      </x:c>
      <x:c r="B19" s="19" t="n">
        <x:v>75000</x:v>
      </x:c>
      <x:c r="C19" s="19" t="n">
        <x:v>123000</x:v>
      </x:c>
      <x:c r="D19" s="19" t="n">
        <x:f>B19-C19</x:f>
        <x:v>-48000</x:v>
      </x:c>
      <x:c r="E19" s="19" t="n">
        <x:f>E18+D19</x:f>
        <x:v>-307000</x:v>
      </x:c>
      <x:c r="F19" s="19" t="n">
        <x:v>-48000</x:v>
      </x:c>
      <x:c r="G19" s="19"/>
      <x:c r="H19" s="19" t="n">
        <x:v>75000</x:v>
      </x:c>
      <x:c r="I19" s="19" t="n">
        <x:v>0</x:v>
      </x:c>
      <x:c r="J19" s="19" t="n">
        <x:v>0</x:v>
      </x:c>
      <x:c r="K19" s="19" t="n">
        <x:v>123000</x:v>
      </x:c>
      <x:c r="L19" s="19" t="n">
        <x:v>128000</x:v>
      </x:c>
      <x:c r="M19" s="19" t="n">
        <x:v>83000</x:v>
      </x:c>
      <x:c r="N19" s="20" t="n">
        <x:v>2</x:v>
      </x:c>
      <x:c r="O19" s="20" t="n">
        <x:v>3</x:v>
      </x:c>
      <x:c r="P19" s="20" t="n">
        <x:v>14</x:v>
      </x:c>
      <x:c r="Q19" s="20" t="n">
        <x:v>14</x:v>
      </x:c>
      <x:c r="R19" s="20" t="n">
        <x:v>14</x:v>
      </x:c>
      <x:c r="S19" s="21" t="n">
        <x:f>40851/60</x:f>
        <x:v>680.85</x:v>
      </x:c>
      <x:c r="T19" s="21" t="n">
        <x:f>31480/60</x:f>
        <x:v>524.6666666666666</x:v>
      </x:c>
      <x:c r="U19" s="21" t="n">
        <x:f>0/60</x:f>
        <x:v>0</x:v>
      </x:c>
      <x:c r="V19" s="21" t="n">
        <x:f>0/60</x:f>
        <x:v>0</x:v>
      </x:c>
      <x:c r="W19" s="20" t="n">
        <x:v>0</x:v>
      </x:c>
      <x:c r="X19" s="20" t="n">
        <x:v>0</x:v>
      </x:c>
      <x:c r="Y19" s="20" t="n">
        <x:v>9</x:v>
      </x:c>
      <x:c r="Z19" s="20" t="n">
        <x:v>0</x:v>
      </x:c>
    </x:row>
    <x:row r="20" ht="23" customHeight="1">
      <x:c r="A20" s="2" t="str">
        <x:v>2026-10-08_Night</x:v>
      </x:c>
      <x:c r="B20" s="19" t="n">
        <x:v>662000</x:v>
      </x:c>
      <x:c r="C20" s="19" t="n">
        <x:v>798000</x:v>
      </x:c>
      <x:c r="D20" s="19" t="n">
        <x:f>B20-C20</x:f>
        <x:v>-136000</x:v>
      </x:c>
      <x:c r="E20" s="19" t="n">
        <x:f>E19+D20</x:f>
        <x:v>-443000</x:v>
      </x:c>
      <x:c r="F20" s="19" t="n">
        <x:v>-136000</x:v>
      </x:c>
      <x:c r="G20" s="19"/>
      <x:c r="H20" s="19" t="n">
        <x:v>662000</x:v>
      </x:c>
      <x:c r="I20" s="19" t="n">
        <x:v>0</x:v>
      </x:c>
      <x:c r="J20" s="19" t="n">
        <x:v>0</x:v>
      </x:c>
      <x:c r="K20" s="19" t="n">
        <x:v>798000</x:v>
      </x:c>
      <x:c r="L20" s="19" t="n">
        <x:v>809000</x:v>
      </x:c>
      <x:c r="M20" s="19" t="n">
        <x:v>251000</x:v>
      </x:c>
      <x:c r="N20" s="20" t="n">
        <x:v>8</x:v>
      </x:c>
      <x:c r="O20" s="20" t="n">
        <x:v>9</x:v>
      </x:c>
      <x:c r="P20" s="20" t="n">
        <x:v>99</x:v>
      </x:c>
      <x:c r="Q20" s="20" t="n">
        <x:v>99</x:v>
      </x:c>
      <x:c r="R20" s="20" t="n">
        <x:v>99</x:v>
      </x:c>
      <x:c r="S20" s="21" t="n">
        <x:f>39715/60</x:f>
        <x:v>661.9166666666666</x:v>
      </x:c>
      <x:c r="T20" s="21" t="n">
        <x:f>23546/60</x:f>
        <x:v>392.43333333333334</x:v>
      </x:c>
      <x:c r="U20" s="21" t="n">
        <x:f>0/60</x:f>
        <x:v>0</x:v>
      </x:c>
      <x:c r="V20" s="21" t="n">
        <x:f>0/60</x:f>
        <x:v>0</x:v>
      </x:c>
      <x:c r="W20" s="20" t="n">
        <x:v>0</x:v>
      </x:c>
      <x:c r="X20" s="20" t="n">
        <x:v>0</x:v>
      </x:c>
      <x:c r="Y20" s="20" t="n">
        <x:v>82</x:v>
      </x:c>
      <x:c r="Z20" s="20" t="n">
        <x:v>0</x:v>
      </x:c>
    </x:row>
    <x:row r="21" ht="23" customHeight="1">
      <x:c r="A21" s="2" t="str">
        <x:v>2026-10-09_Night</x:v>
      </x:c>
      <x:c r="B21" s="19" t="n">
        <x:v>45000</x:v>
      </x:c>
      <x:c r="C21" s="19" t="n">
        <x:v>40000</x:v>
      </x:c>
      <x:c r="D21" s="19" t="n">
        <x:f>B21-C21</x:f>
        <x:v>5000</x:v>
      </x:c>
      <x:c r="E21" s="19" t="n">
        <x:f>E20+D21</x:f>
        <x:v>-438000</x:v>
      </x:c>
      <x:c r="F21" s="19" t="n">
        <x:v>5000</x:v>
      </x:c>
      <x:c r="G21" s="19"/>
      <x:c r="H21" s="19" t="n">
        <x:v>45000</x:v>
      </x:c>
      <x:c r="I21" s="19" t="n">
        <x:v>0</x:v>
      </x:c>
      <x:c r="J21" s="19" t="n">
        <x:v>0</x:v>
      </x:c>
      <x:c r="K21" s="19" t="n">
        <x:v>40000</x:v>
      </x:c>
      <x:c r="L21" s="19" t="n">
        <x:v>49000</x:v>
      </x:c>
      <x:c r="M21" s="19" t="n">
        <x:v>66000</x:v>
      </x:c>
      <x:c r="N21" s="20" t="n">
        <x:v>0</x:v>
      </x:c>
      <x:c r="O21" s="20" t="n">
        <x:v>3</x:v>
      </x:c>
      <x:c r="P21" s="20" t="n">
        <x:v>13</x:v>
      </x:c>
      <x:c r="Q21" s="20" t="n">
        <x:v>13</x:v>
      </x:c>
      <x:c r="R21" s="20" t="n">
        <x:v>13</x:v>
      </x:c>
      <x:c r="S21" s="21" t="n">
        <x:f>41087/60</x:f>
        <x:v>684.7833333333333</x:v>
      </x:c>
      <x:c r="T21" s="21" t="n">
        <x:f>0/60</x:f>
        <x:v>0</x:v>
      </x:c>
      <x:c r="U21" s="21" t="n">
        <x:f>0/60</x:f>
        <x:v>0</x:v>
      </x:c>
      <x:c r="V21" s="21" t="n">
        <x:f>0/60</x:f>
        <x:v>0</x:v>
      </x:c>
      <x:c r="W21" s="20" t="n">
        <x:v>0</x:v>
      </x:c>
      <x:c r="X21" s="20" t="n">
        <x:v>0</x:v>
      </x:c>
      <x:c r="Y21" s="20" t="n">
        <x:v>10</x:v>
      </x:c>
      <x:c r="Z21" s="20" t="n">
        <x:v>0</x:v>
      </x:c>
    </x:row>
    <x:row r="22" ht="23" customHeight="1">
      <x:c r="A22" s="2" t="str">
        <x:v>2026-10-12_Night</x:v>
      </x:c>
      <x:c r="B22" s="19" t="n">
        <x:v>26000</x:v>
      </x:c>
      <x:c r="C22" s="19" t="n">
        <x:v>1000</x:v>
      </x:c>
      <x:c r="D22" s="19" t="n">
        <x:f>B22-C22</x:f>
        <x:v>25000</x:v>
      </x:c>
      <x:c r="E22" s="19" t="n">
        <x:f>E21+D22</x:f>
        <x:v>-413000</x:v>
      </x:c>
      <x:c r="F22" s="19" t="n">
        <x:v>25000</x:v>
      </x:c>
      <x:c r="G22" s="19"/>
      <x:c r="H22" s="19" t="n">
        <x:v>26000</x:v>
      </x:c>
      <x:c r="I22" s="19" t="n">
        <x:v>0</x:v>
      </x:c>
      <x:c r="J22" s="19" t="n">
        <x:v>0</x:v>
      </x:c>
      <x:c r="K22" s="19" t="n">
        <x:v>1000</x:v>
      </x:c>
      <x:c r="L22" s="19" t="n">
        <x:v>17000</x:v>
      </x:c>
      <x:c r="M22" s="19" t="n">
        <x:v>21000</x:v>
      </x:c>
      <x:c r="N22" s="20" t="n">
        <x:v>0</x:v>
      </x:c>
      <x:c r="O22" s="20" t="n">
        <x:v>1</x:v>
      </x:c>
      <x:c r="P22" s="20" t="n">
        <x:v>3</x:v>
      </x:c>
      <x:c r="Q22" s="20" t="n">
        <x:v>3</x:v>
      </x:c>
      <x:c r="R22" s="20" t="n">
        <x:v>3</x:v>
      </x:c>
      <x:c r="S22" s="21" t="n">
        <x:f>24025/60</x:f>
        <x:v>400.4166666666667</x:v>
      </x:c>
      <x:c r="T22" s="21" t="n">
        <x:f>0/60</x:f>
        <x:v>0</x:v>
      </x:c>
      <x:c r="U22" s="21" t="n">
        <x:f>0/60</x:f>
        <x:v>0</x:v>
      </x:c>
      <x:c r="V22" s="21" t="n">
        <x:f>0/60</x:f>
        <x:v>0</x:v>
      </x:c>
      <x:c r="W22" s="20" t="n">
        <x:v>0</x:v>
      </x:c>
      <x:c r="X22" s="20" t="n">
        <x:v>0</x:v>
      </x:c>
      <x:c r="Y22" s="20" t="n">
        <x:v>2</x:v>
      </x:c>
      <x:c r="Z22" s="20" t="n">
        <x:v>0</x:v>
      </x:c>
    </x:row>
    <x:row r="23" ht="23" customHeight="1">
      <x:c r="A23" s="2" t="str">
        <x:v>2026-10-13_Night</x:v>
      </x:c>
      <x:c r="B23" s="19" t="n">
        <x:v>31000</x:v>
      </x:c>
      <x:c r="C23" s="19" t="n">
        <x:v>46000</x:v>
      </x:c>
      <x:c r="D23" s="19" t="n">
        <x:f>B23-C23</x:f>
        <x:v>-15000</x:v>
      </x:c>
      <x:c r="E23" s="19" t="n">
        <x:f>E22+D23</x:f>
        <x:v>-428000</x:v>
      </x:c>
      <x:c r="F23" s="19" t="n">
        <x:v>-15000</x:v>
      </x:c>
      <x:c r="G23" s="19"/>
      <x:c r="H23" s="19" t="n">
        <x:v>31000</x:v>
      </x:c>
      <x:c r="I23" s="19" t="n">
        <x:v>0</x:v>
      </x:c>
      <x:c r="J23" s="19" t="n">
        <x:v>0</x:v>
      </x:c>
      <x:c r="K23" s="19" t="n">
        <x:v>46000</x:v>
      </x:c>
      <x:c r="L23" s="19" t="n">
        <x:v>57000</x:v>
      </x:c>
      <x:c r="M23" s="19" t="n">
        <x:v>46000</x:v>
      </x:c>
      <x:c r="N23" s="20" t="n">
        <x:v>2</x:v>
      </x:c>
      <x:c r="O23" s="20" t="n">
        <x:v>1</x:v>
      </x:c>
      <x:c r="P23" s="20" t="n">
        <x:v>8</x:v>
      </x:c>
      <x:c r="Q23" s="20" t="n">
        <x:v>8</x:v>
      </x:c>
      <x:c r="R23" s="20" t="n">
        <x:v>8</x:v>
      </x:c>
      <x:c r="S23" s="21" t="n">
        <x:f>41373/60</x:f>
        <x:v>689.55</x:v>
      </x:c>
      <x:c r="T23" s="21" t="n">
        <x:f>24311/60</x:f>
        <x:v>405.18333333333334</x:v>
      </x:c>
      <x:c r="U23" s="21" t="n">
        <x:f>0/60</x:f>
        <x:v>0</x:v>
      </x:c>
      <x:c r="V23" s="21" t="n">
        <x:f>0/60</x:f>
        <x:v>0</x:v>
      </x:c>
      <x:c r="W23" s="20" t="n">
        <x:v>0</x:v>
      </x:c>
      <x:c r="X23" s="20" t="n">
        <x:v>0</x:v>
      </x:c>
      <x:c r="Y23" s="20" t="n">
        <x:v>5</x:v>
      </x:c>
      <x:c r="Z23" s="20" t="n">
        <x:v>0</x:v>
      </x:c>
    </x:row>
    <x:row r="24" ht="23" customHeight="1">
      <x:c r="A24" s="2" t="str">
        <x:v>2026-10-14_Night</x:v>
      </x:c>
      <x:c r="B24" s="19" t="n">
        <x:v>264000</x:v>
      </x:c>
      <x:c r="C24" s="19" t="n">
        <x:v>228000</x:v>
      </x:c>
      <x:c r="D24" s="19" t="n">
        <x:f>B24-C24</x:f>
        <x:v>36000</x:v>
      </x:c>
      <x:c r="E24" s="19" t="n">
        <x:f>E23+D24</x:f>
        <x:v>-392000</x:v>
      </x:c>
      <x:c r="F24" s="19" t="n">
        <x:v>36000</x:v>
      </x:c>
      <x:c r="G24" s="19"/>
      <x:c r="H24" s="19" t="n">
        <x:v>261000</x:v>
      </x:c>
      <x:c r="I24" s="19" t="n">
        <x:v>0</x:v>
      </x:c>
      <x:c r="J24" s="19" t="n">
        <x:v>3000</x:v>
      </x:c>
      <x:c r="K24" s="19" t="n">
        <x:v>228000</x:v>
      </x:c>
      <x:c r="L24" s="19" t="n">
        <x:v>230000</x:v>
      </x:c>
      <x:c r="M24" s="19" t="n">
        <x:v>55000</x:v>
      </x:c>
      <x:c r="N24" s="20" t="n">
        <x:v>2</x:v>
      </x:c>
      <x:c r="O24" s="20" t="n">
        <x:v>3</x:v>
      </x:c>
      <x:c r="P24" s="20" t="n">
        <x:v>42</x:v>
      </x:c>
      <x:c r="Q24" s="20" t="n">
        <x:v>42</x:v>
      </x:c>
      <x:c r="R24" s="20" t="n">
        <x:v>42</x:v>
      </x:c>
      <x:c r="S24" s="21" t="n">
        <x:f>41231/60</x:f>
        <x:v>687.1833333333333</x:v>
      </x:c>
      <x:c r="T24" s="21" t="n">
        <x:f>20867/60</x:f>
        <x:v>347.78333333333336</x:v>
      </x:c>
      <x:c r="U24" s="21" t="n">
        <x:f>0/60</x:f>
        <x:v>0</x:v>
      </x:c>
      <x:c r="V24" s="21" t="n">
        <x:f>0/60</x:f>
        <x:v>0</x:v>
      </x:c>
      <x:c r="W24" s="20" t="n">
        <x:v>0</x:v>
      </x:c>
      <x:c r="X24" s="20" t="n">
        <x:v>0</x:v>
      </x:c>
      <x:c r="Y24" s="20" t="n">
        <x:v>37</x:v>
      </x:c>
      <x:c r="Z24" s="20" t="n">
        <x:v>0</x:v>
      </x:c>
    </x:row>
    <x:row r="25" ht="23" customHeight="1">
      <x:c r="A25" s="2" t="str">
        <x:v>2026-10-15_Night</x:v>
      </x:c>
      <x:c r="B25" s="19" t="n">
        <x:v>320000</x:v>
      </x:c>
      <x:c r="C25" s="19" t="n">
        <x:v>175000</x:v>
      </x:c>
      <x:c r="D25" s="19" t="n">
        <x:f>B25-C25</x:f>
        <x:v>145000</x:v>
      </x:c>
      <x:c r="E25" s="19" t="n">
        <x:f>E24+D25</x:f>
        <x:v>-247000</x:v>
      </x:c>
      <x:c r="F25" s="19" t="n">
        <x:v>145000</x:v>
      </x:c>
      <x:c r="G25" s="19"/>
      <x:c r="H25" s="19" t="n">
        <x:v>320000</x:v>
      </x:c>
      <x:c r="I25" s="19" t="n">
        <x:v>0</x:v>
      </x:c>
      <x:c r="J25" s="19" t="n">
        <x:v>0</x:v>
      </x:c>
      <x:c r="K25" s="19" t="n">
        <x:v>175000</x:v>
      </x:c>
      <x:c r="L25" s="19" t="n">
        <x:v>192000</x:v>
      </x:c>
      <x:c r="M25" s="19" t="n">
        <x:v>66000</x:v>
      </x:c>
      <x:c r="N25" s="20" t="n">
        <x:v>5</x:v>
      </x:c>
      <x:c r="O25" s="20" t="n">
        <x:v>2</x:v>
      </x:c>
      <x:c r="P25" s="20" t="n">
        <x:v>41</x:v>
      </x:c>
      <x:c r="Q25" s="20" t="n">
        <x:v>41</x:v>
      </x:c>
      <x:c r="R25" s="20" t="n">
        <x:v>41</x:v>
      </x:c>
      <x:c r="S25" s="21" t="n">
        <x:f>24464/60</x:f>
        <x:v>407.73333333333335</x:v>
      </x:c>
      <x:c r="T25" s="21" t="n">
        <x:f>21511/60</x:f>
        <x:v>358.51666666666665</x:v>
      </x:c>
      <x:c r="U25" s="21" t="n">
        <x:f>0/60</x:f>
        <x:v>0</x:v>
      </x:c>
      <x:c r="V25" s="21" t="n">
        <x:f>0/60</x:f>
        <x:v>0</x:v>
      </x:c>
      <x:c r="W25" s="20" t="n">
        <x:v>0</x:v>
      </x:c>
      <x:c r="X25" s="20" t="n">
        <x:v>0</x:v>
      </x:c>
      <x:c r="Y25" s="20" t="n">
        <x:v>34</x:v>
      </x:c>
      <x:c r="Z25" s="20" t="n">
        <x:v>0</x:v>
      </x:c>
    </x:row>
    <x:row r="26" ht="23" customHeight="1">
      <x:c r="A26" s="2" t="str">
        <x:v>2026-10-16_Night</x:v>
      </x:c>
      <x:c r="B26" s="19" t="n">
        <x:v>571000</x:v>
      </x:c>
      <x:c r="C26" s="19" t="n">
        <x:v>384000</x:v>
      </x:c>
      <x:c r="D26" s="19" t="n">
        <x:f>B26-C26</x:f>
        <x:v>187000</x:v>
      </x:c>
      <x:c r="E26" s="19" t="n">
        <x:f>E25+D26</x:f>
        <x:v>-60000</x:v>
      </x:c>
      <x:c r="F26" s="19" t="n">
        <x:v>187000</x:v>
      </x:c>
      <x:c r="G26" s="19"/>
      <x:c r="H26" s="19" t="n">
        <x:v>485000</x:v>
      </x:c>
      <x:c r="I26" s="19" t="n">
        <x:v>0</x:v>
      </x:c>
      <x:c r="J26" s="19" t="n">
        <x:v>86000</x:v>
      </x:c>
      <x:c r="K26" s="19" t="n">
        <x:v>384000</x:v>
      </x:c>
      <x:c r="L26" s="19" t="n">
        <x:v>464000</x:v>
      </x:c>
      <x:c r="M26" s="19" t="n">
        <x:v>154000</x:v>
      </x:c>
      <x:c r="N26" s="20" t="n">
        <x:v>4</x:v>
      </x:c>
      <x:c r="O26" s="20" t="n">
        <x:v>10</x:v>
      </x:c>
      <x:c r="P26" s="20" t="n">
        <x:v>67</x:v>
      </x:c>
      <x:c r="Q26" s="20" t="n">
        <x:v>67</x:v>
      </x:c>
      <x:c r="R26" s="20" t="n">
        <x:v>67</x:v>
      </x:c>
      <x:c r="S26" s="21" t="n">
        <x:f>27746/60</x:f>
        <x:v>462.43333333333334</x:v>
      </x:c>
      <x:c r="T26" s="21" t="n">
        <x:f>22821/60</x:f>
        <x:v>380.35</x:v>
      </x:c>
      <x:c r="U26" s="21" t="n">
        <x:f>0/60</x:f>
        <x:v>0</x:v>
      </x:c>
      <x:c r="V26" s="21" t="n">
        <x:f>2023/60</x:f>
        <x:v>33.71666666666667</x:v>
      </x:c>
      <x:c r="W26" s="20" t="n">
        <x:v>0</x:v>
      </x:c>
      <x:c r="X26" s="20" t="n">
        <x:v>0</x:v>
      </x:c>
      <x:c r="Y26" s="20" t="n">
        <x:v>53</x:v>
      </x:c>
      <x:c r="Z26" s="20" t="n">
        <x:v>0</x:v>
      </x:c>
    </x:row>
    <x:row r="27" ht="23" customHeight="1">
      <x:c r="A27" s="2" t="str">
        <x:v>2026-10-19_Night</x:v>
      </x:c>
      <x:c r="B27" s="19" t="n">
        <x:v>315000</x:v>
      </x:c>
      <x:c r="C27" s="19" t="n">
        <x:v>438000</x:v>
      </x:c>
      <x:c r="D27" s="19" t="n">
        <x:f>B27-C27</x:f>
        <x:v>-123000</x:v>
      </x:c>
      <x:c r="E27" s="19" t="n">
        <x:f>E26+D27</x:f>
        <x:v>-183000</x:v>
      </x:c>
      <x:c r="F27" s="19" t="n">
        <x:v>-123000</x:v>
      </x:c>
      <x:c r="G27" s="19"/>
      <x:c r="H27" s="19" t="n">
        <x:v>315000</x:v>
      </x:c>
      <x:c r="I27" s="19" t="n">
        <x:v>0</x:v>
      </x:c>
      <x:c r="J27" s="19" t="n">
        <x:v>0</x:v>
      </x:c>
      <x:c r="K27" s="19" t="n">
        <x:v>438000</x:v>
      </x:c>
      <x:c r="L27" s="19" t="n">
        <x:v>445000</x:v>
      </x:c>
      <x:c r="M27" s="19" t="n">
        <x:v>142000</x:v>
      </x:c>
      <x:c r="N27" s="20" t="n">
        <x:v>7</x:v>
      </x:c>
      <x:c r="O27" s="20" t="n">
        <x:v>7</x:v>
      </x:c>
      <x:c r="P27" s="20" t="n">
        <x:v>61</x:v>
      </x:c>
      <x:c r="Q27" s="20" t="n">
        <x:v>61</x:v>
      </x:c>
      <x:c r="R27" s="20" t="n">
        <x:v>61</x:v>
      </x:c>
      <x:c r="S27" s="21" t="n">
        <x:f>34880/60</x:f>
        <x:v>581.3333333333334</x:v>
      </x:c>
      <x:c r="T27" s="21" t="n">
        <x:f>29511/60</x:f>
        <x:v>491.85</x:v>
      </x:c>
      <x:c r="U27" s="21" t="n">
        <x:f>0/60</x:f>
        <x:v>0</x:v>
      </x:c>
      <x:c r="V27" s="21" t="n">
        <x:f>0/60</x:f>
        <x:v>0</x:v>
      </x:c>
      <x:c r="W27" s="20" t="n">
        <x:v>0</x:v>
      </x:c>
      <x:c r="X27" s="20" t="n">
        <x:v>0</x:v>
      </x:c>
      <x:c r="Y27" s="20" t="n">
        <x:v>47</x:v>
      </x:c>
      <x:c r="Z27" s="20" t="n">
        <x:v>0</x:v>
      </x:c>
    </x:row>
    <x:row r="28" ht="23" customHeight="1">
      <x:c r="A28" s="2" t="str">
        <x:v>2026-10-20_Night</x:v>
      </x:c>
      <x:c r="B28" s="19" t="n">
        <x:v>369000</x:v>
      </x:c>
      <x:c r="C28" s="19" t="n">
        <x:v>271000</x:v>
      </x:c>
      <x:c r="D28" s="19" t="n">
        <x:f>B28-C28</x:f>
        <x:v>98000</x:v>
      </x:c>
      <x:c r="E28" s="19" t="n">
        <x:f>E27+D28</x:f>
        <x:v>-85000</x:v>
      </x:c>
      <x:c r="F28" s="19" t="n">
        <x:v>98000</x:v>
      </x:c>
      <x:c r="G28" s="19"/>
      <x:c r="H28" s="19" t="n">
        <x:v>366000</x:v>
      </x:c>
      <x:c r="I28" s="19" t="n">
        <x:v>0</x:v>
      </x:c>
      <x:c r="J28" s="19" t="n">
        <x:v>3000</x:v>
      </x:c>
      <x:c r="K28" s="19" t="n">
        <x:v>271000</x:v>
      </x:c>
      <x:c r="L28" s="19" t="n">
        <x:v>274000</x:v>
      </x:c>
      <x:c r="M28" s="19" t="n">
        <x:v>113000</x:v>
      </x:c>
      <x:c r="N28" s="20" t="n">
        <x:v>5</x:v>
      </x:c>
      <x:c r="O28" s="20" t="n">
        <x:v>6</x:v>
      </x:c>
      <x:c r="P28" s="20" t="n">
        <x:v>60</x:v>
      </x:c>
      <x:c r="Q28" s="20" t="n">
        <x:v>60</x:v>
      </x:c>
      <x:c r="R28" s="20" t="n">
        <x:v>60</x:v>
      </x:c>
      <x:c r="S28" s="21" t="n">
        <x:f>42089/60</x:f>
        <x:v>701.4833333333333</x:v>
      </x:c>
      <x:c r="T28" s="21" t="n">
        <x:f>29677/60</x:f>
        <x:v>494.6166666666667</x:v>
      </x:c>
      <x:c r="U28" s="21" t="n">
        <x:f>0/60</x:f>
        <x:v>0</x:v>
      </x:c>
      <x:c r="V28" s="21" t="n">
        <x:f>0/60</x:f>
        <x:v>0</x:v>
      </x:c>
      <x:c r="W28" s="20" t="n">
        <x:v>0</x:v>
      </x:c>
      <x:c r="X28" s="20" t="n">
        <x:v>0</x:v>
      </x:c>
      <x:c r="Y28" s="20" t="n">
        <x:v>49</x:v>
      </x:c>
      <x:c r="Z28" s="20" t="n">
        <x:v>0</x:v>
      </x:c>
    </x:row>
    <x:row r="29" ht="23" customHeight="1">
      <x:c r="A29" s="2" t="str">
        <x:v>2026-10-21_Night</x:v>
      </x:c>
      <x:c r="B29" s="19" t="n">
        <x:v>99000</x:v>
      </x:c>
      <x:c r="C29" s="19" t="n">
        <x:v>127000</x:v>
      </x:c>
      <x:c r="D29" s="19" t="n">
        <x:f>B29-C29</x:f>
        <x:v>-28000</x:v>
      </x:c>
      <x:c r="E29" s="19" t="n">
        <x:f>E28+D29</x:f>
        <x:v>-113000</x:v>
      </x:c>
      <x:c r="F29" s="19" t="n">
        <x:v>-28000</x:v>
      </x:c>
      <x:c r="G29" s="19"/>
      <x:c r="H29" s="19" t="n">
        <x:v>99000</x:v>
      </x:c>
      <x:c r="I29" s="19" t="n">
        <x:v>0</x:v>
      </x:c>
      <x:c r="J29" s="19" t="n">
        <x:v>0</x:v>
      </x:c>
      <x:c r="K29" s="19" t="n">
        <x:v>127000</x:v>
      </x:c>
      <x:c r="L29" s="19" t="n">
        <x:v>203000</x:v>
      </x:c>
      <x:c r="M29" s="19" t="n">
        <x:v>120000</x:v>
      </x:c>
      <x:c r="N29" s="20" t="n">
        <x:v>4</x:v>
      </x:c>
      <x:c r="O29" s="20" t="n">
        <x:v>2</x:v>
      </x:c>
      <x:c r="P29" s="20" t="n">
        <x:v>20</x:v>
      </x:c>
      <x:c r="Q29" s="20" t="n">
        <x:v>20</x:v>
      </x:c>
      <x:c r="R29" s="20" t="n">
        <x:v>20</x:v>
      </x:c>
      <x:c r="S29" s="21" t="n">
        <x:f>38276/60</x:f>
        <x:v>637.9333333333333</x:v>
      </x:c>
      <x:c r="T29" s="21" t="n">
        <x:f>23424/60</x:f>
        <x:v>390.4</x:v>
      </x:c>
      <x:c r="U29" s="21" t="n">
        <x:f>0/60</x:f>
        <x:v>0</x:v>
      </x:c>
      <x:c r="V29" s="21" t="n">
        <x:f>0/60</x:f>
        <x:v>0</x:v>
      </x:c>
      <x:c r="W29" s="20" t="n">
        <x:v>0</x:v>
      </x:c>
      <x:c r="X29" s="20" t="n">
        <x:v>0</x:v>
      </x:c>
      <x:c r="Y29" s="20" t="n">
        <x:v>14</x:v>
      </x:c>
      <x:c r="Z29" s="20" t="n">
        <x:v>0</x:v>
      </x:c>
    </x:row>
    <x:row r="30" ht="23" customHeight="1">
      <x:c r="A30" s="2" t="str">
        <x:v>2026-10-22_Night</x:v>
      </x:c>
      <x:c r="B30" s="19" t="n">
        <x:v>211000</x:v>
      </x:c>
      <x:c r="C30" s="19" t="n">
        <x:v>0</x:v>
      </x:c>
      <x:c r="D30" s="19" t="n">
        <x:f>B30-C30</x:f>
        <x:v>211000</x:v>
      </x:c>
      <x:c r="E30" s="19" t="n">
        <x:f>E29+D30</x:f>
        <x:v>98000</x:v>
      </x:c>
      <x:c r="F30" s="19" t="n">
        <x:v>211000</x:v>
      </x:c>
      <x:c r="G30" s="19"/>
      <x:c r="H30" s="19" t="n">
        <x:v>196000</x:v>
      </x:c>
      <x:c r="I30" s="19" t="n">
        <x:v>0</x:v>
      </x:c>
      <x:c r="J30" s="19" t="n">
        <x:v>15000</x:v>
      </x:c>
      <x:c r="K30" s="19" t="n">
        <x:v>0</x:v>
      </x:c>
      <x:c r="L30" s="19" t="n">
        <x:v>90000</x:v>
      </x:c>
      <x:c r="M30" s="19" t="n">
        <x:v>102000</x:v>
      </x:c>
      <x:c r="N30" s="20" t="n">
        <x:v>0</x:v>
      </x:c>
      <x:c r="O30" s="20" t="n">
        <x:v>3</x:v>
      </x:c>
      <x:c r="P30" s="20" t="n">
        <x:v>30</x:v>
      </x:c>
      <x:c r="Q30" s="20" t="n">
        <x:v>30</x:v>
      </x:c>
      <x:c r="R30" s="20" t="n">
        <x:v>30</x:v>
      </x:c>
      <x:c r="S30" s="21" t="n">
        <x:f>23194/60</x:f>
        <x:v>386.56666666666666</x:v>
      </x:c>
      <x:c r="T30" s="21" t="n">
        <x:f>0/60</x:f>
        <x:v>0</x:v>
      </x:c>
      <x:c r="U30" s="21" t="n">
        <x:f>0/60</x:f>
        <x:v>0</x:v>
      </x:c>
      <x:c r="V30" s="21" t="n">
        <x:f>0/60</x:f>
        <x:v>0</x:v>
      </x:c>
      <x:c r="W30" s="20" t="n">
        <x:v>0</x:v>
      </x:c>
      <x:c r="X30" s="20" t="n">
        <x:v>0</x:v>
      </x:c>
      <x:c r="Y30" s="20" t="n">
        <x:v>27</x:v>
      </x:c>
      <x:c r="Z30" s="20" t="n">
        <x:v>0</x:v>
      </x:c>
    </x:row>
    <x:row r="31" ht="23" customHeight="1">
      <x:c r="A31" s="2" t="str">
        <x:v>2026-10-23_Night</x:v>
      </x:c>
      <x:c r="B31" s="19" t="n">
        <x:v>314000</x:v>
      </x:c>
      <x:c r="C31" s="19" t="n">
        <x:v>218000</x:v>
      </x:c>
      <x:c r="D31" s="19" t="n">
        <x:f>B31-C31</x:f>
        <x:v>96000</x:v>
      </x:c>
      <x:c r="E31" s="19" t="n">
        <x:f>E30+D31</x:f>
        <x:v>194000</x:v>
      </x:c>
      <x:c r="F31" s="19" t="n">
        <x:v>96000</x:v>
      </x:c>
      <x:c r="G31" s="19"/>
      <x:c r="H31" s="19" t="n">
        <x:v>314000</x:v>
      </x:c>
      <x:c r="I31" s="19" t="n">
        <x:v>0</x:v>
      </x:c>
      <x:c r="J31" s="19" t="n">
        <x:v>0</x:v>
      </x:c>
      <x:c r="K31" s="19" t="n">
        <x:v>218000</x:v>
      </x:c>
      <x:c r="L31" s="19" t="n">
        <x:v>223000</x:v>
      </x:c>
      <x:c r="M31" s="19" t="n">
        <x:v>123000</x:v>
      </x:c>
      <x:c r="N31" s="20" t="n">
        <x:v>5</x:v>
      </x:c>
      <x:c r="O31" s="20" t="n">
        <x:v>6</x:v>
      </x:c>
      <x:c r="P31" s="20" t="n">
        <x:v>46</x:v>
      </x:c>
      <x:c r="Q31" s="20" t="n">
        <x:v>46</x:v>
      </x:c>
      <x:c r="R31" s="20" t="n">
        <x:v>46</x:v>
      </x:c>
      <x:c r="S31" s="21" t="n">
        <x:f>42063/60</x:f>
        <x:v>701.05</x:v>
      </x:c>
      <x:c r="T31" s="21" t="n">
        <x:f>38913/60</x:f>
        <x:v>648.55</x:v>
      </x:c>
      <x:c r="U31" s="21" t="n">
        <x:f>0/60</x:f>
        <x:v>0</x:v>
      </x:c>
      <x:c r="V31" s="21" t="n">
        <x:f>0/60</x:f>
        <x:v>0</x:v>
      </x:c>
      <x:c r="W31" s="20" t="n">
        <x:v>0</x:v>
      </x:c>
      <x:c r="X31" s="20" t="n">
        <x:v>0</x:v>
      </x:c>
      <x:c r="Y31" s="20" t="n">
        <x:v>35</x:v>
      </x:c>
      <x:c r="Z31" s="20" t="n">
        <x:v>0</x:v>
      </x:c>
    </x:row>
    <x:row r="32" ht="23" customHeight="1">
      <x:c r="A32" s="26" t="str">
        <x:v>25夜累計／最大</x:v>
      </x:c>
      <x:c r="B32" s="27" t="n">
        <x:f>SUM(B7:B31)</x:f>
        <x:v>5201000</x:v>
      </x:c>
      <x:c r="C32" s="27" t="n">
        <x:f>SUM(C7:C31)</x:f>
        <x:v>5007000</x:v>
      </x:c>
      <x:c r="D32" s="27" t="n">
        <x:f>B32-C32</x:f>
        <x:v>194000</x:v>
      </x:c>
      <x:c r="E32" s="27" t="n">
        <x:f>E31</x:f>
        <x:v>194000</x:v>
      </x:c>
      <x:c r="F32" s="27" t="n">
        <x:f>SUM(F7:F31)</x:f>
        <x:v>194000</x:v>
      </x:c>
      <x:c r="G32" s="27"/>
      <x:c r="H32" s="27" t="n">
        <x:f>SUM(H7:H31)</x:f>
        <x:v>5092000</x:v>
      </x:c>
      <x:c r="I32" s="27" t="n">
        <x:f>SUM(I7:I31)</x:f>
        <x:v>0</x:v>
      </x:c>
      <x:c r="J32" s="27" t="n">
        <x:f>SUM(J7:J31)</x:f>
        <x:v>109000</x:v>
      </x:c>
      <x:c r="K32" s="27" t="n">
        <x:f>SUM(K7:K31)</x:f>
        <x:v>5007000</x:v>
      </x:c>
      <x:c r="L32" s="27" t="n">
        <x:f>MAX(L7:L31)</x:f>
        <x:v>809000</x:v>
      </x:c>
      <x:c r="M32" s="27" t="n">
        <x:f>MAX(M7:M31)</x:f>
        <x:v>330000</x:v>
      </x:c>
      <x:c r="N32" s="28" t="n">
        <x:f>MAX(N7:N31)</x:f>
        <x:v>8</x:v>
      </x:c>
      <x:c r="O32" s="28" t="n">
        <x:f>MAX(O7:O31)</x:f>
        <x:v>10</x:v>
      </x:c>
      <x:c r="P32" s="28" t="n">
        <x:f>SUM(P7:P31)</x:f>
        <x:v>844</x:v>
      </x:c>
      <x:c r="Q32" s="28" t="n">
        <x:f>SUM(Q7:Q31)</x:f>
        <x:v>844</x:v>
      </x:c>
      <x:c r="R32" s="28" t="n">
        <x:f>SUM(R7:R31)</x:f>
        <x:v>844</x:v>
      </x:c>
      <x:c r="S32" s="29" t="n">
        <x:f>SUM(S7:S31)</x:f>
        <x:v>13946.316666666664</x:v>
      </x:c>
      <x:c r="T32" s="29" t="n">
        <x:f>SUM(T7:T31)</x:f>
        <x:v>8336.2</x:v>
      </x:c>
      <x:c r="U32" s="29" t="n">
        <x:f>SUM(U7:U31)</x:f>
        <x:v>0</x:v>
      </x:c>
      <x:c r="V32" s="29" t="n">
        <x:f>SUM(V7:V31)</x:f>
        <x:v>366.2166666666667</x:v>
      </x:c>
      <x:c r="W32" s="28" t="n">
        <x:f>SUM(W7:W31)</x:f>
        <x:v>2</x:v>
      </x:c>
      <x:c r="X32" s="28" t="n">
        <x:f>SUM(X7:X31)</x:f>
        <x:v>2</x:v>
      </x:c>
      <x:c r="Y32" s="28" t="n">
        <x:f>SUM(Y7:Y31)</x:f>
        <x:v>674</x:v>
      </x:c>
      <x:c r="Z32" s="28" t="n">
        <x:f>SUM(Z7:Z31)</x:f>
        <x:v>0</x:v>
      </x:c>
    </x:row>
  </x:sheetData>
  <x:conditionalFormatting sqref="B7:M32">
    <x:cfRule type="cellIs" dxfId="1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53473f6103840fb"/>
  </x:tableParts>
</x:worksheet>
</file>

<file path=xl/worksheets/sheet22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4" t="str">
        <x:v>2026/10/26ナイト　取得済み途中だけの評価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23" customHeight="1">
      <x:c r="A3" s="6" t="str">
        <x:v>日経mini・片方向上限10枚・手数料0・次正常ラージ気配代理。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3" customHeight="1">
      <x:c r="A4" s="6" t="str">
        <x:v>利益・損失は新規実約定IDごとの全返済収支で分類。旧親単位の利益損失とは異なります。未測定は空欄。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3" customHeight="1">
      <x:c r="A5" s="6" t="str">
        <x:v>21:13:52未満の既知資料。終端一括返済なし。完了25夜の統計から除外。含み損とDDは新手法の対象区間だけ。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44" customHeight="1">
      <x:c r="A6" s="15" t="str">
        <x:v>手法ID</x:v>
      </x:c>
      <x:c r="B6" s="16" t="str">
        <x:v>リスク集計区間</x:v>
      </x:c>
      <x:c r="C6" s="16" t="str">
        <x:v>全実現収支</x:v>
      </x:c>
      <x:c r="D6" s="16" t="str">
        <x:v>未返済含み</x:v>
      </x:c>
      <x:c r="E6" s="16" t="str">
        <x:v>合計時価</x:v>
      </x:c>
      <x:c r="F6" s="16" t="str">
        <x:v>完結玉利益</x:v>
      </x:c>
      <x:c r="G6" s="16" t="str">
        <x:v>完結玉損失</x:v>
      </x:c>
      <x:c r="H6" s="16" t="str">
        <x:v>未完結玉部分実現</x:v>
      </x:c>
      <x:c r="I6" s="16" t="str">
        <x:v>新規件数</x:v>
      </x:c>
      <x:c r="J6" s="16" t="str">
        <x:v>残買い枚数</x:v>
      </x:c>
      <x:c r="K6" s="16" t="str">
        <x:v>残売り枚数</x:v>
      </x:c>
      <x:c r="L6" s="16" t="str">
        <x:v>最大含み損</x:v>
      </x:c>
      <x:c r="M6" s="17" t="str">
        <x:v>対象区間DD</x:v>
      </x:c>
    </x:row>
    <x:row r="7" ht="23" customHeight="1">
      <x:c r="A7" s="2" t="str">
        <x:v>B04</x:v>
      </x:c>
      <x:c r="B7" s="2" t="str">
        <x:v>未集計</x:v>
      </x:c>
      <x:c r="C7" s="19" t="n">
        <x:f>F7-G7+H7</x:f>
        <x:v>20000</x:v>
      </x:c>
      <x:c r="D7" s="19" t="n">
        <x:v>10000</x:v>
      </x:c>
      <x:c r="E7" s="19" t="n">
        <x:f>C7+D7</x:f>
        <x:v>30000</x:v>
      </x:c>
      <x:c r="F7" s="19" t="n">
        <x:v>0</x:v>
      </x:c>
      <x:c r="G7" s="19" t="n">
        <x:v>0</x:v>
      </x:c>
      <x:c r="H7" s="19" t="n">
        <x:v>20000</x:v>
      </x:c>
      <x:c r="I7" s="2" t="n">
        <x:v>1</x:v>
      </x:c>
      <x:c r="J7" s="2" t="n">
        <x:v>1</x:v>
      </x:c>
      <x:c r="K7" s="2" t="n">
        <x:v>0</x:v>
      </x:c>
      <x:c r="L7" s="19"/>
      <x:c r="M7" s="19"/>
    </x:row>
    <x:row r="8" ht="23" customHeight="1">
      <x:c r="A8" s="2" t="str">
        <x:v>C00</x:v>
      </x:c>
      <x:c r="B8" s="2" t="str">
        <x:v>未集計</x:v>
      </x:c>
      <x:c r="C8" s="19" t="n">
        <x:f>F8-G8+H8</x:f>
        <x:v>0</x:v>
      </x:c>
      <x:c r="D8" s="19" t="n">
        <x:v>0</x:v>
      </x:c>
      <x:c r="E8" s="19" t="n">
        <x:f>C8+D8</x:f>
        <x:v>0</x:v>
      </x:c>
      <x:c r="F8" s="19" t="n">
        <x:v>0</x:v>
      </x:c>
      <x:c r="G8" s="19" t="n">
        <x:v>0</x:v>
      </x:c>
      <x:c r="H8" s="19" t="n">
        <x:v>0</x:v>
      </x:c>
      <x:c r="I8" s="2" t="n">
        <x:v>0</x:v>
      </x:c>
      <x:c r="J8" s="2" t="n">
        <x:v>0</x:v>
      </x:c>
      <x:c r="K8" s="2" t="n">
        <x:v>0</x:v>
      </x:c>
      <x:c r="L8" s="19"/>
      <x:c r="M8" s="19"/>
    </x:row>
    <x:row r="9" ht="23" customHeight="1">
      <x:c r="A9" s="2" t="str">
        <x:v>N01</x:v>
      </x:c>
      <x:c r="B9" s="2" t="str">
        <x:v>全夜</x:v>
      </x:c>
      <x:c r="C9" s="19" t="n">
        <x:f>F9-G9+H9</x:f>
        <x:v>10000</x:v>
      </x:c>
      <x:c r="D9" s="19" t="n">
        <x:v>0</x:v>
      </x:c>
      <x:c r="E9" s="19" t="n">
        <x:f>C9+D9</x:f>
        <x:v>10000</x:v>
      </x:c>
      <x:c r="F9" s="19" t="n">
        <x:v>10000</x:v>
      </x:c>
      <x:c r="G9" s="19" t="n">
        <x:v>0</x:v>
      </x:c>
      <x:c r="H9" s="19" t="n">
        <x:v>0</x:v>
      </x:c>
      <x:c r="I9" s="2" t="n">
        <x:v>1</x:v>
      </x:c>
      <x:c r="J9" s="2" t="n">
        <x:v>0</x:v>
      </x:c>
      <x:c r="K9" s="2" t="n">
        <x:v>0</x:v>
      </x:c>
      <x:c r="L9" s="19" t="n">
        <x:v>15000</x:v>
      </x:c>
      <x:c r="M9" s="19" t="n">
        <x:v>25000</x:v>
      </x:c>
    </x:row>
    <x:row r="10" ht="23" customHeight="1">
      <x:c r="A10" s="2" t="str">
        <x:v>N02</x:v>
      </x:c>
      <x:c r="B10" s="2" t="str">
        <x:v>全夜</x:v>
      </x:c>
      <x:c r="C10" s="19" t="n">
        <x:f>F10-G10+H10</x:f>
        <x:v>25000</x:v>
      </x:c>
      <x:c r="D10" s="19" t="n">
        <x:v>0</x:v>
      </x:c>
      <x:c r="E10" s="19" t="n">
        <x:f>C10+D10</x:f>
        <x:v>25000</x:v>
      </x:c>
      <x:c r="F10" s="19" t="n">
        <x:v>25000</x:v>
      </x:c>
      <x:c r="G10" s="19" t="n">
        <x:v>0</x:v>
      </x:c>
      <x:c r="H10" s="19" t="n">
        <x:v>0</x:v>
      </x:c>
      <x:c r="I10" s="2" t="n">
        <x:v>1</x:v>
      </x:c>
      <x:c r="J10" s="2" t="n">
        <x:v>0</x:v>
      </x:c>
      <x:c r="K10" s="2" t="n">
        <x:v>0</x:v>
      </x:c>
      <x:c r="L10" s="19" t="n">
        <x:v>15000</x:v>
      </x:c>
      <x:c r="M10" s="19" t="n">
        <x:v>25000</x:v>
      </x:c>
    </x:row>
    <x:row r="11" ht="23" customHeight="1">
      <x:c r="A11" s="2" t="str">
        <x:v>N03</x:v>
      </x:c>
      <x:c r="B11" s="2" t="str">
        <x:v>全夜</x:v>
      </x:c>
      <x:c r="C11" s="19" t="n">
        <x:f>F11-G11+H11</x:f>
        <x:v>0</x:v>
      </x:c>
      <x:c r="D11" s="19" t="n">
        <x:v>50000</x:v>
      </x:c>
      <x:c r="E11" s="19" t="n">
        <x:f>C11+D11</x:f>
        <x:v>50000</x:v>
      </x:c>
      <x:c r="F11" s="19" t="n">
        <x:v>0</x:v>
      </x:c>
      <x:c r="G11" s="19" t="n">
        <x:v>0</x:v>
      </x:c>
      <x:c r="H11" s="19" t="n">
        <x:v>0</x:v>
      </x:c>
      <x:c r="I11" s="2" t="n">
        <x:v>1</x:v>
      </x:c>
      <x:c r="J11" s="2" t="n">
        <x:v>5</x:v>
      </x:c>
      <x:c r="K11" s="2" t="n">
        <x:v>0</x:v>
      </x:c>
      <x:c r="L11" s="19" t="n">
        <x:v>15000</x:v>
      </x:c>
      <x:c r="M11" s="19" t="n">
        <x:v>60000</x:v>
      </x:c>
    </x:row>
    <x:row r="12" ht="23" customHeight="1">
      <x:c r="A12" s="2" t="str">
        <x:v>N04</x:v>
      </x:c>
      <x:c r="B12" s="2" t="str">
        <x:v>全夜</x:v>
      </x:c>
      <x:c r="C12" s="19" t="n">
        <x:f>F12-G12+H12</x:f>
        <x:v>5000</x:v>
      </x:c>
      <x:c r="D12" s="19" t="n">
        <x:v>0</x:v>
      </x:c>
      <x:c r="E12" s="19" t="n">
        <x:f>C12+D12</x:f>
        <x:v>5000</x:v>
      </x:c>
      <x:c r="F12" s="19" t="n">
        <x:v>5000</x:v>
      </x:c>
      <x:c r="G12" s="19" t="n">
        <x:v>0</x:v>
      </x:c>
      <x:c r="H12" s="19" t="n">
        <x:v>0</x:v>
      </x:c>
      <x:c r="I12" s="2" t="n">
        <x:v>1</x:v>
      </x:c>
      <x:c r="J12" s="2" t="n">
        <x:v>0</x:v>
      </x:c>
      <x:c r="K12" s="2" t="n">
        <x:v>0</x:v>
      </x:c>
      <x:c r="L12" s="19" t="n">
        <x:v>3000</x:v>
      </x:c>
      <x:c r="M12" s="19" t="n">
        <x:v>5000</x:v>
      </x:c>
    </x:row>
    <x:row r="13" ht="23" customHeight="1">
      <x:c r="A13" s="2" t="str">
        <x:v>N05</x:v>
      </x:c>
      <x:c r="B13" s="2" t="str">
        <x:v>全夜</x:v>
      </x:c>
      <x:c r="C13" s="19" t="n">
        <x:f>F13-G13+H13</x:f>
        <x:v>25000</x:v>
      </x:c>
      <x:c r="D13" s="19" t="n">
        <x:v>0</x:v>
      </x:c>
      <x:c r="E13" s="19" t="n">
        <x:f>C13+D13</x:f>
        <x:v>25000</x:v>
      </x:c>
      <x:c r="F13" s="19" t="n">
        <x:v>25000</x:v>
      </x:c>
      <x:c r="G13" s="19" t="n">
        <x:v>0</x:v>
      </x:c>
      <x:c r="H13" s="19" t="n">
        <x:v>0</x:v>
      </x:c>
      <x:c r="I13" s="2" t="n">
        <x:v>1</x:v>
      </x:c>
      <x:c r="J13" s="2" t="n">
        <x:v>0</x:v>
      </x:c>
      <x:c r="K13" s="2" t="n">
        <x:v>0</x:v>
      </x:c>
      <x:c r="L13" s="19" t="n">
        <x:v>15000</x:v>
      </x:c>
      <x:c r="M13" s="19" t="n">
        <x:v>25000</x:v>
      </x:c>
    </x:row>
    <x:row r="14" ht="23" customHeight="1">
      <x:c r="A14" s="2" t="str">
        <x:v>N06</x:v>
      </x:c>
      <x:c r="B14" s="2" t="str">
        <x:v>全夜</x:v>
      </x:c>
      <x:c r="C14" s="19" t="n">
        <x:f>F14-G14+H14</x:f>
        <x:v>25000</x:v>
      </x:c>
      <x:c r="D14" s="19" t="n">
        <x:v>10000</x:v>
      </x:c>
      <x:c r="E14" s="19" t="n">
        <x:f>C14+D14</x:f>
        <x:v>35000</x:v>
      </x:c>
      <x:c r="F14" s="19" t="n">
        <x:v>25000</x:v>
      </x:c>
      <x:c r="G14" s="19" t="n">
        <x:v>0</x:v>
      </x:c>
      <x:c r="H14" s="19" t="n">
        <x:v>0</x:v>
      </x:c>
      <x:c r="I14" s="2" t="n">
        <x:v>2</x:v>
      </x:c>
      <x:c r="J14" s="2" t="n">
        <x:v>5</x:v>
      </x:c>
      <x:c r="K14" s="2" t="n">
        <x:v>0</x:v>
      </x:c>
      <x:c r="L14" s="19" t="n">
        <x:v>30000</x:v>
      </x:c>
      <x:c r="M14" s="19" t="n">
        <x:v>60000</x:v>
      </x:c>
    </x:row>
    <x:row r="15" ht="23" customHeight="1">
      <x:c r="A15" s="2" t="str">
        <x:v>N07</x:v>
      </x:c>
      <x:c r="B15" s="2" t="str">
        <x:v>全夜</x:v>
      </x:c>
      <x:c r="C15" s="19" t="n">
        <x:f>F15-G15+H15</x:f>
        <x:v>5000</x:v>
      </x:c>
      <x:c r="D15" s="19" t="n">
        <x:v>2000</x:v>
      </x:c>
      <x:c r="E15" s="19" t="n">
        <x:f>C15+D15</x:f>
        <x:v>7000</x:v>
      </x:c>
      <x:c r="F15" s="19" t="n">
        <x:v>5000</x:v>
      </x:c>
      <x:c r="G15" s="19" t="n">
        <x:v>0</x:v>
      </x:c>
      <x:c r="H15" s="19" t="n">
        <x:v>0</x:v>
      </x:c>
      <x:c r="I15" s="2" t="n">
        <x:v>2</x:v>
      </x:c>
      <x:c r="J15" s="2" t="n">
        <x:v>1</x:v>
      </x:c>
      <x:c r="K15" s="2" t="n">
        <x:v>0</x:v>
      </x:c>
      <x:c r="L15" s="19" t="n">
        <x:v>6000</x:v>
      </x:c>
      <x:c r="M15" s="19" t="n">
        <x:v>12000</x:v>
      </x:c>
    </x:row>
    <x:row r="16" ht="23" customHeight="1">
      <x:c r="A16" s="2" t="str">
        <x:v>P01</x:v>
      </x:c>
      <x:c r="B16" s="2" t="str">
        <x:v>米国前のみ</x:v>
      </x:c>
      <x:c r="C16" s="19" t="n">
        <x:f>F16-G16+H16</x:f>
        <x:v>10000</x:v>
      </x:c>
      <x:c r="D16" s="19" t="n">
        <x:v>0</x:v>
      </x:c>
      <x:c r="E16" s="19" t="n">
        <x:f>C16+D16</x:f>
        <x:v>10000</x:v>
      </x:c>
      <x:c r="F16" s="19" t="n">
        <x:v>10000</x:v>
      </x:c>
      <x:c r="G16" s="19" t="n">
        <x:v>0</x:v>
      </x:c>
      <x:c r="H16" s="19" t="n">
        <x:v>0</x:v>
      </x:c>
      <x:c r="I16" s="2" t="n">
        <x:v>1</x:v>
      </x:c>
      <x:c r="J16" s="2" t="n">
        <x:v>0</x:v>
      </x:c>
      <x:c r="K16" s="2" t="n">
        <x:v>0</x:v>
      </x:c>
      <x:c r="L16" s="19" t="n">
        <x:v>15000</x:v>
      </x:c>
      <x:c r="M16" s="19" t="n">
        <x:v>25000</x:v>
      </x:c>
    </x:row>
    <x:row r="17" ht="23" customHeight="1">
      <x:c r="A17" s="2" t="str">
        <x:v>P02</x:v>
      </x:c>
      <x:c r="B17" s="2" t="str">
        <x:v>米国前のみ</x:v>
      </x:c>
      <x:c r="C17" s="19" t="n">
        <x:f>F17-G17+H17</x:f>
        <x:v>25000</x:v>
      </x:c>
      <x:c r="D17" s="19" t="n">
        <x:v>0</x:v>
      </x:c>
      <x:c r="E17" s="19" t="n">
        <x:f>C17+D17</x:f>
        <x:v>25000</x:v>
      </x:c>
      <x:c r="F17" s="19" t="n">
        <x:v>25000</x:v>
      </x:c>
      <x:c r="G17" s="19" t="n">
        <x:v>0</x:v>
      </x:c>
      <x:c r="H17" s="19" t="n">
        <x:v>0</x:v>
      </x:c>
      <x:c r="I17" s="2" t="n">
        <x:v>1</x:v>
      </x:c>
      <x:c r="J17" s="2" t="n">
        <x:v>0</x:v>
      </x:c>
      <x:c r="K17" s="2" t="n">
        <x:v>0</x:v>
      </x:c>
      <x:c r="L17" s="19" t="n">
        <x:v>15000</x:v>
      </x:c>
      <x:c r="M17" s="19" t="n">
        <x:v>25000</x:v>
      </x:c>
    </x:row>
    <x:row r="18" ht="23" customHeight="1">
      <x:c r="A18" s="2" t="str">
        <x:v>P03</x:v>
      </x:c>
      <x:c r="B18" s="2" t="str">
        <x:v>米国前のみ</x:v>
      </x:c>
      <x:c r="C18" s="19" t="n">
        <x:f>F18-G18+H18</x:f>
        <x:v>0</x:v>
      </x:c>
      <x:c r="D18" s="19" t="n">
        <x:v>50000</x:v>
      </x:c>
      <x:c r="E18" s="19" t="n">
        <x:f>C18+D18</x:f>
        <x:v>50000</x:v>
      </x:c>
      <x:c r="F18" s="19" t="n">
        <x:v>0</x:v>
      </x:c>
      <x:c r="G18" s="19" t="n">
        <x:v>0</x:v>
      </x:c>
      <x:c r="H18" s="19" t="n">
        <x:v>0</x:v>
      </x:c>
      <x:c r="I18" s="2" t="n">
        <x:v>1</x:v>
      </x:c>
      <x:c r="J18" s="2" t="n">
        <x:v>5</x:v>
      </x:c>
      <x:c r="K18" s="2" t="n">
        <x:v>0</x:v>
      </x:c>
      <x:c r="L18" s="19" t="n">
        <x:v>15000</x:v>
      </x:c>
      <x:c r="M18" s="19" t="n">
        <x:v>60000</x:v>
      </x:c>
    </x:row>
    <x:row r="19" ht="23" customHeight="1">
      <x:c r="A19" s="2" t="str">
        <x:v>P04</x:v>
      </x:c>
      <x:c r="B19" s="2" t="str">
        <x:v>米国前のみ</x:v>
      </x:c>
      <x:c r="C19" s="19" t="n">
        <x:f>F19-G19+H19</x:f>
        <x:v>35000</x:v>
      </x:c>
      <x:c r="D19" s="19" t="n">
        <x:v>0</x:v>
      </x:c>
      <x:c r="E19" s="19" t="n">
        <x:f>C19+D19</x:f>
        <x:v>35000</x:v>
      </x:c>
      <x:c r="F19" s="19" t="n">
        <x:v>35000</x:v>
      </x:c>
      <x:c r="G19" s="19" t="n">
        <x:v>0</x:v>
      </x:c>
      <x:c r="H19" s="19" t="n">
        <x:v>0</x:v>
      </x:c>
      <x:c r="I19" s="2" t="n">
        <x:v>1</x:v>
      </x:c>
      <x:c r="J19" s="2" t="n">
        <x:v>0</x:v>
      </x:c>
      <x:c r="K19" s="2" t="n">
        <x:v>0</x:v>
      </x:c>
      <x:c r="L19" s="19" t="n">
        <x:v>15000</x:v>
      </x:c>
      <x:c r="M19" s="19" t="n">
        <x:v>25000</x:v>
      </x:c>
    </x:row>
    <x:row r="20" ht="23" customHeight="1">
      <x:c r="A20" s="2" t="str">
        <x:v>P05</x:v>
      </x:c>
      <x:c r="B20" s="2" t="str">
        <x:v>米国前のみ</x:v>
      </x:c>
      <x:c r="C20" s="19" t="n">
        <x:f>F20-G20+H20</x:f>
        <x:v>15000</x:v>
      </x:c>
      <x:c r="D20" s="19" t="n">
        <x:v>0</x:v>
      </x:c>
      <x:c r="E20" s="19" t="n">
        <x:f>C20+D20</x:f>
        <x:v>15000</x:v>
      </x:c>
      <x:c r="F20" s="19" t="n">
        <x:v>15000</x:v>
      </x:c>
      <x:c r="G20" s="19" t="n">
        <x:v>0</x:v>
      </x:c>
      <x:c r="H20" s="19" t="n">
        <x:v>0</x:v>
      </x:c>
      <x:c r="I20" s="2" t="n">
        <x:v>1</x:v>
      </x:c>
      <x:c r="J20" s="2" t="n">
        <x:v>0</x:v>
      </x:c>
      <x:c r="K20" s="2" t="n">
        <x:v>0</x:v>
      </x:c>
      <x:c r="L20" s="19" t="n">
        <x:v>15000</x:v>
      </x:c>
      <x:c r="M20" s="19" t="n">
        <x:v>25000</x:v>
      </x:c>
    </x:row>
    <x:row r="21" ht="23" customHeight="1">
      <x:c r="A21" s="2" t="str">
        <x:v>P06</x:v>
      </x:c>
      <x:c r="B21" s="2" t="str">
        <x:v>米国前のみ</x:v>
      </x:c>
      <x:c r="C21" s="19" t="n">
        <x:f>F21-G21+H21</x:f>
        <x:v>5000</x:v>
      </x:c>
      <x:c r="D21" s="19" t="n">
        <x:v>0</x:v>
      </x:c>
      <x:c r="E21" s="19" t="n">
        <x:f>C21+D21</x:f>
        <x:v>5000</x:v>
      </x:c>
      <x:c r="F21" s="19" t="n">
        <x:v>5000</x:v>
      </x:c>
      <x:c r="G21" s="19" t="n">
        <x:v>0</x:v>
      </x:c>
      <x:c r="H21" s="19" t="n">
        <x:v>0</x:v>
      </x:c>
      <x:c r="I21" s="2" t="n">
        <x:v>1</x:v>
      </x:c>
      <x:c r="J21" s="2" t="n">
        <x:v>0</x:v>
      </x:c>
      <x:c r="K21" s="2" t="n">
        <x:v>0</x:v>
      </x:c>
      <x:c r="L21" s="19" t="n">
        <x:v>3000</x:v>
      </x:c>
      <x:c r="M21" s="19" t="n">
        <x:v>5000</x:v>
      </x:c>
    </x:row>
    <x:row r="22" ht="23" customHeight="1">
      <x:c r="A22" s="2" t="str">
        <x:v>P07</x:v>
      </x:c>
      <x:c r="B22" s="2" t="str">
        <x:v>米国前のみ</x:v>
      </x:c>
      <x:c r="C22" s="19" t="n">
        <x:f>F22-G22+H22</x:f>
        <x:v>10000</x:v>
      </x:c>
      <x:c r="D22" s="19" t="n">
        <x:v>0</x:v>
      </x:c>
      <x:c r="E22" s="19" t="n">
        <x:f>C22+D22</x:f>
        <x:v>10000</x:v>
      </x:c>
      <x:c r="F22" s="19" t="n">
        <x:v>10000</x:v>
      </x:c>
      <x:c r="G22" s="19" t="n">
        <x:v>0</x:v>
      </x:c>
      <x:c r="H22" s="19" t="n">
        <x:v>0</x:v>
      </x:c>
      <x:c r="I22" s="2" t="n">
        <x:v>1</x:v>
      </x:c>
      <x:c r="J22" s="2" t="n">
        <x:v>0</x:v>
      </x:c>
      <x:c r="K22" s="2" t="n">
        <x:v>0</x:v>
      </x:c>
      <x:c r="L22" s="19" t="n">
        <x:v>6000</x:v>
      </x:c>
      <x:c r="M22" s="19" t="n">
        <x:v>10000</x:v>
      </x:c>
    </x:row>
    <x:row r="23" ht="23" customHeight="1">
      <x:c r="A23" s="2" t="str">
        <x:v>P08</x:v>
      </x:c>
      <x:c r="B23" s="2" t="str">
        <x:v>米国前のみ</x:v>
      </x:c>
      <x:c r="C23" s="19" t="n">
        <x:f>F23-G23+H23</x:f>
        <x:v>25000</x:v>
      </x:c>
      <x:c r="D23" s="19" t="n">
        <x:v>0</x:v>
      </x:c>
      <x:c r="E23" s="19" t="n">
        <x:f>C23+D23</x:f>
        <x:v>25000</x:v>
      </x:c>
      <x:c r="F23" s="19" t="n">
        <x:v>25000</x:v>
      </x:c>
      <x:c r="G23" s="19" t="n">
        <x:v>0</x:v>
      </x:c>
      <x:c r="H23" s="19" t="n">
        <x:v>0</x:v>
      </x:c>
      <x:c r="I23" s="2" t="n">
        <x:v>1</x:v>
      </x:c>
      <x:c r="J23" s="2" t="n">
        <x:v>0</x:v>
      </x:c>
      <x:c r="K23" s="2" t="n">
        <x:v>0</x:v>
      </x:c>
      <x:c r="L23" s="19" t="n">
        <x:v>15000</x:v>
      </x:c>
      <x:c r="M23" s="19" t="n">
        <x:v>25000</x:v>
      </x:c>
    </x:row>
    <x:row r="24" ht="23" customHeight="1">
      <x:c r="A24" s="2" t="str">
        <x:v>P09</x:v>
      </x:c>
      <x:c r="B24" s="2" t="str">
        <x:v>米国前のみ</x:v>
      </x:c>
      <x:c r="C24" s="19" t="n">
        <x:f>F24-G24+H24</x:f>
        <x:v>25000</x:v>
      </x:c>
      <x:c r="D24" s="19" t="n">
        <x:v>0</x:v>
      </x:c>
      <x:c r="E24" s="19" t="n">
        <x:f>C24+D24</x:f>
        <x:v>25000</x:v>
      </x:c>
      <x:c r="F24" s="19" t="n">
        <x:v>25000</x:v>
      </x:c>
      <x:c r="G24" s="19" t="n">
        <x:v>0</x:v>
      </x:c>
      <x:c r="H24" s="19" t="n">
        <x:v>0</x:v>
      </x:c>
      <x:c r="I24" s="2" t="n">
        <x:v>1</x:v>
      </x:c>
      <x:c r="J24" s="2" t="n">
        <x:v>0</x:v>
      </x:c>
      <x:c r="K24" s="2" t="n">
        <x:v>0</x:v>
      </x:c>
      <x:c r="L24" s="19" t="n">
        <x:v>15000</x:v>
      </x:c>
      <x:c r="M24" s="19" t="n">
        <x:v>25000</x:v>
      </x:c>
    </x:row>
    <x:row r="25" ht="23" customHeight="1">
      <x:c r="A25" s="2" t="str">
        <x:v>P10</x:v>
      </x:c>
      <x:c r="B25" s="2" t="str">
        <x:v>米国前のみ</x:v>
      </x:c>
      <x:c r="C25" s="19" t="n">
        <x:f>F25-G25+H25</x:f>
        <x:v>25000</x:v>
      </x:c>
      <x:c r="D25" s="19" t="n">
        <x:v>10000</x:v>
      </x:c>
      <x:c r="E25" s="19" t="n">
        <x:f>C25+D25</x:f>
        <x:v>35000</x:v>
      </x:c>
      <x:c r="F25" s="19" t="n">
        <x:v>25000</x:v>
      </x:c>
      <x:c r="G25" s="19" t="n">
        <x:v>0</x:v>
      </x:c>
      <x:c r="H25" s="19" t="n">
        <x:v>0</x:v>
      </x:c>
      <x:c r="I25" s="2" t="n">
        <x:v>2</x:v>
      </x:c>
      <x:c r="J25" s="2" t="n">
        <x:v>5</x:v>
      </x:c>
      <x:c r="K25" s="2" t="n">
        <x:v>0</x:v>
      </x:c>
      <x:c r="L25" s="19" t="n">
        <x:v>30000</x:v>
      </x:c>
      <x:c r="M25" s="19" t="n">
        <x:v>60000</x:v>
      </x:c>
    </x:row>
    <x:row r="26" ht="23" customHeight="1">
      <x:c r="A26" s="2" t="str">
        <x:v>P11</x:v>
      </x:c>
      <x:c r="B26" s="2" t="str">
        <x:v>米国前のみ</x:v>
      </x:c>
      <x:c r="C26" s="19" t="n">
        <x:f>F26-G26+H26</x:f>
        <x:v>5000</x:v>
      </x:c>
      <x:c r="D26" s="19" t="n">
        <x:v>2000</x:v>
      </x:c>
      <x:c r="E26" s="19" t="n">
        <x:f>C26+D26</x:f>
        <x:v>7000</x:v>
      </x:c>
      <x:c r="F26" s="19" t="n">
        <x:v>5000</x:v>
      </x:c>
      <x:c r="G26" s="19" t="n">
        <x:v>0</x:v>
      </x:c>
      <x:c r="H26" s="19" t="n">
        <x:v>0</x:v>
      </x:c>
      <x:c r="I26" s="2" t="n">
        <x:v>2</x:v>
      </x:c>
      <x:c r="J26" s="2" t="n">
        <x:v>1</x:v>
      </x:c>
      <x:c r="K26" s="2" t="n">
        <x:v>0</x:v>
      </x:c>
      <x:c r="L26" s="19" t="n">
        <x:v>6000</x:v>
      </x:c>
      <x:c r="M26" s="19" t="n">
        <x:v>12000</x:v>
      </x:c>
    </x:row>
  </x:sheetData>
  <x:conditionalFormatting sqref="C7:H26">
    <x:cfRule type="cellIs" dxfId="22" priority="1" operator="lessThan">
      <x:formula>0</x:formula>
    </x:cfRule>
  </x:conditionalFormatting>
  <x:conditionalFormatting sqref="L7:M26">
    <x:cfRule type="cellIs" dxfId="23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90b3b8db1f54101"/>
  </x:tableParts>
</x:worksheet>
</file>