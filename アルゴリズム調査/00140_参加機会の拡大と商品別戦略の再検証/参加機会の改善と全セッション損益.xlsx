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f5c1023a3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5874ef843608460d"/>
    <x:sheet xmlns:r="http://schemas.openxmlformats.org/officeDocument/2006/relationships" name="昼夜比較" sheetId="2" r:id="R5e98aab8d7c24507"/>
    <x:sheet xmlns:r="http://schemas.openxmlformats.org/officeDocument/2006/relationships" name="日経_B5" sheetId="3" r:id="Rf6fd387bb0594dda"/>
    <x:sheet xmlns:r="http://schemas.openxmlformats.org/officeDocument/2006/relationships" name="日経_S36" sheetId="4" r:id="Ra21ab40d3b2b4d26"/>
    <x:sheet xmlns:r="http://schemas.openxmlformats.org/officeDocument/2006/relationships" name="日経_R02" sheetId="5" r:id="R277a141d60434da6"/>
    <x:sheet xmlns:r="http://schemas.openxmlformats.org/officeDocument/2006/relationships" name="日経_C36" sheetId="6" r:id="R442b1d195e644688"/>
    <x:sheet xmlns:r="http://schemas.openxmlformats.org/officeDocument/2006/relationships" name="TOPIX_B5" sheetId="7" r:id="R1a9a3408eb3c4491"/>
    <x:sheet xmlns:r="http://schemas.openxmlformats.org/officeDocument/2006/relationships" name="TOPIX_C33" sheetId="8" r:id="R00e55f07c40043dc"/>
    <x:sheet xmlns:r="http://schemas.openxmlformats.org/officeDocument/2006/relationships" name="TOPIX_R09" sheetId="9" r:id="R61e14d1363704030"/>
    <x:sheet xmlns:r="http://schemas.openxmlformats.org/officeDocument/2006/relationships" name="TOPIX_S33" sheetId="10" r:id="Rc6fc1fc1f44d4141"/>
    <x:sheet xmlns:r="http://schemas.openxmlformats.org/officeDocument/2006/relationships" name="ペア_P03" sheetId="11" r:id="R0c102b7dee1a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 hh:mm"/>
    <x:numFmt numFmtId="201" formatCode="#,##0"/>
    <x:numFmt numFmtId="202" formatCode="0.0"/>
    <x:numFmt numFmtId="203" formatCode="#,##0;[Red](#,##0);&quot;-&quot;"/>
  </x:numFmts>
  <x:fonts count="5">
    <x:font>
      <x:sz val="11"/>
      <x:name val="Carlito"/>
    </x:font>
    <x:font>
      <x:sz val="10"/>
      <x:color rgb="FF172B44"/>
      <x:name val="Yu Gothic"/>
    </x:font>
    <x:font>
      <x:b/>
      <x:sz val="14"/>
      <x:color rgb="FF172B44"/>
      <x:name val="Yu Gothic"/>
    </x:font>
    <x:font>
      <x:sz val="10"/>
      <x:color rgb="FF52667C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56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7B91A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9"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805000"/>
      </x:font>
      <x:fill>
        <x:patternFill patternType="solid">
          <x:bgColor rgb="FFFFF0C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36a62d9d44b52" /><Relationship Type="http://schemas.openxmlformats.org/officeDocument/2006/relationships/theme" Target="/xl/theme/theme1.xml" Id="Rb767a3356a004041" /><Relationship Type="http://schemas.openxmlformats.org/officeDocument/2006/relationships/sharedStrings" Target="/xl/sharedStrings.xml" Id="R39011d81f50b43fc" /><Relationship Type="http://schemas.openxmlformats.org/officeDocument/2006/relationships/worksheet" Target="/xl/worksheets/sheet1.xml" Id="R5874ef843608460d" /><Relationship Type="http://schemas.openxmlformats.org/officeDocument/2006/relationships/worksheet" Target="/xl/worksheets/sheet2.xml" Id="R5e98aab8d7c24507" /><Relationship Type="http://schemas.openxmlformats.org/officeDocument/2006/relationships/worksheet" Target="/xl/worksheets/sheet3.xml" Id="Rf6fd387bb0594dda" /><Relationship Type="http://schemas.openxmlformats.org/officeDocument/2006/relationships/worksheet" Target="/xl/worksheets/sheet4.xml" Id="Ra21ab40d3b2b4d26" /><Relationship Type="http://schemas.openxmlformats.org/officeDocument/2006/relationships/worksheet" Target="/xl/worksheets/sheet5.xml" Id="R277a141d60434da6" /><Relationship Type="http://schemas.openxmlformats.org/officeDocument/2006/relationships/worksheet" Target="/xl/worksheets/sheet6.xml" Id="R442b1d195e644688" /><Relationship Type="http://schemas.openxmlformats.org/officeDocument/2006/relationships/worksheet" Target="/xl/worksheets/sheet7.xml" Id="R1a9a3408eb3c4491" /><Relationship Type="http://schemas.openxmlformats.org/officeDocument/2006/relationships/worksheet" Target="/xl/worksheets/sheet8.xml" Id="R00e55f07c40043dc" /><Relationship Type="http://schemas.openxmlformats.org/officeDocument/2006/relationships/worksheet" Target="/xl/worksheets/sheet9.xml" Id="R61e14d1363704030" /><Relationship Type="http://schemas.openxmlformats.org/officeDocument/2006/relationships/worksheet" Target="/xl/worksheets/sheet10.xml" Id="Rc6fc1fc1f44d4141" /><Relationship Type="http://schemas.openxmlformats.org/officeDocument/2006/relationships/worksheet" Target="/xl/worksheets/sheet11.xml" Id="R0c102b7dee1a435d" /></Relationships>
</file>

<file path=xl/tables/table1.xml><?xml version="1.0" encoding="utf-8"?>
<x:table xmlns:x="http://schemas.openxmlformats.org/spreadsheetml/2006/main" id="11" name="手法の比較" displayName="手法の比較" ref="A6:Q30" headerRowCount="1" totalsRowCount="0" totalsRowShown="0">
  <x:autoFilter ref="A6:Q30"/>
  <x:tableColumns count="17">
    <x:tableColumn id="1" name="商品"/>
    <x:tableColumn id="2" name="手法ID"/>
    <x:tableColumn id="3" name="対象"/>
    <x:tableColumn id="4" name="総利益（円）"/>
    <x:tableColumn id="5" name="総損失（円）"/>
    <x:tableColumn id="6" name="収支（円）"/>
    <x:tableColumn id="7" name="黒字場数"/>
    <x:tableColumn id="8" name="赤字場数"/>
    <x:tableColumn id="9" name="上位3黒字除外（円）"/>
    <x:tableColumn id="10" name="新規回数"/>
    <x:tableColumn id="11" name="最悪収支（円）"/>
    <x:tableColumn id="12" name="平均赤字（円）"/>
    <x:tableColumn id="13" name="初回まで（分）"/>
    <x:tableColumn id="14" name="保有（分）"/>
    <x:tableColumn id="15" name="最大片方向保有"/>
    <x:tableColumn id="16" name="手法名"/>
    <x:tableColumn id="17" name="無取引場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昼夜別比較" displayName="昼夜別比較" ref="A6:Q54" headerRowCount="1" totalsRowCount="0" totalsRowShown="0">
  <x:autoFilter ref="A6:Q54"/>
  <x:tableColumns count="17">
    <x:tableColumn id="1" name="商品"/>
    <x:tableColumn id="2" name="運用ID"/>
    <x:tableColumn id="3" name="昼夜"/>
    <x:tableColumn id="4" name="対象"/>
    <x:tableColumn id="5" name="基準手法"/>
    <x:tableColumn id="6" name="追加方式"/>
    <x:tableColumn id="7" name="対象場数"/>
    <x:tableColumn id="8" name="利益（円）"/>
    <x:tableColumn id="9" name="損失（円）"/>
    <x:tableColumn id="10" name="収支（円）"/>
    <x:tableColumn id="11" name="新規数"/>
    <x:tableColumn id="12" name="黒字場数"/>
    <x:tableColumn id="13" name="赤字場数"/>
    <x:tableColumn id="14" name="無取引場数"/>
    <x:tableColumn id="15" name="平均赤字（円）"/>
    <x:tableColumn id="16" name="最大赤字（円）"/>
    <x:tableColumn id="17" name="上位3黒字除外（円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日経_B5_セッション会計" displayName="日経_B5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日経_S36_セッション会計" displayName="日経_S36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日経_R02_セッション会計" displayName="日経_R02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日経_C36_セッション会計" displayName="日経_C36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TOPIX_B5_セッション会計" displayName="TOPIX_B5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TOPIX_C33_セッション会計" displayName="TOPIX_C33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TOPIX_R09_セッション会計" displayName="TOPIX_R09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TOPIX_S33_セッション会計" displayName="TOPIX_S33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ペア_P03_対象別集計" displayName="ペア_P03_対象別集計" ref="A7:J10" headerRowCount="1" totalsRowCount="0" totalsRowShown="0">
  <x:autoFilter ref="A7:J10"/>
  <x:tableColumns count="10">
    <x:tableColumn id="1" name="対象"/>
    <x:tableColumn id="2" name="総利益（円）"/>
    <x:tableColumn id="3" name="総損失（円）"/>
    <x:tableColumn id="4" name="収支（円）"/>
    <x:tableColumn id="5" name="黒字場数"/>
    <x:tableColumn id="6" name="赤字場数"/>
    <x:tableColumn id="7" name="無取引場数"/>
    <x:tableColumn id="8" name="新規組数"/>
    <x:tableColumn id="9" name="手数料（円）"/>
    <x:tableColumn id="10" name="上位3黒字除外（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ペア_P03_セッション会計" displayName="ペア_P03_セッション会計" ref="A13:T63" headerRowCount="1" totalsRowCount="0" totalsRowShown="0">
  <x:autoFilter ref="A13:T63"/>
  <x:tableColumns count="20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二脚合計枚数"/>
    <x:tableColumn id="12" name="商品別最大保有"/>
    <x:tableColumn id="13" name="評価区分"/>
    <x:tableColumn id="14" name="初回まで（分）"/>
    <x:tableColumn id="15" name="保有（分）"/>
    <x:tableColumn id="16" name="日経脚収支（円）"/>
    <x:tableColumn id="17" name="TOPIX脚収支（円）"/>
    <x:tableColumn id="18" name="完結組数"/>
    <x:tableColumn id="19" name="元本差最大（円）"/>
    <x:tableColumn id="20" name="片脚保有合計（秒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e94773f75d4f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79817b0a1047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fbc878b499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115d3926184e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3b43c6ab494a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61456cad4b4a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3eadef2d6242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e35045dab4446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2f34c491134d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95da7f0403341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0e451e523844d9d" /><Relationship Type="http://schemas.openxmlformats.org/officeDocument/2006/relationships/table" Target="/xl/tables/table12.xml" Id="R861a46ffc1824526" /></Relationships>
</file>

<file path=xl/worksheets/sheet1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  <x:col min="9" max="9" width="24" hidden="0" customWidth="1"/>
    <x:col min="10" max="10" width="12" hidden="0" customWidth="1"/>
    <x:col min="11" max="11" width="20" hidden="0" customWidth="1"/>
    <x:col min="12" max="12" width="20" hidden="0" customWidth="1"/>
    <x:col min="13" max="13" width="17" hidden="0" customWidth="1"/>
    <x:col min="14" max="14" width="17" hidden="0" customWidth="1"/>
    <x:col min="15" max="15" width="17" hidden="0" customWidth="1"/>
    <x:col min="16" max="16" width="62" hidden="0" customWidth="1"/>
    <x:col min="17" max="17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参加機会を増やす手法の比較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6" t="str">
        <x:v>日経mini・TOPIXminiは片方向上限10枚。金額は円・手数料後。候補を先に表示しています。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6" t="str">
        <x:v>全50場は選択候補のみ。既知47場と、条件固定後の追加3場を分けて比較します。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6" t="str">
        <x:v>初回まで・保有は、参加したセッションの算術平均（分）。同時保有上限と実際の最大保有を区別します。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22" t="str">
        <x:v>商品</x:v>
      </x:c>
      <x:c r="B6" s="23" t="str">
        <x:v>手法ID</x:v>
      </x:c>
      <x:c r="C6" s="23" t="str">
        <x:v>対象</x:v>
      </x:c>
      <x:c r="D6" s="23" t="str">
        <x:v>総利益（円）</x:v>
      </x:c>
      <x:c r="E6" s="23" t="str">
        <x:v>総損失（円）</x:v>
      </x:c>
      <x:c r="F6" s="23" t="str">
        <x:v>収支（円）</x:v>
      </x:c>
      <x:c r="G6" s="23" t="str">
        <x:v>黒字場数</x:v>
      </x:c>
      <x:c r="H6" s="23" t="str">
        <x:v>赤字場数</x:v>
      </x:c>
      <x:c r="I6" s="23" t="str">
        <x:v>上位3黒字除外（円）</x:v>
      </x:c>
      <x:c r="J6" s="23" t="str">
        <x:v>新規回数</x:v>
      </x:c>
      <x:c r="K6" s="23" t="str">
        <x:v>最悪収支（円）</x:v>
      </x:c>
      <x:c r="L6" s="23" t="str">
        <x:v>平均赤字（円）</x:v>
      </x:c>
      <x:c r="M6" s="23" t="str">
        <x:v>初回まで（分）</x:v>
      </x:c>
      <x:c r="N6" s="23" t="str">
        <x:v>保有（分）</x:v>
      </x:c>
      <x:c r="O6" s="23" t="str">
        <x:v>最大片方向保有</x:v>
      </x:c>
      <x:c r="P6" s="23" t="str">
        <x:v>手法名</x:v>
      </x:c>
      <x:c r="Q6" s="24" t="str">
        <x:v>無取引場数</x:v>
      </x:c>
    </x:row>
    <x:row r="7" ht="22" customHeight="1">
      <x:c r="A7" s="2" t="str">
        <x:v>日経mini</x:v>
      </x:c>
      <x:c r="B7" s="2" t="str">
        <x:v>B5</x:v>
      </x:c>
      <x:c r="C7" s="2" t="str">
        <x:v>全50場</x:v>
      </x:c>
      <x:c r="D7" s="25" t="n">
        <x:f>SUM('日経_B5'!D7:D56)</x:f>
        <x:v>4215188</x:v>
      </x:c>
      <x:c r="E7" s="25" t="n">
        <x:f>SUM('日経_B5'!E7:E56)</x:f>
        <x:v>2149740</x:v>
      </x:c>
      <x:c r="F7" s="25" t="n">
        <x:f>D7-E7</x:f>
        <x:v>2065448</x:v>
      </x:c>
      <x:c r="G7" s="11" t="n">
        <x:f>COUNTIFS('日経_B5'!F7:F56,"&gt;0")</x:f>
        <x:v>32</x:v>
      </x:c>
      <x:c r="H7" s="11" t="n">
        <x:f>COUNTIFS('日経_B5'!F7:F56,"&lt;0")</x:f>
        <x:v>18</x:v>
      </x:c>
      <x:c r="I7" s="25" t="n">
        <x:f>F7-MAX(0,LARGE('日経_B5'!F7:F56,1))-MAX(0,LARGE('日経_B5'!F7:F56,2))-MAX(0,LARGE('日経_B5'!F7:F56,3))</x:f>
        <x:v>1066368</x:v>
      </x:c>
      <x:c r="J7" s="11" t="n">
        <x:f>SUM('日経_B5'!J7:J56)</x:f>
        <x:v>108</x:v>
      </x:c>
      <x:c r="K7" s="25" t="n">
        <x:f>MIN('日経_B5'!F7:F56)</x:f>
        <x:v>-153304</x:v>
      </x:c>
      <x:c r="L7" s="25" t="n">
        <x:f>IF(H7=0,0,-SUMIFS('日経_B5'!F7:F56,'日経_B5'!F7:F56,"&lt;0")/H7)</x:f>
        <x:v>60566.88888888889</x:v>
      </x:c>
      <x:c r="M7" s="12" t="n">
        <x:f>IF(COUNTIFS('日経_B5'!J7:J56,"&gt;0")=0,"",AVERAGEIFS('日経_B5'!N7:N56,'日経_B5'!J7:J56,"&gt;0"))</x:f>
        <x:v>239.14166666666665</x:v>
      </x:c>
      <x:c r="N7" s="12" t="n">
        <x:f>IF(COUNTIFS('日経_B5'!J7:J56,"&gt;0")=0,"",AVERAGEIFS('日経_B5'!O7:O56,'日経_B5'!J7:J56,"&gt;0"))</x:f>
        <x:v>88.34033333333335</x:v>
      </x:c>
      <x:c r="O7" s="11" t="n">
        <x:f>MAX('日経_B5'!L7:L56)</x:f>
        <x:v>5</x:v>
      </x:c>
      <x:c r="P7" s="2" t="str">
        <x:v>現行基準：T06／T04・U06</x:v>
      </x:c>
      <x:c r="Q7" s="8" t="n">
        <x:f>COUNTIFS('日経_B5'!J7:J56,"=0")</x:f>
        <x:v>0</x:v>
      </x:c>
    </x:row>
    <x:row r="8" ht="22" customHeight="1">
      <x:c r="A8" s="2" t="str">
        <x:v>日経mini</x:v>
      </x:c>
      <x:c r="B8" s="2" t="str">
        <x:v>B5</x:v>
      </x:c>
      <x:c r="C8" s="2" t="str">
        <x:v>既知47場</x:v>
      </x:c>
      <x:c r="D8" s="25" t="n">
        <x:f>SUM('日経_B5'!D7:D53)</x:f>
        <x:v>4110572</x:v>
      </x:c>
      <x:c r="E8" s="25" t="n">
        <x:f>SUM('日経_B5'!E7:E53)</x:f>
        <x:v>1993588</x:v>
      </x:c>
      <x:c r="F8" s="25" t="n">
        <x:f>D8-E8</x:f>
        <x:v>2116984</x:v>
      </x:c>
      <x:c r="G8" s="11" t="n">
        <x:f>COUNTIFS('日経_B5'!F7:F53,"&gt;0")</x:f>
        <x:v>31</x:v>
      </x:c>
      <x:c r="H8" s="11" t="n">
        <x:f>COUNTIFS('日経_B5'!F7:F53,"&lt;0")</x:f>
        <x:v>16</x:v>
      </x:c>
      <x:c r="I8" s="25" t="n">
        <x:f>F8-MAX(0,LARGE('日経_B5'!F7:F53,1))-MAX(0,LARGE('日経_B5'!F7:F53,2))-MAX(0,LARGE('日経_B5'!F7:F53,3))</x:f>
        <x:v>1117904</x:v>
      </x:c>
      <x:c r="J8" s="11" t="n">
        <x:f>SUM('日経_B5'!J7:J53)</x:f>
        <x:v>104</x:v>
      </x:c>
      <x:c r="K8" s="25" t="n">
        <x:f>MIN('日経_B5'!F7:F53)</x:f>
        <x:v>-153304</x:v>
      </x:c>
      <x:c r="L8" s="25" t="n">
        <x:f>IF(H8=0,0,-SUMIFS('日経_B5'!F7:F53,'日経_B5'!F7:F53,"&lt;0")/H8)</x:f>
        <x:v>61839.75</x:v>
      </x:c>
      <x:c r="M8" s="12" t="n">
        <x:f>IF(COUNTIFS('日経_B5'!J7:J53,"&gt;0")=0,"",AVERAGEIFS('日経_B5'!N7:N53,'日経_B5'!J7:J53,"&gt;0"))</x:f>
        <x:v>236.14078014184395</x:v>
      </x:c>
      <x:c r="N8" s="12" t="n">
        <x:f>IF(COUNTIFS('日経_B5'!J7:J53,"&gt;0")=0,"",AVERAGEIFS('日経_B5'!O7:O53,'日経_B5'!J7:J53,"&gt;0"))</x:f>
        <x:v>93.3858156028369</x:v>
      </x:c>
      <x:c r="O8" s="11" t="n">
        <x:f>MAX('日経_B5'!L7:L53)</x:f>
        <x:v>5</x:v>
      </x:c>
      <x:c r="P8" s="2" t="str">
        <x:v>現行基準：T06／T04・U06</x:v>
      </x:c>
      <x:c r="Q8" s="8" t="n">
        <x:f>COUNTIFS('日経_B5'!J7:J53,"=0")</x:f>
        <x:v>0</x:v>
      </x:c>
    </x:row>
    <x:row r="9" ht="22" customHeight="1">
      <x:c r="A9" s="2" t="str">
        <x:v>日経mini</x:v>
      </x:c>
      <x:c r="B9" s="2" t="str">
        <x:v>B5</x:v>
      </x:c>
      <x:c r="C9" s="2" t="str">
        <x:v>追加3場</x:v>
      </x:c>
      <x:c r="D9" s="25" t="n">
        <x:f>SUM('日経_B5'!D54:D56)</x:f>
        <x:v>104616</x:v>
      </x:c>
      <x:c r="E9" s="25" t="n">
        <x:f>SUM('日経_B5'!E54:E56)</x:f>
        <x:v>156152</x:v>
      </x:c>
      <x:c r="F9" s="25" t="n">
        <x:f>D9-E9</x:f>
        <x:v>-51536</x:v>
      </x:c>
      <x:c r="G9" s="11" t="n">
        <x:f>COUNTIFS('日経_B5'!F54:F56,"&gt;0")</x:f>
        <x:v>1</x:v>
      </x:c>
      <x:c r="H9" s="11" t="n">
        <x:f>COUNTIFS('日経_B5'!F54:F56,"&lt;0")</x:f>
        <x:v>2</x:v>
      </x:c>
      <x:c r="I9" s="25" t="n">
        <x:f>F9-MAX(0,LARGE('日経_B5'!F54:F56,1))-MAX(0,LARGE('日経_B5'!F54:F56,2))-MAX(0,LARGE('日経_B5'!F54:F56,3))</x:f>
        <x:v>-100768</x:v>
      </x:c>
      <x:c r="J9" s="11" t="n">
        <x:f>SUM('日経_B5'!J54:J56)</x:f>
        <x:v>4</x:v>
      </x:c>
      <x:c r="K9" s="25" t="n">
        <x:f>MIN('日経_B5'!F54:F56)</x:f>
        <x:v>-55384</x:v>
      </x:c>
      <x:c r="L9" s="25" t="n">
        <x:f>IF(H9=0,0,-SUMIFS('日経_B5'!F54:F56,'日経_B5'!F54:F56,"&lt;0")/H9)</x:f>
        <x:v>50384</x:v>
      </x:c>
      <x:c r="M9" s="12" t="n">
        <x:f>IF(COUNTIFS('日経_B5'!J54:J56,"&gt;0")=0,"",AVERAGEIFS('日経_B5'!N54:N56,'日経_B5'!J54:J56,"&gt;0"))</x:f>
        <x:v>286.15555555555557</x:v>
      </x:c>
      <x:c r="N9" s="12" t="n">
        <x:f>IF(COUNTIFS('日経_B5'!J54:J56,"&gt;0")=0,"",AVERAGEIFS('日経_B5'!O54:O56,'日経_B5'!J54:J56,"&gt;0"))</x:f>
        <x:v>9.294444444444444</x:v>
      </x:c>
      <x:c r="O9" s="11" t="n">
        <x:f>MAX('日経_B5'!L54:L56)</x:f>
        <x:v>5</x:v>
      </x:c>
      <x:c r="P9" s="2" t="str">
        <x:v>現行基準：T06／T04・U06</x:v>
      </x:c>
      <x:c r="Q9" s="8" t="n">
        <x:f>COUNTIFS('日経_B5'!J54:J56,"=0")</x:f>
        <x:v>0</x:v>
      </x:c>
    </x:row>
    <x:row r="10" ht="22" customHeight="1">
      <x:c r="A10" s="2" t="str">
        <x:v>日経mini</x:v>
      </x:c>
      <x:c r="B10" s="2" t="str">
        <x:v>S36</x:v>
      </x:c>
      <x:c r="C10" s="2" t="str">
        <x:v>全50場</x:v>
      </x:c>
      <x:c r="D10" s="25" t="n">
        <x:f>SUM('日経_S36'!D7:D56)</x:f>
        <x:v>6598066</x:v>
      </x:c>
      <x:c r="E10" s="25" t="n">
        <x:f>SUM('日経_S36'!E7:E56)</x:f>
        <x:v>4206806</x:v>
      </x:c>
      <x:c r="F10" s="25" t="n">
        <x:f>D10-E10</x:f>
        <x:v>2391260</x:v>
      </x:c>
      <x:c r="G10" s="11" t="n">
        <x:f>COUNTIFS('日経_S36'!F7:F56,"&gt;0")</x:f>
        <x:v>31</x:v>
      </x:c>
      <x:c r="H10" s="11" t="n">
        <x:f>COUNTIFS('日経_S36'!F7:F56,"&lt;0")</x:f>
        <x:v>19</x:v>
      </x:c>
      <x:c r="I10" s="25" t="n">
        <x:f>F10-MAX(0,LARGE('日経_S36'!F7:F56,1))-MAX(0,LARGE('日経_S36'!F7:F56,2))-MAX(0,LARGE('日経_S36'!F7:F56,3))</x:f>
        <x:v>1226860</x:v>
      </x:c>
      <x:c r="J10" s="11" t="n">
        <x:f>SUM('日経_S36'!J7:J56)</x:f>
        <x:v>373</x:v>
      </x:c>
      <x:c r="K10" s="25" t="n">
        <x:f>MIN('日経_S36'!F7:F56)</x:f>
        <x:v>-185148</x:v>
      </x:c>
      <x:c r="L10" s="25" t="n">
        <x:f>IF(H10=0,0,-SUMIFS('日経_S36'!F7:F56,'日経_S36'!F7:F56,"&lt;0")/H10)</x:f>
        <x:v>70166.94736842105</x:v>
      </x:c>
      <x:c r="M10" s="12" t="n">
        <x:f>IF(COUNTIFS('日経_S36'!J7:J56,"&gt;0")=0,"",AVERAGEIFS('日経_S36'!N7:N56,'日経_S36'!J7:J56,"&gt;0"))</x:f>
        <x:v>188.68966666666662</x:v>
      </x:c>
      <x:c r="N10" s="12" t="n">
        <x:f>IF(COUNTIFS('日経_S36'!J7:J56,"&gt;0")=0,"",AVERAGEIFS('日経_S36'!O7:O56,'日経_S36'!J7:J56,"&gt;0"))</x:f>
        <x:v>148.47799999999992</x:v>
      </x:c>
      <x:c r="O10" s="11" t="n">
        <x:f>MAX('日経_S36'!L7:L56)</x:f>
        <x:v>10</x:v>
      </x:c>
      <x:c r="P10" s="2" t="str">
        <x:v>現行と独立枠：40分／効率による追従と反転の切替／最大5枚</x:v>
      </x:c>
      <x:c r="Q10" s="8" t="n">
        <x:f>COUNTIFS('日経_S36'!J7:J56,"=0")</x:f>
        <x:v>0</x:v>
      </x:c>
    </x:row>
    <x:row r="11" ht="22" customHeight="1">
      <x:c r="A11" s="2" t="str">
        <x:v>日経mini</x:v>
      </x:c>
      <x:c r="B11" s="2" t="str">
        <x:v>S36</x:v>
      </x:c>
      <x:c r="C11" s="2" t="str">
        <x:v>既知47場</x:v>
      </x:c>
      <x:c r="D11" s="25" t="n">
        <x:f>SUM('日経_S36'!D7:D53)</x:f>
        <x:v>6404986</x:v>
      </x:c>
      <x:c r="E11" s="25" t="n">
        <x:f>SUM('日経_S36'!E7:E53)</x:f>
        <x:v>3889810</x:v>
      </x:c>
      <x:c r="F11" s="25" t="n">
        <x:f>D11-E11</x:f>
        <x:v>2515176</x:v>
      </x:c>
      <x:c r="G11" s="11" t="n">
        <x:f>COUNTIFS('日経_S36'!F7:F53,"&gt;0")</x:f>
        <x:v>31</x:v>
      </x:c>
      <x:c r="H11" s="11" t="n">
        <x:f>COUNTIFS('日経_S36'!F7:F53,"&lt;0")</x:f>
        <x:v>16</x:v>
      </x:c>
      <x:c r="I11" s="25" t="n">
        <x:f>F11-MAX(0,LARGE('日経_S36'!F7:F53,1))-MAX(0,LARGE('日経_S36'!F7:F53,2))-MAX(0,LARGE('日経_S36'!F7:F53,3))</x:f>
        <x:v>1350776</x:v>
      </x:c>
      <x:c r="J11" s="11" t="n">
        <x:f>SUM('日経_S36'!J7:J53)</x:f>
        <x:v>357</x:v>
      </x:c>
      <x:c r="K11" s="25" t="n">
        <x:f>MIN('日経_S36'!F7:F53)</x:f>
        <x:v>-185148</x:v>
      </x:c>
      <x:c r="L11" s="25" t="n">
        <x:f>IF(H11=0,0,-SUMIFS('日経_S36'!F7:F53,'日経_S36'!F7:F53,"&lt;0")/H11)</x:f>
        <x:v>75578.5</x:v>
      </x:c>
      <x:c r="M11" s="12" t="n">
        <x:f>IF(COUNTIFS('日経_S36'!J7:J53,"&gt;0")=0,"",AVERAGEIFS('日経_S36'!N7:N53,'日経_S36'!J7:J53,"&gt;0"))</x:f>
        <x:v>183.38900709219854</x:v>
      </x:c>
      <x:c r="N11" s="12" t="n">
        <x:f>IF(COUNTIFS('日経_S36'!J7:J53,"&gt;0")=0,"",AVERAGEIFS('日経_S36'!O7:O53,'日経_S36'!J7:J53,"&gt;0"))</x:f>
        <x:v>144.42836879432616</x:v>
      </x:c>
      <x:c r="O11" s="11" t="n">
        <x:f>MAX('日経_S36'!L7:L53)</x:f>
        <x:v>10</x:v>
      </x:c>
      <x:c r="P11" s="2" t="str">
        <x:v>現行と独立枠：40分／効率による追従と反転の切替／最大5枚</x:v>
      </x:c>
      <x:c r="Q11" s="8" t="n">
        <x:f>COUNTIFS('日経_S36'!J7:J53,"=0")</x:f>
        <x:v>0</x:v>
      </x:c>
    </x:row>
    <x:row r="12" ht="22" customHeight="1">
      <x:c r="A12" s="2" t="str">
        <x:v>日経mini</x:v>
      </x:c>
      <x:c r="B12" s="2" t="str">
        <x:v>S36</x:v>
      </x:c>
      <x:c r="C12" s="2" t="str">
        <x:v>追加3場</x:v>
      </x:c>
      <x:c r="D12" s="25" t="n">
        <x:f>SUM('日経_S36'!D54:D56)</x:f>
        <x:v>193080</x:v>
      </x:c>
      <x:c r="E12" s="25" t="n">
        <x:f>SUM('日経_S36'!E54:E56)</x:f>
        <x:v>316996</x:v>
      </x:c>
      <x:c r="F12" s="25" t="n">
        <x:f>D12-E12</x:f>
        <x:v>-123916</x:v>
      </x:c>
      <x:c r="G12" s="11" t="n">
        <x:f>COUNTIFS('日経_S36'!F54:F56,"&gt;0")</x:f>
        <x:v>0</x:v>
      </x:c>
      <x:c r="H12" s="11" t="n">
        <x:f>COUNTIFS('日経_S36'!F54:F56,"&lt;0")</x:f>
        <x:v>3</x:v>
      </x:c>
      <x:c r="I12" s="25" t="n">
        <x:f>F12-MAX(0,LARGE('日経_S36'!F54:F56,1))-MAX(0,LARGE('日経_S36'!F54:F56,2))-MAX(0,LARGE('日経_S36'!F54:F56,3))</x:f>
        <x:v>-123916</x:v>
      </x:c>
      <x:c r="J12" s="11" t="n">
        <x:f>SUM('日経_S36'!J54:J56)</x:f>
        <x:v>16</x:v>
      </x:c>
      <x:c r="K12" s="25" t="n">
        <x:f>MIN('日経_S36'!F54:F56)</x:f>
        <x:v>-43538</x:v>
      </x:c>
      <x:c r="L12" s="25" t="n">
        <x:f>IF(H12=0,0,-SUMIFS('日経_S36'!F54:F56,'日経_S36'!F54:F56,"&lt;0")/H12)</x:f>
        <x:v>41305.333333333336</x:v>
      </x:c>
      <x:c r="M12" s="12" t="n">
        <x:f>IF(COUNTIFS('日経_S36'!J54:J56,"&gt;0")=0,"",AVERAGEIFS('日経_S36'!N54:N56,'日経_S36'!J54:J56,"&gt;0"))</x:f>
        <x:v>271.73333333333335</x:v>
      </x:c>
      <x:c r="N12" s="12" t="n">
        <x:f>IF(COUNTIFS('日経_S36'!J54:J56,"&gt;0")=0,"",AVERAGEIFS('日経_S36'!O54:O56,'日経_S36'!J54:J56,"&gt;0"))</x:f>
        <x:v>211.92222222222222</x:v>
      </x:c>
      <x:c r="O12" s="11" t="n">
        <x:f>MAX('日経_S36'!L54:L56)</x:f>
        <x:v>5</x:v>
      </x:c>
      <x:c r="P12" s="2" t="str">
        <x:v>現行と独立枠：40分／効率による追従と反転の切替／最大5枚</x:v>
      </x:c>
      <x:c r="Q12" s="8" t="n">
        <x:f>COUNTIFS('日経_S36'!J54:J56,"=0")</x:f>
        <x:v>0</x:v>
      </x:c>
    </x:row>
    <x:row r="13" ht="22" customHeight="1">
      <x:c r="A13" s="2" t="str">
        <x:v>日経mini</x:v>
      </x:c>
      <x:c r="B13" s="2" t="str">
        <x:v>R02</x:v>
      </x:c>
      <x:c r="C13" s="2" t="str">
        <x:v>全50場</x:v>
      </x:c>
      <x:c r="D13" s="25" t="n">
        <x:f>SUM('日経_R02'!D7:D56)</x:f>
        <x:v>4541731</x:v>
      </x:c>
      <x:c r="E13" s="25" t="n">
        <x:f>SUM('日経_R02'!E7:E56)</x:f>
        <x:v>2338898</x:v>
      </x:c>
      <x:c r="F13" s="25" t="n">
        <x:f>D13-E13</x:f>
        <x:v>2202833</x:v>
      </x:c>
      <x:c r="G13" s="11" t="n">
        <x:f>COUNTIFS('日経_R02'!F7:F56,"&gt;0")</x:f>
        <x:v>32</x:v>
      </x:c>
      <x:c r="H13" s="11" t="n">
        <x:f>COUNTIFS('日経_R02'!F7:F56,"&lt;0")</x:f>
        <x:v>18</x:v>
      </x:c>
      <x:c r="I13" s="25" t="n">
        <x:f>F13-MAX(0,LARGE('日経_R02'!F7:F56,1))-MAX(0,LARGE('日経_R02'!F7:F56,2))-MAX(0,LARGE('日経_R02'!F7:F56,3))</x:f>
        <x:v>1107368</x:v>
      </x:c>
      <x:c r="J13" s="11" t="n">
        <x:f>SUM('日経_R02'!J7:J56)</x:f>
        <x:v>131</x:v>
      </x:c>
      <x:c r="K13" s="25" t="n">
        <x:f>MIN('日経_R02'!F7:F56)</x:f>
        <x:v>-171458</x:v>
      </x:c>
      <x:c r="L13" s="25" t="n">
        <x:f>IF(H13=0,0,-SUMIFS('日経_R02'!F7:F56,'日経_R02'!F7:F56,"&lt;0")/H13)</x:f>
        <x:v>62823.333333333336</x:v>
      </x:c>
      <x:c r="M13" s="12" t="n">
        <x:f>IF(COUNTIFS('日経_R02'!J7:J56,"&gt;0")=0,"",AVERAGEIFS('日経_R02'!N7:N56,'日経_R02'!J7:J56,"&gt;0"))</x:f>
        <x:v>239.14166666666665</x:v>
      </x:c>
      <x:c r="N13" s="12" t="n">
        <x:f>IF(COUNTIFS('日経_R02'!J7:J56,"&gt;0")=0,"",AVERAGEIFS('日経_R02'!O7:O56,'日経_R02'!J7:J56,"&gt;0"))</x:f>
        <x:v>100.23499999999999</x:v>
      </x:c>
      <x:c r="O13" s="11" t="n">
        <x:f>MAX('日経_R02'!L7:L56)</x:f>
        <x:v>5</x:v>
      </x:c>
      <x:c r="P13" s="2" t="str">
        <x:v>利確後再参加：待ち時間だけの対照</x:v>
      </x:c>
      <x:c r="Q13" s="8" t="n">
        <x:f>COUNTIFS('日経_R02'!J7:J56,"=0")</x:f>
        <x:v>0</x:v>
      </x:c>
    </x:row>
    <x:row r="14" ht="22" customHeight="1">
      <x:c r="A14" s="2" t="str">
        <x:v>日経mini</x:v>
      </x:c>
      <x:c r="B14" s="2" t="str">
        <x:v>R02</x:v>
      </x:c>
      <x:c r="C14" s="2" t="str">
        <x:v>既知47場</x:v>
      </x:c>
      <x:c r="D14" s="25" t="n">
        <x:f>SUM('日経_R02'!D7:D53)</x:f>
        <x:v>4437115</x:v>
      </x:c>
      <x:c r="E14" s="25" t="n">
        <x:f>SUM('日経_R02'!E7:E53)</x:f>
        <x:v>2160592</x:v>
      </x:c>
      <x:c r="F14" s="25" t="n">
        <x:f>D14-E14</x:f>
        <x:v>2276523</x:v>
      </x:c>
      <x:c r="G14" s="11" t="n">
        <x:f>COUNTIFS('日経_R02'!F7:F53,"&gt;0")</x:f>
        <x:v>31</x:v>
      </x:c>
      <x:c r="H14" s="11" t="n">
        <x:f>COUNTIFS('日経_R02'!F7:F53,"&lt;0")</x:f>
        <x:v>16</x:v>
      </x:c>
      <x:c r="I14" s="25" t="n">
        <x:f>F14-MAX(0,LARGE('日経_R02'!F7:F53,1))-MAX(0,LARGE('日経_R02'!F7:F53,2))-MAX(0,LARGE('日経_R02'!F7:F53,3))</x:f>
        <x:v>1181058</x:v>
      </x:c>
      <x:c r="J14" s="11" t="n">
        <x:f>SUM('日経_R02'!J7:J53)</x:f>
        <x:v>126</x:v>
      </x:c>
      <x:c r="K14" s="25" t="n">
        <x:f>MIN('日経_R02'!F7:F53)</x:f>
        <x:v>-171458</x:v>
      </x:c>
      <x:c r="L14" s="25" t="n">
        <x:f>IF(H14=0,0,-SUMIFS('日経_R02'!F7:F53,'日経_R02'!F7:F53,"&lt;0")/H14)</x:f>
        <x:v>64378.25</x:v>
      </x:c>
      <x:c r="M14" s="12" t="n">
        <x:f>IF(COUNTIFS('日経_R02'!J7:J53,"&gt;0")=0,"",AVERAGEIFS('日経_R02'!N7:N53,'日経_R02'!J7:J53,"&gt;0"))</x:f>
        <x:v>236.14078014184395</x:v>
      </x:c>
      <x:c r="N14" s="12" t="n">
        <x:f>IF(COUNTIFS('日経_R02'!J7:J53,"&gt;0")=0,"",AVERAGEIFS('日経_R02'!O7:O53,'日経_R02'!J7:J53,"&gt;0"))</x:f>
        <x:v>105.64680851063827</x:v>
      </x:c>
      <x:c r="O14" s="11" t="n">
        <x:f>MAX('日経_R02'!L7:L53)</x:f>
        <x:v>5</x:v>
      </x:c>
      <x:c r="P14" s="2" t="str">
        <x:v>利確後再参加：待ち時間だけの対照</x:v>
      </x:c>
      <x:c r="Q14" s="8" t="n">
        <x:f>COUNTIFS('日経_R02'!J7:J53,"=0")</x:f>
        <x:v>0</x:v>
      </x:c>
    </x:row>
    <x:row r="15" ht="22" customHeight="1">
      <x:c r="A15" s="2" t="str">
        <x:v>日経mini</x:v>
      </x:c>
      <x:c r="B15" s="2" t="str">
        <x:v>R02</x:v>
      </x:c>
      <x:c r="C15" s="2" t="str">
        <x:v>追加3場</x:v>
      </x:c>
      <x:c r="D15" s="25" t="n">
        <x:f>SUM('日経_R02'!D54:D56)</x:f>
        <x:v>104616</x:v>
      </x:c>
      <x:c r="E15" s="25" t="n">
        <x:f>SUM('日経_R02'!E54:E56)</x:f>
        <x:v>178306</x:v>
      </x:c>
      <x:c r="F15" s="25" t="n">
        <x:f>D15-E15</x:f>
        <x:v>-73690</x:v>
      </x:c>
      <x:c r="G15" s="11" t="n">
        <x:f>COUNTIFS('日経_R02'!F54:F56,"&gt;0")</x:f>
        <x:v>1</x:v>
      </x:c>
      <x:c r="H15" s="11" t="n">
        <x:f>COUNTIFS('日経_R02'!F54:F56,"&lt;0")</x:f>
        <x:v>2</x:v>
      </x:c>
      <x:c r="I15" s="25" t="n">
        <x:f>F15-MAX(0,LARGE('日経_R02'!F54:F56,1))-MAX(0,LARGE('日経_R02'!F54:F56,2))-MAX(0,LARGE('日経_R02'!F54:F56,3))</x:f>
        <x:v>-100768</x:v>
      </x:c>
      <x:c r="J15" s="11" t="n">
        <x:f>SUM('日経_R02'!J54:J56)</x:f>
        <x:v>5</x:v>
      </x:c>
      <x:c r="K15" s="25" t="n">
        <x:f>MIN('日経_R02'!F54:F56)</x:f>
        <x:v>-55384</x:v>
      </x:c>
      <x:c r="L15" s="25" t="n">
        <x:f>IF(H15=0,0,-SUMIFS('日経_R02'!F54:F56,'日経_R02'!F54:F56,"&lt;0")/H15)</x:f>
        <x:v>50384</x:v>
      </x:c>
      <x:c r="M15" s="12" t="n">
        <x:f>IF(COUNTIFS('日経_R02'!J54:J56,"&gt;0")=0,"",AVERAGEIFS('日経_R02'!N54:N56,'日経_R02'!J54:J56,"&gt;0"))</x:f>
        <x:v>286.15555555555557</x:v>
      </x:c>
      <x:c r="N15" s="12" t="n">
        <x:f>IF(COUNTIFS('日経_R02'!J54:J56,"&gt;0")=0,"",AVERAGEIFS('日経_R02'!O54:O56,'日経_R02'!J54:J56,"&gt;0"))</x:f>
        <x:v>15.450000000000001</x:v>
      </x:c>
      <x:c r="O15" s="11" t="n">
        <x:f>MAX('日経_R02'!L54:L56)</x:f>
        <x:v>5</x:v>
      </x:c>
      <x:c r="P15" s="2" t="str">
        <x:v>利確後再参加：待ち時間だけの対照</x:v>
      </x:c>
      <x:c r="Q15" s="8" t="n">
        <x:f>COUNTIFS('日経_R02'!J54:J56,"=0")</x:f>
        <x:v>0</x:v>
      </x:c>
    </x:row>
    <x:row r="16" ht="22" customHeight="1">
      <x:c r="A16" s="2" t="str">
        <x:v>日経mini</x:v>
      </x:c>
      <x:c r="B16" s="2" t="str">
        <x:v>C36</x:v>
      </x:c>
      <x:c r="C16" s="2" t="str">
        <x:v>全50場</x:v>
      </x:c>
      <x:c r="D16" s="25" t="n">
        <x:f>SUM('日経_C36'!D7:D56)</x:f>
        <x:v>5459968</x:v>
      </x:c>
      <x:c r="E16" s="25" t="n">
        <x:f>SUM('日経_C36'!E7:E56)</x:f>
        <x:v>3464504</x:v>
      </x:c>
      <x:c r="F16" s="25" t="n">
        <x:f>D16-E16</x:f>
        <x:v>1995464</x:v>
      </x:c>
      <x:c r="G16" s="11" t="n">
        <x:f>COUNTIFS('日経_C36'!F7:F56,"&gt;0")</x:f>
        <x:v>33</x:v>
      </x:c>
      <x:c r="H16" s="11" t="n">
        <x:f>COUNTIFS('日経_C36'!F7:F56,"&lt;0")</x:f>
        <x:v>17</x:v>
      </x:c>
      <x:c r="I16" s="25" t="n">
        <x:f>F16-MAX(0,LARGE('日経_C36'!F7:F56,1))-MAX(0,LARGE('日経_C36'!F7:F56,2))-MAX(0,LARGE('日経_C36'!F7:F56,3))</x:f>
        <x:v>874372</x:v>
      </x:c>
      <x:c r="J16" s="11" t="n">
        <x:f>SUM('日経_C36'!J7:J56)</x:f>
        <x:v>313</x:v>
      </x:c>
      <x:c r="K16" s="25" t="n">
        <x:f>MIN('日経_C36'!F7:F56)</x:f>
        <x:v>-172378</x:v>
      </x:c>
      <x:c r="L16" s="25" t="n">
        <x:f>IF(H16=0,0,-SUMIFS('日経_C36'!F7:F56,'日経_C36'!F7:F56,"&lt;0")/H16)</x:f>
        <x:v>81278.11764705883</x:v>
      </x:c>
      <x:c r="M16" s="12" t="n">
        <x:f>IF(COUNTIFS('日経_C36'!J7:J56,"&gt;0")=0,"",AVERAGEIFS('日経_C36'!N7:N56,'日経_C36'!J7:J56,"&gt;0"))</x:f>
        <x:v>188.68966666666662</x:v>
      </x:c>
      <x:c r="N16" s="12" t="n">
        <x:f>IF(COUNTIFS('日経_C36'!J7:J56,"&gt;0")=0,"",AVERAGEIFS('日経_C36'!O7:O56,'日経_C36'!J7:J56,"&gt;0"))</x:f>
        <x:v>137.10299999999995</x:v>
      </x:c>
      <x:c r="O16" s="11" t="n">
        <x:f>MAX('日経_C36'!L7:L56)</x:f>
        <x:v>5</x:v>
      </x:c>
      <x:c r="P16" s="2" t="str">
        <x:v>現行と先着採用：40分／効率による追従と反転の切替／最大5枚</x:v>
      </x:c>
      <x:c r="Q16" s="8" t="n">
        <x:f>COUNTIFS('日経_C36'!J7:J56,"=0")</x:f>
        <x:v>0</x:v>
      </x:c>
    </x:row>
    <x:row r="17" ht="22" customHeight="1">
      <x:c r="A17" s="2" t="str">
        <x:v>日経mini</x:v>
      </x:c>
      <x:c r="B17" s="2" t="str">
        <x:v>C36</x:v>
      </x:c>
      <x:c r="C17" s="2" t="str">
        <x:v>既知47場</x:v>
      </x:c>
      <x:c r="D17" s="25" t="n">
        <x:f>SUM('日経_C36'!D7:D53)</x:f>
        <x:v>5266888</x:v>
      </x:c>
      <x:c r="E17" s="25" t="n">
        <x:f>SUM('日経_C36'!E7:E53)</x:f>
        <x:v>3192892</x:v>
      </x:c>
      <x:c r="F17" s="25" t="n">
        <x:f>D17-E17</x:f>
        <x:v>2073996</x:v>
      </x:c>
      <x:c r="G17" s="11" t="n">
        <x:f>COUNTIFS('日経_C36'!F7:F53,"&gt;0")</x:f>
        <x:v>32</x:v>
      </x:c>
      <x:c r="H17" s="11" t="n">
        <x:f>COUNTIFS('日経_C36'!F7:F53,"&lt;0")</x:f>
        <x:v>15</x:v>
      </x:c>
      <x:c r="I17" s="25" t="n">
        <x:f>F17-MAX(0,LARGE('日経_C36'!F7:F53,1))-MAX(0,LARGE('日経_C36'!F7:F53,2))-MAX(0,LARGE('日経_C36'!F7:F53,3))</x:f>
        <x:v>952904</x:v>
      </x:c>
      <x:c r="J17" s="11" t="n">
        <x:f>SUM('日経_C36'!J7:J53)</x:f>
        <x:v>298</x:v>
      </x:c>
      <x:c r="K17" s="25" t="n">
        <x:f>MIN('日経_C36'!F7:F53)</x:f>
        <x:v>-172378</x:v>
      </x:c>
      <x:c r="L17" s="25" t="n">
        <x:f>IF(H17=0,0,-SUMIFS('日経_C36'!F7:F53,'日経_C36'!F7:F53,"&lt;0")/H17)</x:f>
        <x:v>86664.13333333333</x:v>
      </x:c>
      <x:c r="M17" s="12" t="n">
        <x:f>IF(COUNTIFS('日経_C36'!J7:J53,"&gt;0")=0,"",AVERAGEIFS('日経_C36'!N7:N53,'日経_C36'!J7:J53,"&gt;0"))</x:f>
        <x:v>183.38900709219854</x:v>
      </x:c>
      <x:c r="N17" s="12" t="n">
        <x:f>IF(COUNTIFS('日経_C36'!J7:J53,"&gt;0")=0,"",AVERAGEIFS('日経_C36'!O7:O53,'日経_C36'!J7:J53,"&gt;0"))</x:f>
        <x:v>132.32730496453897</x:v>
      </x:c>
      <x:c r="O17" s="11" t="n">
        <x:f>MAX('日経_C36'!L7:L53)</x:f>
        <x:v>5</x:v>
      </x:c>
      <x:c r="P17" s="2" t="str">
        <x:v>現行と先着採用：40分／効率による追従と反転の切替／最大5枚</x:v>
      </x:c>
      <x:c r="Q17" s="8" t="n">
        <x:f>COUNTIFS('日経_C36'!J7:J53,"=0")</x:f>
        <x:v>0</x:v>
      </x:c>
    </x:row>
    <x:row r="18" ht="22" customHeight="1">
      <x:c r="A18" s="2" t="str">
        <x:v>日経mini</x:v>
      </x:c>
      <x:c r="B18" s="2" t="str">
        <x:v>C36</x:v>
      </x:c>
      <x:c r="C18" s="2" t="str">
        <x:v>追加3場</x:v>
      </x:c>
      <x:c r="D18" s="25" t="n">
        <x:f>SUM('日経_C36'!D54:D56)</x:f>
        <x:v>193080</x:v>
      </x:c>
      <x:c r="E18" s="25" t="n">
        <x:f>SUM('日経_C36'!E54:E56)</x:f>
        <x:v>271612</x:v>
      </x:c>
      <x:c r="F18" s="25" t="n">
        <x:f>D18-E18</x:f>
        <x:v>-78532</x:v>
      </x:c>
      <x:c r="G18" s="11" t="n">
        <x:f>COUNTIFS('日経_C36'!F54:F56,"&gt;0")</x:f>
        <x:v>1</x:v>
      </x:c>
      <x:c r="H18" s="11" t="n">
        <x:f>COUNTIFS('日経_C36'!F54:F56,"&lt;0")</x:f>
        <x:v>2</x:v>
      </x:c>
      <x:c r="I18" s="25" t="n">
        <x:f>F18-MAX(0,LARGE('日経_C36'!F54:F56,1))-MAX(0,LARGE('日経_C36'!F54:F56,2))-MAX(0,LARGE('日経_C36'!F54:F56,3))</x:f>
        <x:v>-81766</x:v>
      </x:c>
      <x:c r="J18" s="11" t="n">
        <x:f>SUM('日経_C36'!J54:J56)</x:f>
        <x:v>15</x:v>
      </x:c>
      <x:c r="K18" s="25" t="n">
        <x:f>MIN('日経_C36'!F54:F56)</x:f>
        <x:v>-43538</x:v>
      </x:c>
      <x:c r="L18" s="25" t="n">
        <x:f>IF(H18=0,0,-SUMIFS('日経_C36'!F54:F56,'日経_C36'!F54:F56,"&lt;0")/H18)</x:f>
        <x:v>40883</x:v>
      </x:c>
      <x:c r="M18" s="12" t="n">
        <x:f>IF(COUNTIFS('日経_C36'!J54:J56,"&gt;0")=0,"",AVERAGEIFS('日経_C36'!N54:N56,'日経_C36'!J54:J56,"&gt;0"))</x:f>
        <x:v>271.73333333333335</x:v>
      </x:c>
      <x:c r="N18" s="12" t="n">
        <x:f>IF(COUNTIFS('日経_C36'!J54:J56,"&gt;0")=0,"",AVERAGEIFS('日経_C36'!O54:O56,'日経_C36'!J54:J56,"&gt;0"))</x:f>
        <x:v>211.92222222222222</x:v>
      </x:c>
      <x:c r="O18" s="11" t="n">
        <x:f>MAX('日経_C36'!L54:L56)</x:f>
        <x:v>5</x:v>
      </x:c>
      <x:c r="P18" s="2" t="str">
        <x:v>現行と先着採用：40分／効率による追従と反転の切替／最大5枚</x:v>
      </x:c>
      <x:c r="Q18" s="8" t="n">
        <x:f>COUNTIFS('日経_C36'!J54:J56,"=0")</x:f>
        <x:v>0</x:v>
      </x:c>
    </x:row>
    <x:row r="19" ht="22" customHeight="1">
      <x:c r="A19" s="2" t="str">
        <x:v>TOPIXmini</x:v>
      </x:c>
      <x:c r="B19" s="2" t="str">
        <x:v>B5</x:v>
      </x:c>
      <x:c r="C19" s="2" t="str">
        <x:v>全50場</x:v>
      </x:c>
      <x:c r="D19" s="25" t="n">
        <x:f>SUM('TOPIX_B5'!D7:D56)</x:f>
        <x:v>2221536</x:v>
      </x:c>
      <x:c r="E19" s="25" t="n">
        <x:f>SUM('TOPIX_B5'!E7:E56)</x:f>
        <x:v>1466251</x:v>
      </x:c>
      <x:c r="F19" s="25" t="n">
        <x:f>D19-E19</x:f>
        <x:v>755285</x:v>
      </x:c>
      <x:c r="G19" s="11" t="n">
        <x:f>COUNTIFS('TOPIX_B5'!F7:F56,"&gt;0")</x:f>
        <x:v>38</x:v>
      </x:c>
      <x:c r="H19" s="11" t="n">
        <x:f>COUNTIFS('TOPIX_B5'!F7:F56,"&lt;0")</x:f>
        <x:v>12</x:v>
      </x:c>
      <x:c r="I19" s="25" t="n">
        <x:f>F19-MAX(0,LARGE('TOPIX_B5'!F7:F56,1))-MAX(0,LARGE('TOPIX_B5'!F7:F56,2))-MAX(0,LARGE('TOPIX_B5'!F7:F56,3))</x:f>
        <x:v>454208</x:v>
      </x:c>
      <x:c r="J19" s="11" t="n">
        <x:f>SUM('TOPIX_B5'!J7:J56)</x:f>
        <x:v>119</x:v>
      </x:c>
      <x:c r="K19" s="25" t="n">
        <x:f>MIN('TOPIX_B5'!F7:F56)</x:f>
        <x:v>-131254</x:v>
      </x:c>
      <x:c r="L19" s="25" t="n">
        <x:f>IF(H19=0,0,-SUMIFS('TOPIX_B5'!F7:F56,'TOPIX_B5'!F7:F56,"&lt;0")/H19)</x:f>
        <x:v>48392.25</x:v>
      </x:c>
      <x:c r="M19" s="12" t="n">
        <x:f>IF(COUNTIFS('TOPIX_B5'!J7:J56,"&gt;0")=0,"",AVERAGEIFS('TOPIX_B5'!N7:N56,'TOPIX_B5'!J7:J56,"&gt;0"))</x:f>
        <x:v>248.86666666666662</x:v>
      </x:c>
      <x:c r="N19" s="12" t="n">
        <x:f>IF(COUNTIFS('TOPIX_B5'!J7:J56,"&gt;0")=0,"",AVERAGEIFS('TOPIX_B5'!O7:O56,'TOPIX_B5'!J7:J56,"&gt;0"))</x:f>
        <x:v>113.57999999999998</x:v>
      </x:c>
      <x:c r="O19" s="11" t="n">
        <x:f>MAX('TOPIX_B5'!L7:L56)</x:f>
        <x:v>5</x:v>
      </x:c>
      <x:c r="P19" s="2" t="str">
        <x:v>現行基準：T06／T04・U06</x:v>
      </x:c>
      <x:c r="Q19" s="8" t="n">
        <x:f>COUNTIFS('TOPIX_B5'!J7:J56,"=0")</x:f>
        <x:v>0</x:v>
      </x:c>
    </x:row>
    <x:row r="20" ht="22" customHeight="1">
      <x:c r="A20" s="2" t="str">
        <x:v>TOPIXmini</x:v>
      </x:c>
      <x:c r="B20" s="2" t="str">
        <x:v>B5</x:v>
      </x:c>
      <x:c r="C20" s="2" t="str">
        <x:v>既知47場</x:v>
      </x:c>
      <x:c r="D20" s="25" t="n">
        <x:f>SUM('TOPIX_B5'!D7:D53)</x:f>
        <x:v>2123208</x:v>
      </x:c>
      <x:c r="E20" s="25" t="n">
        <x:f>SUM('TOPIX_B5'!E7:E53)</x:f>
        <x:v>1299161</x:v>
      </x:c>
      <x:c r="F20" s="25" t="n">
        <x:f>D20-E20</x:f>
        <x:v>824047</x:v>
      </x:c>
      <x:c r="G20" s="11" t="n">
        <x:f>COUNTIFS('TOPIX_B5'!F7:F53,"&gt;0")</x:f>
        <x:v>36</x:v>
      </x:c>
      <x:c r="H20" s="11" t="n">
        <x:f>COUNTIFS('TOPIX_B5'!F7:F53,"&lt;0")</x:f>
        <x:v>11</x:v>
      </x:c>
      <x:c r="I20" s="25" t="n">
        <x:f>F20-MAX(0,LARGE('TOPIX_B5'!F7:F53,1))-MAX(0,LARGE('TOPIX_B5'!F7:F53,2))-MAX(0,LARGE('TOPIX_B5'!F7:F53,3))</x:f>
        <x:v>522970</x:v>
      </x:c>
      <x:c r="J20" s="11" t="n">
        <x:f>SUM('TOPIX_B5'!J7:J53)</x:f>
        <x:v>110</x:v>
      </x:c>
      <x:c r="K20" s="25" t="n">
        <x:f>MIN('TOPIX_B5'!F7:F53)</x:f>
        <x:v>-79172</x:v>
      </x:c>
      <x:c r="L20" s="25" t="n">
        <x:f>IF(H20=0,0,-SUMIFS('TOPIX_B5'!F7:F53,'TOPIX_B5'!F7:F53,"&lt;0")/H20)</x:f>
        <x:v>40859.36363636364</x:v>
      </x:c>
      <x:c r="M20" s="12" t="n">
        <x:f>IF(COUNTIFS('TOPIX_B5'!J7:J53,"&gt;0")=0,"",AVERAGEIFS('TOPIX_B5'!N7:N53,'TOPIX_B5'!J7:J53,"&gt;0"))</x:f>
        <x:v>246.12127659574463</x:v>
      </x:c>
      <x:c r="N20" s="12" t="n">
        <x:f>IF(COUNTIFS('TOPIX_B5'!J7:J53,"&gt;0")=0,"",AVERAGEIFS('TOPIX_B5'!O7:O53,'TOPIX_B5'!J7:J53,"&gt;0"))</x:f>
        <x:v>117.50496453900708</x:v>
      </x:c>
      <x:c r="O20" s="11" t="n">
        <x:f>MAX('TOPIX_B5'!L7:L53)</x:f>
        <x:v>5</x:v>
      </x:c>
      <x:c r="P20" s="2" t="str">
        <x:v>現行基準：T06／T04・U06</x:v>
      </x:c>
      <x:c r="Q20" s="8" t="n">
        <x:f>COUNTIFS('TOPIX_B5'!J7:J53,"=0")</x:f>
        <x:v>0</x:v>
      </x:c>
    </x:row>
    <x:row r="21" ht="22" customHeight="1">
      <x:c r="A21" s="2" t="str">
        <x:v>TOPIXmini</x:v>
      </x:c>
      <x:c r="B21" s="2" t="str">
        <x:v>B5</x:v>
      </x:c>
      <x:c r="C21" s="2" t="str">
        <x:v>追加3場</x:v>
      </x:c>
      <x:c r="D21" s="25" t="n">
        <x:f>SUM('TOPIX_B5'!D54:D56)</x:f>
        <x:v>98328</x:v>
      </x:c>
      <x:c r="E21" s="25" t="n">
        <x:f>SUM('TOPIX_B5'!E54:E56)</x:f>
        <x:v>167090</x:v>
      </x:c>
      <x:c r="F21" s="25" t="n">
        <x:f>D21-E21</x:f>
        <x:v>-68762</x:v>
      </x:c>
      <x:c r="G21" s="11" t="n">
        <x:f>COUNTIFS('TOPIX_B5'!F54:F56,"&gt;0")</x:f>
        <x:v>2</x:v>
      </x:c>
      <x:c r="H21" s="11" t="n">
        <x:f>COUNTIFS('TOPIX_B5'!F54:F56,"&lt;0")</x:f>
        <x:v>1</x:v>
      </x:c>
      <x:c r="I21" s="25" t="n">
        <x:f>F21-MAX(0,LARGE('TOPIX_B5'!F54:F56,1))-MAX(0,LARGE('TOPIX_B5'!F54:F56,2))-MAX(0,LARGE('TOPIX_B5'!F54:F56,3))</x:f>
        <x:v>-131254</x:v>
      </x:c>
      <x:c r="J21" s="11" t="n">
        <x:f>SUM('TOPIX_B5'!J54:J56)</x:f>
        <x:v>9</x:v>
      </x:c>
      <x:c r="K21" s="25" t="n">
        <x:f>MIN('TOPIX_B5'!F54:F56)</x:f>
        <x:v>-131254</x:v>
      </x:c>
      <x:c r="L21" s="25" t="n">
        <x:f>IF(H21=0,0,-SUMIFS('TOPIX_B5'!F54:F56,'TOPIX_B5'!F54:F56,"&lt;0")/H21)</x:f>
        <x:v>131254</x:v>
      </x:c>
      <x:c r="M21" s="12" t="n">
        <x:f>IF(COUNTIFS('TOPIX_B5'!J54:J56,"&gt;0")=0,"",AVERAGEIFS('TOPIX_B5'!N54:N56,'TOPIX_B5'!J54:J56,"&gt;0"))</x:f>
        <x:v>291.8777777777778</x:v>
      </x:c>
      <x:c r="N21" s="12" t="n">
        <x:f>IF(COUNTIFS('TOPIX_B5'!J54:J56,"&gt;0")=0,"",AVERAGEIFS('TOPIX_B5'!O54:O56,'TOPIX_B5'!J54:J56,"&gt;0"))</x:f>
        <x:v>52.088888888888896</x:v>
      </x:c>
      <x:c r="O21" s="11" t="n">
        <x:f>MAX('TOPIX_B5'!L54:L56)</x:f>
        <x:v>5</x:v>
      </x:c>
      <x:c r="P21" s="2" t="str">
        <x:v>現行基準：T06／T04・U06</x:v>
      </x:c>
      <x:c r="Q21" s="8" t="n">
        <x:f>COUNTIFS('TOPIX_B5'!J54:J56,"=0")</x:f>
        <x:v>0</x:v>
      </x:c>
    </x:row>
    <x:row r="22" ht="22" customHeight="1">
      <x:c r="A22" s="2" t="str">
        <x:v>TOPIXmini</x:v>
      </x:c>
      <x:c r="B22" s="2" t="str">
        <x:v>C33</x:v>
      </x:c>
      <x:c r="C22" s="2" t="str">
        <x:v>全50場</x:v>
      </x:c>
      <x:c r="D22" s="25" t="n">
        <x:f>SUM('TOPIX_C33'!D7:D56)</x:f>
        <x:v>2507746</x:v>
      </x:c>
      <x:c r="E22" s="25" t="n">
        <x:f>SUM('TOPIX_C33'!E7:E56)</x:f>
        <x:v>1522042</x:v>
      </x:c>
      <x:c r="F22" s="25" t="n">
        <x:f>D22-E22</x:f>
        <x:v>985704</x:v>
      </x:c>
      <x:c r="G22" s="11" t="n">
        <x:f>COUNTIFS('TOPIX_C33'!F7:F56,"&gt;0")</x:f>
        <x:v>39</x:v>
      </x:c>
      <x:c r="H22" s="11" t="n">
        <x:f>COUNTIFS('TOPIX_C33'!F7:F56,"&lt;0")</x:f>
        <x:v>11</x:v>
      </x:c>
      <x:c r="I22" s="25" t="n">
        <x:f>F22-MAX(0,LARGE('TOPIX_C33'!F7:F56,1))-MAX(0,LARGE('TOPIX_C33'!F7:F56,2))-MAX(0,LARGE('TOPIX_C33'!F7:F56,3))</x:f>
        <x:v>603622</x:v>
      </x:c>
      <x:c r="J22" s="11" t="n">
        <x:f>SUM('TOPIX_C33'!J7:J56)</x:f>
        <x:v>194</x:v>
      </x:c>
      <x:c r="K22" s="25" t="n">
        <x:f>MIN('TOPIX_C33'!F7:F56)</x:f>
        <x:v>-68328</x:v>
      </x:c>
      <x:c r="L22" s="25" t="n">
        <x:f>IF(H22=0,0,-SUMIFS('TOPIX_C33'!F7:F56,'TOPIX_C33'!F7:F56,"&lt;0")/H22)</x:f>
        <x:v>30242.81818181818</x:v>
      </x:c>
      <x:c r="M22" s="12" t="n">
        <x:f>IF(COUNTIFS('TOPIX_C33'!J7:J56,"&gt;0")=0,"",AVERAGEIFS('TOPIX_C33'!N7:N56,'TOPIX_C33'!J7:J56,"&gt;0"))</x:f>
        <x:v>185.33866666666665</x:v>
      </x:c>
      <x:c r="N22" s="12" t="n">
        <x:f>IF(COUNTIFS('TOPIX_C33'!J7:J56,"&gt;0")=0,"",AVERAGEIFS('TOPIX_C33'!O7:O56,'TOPIX_C33'!J7:J56,"&gt;0"))</x:f>
        <x:v>146.9083333333333</x:v>
      </x:c>
      <x:c r="O22" s="11" t="n">
        <x:f>MAX('TOPIX_C33'!L7:L56)</x:f>
        <x:v>5</x:v>
      </x:c>
      <x:c r="P22" s="2" t="str">
        <x:v>現行と先着採用：40分／低効率帯の端から反転／最大2枚</x:v>
      </x:c>
      <x:c r="Q22" s="8" t="n">
        <x:f>COUNTIFS('TOPIX_C33'!J7:J56,"=0")</x:f>
        <x:v>0</x:v>
      </x:c>
    </x:row>
    <x:row r="23" ht="22" customHeight="1">
      <x:c r="A23" s="2" t="str">
        <x:v>TOPIXmini</x:v>
      </x:c>
      <x:c r="B23" s="2" t="str">
        <x:v>C33</x:v>
      </x:c>
      <x:c r="C23" s="2" t="str">
        <x:v>既知47場</x:v>
      </x:c>
      <x:c r="D23" s="25" t="n">
        <x:f>SUM('TOPIX_C33'!D7:D53)</x:f>
        <x:v>2318912</x:v>
      </x:c>
      <x:c r="E23" s="25" t="n">
        <x:f>SUM('TOPIX_C33'!E7:E53)</x:f>
        <x:v>1340376</x:v>
      </x:c>
      <x:c r="F23" s="25" t="n">
        <x:f>D23-E23</x:f>
        <x:v>978536</x:v>
      </x:c>
      <x:c r="G23" s="11" t="n">
        <x:f>COUNTIFS('TOPIX_C33'!F7:F53,"&gt;0")</x:f>
        <x:v>37</x:v>
      </x:c>
      <x:c r="H23" s="11" t="n">
        <x:f>COUNTIFS('TOPIX_C33'!F7:F53,"&lt;0")</x:f>
        <x:v>10</x:v>
      </x:c>
      <x:c r="I23" s="25" t="n">
        <x:f>F23-MAX(0,LARGE('TOPIX_C33'!F7:F53,1))-MAX(0,LARGE('TOPIX_C33'!F7:F53,2))-MAX(0,LARGE('TOPIX_C33'!F7:F53,3))</x:f>
        <x:v>596454</x:v>
      </x:c>
      <x:c r="J23" s="11" t="n">
        <x:f>SUM('TOPIX_C33'!J7:J53)</x:f>
        <x:v>172</x:v>
      </x:c>
      <x:c r="K23" s="25" t="n">
        <x:f>MIN('TOPIX_C33'!F7:F53)</x:f>
        <x:v>-44086</x:v>
      </x:c>
      <x:c r="L23" s="25" t="n">
        <x:f>IF(H23=0,0,-SUMIFS('TOPIX_C33'!F7:F53,'TOPIX_C33'!F7:F53,"&lt;0")/H23)</x:f>
        <x:v>26434.3</x:v>
      </x:c>
      <x:c r="M23" s="12" t="n">
        <x:f>IF(COUNTIFS('TOPIX_C33'!J7:J53,"&gt;0")=0,"",AVERAGEIFS('TOPIX_C33'!N7:N53,'TOPIX_C33'!J7:J53,"&gt;0"))</x:f>
        <x:v>192.0514184397163</x:v>
      </x:c>
      <x:c r="N23" s="12" t="n">
        <x:f>IF(COUNTIFS('TOPIX_C33'!J7:J53,"&gt;0")=0,"",AVERAGEIFS('TOPIX_C33'!O7:O53,'TOPIX_C33'!J7:J53,"&gt;0"))</x:f>
        <x:v>148.75992907801415</x:v>
      </x:c>
      <x:c r="O23" s="11" t="n">
        <x:f>MAX('TOPIX_C33'!L7:L53)</x:f>
        <x:v>5</x:v>
      </x:c>
      <x:c r="P23" s="2" t="str">
        <x:v>現行と先着採用：40分／低効率帯の端から反転／最大2枚</x:v>
      </x:c>
      <x:c r="Q23" s="8" t="n">
        <x:f>COUNTIFS('TOPIX_C33'!J7:J53,"=0")</x:f>
        <x:v>0</x:v>
      </x:c>
    </x:row>
    <x:row r="24" ht="22" customHeight="1">
      <x:c r="A24" s="2" t="str">
        <x:v>TOPIXmini</x:v>
      </x:c>
      <x:c r="B24" s="2" t="str">
        <x:v>C33</x:v>
      </x:c>
      <x:c r="C24" s="2" t="str">
        <x:v>追加3場</x:v>
      </x:c>
      <x:c r="D24" s="25" t="n">
        <x:f>SUM('TOPIX_C33'!D54:D56)</x:f>
        <x:v>188834</x:v>
      </x:c>
      <x:c r="E24" s="25" t="n">
        <x:f>SUM('TOPIX_C33'!E54:E56)</x:f>
        <x:v>181666</x:v>
      </x:c>
      <x:c r="F24" s="25" t="n">
        <x:f>D24-E24</x:f>
        <x:v>7168</x:v>
      </x:c>
      <x:c r="G24" s="11" t="n">
        <x:f>COUNTIFS('TOPIX_C33'!F54:F56,"&gt;0")</x:f>
        <x:v>2</x:v>
      </x:c>
      <x:c r="H24" s="11" t="n">
        <x:f>COUNTIFS('TOPIX_C33'!F54:F56,"&lt;0")</x:f>
        <x:v>1</x:v>
      </x:c>
      <x:c r="I24" s="25" t="n">
        <x:f>F24-MAX(0,LARGE('TOPIX_C33'!F54:F56,1))-MAX(0,LARGE('TOPIX_C33'!F54:F56,2))-MAX(0,LARGE('TOPIX_C33'!F54:F56,3))</x:f>
        <x:v>-68328</x:v>
      </x:c>
      <x:c r="J24" s="11" t="n">
        <x:f>SUM('TOPIX_C33'!J54:J56)</x:f>
        <x:v>22</x:v>
      </x:c>
      <x:c r="K24" s="25" t="n">
        <x:f>MIN('TOPIX_C33'!F54:F56)</x:f>
        <x:v>-68328</x:v>
      </x:c>
      <x:c r="L24" s="25" t="n">
        <x:f>IF(H24=0,0,-SUMIFS('TOPIX_C33'!F54:F56,'TOPIX_C33'!F54:F56,"&lt;0")/H24)</x:f>
        <x:v>68328</x:v>
      </x:c>
      <x:c r="M24" s="12" t="n">
        <x:f>IF(COUNTIFS('TOPIX_C33'!J54:J56,"&gt;0")=0,"",AVERAGEIFS('TOPIX_C33'!N54:N56,'TOPIX_C33'!J54:J56,"&gt;0"))</x:f>
        <x:v>80.17222222222223</x:v>
      </x:c>
      <x:c r="N24" s="12" t="n">
        <x:f>IF(COUNTIFS('TOPIX_C33'!J54:J56,"&gt;0")=0,"",AVERAGEIFS('TOPIX_C33'!O54:O56,'TOPIX_C33'!J54:J56,"&gt;0"))</x:f>
        <x:v>117.89999999999999</x:v>
      </x:c>
      <x:c r="O24" s="11" t="n">
        <x:f>MAX('TOPIX_C33'!L54:L56)</x:f>
        <x:v>5</x:v>
      </x:c>
      <x:c r="P24" s="2" t="str">
        <x:v>現行と先着採用：40分／低効率帯の端から反転／最大2枚</x:v>
      </x:c>
      <x:c r="Q24" s="8" t="n">
        <x:f>COUNTIFS('TOPIX_C33'!J54:J56,"=0")</x:f>
        <x:v>0</x:v>
      </x:c>
    </x:row>
    <x:row r="25" ht="22" customHeight="1">
      <x:c r="A25" s="2" t="str">
        <x:v>TOPIXmini</x:v>
      </x:c>
      <x:c r="B25" s="2" t="str">
        <x:v>R09</x:v>
      </x:c>
      <x:c r="C25" s="2" t="str">
        <x:v>全50場</x:v>
      </x:c>
      <x:c r="D25" s="25" t="n">
        <x:f>SUM('TOPIX_R09'!D7:D56)</x:f>
        <x:v>2228790</x:v>
      </x:c>
      <x:c r="E25" s="25" t="n">
        <x:f>SUM('TOPIX_R09'!E7:E56)</x:f>
        <x:v>1461161</x:v>
      </x:c>
      <x:c r="F25" s="25" t="n">
        <x:f>D25-E25</x:f>
        <x:v>767629</x:v>
      </x:c>
      <x:c r="G25" s="11" t="n">
        <x:f>COUNTIFS('TOPIX_R09'!F7:F56,"&gt;0")</x:f>
        <x:v>38</x:v>
      </x:c>
      <x:c r="H25" s="11" t="n">
        <x:f>COUNTIFS('TOPIX_R09'!F7:F56,"&lt;0")</x:f>
        <x:v>12</x:v>
      </x:c>
      <x:c r="I25" s="25" t="n">
        <x:f>F25-MAX(0,LARGE('TOPIX_R09'!F7:F56,1))-MAX(0,LARGE('TOPIX_R09'!F7:F56,2))-MAX(0,LARGE('TOPIX_R09'!F7:F56,3))</x:f>
        <x:v>466552</x:v>
      </x:c>
      <x:c r="J25" s="11" t="n">
        <x:f>SUM('TOPIX_R09'!J7:J56)</x:f>
        <x:v>125</x:v>
      </x:c>
      <x:c r="K25" s="25" t="n">
        <x:f>MIN('TOPIX_R09'!F7:F56)</x:f>
        <x:v>-131254</x:v>
      </x:c>
      <x:c r="L25" s="25" t="n">
        <x:f>IF(H25=0,0,-SUMIFS('TOPIX_R09'!F7:F56,'TOPIX_R09'!F7:F56,"&lt;0")/H25)</x:f>
        <x:v>48232.416666666664</x:v>
      </x:c>
      <x:c r="M25" s="12" t="n">
        <x:f>IF(COUNTIFS('TOPIX_R09'!J7:J56,"&gt;0")=0,"",AVERAGEIFS('TOPIX_R09'!N7:N56,'TOPIX_R09'!J7:J56,"&gt;0"))</x:f>
        <x:v>248.86666666666662</x:v>
      </x:c>
      <x:c r="N25" s="12" t="n">
        <x:f>IF(COUNTIFS('TOPIX_R09'!J7:J56,"&gt;0")=0,"",AVERAGEIFS('TOPIX_R09'!O7:O56,'TOPIX_R09'!J7:J56,"&gt;0"))</x:f>
        <x:v>115.24166666666667</x:v>
      </x:c>
      <x:c r="O25" s="11" t="n">
        <x:f>MAX('TOPIX_R09'!L7:L56)</x:f>
        <x:v>5</x:v>
      </x:c>
      <x:c r="P25" s="2" t="str">
        <x:v>利確後再参加：1枚で参加</x:v>
      </x:c>
      <x:c r="Q25" s="8" t="n">
        <x:f>COUNTIFS('TOPIX_R09'!J7:J56,"=0")</x:f>
        <x:v>0</x:v>
      </x:c>
    </x:row>
    <x:row r="26" ht="22" customHeight="1">
      <x:c r="A26" s="2" t="str">
        <x:v>TOPIXmini</x:v>
      </x:c>
      <x:c r="B26" s="2" t="str">
        <x:v>R09</x:v>
      </x:c>
      <x:c r="C26" s="2" t="str">
        <x:v>既知47場</x:v>
      </x:c>
      <x:c r="D26" s="25" t="n">
        <x:f>SUM('TOPIX_R09'!D7:D53)</x:f>
        <x:v>2130462</x:v>
      </x:c>
      <x:c r="E26" s="25" t="n">
        <x:f>SUM('TOPIX_R09'!E7:E53)</x:f>
        <x:v>1288989</x:v>
      </x:c>
      <x:c r="F26" s="25" t="n">
        <x:f>D26-E26</x:f>
        <x:v>841473</x:v>
      </x:c>
      <x:c r="G26" s="11" t="n">
        <x:f>COUNTIFS('TOPIX_R09'!F7:F53,"&gt;0")</x:f>
        <x:v>36</x:v>
      </x:c>
      <x:c r="H26" s="11" t="n">
        <x:f>COUNTIFS('TOPIX_R09'!F7:F53,"&lt;0")</x:f>
        <x:v>11</x:v>
      </x:c>
      <x:c r="I26" s="25" t="n">
        <x:f>F26-MAX(0,LARGE('TOPIX_R09'!F7:F53,1))-MAX(0,LARGE('TOPIX_R09'!F7:F53,2))-MAX(0,LARGE('TOPIX_R09'!F7:F53,3))</x:f>
        <x:v>540396</x:v>
      </x:c>
      <x:c r="J26" s="11" t="n">
        <x:f>SUM('TOPIX_R09'!J7:J53)</x:f>
        <x:v>115</x:v>
      </x:c>
      <x:c r="K26" s="25" t="n">
        <x:f>MIN('TOPIX_R09'!F7:F53)</x:f>
        <x:v>-79172</x:v>
      </x:c>
      <x:c r="L26" s="25" t="n">
        <x:f>IF(H26=0,0,-SUMIFS('TOPIX_R09'!F7:F53,'TOPIX_R09'!F7:F53,"&lt;0")/H26)</x:f>
        <x:v>40685</x:v>
      </x:c>
      <x:c r="M26" s="12" t="n">
        <x:f>IF(COUNTIFS('TOPIX_R09'!J7:J53,"&gt;0")=0,"",AVERAGEIFS('TOPIX_R09'!N7:N53,'TOPIX_R09'!J7:J53,"&gt;0"))</x:f>
        <x:v>246.12127659574463</x:v>
      </x:c>
      <x:c r="N26" s="12" t="n">
        <x:f>IF(COUNTIFS('TOPIX_R09'!J7:J53,"&gt;0")=0,"",AVERAGEIFS('TOPIX_R09'!O7:O53,'TOPIX_R09'!J7:J53,"&gt;0"))</x:f>
        <x:v>118.77553191489363</x:v>
      </x:c>
      <x:c r="O26" s="11" t="n">
        <x:f>MAX('TOPIX_R09'!L7:L53)</x:f>
        <x:v>5</x:v>
      </x:c>
      <x:c r="P26" s="2" t="str">
        <x:v>利確後再参加：1枚で参加</x:v>
      </x:c>
      <x:c r="Q26" s="8" t="n">
        <x:f>COUNTIFS('TOPIX_R09'!J7:J53,"=0")</x:f>
        <x:v>0</x:v>
      </x:c>
    </x:row>
    <x:row r="27" ht="22" customHeight="1">
      <x:c r="A27" s="2" t="str">
        <x:v>TOPIXmini</x:v>
      </x:c>
      <x:c r="B27" s="2" t="str">
        <x:v>R09</x:v>
      </x:c>
      <x:c r="C27" s="2" t="str">
        <x:v>追加3場</x:v>
      </x:c>
      <x:c r="D27" s="25" t="n">
        <x:f>SUM('TOPIX_R09'!D54:D56)</x:f>
        <x:v>98328</x:v>
      </x:c>
      <x:c r="E27" s="25" t="n">
        <x:f>SUM('TOPIX_R09'!E54:E56)</x:f>
        <x:v>172172</x:v>
      </x:c>
      <x:c r="F27" s="25" t="n">
        <x:f>D27-E27</x:f>
        <x:v>-73844</x:v>
      </x:c>
      <x:c r="G27" s="11" t="n">
        <x:f>COUNTIFS('TOPIX_R09'!F54:F56,"&gt;0")</x:f>
        <x:v>2</x:v>
      </x:c>
      <x:c r="H27" s="11" t="n">
        <x:f>COUNTIFS('TOPIX_R09'!F54:F56,"&lt;0")</x:f>
        <x:v>1</x:v>
      </x:c>
      <x:c r="I27" s="25" t="n">
        <x:f>F27-MAX(0,LARGE('TOPIX_R09'!F54:F56,1))-MAX(0,LARGE('TOPIX_R09'!F54:F56,2))-MAX(0,LARGE('TOPIX_R09'!F54:F56,3))</x:f>
        <x:v>-131254</x:v>
      </x:c>
      <x:c r="J27" s="11" t="n">
        <x:f>SUM('TOPIX_R09'!J54:J56)</x:f>
        <x:v>10</x:v>
      </x:c>
      <x:c r="K27" s="25" t="n">
        <x:f>MIN('TOPIX_R09'!F54:F56)</x:f>
        <x:v>-131254</x:v>
      </x:c>
      <x:c r="L27" s="25" t="n">
        <x:f>IF(H27=0,0,-SUMIFS('TOPIX_R09'!F54:F56,'TOPIX_R09'!F54:F56,"&lt;0")/H27)</x:f>
        <x:v>131254</x:v>
      </x:c>
      <x:c r="M27" s="12" t="n">
        <x:f>IF(COUNTIFS('TOPIX_R09'!J54:J56,"&gt;0")=0,"",AVERAGEIFS('TOPIX_R09'!N54:N56,'TOPIX_R09'!J54:J56,"&gt;0"))</x:f>
        <x:v>291.8777777777778</x:v>
      </x:c>
      <x:c r="N27" s="12" t="n">
        <x:f>IF(COUNTIFS('TOPIX_R09'!J54:J56,"&gt;0")=0,"",AVERAGEIFS('TOPIX_R09'!O54:O56,'TOPIX_R09'!J54:J56,"&gt;0"))</x:f>
        <x:v>59.87777777777777</x:v>
      </x:c>
      <x:c r="O27" s="11" t="n">
        <x:f>MAX('TOPIX_R09'!L54:L56)</x:f>
        <x:v>5</x:v>
      </x:c>
      <x:c r="P27" s="2" t="str">
        <x:v>利確後再参加：1枚で参加</x:v>
      </x:c>
      <x:c r="Q27" s="8" t="n">
        <x:f>COUNTIFS('TOPIX_R09'!J54:J56,"=0")</x:f>
        <x:v>0</x:v>
      </x:c>
    </x:row>
    <x:row r="28" ht="22" customHeight="1">
      <x:c r="A28" s="2" t="str">
        <x:v>TOPIXmini</x:v>
      </x:c>
      <x:c r="B28" s="2" t="str">
        <x:v>S33</x:v>
      </x:c>
      <x:c r="C28" s="2" t="str">
        <x:v>全50場</x:v>
      </x:c>
      <x:c r="D28" s="25" t="n">
        <x:f>SUM('TOPIX_S33'!D7:D56)</x:f>
        <x:v>2872758</x:v>
      </x:c>
      <x:c r="E28" s="25" t="n">
        <x:f>SUM('TOPIX_S33'!E7:E56)</x:f>
        <x:v>2321957</x:v>
      </x:c>
      <x:c r="F28" s="25" t="n">
        <x:f>D28-E28</x:f>
        <x:v>550801</x:v>
      </x:c>
      <x:c r="G28" s="11" t="n">
        <x:f>COUNTIFS('TOPIX_S33'!F7:F56,"&gt;0")</x:f>
        <x:v>39</x:v>
      </x:c>
      <x:c r="H28" s="11" t="n">
        <x:f>COUNTIFS('TOPIX_S33'!F7:F56,"&lt;0")</x:f>
        <x:v>11</x:v>
      </x:c>
      <x:c r="I28" s="25" t="n">
        <x:f>F28-MAX(0,LARGE('TOPIX_S33'!F7:F56,1))-MAX(0,LARGE('TOPIX_S33'!F7:F56,2))-MAX(0,LARGE('TOPIX_S33'!F7:F56,3))</x:f>
        <x:v>211633</x:v>
      </x:c>
      <x:c r="J28" s="11" t="n">
        <x:f>SUM('TOPIX_S33'!J7:J56)</x:f>
        <x:v>267</x:v>
      </x:c>
      <x:c r="K28" s="25" t="n">
        <x:f>MIN('TOPIX_S33'!F7:F56)</x:f>
        <x:v>-151664</x:v>
      </x:c>
      <x:c r="L28" s="25" t="n">
        <x:f>IF(H28=0,0,-SUMIFS('TOPIX_S33'!F7:F56,'TOPIX_S33'!F7:F56,"&lt;0")/H28)</x:f>
        <x:v>56220.36363636364</x:v>
      </x:c>
      <x:c r="M28" s="12" t="n">
        <x:f>IF(COUNTIFS('TOPIX_S33'!J7:J56,"&gt;0")=0,"",AVERAGEIFS('TOPIX_S33'!N7:N56,'TOPIX_S33'!J7:J56,"&gt;0"))</x:f>
        <x:v>185.33866666666665</x:v>
      </x:c>
      <x:c r="N28" s="12" t="n">
        <x:f>IF(COUNTIFS('TOPIX_S33'!J7:J56,"&gt;0")=0,"",AVERAGEIFS('TOPIX_S33'!O7:O56,'TOPIX_S33'!J7:J56,"&gt;0"))</x:f>
        <x:v>159.58800000000002</x:v>
      </x:c>
      <x:c r="O28" s="11" t="n">
        <x:f>MAX('TOPIX_S33'!L7:L56)</x:f>
        <x:v>7</x:v>
      </x:c>
      <x:c r="P28" s="2" t="str">
        <x:v>現行と独立枠：40分／低効率帯の端から反転／最大2枚</x:v>
      </x:c>
      <x:c r="Q28" s="8" t="n">
        <x:f>COUNTIFS('TOPIX_S33'!J7:J56,"=0")</x:f>
        <x:v>0</x:v>
      </x:c>
    </x:row>
    <x:row r="29" ht="22" customHeight="1">
      <x:c r="A29" s="2" t="str">
        <x:v>TOPIXmini</x:v>
      </x:c>
      <x:c r="B29" s="2" t="str">
        <x:v>S33</x:v>
      </x:c>
      <x:c r="C29" s="2" t="str">
        <x:v>既知47場</x:v>
      </x:c>
      <x:c r="D29" s="25" t="n">
        <x:f>SUM('TOPIX_S33'!D7:D53)</x:f>
        <x:v>2683924</x:v>
      </x:c>
      <x:c r="E29" s="25" t="n">
        <x:f>SUM('TOPIX_S33'!E7:E53)</x:f>
        <x:v>2056955</x:v>
      </x:c>
      <x:c r="F29" s="25" t="n">
        <x:f>D29-E29</x:f>
        <x:v>626969</x:v>
      </x:c>
      <x:c r="G29" s="11" t="n">
        <x:f>COUNTIFS('TOPIX_S33'!F7:F53,"&gt;0")</x:f>
        <x:v>37</x:v>
      </x:c>
      <x:c r="H29" s="11" t="n">
        <x:f>COUNTIFS('TOPIX_S33'!F7:F53,"&lt;0")</x:f>
        <x:v>10</x:v>
      </x:c>
      <x:c r="I29" s="25" t="n">
        <x:f>F29-MAX(0,LARGE('TOPIX_S33'!F7:F53,1))-MAX(0,LARGE('TOPIX_S33'!F7:F53,2))-MAX(0,LARGE('TOPIX_S33'!F7:F53,3))</x:f>
        <x:v>287801</x:v>
      </x:c>
      <x:c r="J29" s="11" t="n">
        <x:f>SUM('TOPIX_S33'!J7:J53)</x:f>
        <x:v>243</x:v>
      </x:c>
      <x:c r="K29" s="25" t="n">
        <x:f>MIN('TOPIX_S33'!F7:F53)</x:f>
        <x:v>-95338</x:v>
      </x:c>
      <x:c r="L29" s="25" t="n">
        <x:f>IF(H29=0,0,-SUMIFS('TOPIX_S33'!F7:F53,'TOPIX_S33'!F7:F53,"&lt;0")/H29)</x:f>
        <x:v>46676</x:v>
      </x:c>
      <x:c r="M29" s="12" t="n">
        <x:f>IF(COUNTIFS('TOPIX_S33'!J7:J53,"&gt;0")=0,"",AVERAGEIFS('TOPIX_S33'!N7:N53,'TOPIX_S33'!J7:J53,"&gt;0"))</x:f>
        <x:v>192.0514184397163</x:v>
      </x:c>
      <x:c r="N29" s="12" t="n">
        <x:f>IF(COUNTIFS('TOPIX_S33'!J7:J53,"&gt;0")=0,"",AVERAGEIFS('TOPIX_S33'!O7:O53,'TOPIX_S33'!J7:J53,"&gt;0"))</x:f>
        <x:v>161.59432624113475</x:v>
      </x:c>
      <x:c r="O29" s="11" t="n">
        <x:f>MAX('TOPIX_S33'!L7:L53)</x:f>
        <x:v>7</x:v>
      </x:c>
      <x:c r="P29" s="2" t="str">
        <x:v>現行と独立枠：40分／低効率帯の端から反転／最大2枚</x:v>
      </x:c>
      <x:c r="Q29" s="8" t="n">
        <x:f>COUNTIFS('TOPIX_S33'!J7:J53,"=0")</x:f>
        <x:v>0</x:v>
      </x:c>
    </x:row>
    <x:row r="30" ht="22" customHeight="1">
      <x:c r="A30" s="2" t="str">
        <x:v>TOPIXmini</x:v>
      </x:c>
      <x:c r="B30" s="2" t="str">
        <x:v>S33</x:v>
      </x:c>
      <x:c r="C30" s="2" t="str">
        <x:v>追加3場</x:v>
      </x:c>
      <x:c r="D30" s="25" t="n">
        <x:f>SUM('TOPIX_S33'!D54:D56)</x:f>
        <x:v>188834</x:v>
      </x:c>
      <x:c r="E30" s="25" t="n">
        <x:f>SUM('TOPIX_S33'!E54:E56)</x:f>
        <x:v>265002</x:v>
      </x:c>
      <x:c r="F30" s="25" t="n">
        <x:f>D30-E30</x:f>
        <x:v>-76168</x:v>
      </x:c>
      <x:c r="G30" s="11" t="n">
        <x:f>COUNTIFS('TOPIX_S33'!F54:F56,"&gt;0")</x:f>
        <x:v>2</x:v>
      </x:c>
      <x:c r="H30" s="11" t="n">
        <x:f>COUNTIFS('TOPIX_S33'!F54:F56,"&lt;0")</x:f>
        <x:v>1</x:v>
      </x:c>
      <x:c r="I30" s="25" t="n">
        <x:f>F30-MAX(0,LARGE('TOPIX_S33'!F54:F56,1))-MAX(0,LARGE('TOPIX_S33'!F54:F56,2))-MAX(0,LARGE('TOPIX_S33'!F54:F56,3))</x:f>
        <x:v>-151664</x:v>
      </x:c>
      <x:c r="J30" s="11" t="n">
        <x:f>SUM('TOPIX_S33'!J54:J56)</x:f>
        <x:v>24</x:v>
      </x:c>
      <x:c r="K30" s="25" t="n">
        <x:f>MIN('TOPIX_S33'!F54:F56)</x:f>
        <x:v>-151664</x:v>
      </x:c>
      <x:c r="L30" s="25" t="n">
        <x:f>IF(H30=0,0,-SUMIFS('TOPIX_S33'!F54:F56,'TOPIX_S33'!F54:F56,"&lt;0")/H30)</x:f>
        <x:v>151664</x:v>
      </x:c>
      <x:c r="M30" s="12" t="n">
        <x:f>IF(COUNTIFS('TOPIX_S33'!J54:J56,"&gt;0")=0,"",AVERAGEIFS('TOPIX_S33'!N54:N56,'TOPIX_S33'!J54:J56,"&gt;0"))</x:f>
        <x:v>80.17222222222223</x:v>
      </x:c>
      <x:c r="N30" s="12" t="n">
        <x:f>IF(COUNTIFS('TOPIX_S33'!J54:J56,"&gt;0")=0,"",AVERAGEIFS('TOPIX_S33'!O54:O56,'TOPIX_S33'!J54:J56,"&gt;0"))</x:f>
        <x:v>128.15555555555554</x:v>
      </x:c>
      <x:c r="O30" s="11" t="n">
        <x:f>MAX('TOPIX_S33'!L54:L56)</x:f>
        <x:v>7</x:v>
      </x:c>
      <x:c r="P30" s="2" t="str">
        <x:v>現行と独立枠：40分／低効率帯の端から反転／最大2枚</x:v>
      </x:c>
      <x:c r="Q30" s="8" t="n">
        <x:f>COUNTIFS('TOPIX_S33'!J54:J56,"=0")</x:f>
        <x:v>0</x:v>
      </x:c>
    </x:row>
  </x:sheetData>
  <x:conditionalFormatting sqref="D7:F30">
    <x:cfRule type="cellIs" dxfId="13" priority="1" operator="lessThan">
      <x:formula>0</x:formula>
    </x:cfRule>
  </x:conditionalFormatting>
  <x:conditionalFormatting sqref="I7:I30">
    <x:cfRule type="cellIs" dxfId="14" priority="2" operator="lessThan">
      <x:formula>0</x:formula>
    </x:cfRule>
  </x:conditionalFormatting>
  <x:conditionalFormatting sqref="K7:L30">
    <x:cfRule type="cellIs" dxfId="15" priority="3" operator="lessThan">
      <x:formula>0</x:formula>
    </x:cfRule>
  </x:conditionalFormatting>
  <x:conditionalFormatting sqref="Q7:Q30">
    <x:cfRule type="cellIs" dxfId="16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e94773f75d4fd7"/>
  </x:tableParts>
</x:worksheet>
</file>

<file path=xl/worksheets/sheet2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昼夜別の基準手法と収支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6" t="str">
        <x:v>運用IDは組み合わせの名称。日経は昼T06・夜U06、TOPIXは昼T06・夜T04を基準とします。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6" t="str">
        <x:v>C・Sの追加入口は昼夜共通で比較しました。夜のみ米国開始前後15分は静観します。昼夜専用の追加入口ではありません。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6" t="str">
        <x:v>金額は円・手数料後。全期間は昼25場・夜25場、既知は昼24場・夜23場、追加は昼1場・夜2場。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22" t="str">
        <x:v>商品</x:v>
      </x:c>
      <x:c r="B6" s="23" t="str">
        <x:v>運用ID</x:v>
      </x:c>
      <x:c r="C6" s="23" t="str">
        <x:v>昼夜</x:v>
      </x:c>
      <x:c r="D6" s="23" t="str">
        <x:v>対象</x:v>
      </x:c>
      <x:c r="E6" s="23" t="str">
        <x:v>基準手法</x:v>
      </x:c>
      <x:c r="F6" s="23" t="str">
        <x:v>追加方式</x:v>
      </x:c>
      <x:c r="G6" s="23" t="str">
        <x:v>対象場数</x:v>
      </x:c>
      <x:c r="H6" s="23" t="str">
        <x:v>利益（円）</x:v>
      </x:c>
      <x:c r="I6" s="23" t="str">
        <x:v>損失（円）</x:v>
      </x:c>
      <x:c r="J6" s="23" t="str">
        <x:v>収支（円）</x:v>
      </x:c>
      <x:c r="K6" s="23" t="str">
        <x:v>新規数</x:v>
      </x:c>
      <x:c r="L6" s="23" t="str">
        <x:v>黒字場数</x:v>
      </x:c>
      <x:c r="M6" s="23" t="str">
        <x:v>赤字場数</x:v>
      </x:c>
      <x:c r="N6" s="23" t="str">
        <x:v>無取引場数</x:v>
      </x:c>
      <x:c r="O6" s="23" t="str">
        <x:v>平均赤字（円）</x:v>
      </x:c>
      <x:c r="P6" s="23" t="str">
        <x:v>最大赤字（円）</x:v>
      </x:c>
      <x:c r="Q6" s="24" t="str">
        <x:v>上位3黒字除外（円）</x:v>
      </x:c>
    </x:row>
    <x:row r="7" ht="36" customHeight="1">
      <x:c r="A7" s="2" t="str">
        <x:v>日経mini</x:v>
      </x:c>
      <x:c r="B7" s="2" t="str">
        <x:v>B5</x:v>
      </x:c>
      <x:c r="C7" s="2" t="str">
        <x:v>デイ</x:v>
      </x:c>
      <x:c r="D7" s="2" t="str">
        <x:v>全50場</x:v>
      </x:c>
      <x:c r="E7" s="2" t="str">
        <x:v>T06</x:v>
      </x:c>
      <x:c r="F7" s="27" t="str">
        <x:v>追加なし</x:v>
      </x:c>
      <x:c r="G7" s="8" t="n">
        <x:f>COUNTIFS('日経_B5'!C7:C56,C7)</x:f>
        <x:v>25</x:v>
      </x:c>
      <x:c r="H7" s="25" t="n">
        <x:f>SUMIFS('日経_B5'!D7:D56,'日経_B5'!C7:C56,C7)</x:f>
        <x:v>2930864</x:v>
      </x:c>
      <x:c r="I7" s="25" t="n">
        <x:f>SUMIFS('日経_B5'!E7:E56,'日経_B5'!C7:C56,C7)</x:f>
        <x:v>1361672</x:v>
      </x:c>
      <x:c r="J7" s="25" t="n">
        <x:f>H7-I7</x:f>
        <x:v>1569192</x:v>
      </x:c>
      <x:c r="K7" s="8" t="n">
        <x:f>SUMIFS('日経_B5'!J7:J56,'日経_B5'!C7:C56,C7)</x:f>
        <x:v>62</x:v>
      </x:c>
      <x:c r="L7" s="8" t="n">
        <x:f>COUNTIFS('日経_B5'!F7:F56,"&gt;0",'日経_B5'!C7:C56,C7)</x:f>
        <x:v>16</x:v>
      </x:c>
      <x:c r="M7" s="8" t="n">
        <x:f>COUNTIFS('日経_B5'!F7:F56,"&lt;0",'日経_B5'!C7:C56,C7)</x:f>
        <x:v>9</x:v>
      </x:c>
      <x:c r="N7" s="8" t="n">
        <x:f>COUNTIFS('日経_B5'!J7:J56,"=0",'日経_B5'!C7:C56,C7)</x:f>
        <x:v>0</x:v>
      </x:c>
      <x:c r="O7" s="25" t="n">
        <x:f>IF(M7=0,0,-SUMIFS('日経_B5'!F7:F56,'日経_B5'!F7:F56,"&lt;0",'日経_B5'!C7:C56,C7)/M7)</x:f>
        <x:v>75989.33333333333</x:v>
      </x:c>
      <x:c r="P7" s="25" t="n">
        <x:f>MAX(0,-_xlfn.MINIFS('日経_B5'!F7:F56,'日経_B5'!C7:C56,C7))</x:f>
        <x:v>153304</x:v>
      </x:c>
      <x:c r="Q7" s="25" t="n">
        <x:f>J7-MAX(0,_xlfn.MAXIFS('日経_B5'!F7:F56,'日経_B5'!C7:C56,C7))-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-IF(COUNTIFS('日経_B5'!F7:F56,MAX(0,_xlfn.MAXIFS('日経_B5'!F7:F56,'日経_B5'!C7:C56,C7)),'日経_B5'!C7:C56,C7)&gt;=3,MAX(0,_xlfn.MAXIFS('日経_B5'!F7:F56,'日経_B5'!C7:C56,C7)),IF(COUNTIFS('日経_B5'!F7:F56,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'日経_B5'!C7:C56,C7)+COUNTIFS('日経_B5'!F7:F56,"&gt;"&amp;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'日経_B5'!C7:C56,C7)&gt;=3,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MAX(0,_xlfn.MAXIFS('日経_B5'!F7:F56,'日経_B5'!C7:C56,C7,'日経_B5'!F7:F56,"&lt;"&amp;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))))</x:f>
        <x:v>570112</x:v>
      </x:c>
    </x:row>
    <x:row r="8" ht="36" customHeight="1">
      <x:c r="A8" s="2" t="str">
        <x:v>日経mini</x:v>
      </x:c>
      <x:c r="B8" s="2" t="str">
        <x:v>B5</x:v>
      </x:c>
      <x:c r="C8" s="2" t="str">
        <x:v>ナイト</x:v>
      </x:c>
      <x:c r="D8" s="2" t="str">
        <x:v>全50場</x:v>
      </x:c>
      <x:c r="E8" s="2" t="str">
        <x:v>U06</x:v>
      </x:c>
      <x:c r="F8" s="27" t="str">
        <x:v>追加なし</x:v>
      </x:c>
      <x:c r="G8" s="8" t="n">
        <x:f>COUNTIFS('日経_B5'!C7:C56,C8)</x:f>
        <x:v>25</x:v>
      </x:c>
      <x:c r="H8" s="25" t="n">
        <x:f>SUMIFS('日経_B5'!D7:D56,'日経_B5'!C7:C56,C8)</x:f>
        <x:v>1284324</x:v>
      </x:c>
      <x:c r="I8" s="25" t="n">
        <x:f>SUMIFS('日経_B5'!E7:E56,'日経_B5'!C7:C56,C8)</x:f>
        <x:v>788068</x:v>
      </x:c>
      <x:c r="J8" s="25" t="n">
        <x:f>H8-I8</x:f>
        <x:v>496256</x:v>
      </x:c>
      <x:c r="K8" s="8" t="n">
        <x:f>SUMIFS('日経_B5'!J7:J56,'日経_B5'!C7:C56,C8)</x:f>
        <x:v>46</x:v>
      </x:c>
      <x:c r="L8" s="8" t="n">
        <x:f>COUNTIFS('日経_B5'!F7:F56,"&gt;0",'日経_B5'!C7:C56,C8)</x:f>
        <x:v>16</x:v>
      </x:c>
      <x:c r="M8" s="8" t="n">
        <x:f>COUNTIFS('日経_B5'!F7:F56,"&lt;0",'日経_B5'!C7:C56,C8)</x:f>
        <x:v>9</x:v>
      </x:c>
      <x:c r="N8" s="8" t="n">
        <x:f>COUNTIFS('日経_B5'!J7:J56,"=0",'日経_B5'!C7:C56,C8)</x:f>
        <x:v>0</x:v>
      </x:c>
      <x:c r="O8" s="25" t="n">
        <x:f>IF(M8=0,0,-SUMIFS('日経_B5'!F7:F56,'日経_B5'!F7:F56,"&lt;0",'日経_B5'!C7:C56,C8)/M8)</x:f>
        <x:v>45144.444444444445</x:v>
      </x:c>
      <x:c r="P8" s="25" t="n">
        <x:f>MAX(0,-_xlfn.MINIFS('日経_B5'!F7:F56,'日経_B5'!C7:C56,C8))</x:f>
        <x:v>80768</x:v>
      </x:c>
      <x:c r="Q8" s="25" t="n">
        <x:f>J8-MAX(0,_xlfn.MAXIFS('日経_B5'!F7:F56,'日経_B5'!C7:C56,C8))-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-IF(COUNTIFS('日経_B5'!F7:F56,MAX(0,_xlfn.MAXIFS('日経_B5'!F7:F56,'日経_B5'!C7:C56,C8)),'日経_B5'!C7:C56,C8)&gt;=3,MAX(0,_xlfn.MAXIFS('日経_B5'!F7:F56,'日経_B5'!C7:C56,C8)),IF(COUNTIFS('日経_B5'!F7:F56,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'日経_B5'!C7:C56,C8)+COUNTIFS('日経_B5'!F7:F56,"&gt;"&amp;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'日経_B5'!C7:C56,C8)&gt;=3,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MAX(0,_xlfn.MAXIFS('日経_B5'!F7:F56,'日経_B5'!C7:C56,C8,'日経_B5'!F7:F56,"&lt;"&amp;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))))</x:f>
        <x:v>115098</x:v>
      </x:c>
    </x:row>
    <x:row r="9" ht="36" customHeight="1">
      <x:c r="A9" s="2" t="str">
        <x:v>日経mini</x:v>
      </x:c>
      <x:c r="B9" s="2" t="str">
        <x:v>B5</x:v>
      </x:c>
      <x:c r="C9" s="2" t="str">
        <x:v>デイ</x:v>
      </x:c>
      <x:c r="D9" s="2" t="str">
        <x:v>既知47場</x:v>
      </x:c>
      <x:c r="E9" s="2" t="str">
        <x:v>T06</x:v>
      </x:c>
      <x:c r="F9" s="27" t="str">
        <x:v>追加なし</x:v>
      </x:c>
      <x:c r="G9" s="8" t="n">
        <x:f>COUNTIFS('日経_B5'!C7:C53,C9)</x:f>
        <x:v>24</x:v>
      </x:c>
      <x:c r="H9" s="25" t="n">
        <x:f>SUMIFS('日経_B5'!D7:D53,'日経_B5'!C7:C53,C9)</x:f>
        <x:v>2930864</x:v>
      </x:c>
      <x:c r="I9" s="25" t="n">
        <x:f>SUMIFS('日経_B5'!E7:E53,'日経_B5'!C7:C53,C9)</x:f>
        <x:v>1316288</x:v>
      </x:c>
      <x:c r="J9" s="25" t="n">
        <x:f>H9-I9</x:f>
        <x:v>1614576</x:v>
      </x:c>
      <x:c r="K9" s="8" t="n">
        <x:f>SUMIFS('日経_B5'!J7:J53,'日経_B5'!C7:C53,C9)</x:f>
        <x:v>61</x:v>
      </x:c>
      <x:c r="L9" s="8" t="n">
        <x:f>COUNTIFS('日経_B5'!F7:F53,"&gt;0",'日経_B5'!C7:C53,C9)</x:f>
        <x:v>16</x:v>
      </x:c>
      <x:c r="M9" s="8" t="n">
        <x:f>COUNTIFS('日経_B5'!F7:F53,"&lt;0",'日経_B5'!C7:C53,C9)</x:f>
        <x:v>8</x:v>
      </x:c>
      <x:c r="N9" s="8" t="n">
        <x:f>COUNTIFS('日経_B5'!J7:J53,"=0",'日経_B5'!C7:C53,C9)</x:f>
        <x:v>0</x:v>
      </x:c>
      <x:c r="O9" s="25" t="n">
        <x:f>IF(M9=0,0,-SUMIFS('日経_B5'!F7:F53,'日経_B5'!F7:F53,"&lt;0",'日経_B5'!C7:C53,C9)/M9)</x:f>
        <x:v>79815</x:v>
      </x:c>
      <x:c r="P9" s="25" t="n">
        <x:f>MAX(0,-_xlfn.MINIFS('日経_B5'!F7:F53,'日経_B5'!C7:C53,C9))</x:f>
        <x:v>153304</x:v>
      </x:c>
      <x:c r="Q9" s="25" t="n">
        <x:f>J9-MAX(0,_xlfn.MAXIFS('日経_B5'!F7:F53,'日経_B5'!C7:C53,C9))-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-IF(COUNTIFS('日経_B5'!F7:F53,MAX(0,_xlfn.MAXIFS('日経_B5'!F7:F53,'日経_B5'!C7:C53,C9)),'日経_B5'!C7:C53,C9)&gt;=3,MAX(0,_xlfn.MAXIFS('日経_B5'!F7:F53,'日経_B5'!C7:C53,C9)),IF(COUNTIFS('日経_B5'!F7:F53,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'日経_B5'!C7:C53,C9)+COUNTIFS('日経_B5'!F7:F53,"&gt;"&amp;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'日経_B5'!C7:C53,C9)&gt;=3,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MAX(0,_xlfn.MAXIFS('日経_B5'!F7:F53,'日経_B5'!C7:C53,C9,'日経_B5'!F7:F53,"&lt;"&amp;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))))</x:f>
        <x:v>615496</x:v>
      </x:c>
    </x:row>
    <x:row r="10" ht="36" customHeight="1">
      <x:c r="A10" s="2" t="str">
        <x:v>日経mini</x:v>
      </x:c>
      <x:c r="B10" s="2" t="str">
        <x:v>B5</x:v>
      </x:c>
      <x:c r="C10" s="2" t="str">
        <x:v>ナイト</x:v>
      </x:c>
      <x:c r="D10" s="2" t="str">
        <x:v>既知47場</x:v>
      </x:c>
      <x:c r="E10" s="2" t="str">
        <x:v>U06</x:v>
      </x:c>
      <x:c r="F10" s="27" t="str">
        <x:v>追加なし</x:v>
      </x:c>
      <x:c r="G10" s="8" t="n">
        <x:f>COUNTIFS('日経_B5'!C7:C53,C10)</x:f>
        <x:v>23</x:v>
      </x:c>
      <x:c r="H10" s="25" t="n">
        <x:f>SUMIFS('日経_B5'!D7:D53,'日経_B5'!C7:C53,C10)</x:f>
        <x:v>1179708</x:v>
      </x:c>
      <x:c r="I10" s="25" t="n">
        <x:f>SUMIFS('日経_B5'!E7:E53,'日経_B5'!C7:C53,C10)</x:f>
        <x:v>677300</x:v>
      </x:c>
      <x:c r="J10" s="25" t="n">
        <x:f>H10-I10</x:f>
        <x:v>502408</x:v>
      </x:c>
      <x:c r="K10" s="8" t="n">
        <x:f>SUMIFS('日経_B5'!J7:J53,'日経_B5'!C7:C53,C10)</x:f>
        <x:v>43</x:v>
      </x:c>
      <x:c r="L10" s="8" t="n">
        <x:f>COUNTIFS('日経_B5'!F7:F53,"&gt;0",'日経_B5'!C7:C53,C10)</x:f>
        <x:v>15</x:v>
      </x:c>
      <x:c r="M10" s="8" t="n">
        <x:f>COUNTIFS('日経_B5'!F7:F53,"&lt;0",'日経_B5'!C7:C53,C10)</x:f>
        <x:v>8</x:v>
      </x:c>
      <x:c r="N10" s="8" t="n">
        <x:f>COUNTIFS('日経_B5'!J7:J53,"=0",'日経_B5'!C7:C53,C10)</x:f>
        <x:v>0</x:v>
      </x:c>
      <x:c r="O10" s="25" t="n">
        <x:f>IF(M10=0,0,-SUMIFS('日経_B5'!F7:F53,'日経_B5'!F7:F53,"&lt;0",'日経_B5'!C7:C53,C10)/M10)</x:f>
        <x:v>43864.5</x:v>
      </x:c>
      <x:c r="P10" s="25" t="n">
        <x:f>MAX(0,-_xlfn.MINIFS('日経_B5'!F7:F53,'日経_B5'!C7:C53,C10))</x:f>
        <x:v>80768</x:v>
      </x:c>
      <x:c r="Q10" s="25" t="n">
        <x:f>J10-MAX(0,_xlfn.MAXIFS('日経_B5'!F7:F53,'日経_B5'!C7:C53,C10))-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-IF(COUNTIFS('日経_B5'!F7:F53,MAX(0,_xlfn.MAXIFS('日経_B5'!F7:F53,'日経_B5'!C7:C53,C10)),'日経_B5'!C7:C53,C10)&gt;=3,MAX(0,_xlfn.MAXIFS('日経_B5'!F7:F53,'日経_B5'!C7:C53,C10)),IF(COUNTIFS('日経_B5'!F7:F53,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'日経_B5'!C7:C53,C10)+COUNTIFS('日経_B5'!F7:F53,"&gt;"&amp;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'日経_B5'!C7:C53,C10)&gt;=3,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MAX(0,_xlfn.MAXIFS('日経_B5'!F7:F53,'日経_B5'!C7:C53,C10,'日経_B5'!F7:F53,"&lt;"&amp;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))))</x:f>
        <x:v>121250</x:v>
      </x:c>
    </x:row>
    <x:row r="11" ht="36" customHeight="1">
      <x:c r="A11" s="2" t="str">
        <x:v>日経mini</x:v>
      </x:c>
      <x:c r="B11" s="2" t="str">
        <x:v>B5</x:v>
      </x:c>
      <x:c r="C11" s="2" t="str">
        <x:v>デイ</x:v>
      </x:c>
      <x:c r="D11" s="2" t="str">
        <x:v>追加3場</x:v>
      </x:c>
      <x:c r="E11" s="2" t="str">
        <x:v>T06</x:v>
      </x:c>
      <x:c r="F11" s="27" t="str">
        <x:v>追加なし</x:v>
      </x:c>
      <x:c r="G11" s="8" t="n">
        <x:f>COUNTIFS('日経_B5'!C54:C56,C11)</x:f>
        <x:v>1</x:v>
      </x:c>
      <x:c r="H11" s="25" t="n">
        <x:f>SUMIFS('日経_B5'!D54:D56,'日経_B5'!C54:C56,C11)</x:f>
        <x:v>0</x:v>
      </x:c>
      <x:c r="I11" s="25" t="n">
        <x:f>SUMIFS('日経_B5'!E54:E56,'日経_B5'!C54:C56,C11)</x:f>
        <x:v>45384</x:v>
      </x:c>
      <x:c r="J11" s="25" t="n">
        <x:f>H11-I11</x:f>
        <x:v>-45384</x:v>
      </x:c>
      <x:c r="K11" s="8" t="n">
        <x:f>SUMIFS('日経_B5'!J54:J56,'日経_B5'!C54:C56,C11)</x:f>
        <x:v>1</x:v>
      </x:c>
      <x:c r="L11" s="8" t="n">
        <x:f>COUNTIFS('日経_B5'!F54:F56,"&gt;0",'日経_B5'!C54:C56,C11)</x:f>
        <x:v>0</x:v>
      </x:c>
      <x:c r="M11" s="8" t="n">
        <x:f>COUNTIFS('日経_B5'!F54:F56,"&lt;0",'日経_B5'!C54:C56,C11)</x:f>
        <x:v>1</x:v>
      </x:c>
      <x:c r="N11" s="8" t="n">
        <x:f>COUNTIFS('日経_B5'!J54:J56,"=0",'日経_B5'!C54:C56,C11)</x:f>
        <x:v>0</x:v>
      </x:c>
      <x:c r="O11" s="25" t="n">
        <x:f>IF(M11=0,0,-SUMIFS('日経_B5'!F54:F56,'日経_B5'!F54:F56,"&lt;0",'日経_B5'!C54:C56,C11)/M11)</x:f>
        <x:v>45384</x:v>
      </x:c>
      <x:c r="P11" s="25" t="n">
        <x:f>MAX(0,-_xlfn.MINIFS('日経_B5'!F54:F56,'日経_B5'!C54:C56,C11))</x:f>
        <x:v>45384</x:v>
      </x:c>
      <x:c r="Q11" s="25" t="n">
        <x:f>J11-MAX(0,_xlfn.MAXIFS('日経_B5'!F54:F56,'日経_B5'!C54:C56,C11))-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-IF(COUNTIFS('日経_B5'!F54:F56,MAX(0,_xlfn.MAXIFS('日経_B5'!F54:F56,'日経_B5'!C54:C56,C11)),'日経_B5'!C54:C56,C11)&gt;=3,MAX(0,_xlfn.MAXIFS('日経_B5'!F54:F56,'日経_B5'!C54:C56,C11)),IF(COUNTIFS('日経_B5'!F54:F56,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'日経_B5'!C54:C56,C11)+COUNTIFS('日経_B5'!F54:F56,"&gt;"&amp;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'日経_B5'!C54:C56,C11)&gt;=3,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MAX(0,_xlfn.MAXIFS('日経_B5'!F54:F56,'日経_B5'!C54:C56,C11,'日経_B5'!F54:F56,"&lt;"&amp;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))))</x:f>
        <x:v>-45384</x:v>
      </x:c>
    </x:row>
    <x:row r="12" ht="36" customHeight="1">
      <x:c r="A12" s="2" t="str">
        <x:v>日経mini</x:v>
      </x:c>
      <x:c r="B12" s="2" t="str">
        <x:v>B5</x:v>
      </x:c>
      <x:c r="C12" s="2" t="str">
        <x:v>ナイト</x:v>
      </x:c>
      <x:c r="D12" s="2" t="str">
        <x:v>追加3場</x:v>
      </x:c>
      <x:c r="E12" s="2" t="str">
        <x:v>U06</x:v>
      </x:c>
      <x:c r="F12" s="27" t="str">
        <x:v>追加なし</x:v>
      </x:c>
      <x:c r="G12" s="8" t="n">
        <x:f>COUNTIFS('日経_B5'!C54:C56,C12)</x:f>
        <x:v>2</x:v>
      </x:c>
      <x:c r="H12" s="25" t="n">
        <x:f>SUMIFS('日経_B5'!D54:D56,'日経_B5'!C54:C56,C12)</x:f>
        <x:v>104616</x:v>
      </x:c>
      <x:c r="I12" s="25" t="n">
        <x:f>SUMIFS('日経_B5'!E54:E56,'日経_B5'!C54:C56,C12)</x:f>
        <x:v>110768</x:v>
      </x:c>
      <x:c r="J12" s="25" t="n">
        <x:f>H12-I12</x:f>
        <x:v>-6152</x:v>
      </x:c>
      <x:c r="K12" s="8" t="n">
        <x:f>SUMIFS('日経_B5'!J54:J56,'日経_B5'!C54:C56,C12)</x:f>
        <x:v>3</x:v>
      </x:c>
      <x:c r="L12" s="8" t="n">
        <x:f>COUNTIFS('日経_B5'!F54:F56,"&gt;0",'日経_B5'!C54:C56,C12)</x:f>
        <x:v>1</x:v>
      </x:c>
      <x:c r="M12" s="8" t="n">
        <x:f>COUNTIFS('日経_B5'!F54:F56,"&lt;0",'日経_B5'!C54:C56,C12)</x:f>
        <x:v>1</x:v>
      </x:c>
      <x:c r="N12" s="8" t="n">
        <x:f>COUNTIFS('日経_B5'!J54:J56,"=0",'日経_B5'!C54:C56,C12)</x:f>
        <x:v>0</x:v>
      </x:c>
      <x:c r="O12" s="25" t="n">
        <x:f>IF(M12=0,0,-SUMIFS('日経_B5'!F54:F56,'日経_B5'!F54:F56,"&lt;0",'日経_B5'!C54:C56,C12)/M12)</x:f>
        <x:v>55384</x:v>
      </x:c>
      <x:c r="P12" s="25" t="n">
        <x:f>MAX(0,-_xlfn.MINIFS('日経_B5'!F54:F56,'日経_B5'!C54:C56,C12))</x:f>
        <x:v>55384</x:v>
      </x:c>
      <x:c r="Q12" s="25" t="n">
        <x:f>J12-MAX(0,_xlfn.MAXIFS('日経_B5'!F54:F56,'日経_B5'!C54:C56,C12))-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-IF(COUNTIFS('日経_B5'!F54:F56,MAX(0,_xlfn.MAXIFS('日経_B5'!F54:F56,'日経_B5'!C54:C56,C12)),'日経_B5'!C54:C56,C12)&gt;=3,MAX(0,_xlfn.MAXIFS('日経_B5'!F54:F56,'日経_B5'!C54:C56,C12)),IF(COUNTIFS('日経_B5'!F54:F56,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'日経_B5'!C54:C56,C12)+COUNTIFS('日経_B5'!F54:F56,"&gt;"&amp;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'日経_B5'!C54:C56,C12)&gt;=3,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MAX(0,_xlfn.MAXIFS('日経_B5'!F54:F56,'日経_B5'!C54:C56,C12,'日経_B5'!F54:F56,"&lt;"&amp;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))))</x:f>
        <x:v>-55384</x:v>
      </x:c>
    </x:row>
    <x:row r="13" ht="36" customHeight="1">
      <x:c r="A13" s="2" t="str">
        <x:v>日経mini</x:v>
      </x:c>
      <x:c r="B13" s="2" t="str">
        <x:v>S36</x:v>
      </x:c>
      <x:c r="C13" s="2" t="str">
        <x:v>デイ</x:v>
      </x:c>
      <x:c r="D13" s="2" t="str">
        <x:v>全50場</x:v>
      </x:c>
      <x:c r="E13" s="2" t="str">
        <x:v>T06</x:v>
      </x:c>
      <x:c r="F13" s="27" t="str">
        <x:v>独立枠。40分の効率で追従・反転を切替、追加最大5枚</x:v>
      </x:c>
      <x:c r="G13" s="8" t="n">
        <x:f>COUNTIFS('日経_S36'!C7:C56,C13)</x:f>
        <x:v>25</x:v>
      </x:c>
      <x:c r="H13" s="25" t="n">
        <x:f>SUMIFS('日経_S36'!D7:D56,'日経_S36'!C7:C56,C13)</x:f>
        <x:v>4366088</x:v>
      </x:c>
      <x:c r="I13" s="25" t="n">
        <x:f>SUMIFS('日経_S36'!E7:E56,'日経_S36'!C7:C56,C13)</x:f>
        <x:v>2909894</x:v>
      </x:c>
      <x:c r="J13" s="25" t="n">
        <x:f>H13-I13</x:f>
        <x:v>1456194</x:v>
      </x:c>
      <x:c r="K13" s="8" t="n">
        <x:f>SUMIFS('日経_S36'!J7:J56,'日経_S36'!C7:C56,C13)</x:f>
        <x:v>242</x:v>
      </x:c>
      <x:c r="L13" s="8" t="n">
        <x:f>COUNTIFS('日経_S36'!F7:F56,"&gt;0",'日経_S36'!C7:C56,C13)</x:f>
        <x:v>17</x:v>
      </x:c>
      <x:c r="M13" s="8" t="n">
        <x:f>COUNTIFS('日経_S36'!F7:F56,"&lt;0",'日経_S36'!C7:C56,C13)</x:f>
        <x:v>8</x:v>
      </x:c>
      <x:c r="N13" s="8" t="n">
        <x:f>COUNTIFS('日経_S36'!J7:J56,"=0",'日経_S36'!C7:C56,C13)</x:f>
        <x:v>0</x:v>
      </x:c>
      <x:c r="O13" s="25" t="n">
        <x:f>IF(M13=0,0,-SUMIFS('日経_S36'!F7:F56,'日経_S36'!F7:F56,"&lt;0",'日経_S36'!C7:C56,C13)/M13)</x:f>
        <x:v>102639.25</x:v>
      </x:c>
      <x:c r="P13" s="25" t="n">
        <x:f>MAX(0,-_xlfn.MINIFS('日経_S36'!F7:F56,'日経_S36'!C7:C56,C13))</x:f>
        <x:v>185148</x:v>
      </x:c>
      <x:c r="Q13" s="25" t="n">
        <x:f>J13-MAX(0,_xlfn.MAXIFS('日経_S36'!F7:F56,'日経_S36'!C7:C56,C13))-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-IF(COUNTIFS('日経_S36'!F7:F56,MAX(0,_xlfn.MAXIFS('日経_S36'!F7:F56,'日経_S36'!C7:C56,C13)),'日経_S36'!C7:C56,C13)&gt;=3,MAX(0,_xlfn.MAXIFS('日経_S36'!F7:F56,'日経_S36'!C7:C56,C13)),IF(COUNTIFS('日経_S36'!F7:F56,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,'日経_S36'!C7:C56,C13)+COUNTIFS('日経_S36'!F7:F56,"&gt;"&amp;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,'日経_S36'!C7:C56,C13)&gt;=3,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,MAX(0,_xlfn.MAXIFS('日経_S36'!F7:F56,'日経_S36'!C7:C56,C13,'日経_S36'!F7:F56,"&lt;"&amp;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))))</x:f>
        <x:v>377414</x:v>
      </x:c>
    </x:row>
    <x:row r="14" ht="36" customHeight="1">
      <x:c r="A14" s="2" t="str">
        <x:v>日経mini</x:v>
      </x:c>
      <x:c r="B14" s="2" t="str">
        <x:v>S36</x:v>
      </x:c>
      <x:c r="C14" s="2" t="str">
        <x:v>ナイト</x:v>
      </x:c>
      <x:c r="D14" s="2" t="str">
        <x:v>全50場</x:v>
      </x:c>
      <x:c r="E14" s="2" t="str">
        <x:v>U06</x:v>
      </x:c>
      <x:c r="F14" s="27" t="str">
        <x:v>独立枠。40分の効率で追従・反転を切替、追加最大5枚</x:v>
      </x:c>
      <x:c r="G14" s="8" t="n">
        <x:f>COUNTIFS('日経_S36'!C7:C56,C14)</x:f>
        <x:v>25</x:v>
      </x:c>
      <x:c r="H14" s="25" t="n">
        <x:f>SUMIFS('日経_S36'!D7:D56,'日経_S36'!C7:C56,C14)</x:f>
        <x:v>2231978</x:v>
      </x:c>
      <x:c r="I14" s="25" t="n">
        <x:f>SUMIFS('日経_S36'!E7:E56,'日経_S36'!C7:C56,C14)</x:f>
        <x:v>1296912</x:v>
      </x:c>
      <x:c r="J14" s="25" t="n">
        <x:f>H14-I14</x:f>
        <x:v>935066</x:v>
      </x:c>
      <x:c r="K14" s="8" t="n">
        <x:f>SUMIFS('日経_S36'!J7:J56,'日経_S36'!C7:C56,C14)</x:f>
        <x:v>131</x:v>
      </x:c>
      <x:c r="L14" s="8" t="n">
        <x:f>COUNTIFS('日経_S36'!F7:F56,"&gt;0",'日経_S36'!C7:C56,C14)</x:f>
        <x:v>14</x:v>
      </x:c>
      <x:c r="M14" s="8" t="n">
        <x:f>COUNTIFS('日経_S36'!F7:F56,"&lt;0",'日経_S36'!C7:C56,C14)</x:f>
        <x:v>11</x:v>
      </x:c>
      <x:c r="N14" s="8" t="n">
        <x:f>COUNTIFS('日経_S36'!J7:J56,"=0",'日経_S36'!C7:C56,C14)</x:f>
        <x:v>0</x:v>
      </x:c>
      <x:c r="O14" s="25" t="n">
        <x:f>IF(M14=0,0,-SUMIFS('日経_S36'!F7:F56,'日経_S36'!F7:F56,"&lt;0",'日経_S36'!C7:C56,C14)/M14)</x:f>
        <x:v>46550.72727272727</x:v>
      </x:c>
      <x:c r="P14" s="25" t="n">
        <x:f>MAX(0,-_xlfn.MINIFS('日経_S36'!F7:F56,'日経_S36'!C7:C56,C14))</x:f>
        <x:v>148462</x:v>
      </x:c>
      <x:c r="Q14" s="25" t="n">
        <x:f>J14-MAX(0,_xlfn.MAXIFS('日経_S36'!F7:F56,'日経_S36'!C7:C56,C14))-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-IF(COUNTIFS('日経_S36'!F7:F56,MAX(0,_xlfn.MAXIFS('日経_S36'!F7:F56,'日経_S36'!C7:C56,C14)),'日経_S36'!C7:C56,C14)&gt;=3,MAX(0,_xlfn.MAXIFS('日経_S36'!F7:F56,'日経_S36'!C7:C56,C14)),IF(COUNTIFS('日経_S36'!F7:F56,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,'日経_S36'!C7:C56,C14)+COUNTIFS('日経_S36'!F7:F56,"&gt;"&amp;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,'日経_S36'!C7:C56,C14)&gt;=3,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,MAX(0,_xlfn.MAXIFS('日経_S36'!F7:F56,'日経_S36'!C7:C56,C14,'日経_S36'!F7:F56,"&lt;"&amp;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))))</x:f>
        <x:v>204510</x:v>
      </x:c>
    </x:row>
    <x:row r="15" ht="36" customHeight="1">
      <x:c r="A15" s="2" t="str">
        <x:v>日経mini</x:v>
      </x:c>
      <x:c r="B15" s="2" t="str">
        <x:v>S36</x:v>
      </x:c>
      <x:c r="C15" s="2" t="str">
        <x:v>デイ</x:v>
      </x:c>
      <x:c r="D15" s="2" t="str">
        <x:v>既知47場</x:v>
      </x:c>
      <x:c r="E15" s="2" t="str">
        <x:v>T06</x:v>
      </x:c>
      <x:c r="F15" s="27" t="str">
        <x:v>独立枠。40分の効率で追従・反転を切替、追加最大5枚</x:v>
      </x:c>
      <x:c r="G15" s="8" t="n">
        <x:f>COUNTIFS('日経_S36'!C7:C53,C15)</x:f>
        <x:v>24</x:v>
      </x:c>
      <x:c r="H15" s="25" t="n">
        <x:f>SUMIFS('日経_S36'!D7:D53,'日経_S36'!C7:C53,C15)</x:f>
        <x:v>4289470</x:v>
      </x:c>
      <x:c r="I15" s="25" t="n">
        <x:f>SUMIFS('日経_S36'!E7:E53,'日経_S36'!C7:C53,C15)</x:f>
        <x:v>2791126</x:v>
      </x:c>
      <x:c r="J15" s="25" t="n">
        <x:f>H15-I15</x:f>
        <x:v>1498344</x:v>
      </x:c>
      <x:c r="K15" s="8" t="n">
        <x:f>SUMIFS('日経_S36'!J7:J53,'日経_S36'!C7:C53,C15)</x:f>
        <x:v>234</x:v>
      </x:c>
      <x:c r="L15" s="8" t="n">
        <x:f>COUNTIFS('日経_S36'!F7:F53,"&gt;0",'日経_S36'!C7:C53,C15)</x:f>
        <x:v>17</x:v>
      </x:c>
      <x:c r="M15" s="8" t="n">
        <x:f>COUNTIFS('日経_S36'!F7:F53,"&lt;0",'日経_S36'!C7:C53,C15)</x:f>
        <x:v>7</x:v>
      </x:c>
      <x:c r="N15" s="8" t="n">
        <x:f>COUNTIFS('日経_S36'!J7:J53,"=0",'日経_S36'!C7:C53,C15)</x:f>
        <x:v>0</x:v>
      </x:c>
      <x:c r="O15" s="25" t="n">
        <x:f>IF(M15=0,0,-SUMIFS('日経_S36'!F7:F53,'日経_S36'!F7:F53,"&lt;0",'日経_S36'!C7:C53,C15)/M15)</x:f>
        <x:v>111280.57142857143</x:v>
      </x:c>
      <x:c r="P15" s="25" t="n">
        <x:f>MAX(0,-_xlfn.MINIFS('日経_S36'!F7:F53,'日経_S36'!C7:C53,C15))</x:f>
        <x:v>185148</x:v>
      </x:c>
      <x:c r="Q15" s="25" t="n">
        <x:f>J15-MAX(0,_xlfn.MAXIFS('日経_S36'!F7:F53,'日経_S36'!C7:C53,C15))-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-IF(COUNTIFS('日経_S36'!F7:F53,MAX(0,_xlfn.MAXIFS('日経_S36'!F7:F53,'日経_S36'!C7:C53,C15)),'日経_S36'!C7:C53,C15)&gt;=3,MAX(0,_xlfn.MAXIFS('日経_S36'!F7:F53,'日経_S36'!C7:C53,C15)),IF(COUNTIFS('日経_S36'!F7:F53,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,'日経_S36'!C7:C53,C15)+COUNTIFS('日経_S36'!F7:F53,"&gt;"&amp;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,'日経_S36'!C7:C53,C15)&gt;=3,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,MAX(0,_xlfn.MAXIFS('日経_S36'!F7:F53,'日経_S36'!C7:C53,C15,'日経_S36'!F7:F53,"&lt;"&amp;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))))</x:f>
        <x:v>419564</x:v>
      </x:c>
    </x:row>
    <x:row r="16" ht="36" customHeight="1">
      <x:c r="A16" s="2" t="str">
        <x:v>日経mini</x:v>
      </x:c>
      <x:c r="B16" s="2" t="str">
        <x:v>S36</x:v>
      </x:c>
      <x:c r="C16" s="2" t="str">
        <x:v>ナイト</x:v>
      </x:c>
      <x:c r="D16" s="2" t="str">
        <x:v>既知47場</x:v>
      </x:c>
      <x:c r="E16" s="2" t="str">
        <x:v>U06</x:v>
      </x:c>
      <x:c r="F16" s="27" t="str">
        <x:v>独立枠。40分の効率で追従・反転を切替、追加最大5枚</x:v>
      </x:c>
      <x:c r="G16" s="8" t="n">
        <x:f>COUNTIFS('日経_S36'!C7:C53,C16)</x:f>
        <x:v>23</x:v>
      </x:c>
      <x:c r="H16" s="25" t="n">
        <x:f>SUMIFS('日経_S36'!D7:D53,'日経_S36'!C7:C53,C16)</x:f>
        <x:v>2115516</x:v>
      </x:c>
      <x:c r="I16" s="25" t="n">
        <x:f>SUMIFS('日経_S36'!E7:E53,'日経_S36'!C7:C53,C16)</x:f>
        <x:v>1098684</x:v>
      </x:c>
      <x:c r="J16" s="25" t="n">
        <x:f>H16-I16</x:f>
        <x:v>1016832</x:v>
      </x:c>
      <x:c r="K16" s="8" t="n">
        <x:f>SUMIFS('日経_S36'!J7:J53,'日経_S36'!C7:C53,C16)</x:f>
        <x:v>123</x:v>
      </x:c>
      <x:c r="L16" s="8" t="n">
        <x:f>COUNTIFS('日経_S36'!F7:F53,"&gt;0",'日経_S36'!C7:C53,C16)</x:f>
        <x:v>14</x:v>
      </x:c>
      <x:c r="M16" s="8" t="n">
        <x:f>COUNTIFS('日経_S36'!F7:F53,"&lt;0",'日経_S36'!C7:C53,C16)</x:f>
        <x:v>9</x:v>
      </x:c>
      <x:c r="N16" s="8" t="n">
        <x:f>COUNTIFS('日経_S36'!J7:J53,"=0",'日経_S36'!C7:C53,C16)</x:f>
        <x:v>0</x:v>
      </x:c>
      <x:c r="O16" s="25" t="n">
        <x:f>IF(M16=0,0,-SUMIFS('日経_S36'!F7:F53,'日経_S36'!F7:F53,"&lt;0",'日経_S36'!C7:C53,C16)/M16)</x:f>
        <x:v>47810.22222222222</x:v>
      </x:c>
      <x:c r="P16" s="25" t="n">
        <x:f>MAX(0,-_xlfn.MINIFS('日経_S36'!F7:F53,'日経_S36'!C7:C53,C16))</x:f>
        <x:v>148462</x:v>
      </x:c>
      <x:c r="Q16" s="25" t="n">
        <x:f>J16-MAX(0,_xlfn.MAXIFS('日経_S36'!F7:F53,'日経_S36'!C7:C53,C16))-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-IF(COUNTIFS('日経_S36'!F7:F53,MAX(0,_xlfn.MAXIFS('日経_S36'!F7:F53,'日経_S36'!C7:C53,C16)),'日経_S36'!C7:C53,C16)&gt;=3,MAX(0,_xlfn.MAXIFS('日経_S36'!F7:F53,'日経_S36'!C7:C53,C16)),IF(COUNTIFS('日経_S36'!F7:F53,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,'日経_S36'!C7:C53,C16)+COUNTIFS('日経_S36'!F7:F53,"&gt;"&amp;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,'日経_S36'!C7:C53,C16)&gt;=3,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,MAX(0,_xlfn.MAXIFS('日経_S36'!F7:F53,'日経_S36'!C7:C53,C16,'日経_S36'!F7:F53,"&lt;"&amp;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))))</x:f>
        <x:v>286276</x:v>
      </x:c>
    </x:row>
    <x:row r="17" ht="36" customHeight="1">
      <x:c r="A17" s="2" t="str">
        <x:v>日経mini</x:v>
      </x:c>
      <x:c r="B17" s="2" t="str">
        <x:v>S36</x:v>
      </x:c>
      <x:c r="C17" s="2" t="str">
        <x:v>デイ</x:v>
      </x:c>
      <x:c r="D17" s="2" t="str">
        <x:v>追加3場</x:v>
      </x:c>
      <x:c r="E17" s="2" t="str">
        <x:v>T06</x:v>
      </x:c>
      <x:c r="F17" s="27" t="str">
        <x:v>独立枠。40分の効率で追従・反転を切替、追加最大5枚</x:v>
      </x:c>
      <x:c r="G17" s="8" t="n">
        <x:f>COUNTIFS('日経_S36'!C54:C56,C17)</x:f>
        <x:v>1</x:v>
      </x:c>
      <x:c r="H17" s="25" t="n">
        <x:f>SUMIFS('日経_S36'!D54:D56,'日経_S36'!C54:C56,C17)</x:f>
        <x:v>76618</x:v>
      </x:c>
      <x:c r="I17" s="25" t="n">
        <x:f>SUMIFS('日経_S36'!E54:E56,'日経_S36'!C54:C56,C17)</x:f>
        <x:v>118768</x:v>
      </x:c>
      <x:c r="J17" s="25" t="n">
        <x:f>H17-I17</x:f>
        <x:v>-42150</x:v>
      </x:c>
      <x:c r="K17" s="8" t="n">
        <x:f>SUMIFS('日経_S36'!J54:J56,'日経_S36'!C54:C56,C17)</x:f>
        <x:v>8</x:v>
      </x:c>
      <x:c r="L17" s="8" t="n">
        <x:f>COUNTIFS('日経_S36'!F54:F56,"&gt;0",'日経_S36'!C54:C56,C17)</x:f>
        <x:v>0</x:v>
      </x:c>
      <x:c r="M17" s="8" t="n">
        <x:f>COUNTIFS('日経_S36'!F54:F56,"&lt;0",'日経_S36'!C54:C56,C17)</x:f>
        <x:v>1</x:v>
      </x:c>
      <x:c r="N17" s="8" t="n">
        <x:f>COUNTIFS('日経_S36'!J54:J56,"=0",'日経_S36'!C54:C56,C17)</x:f>
        <x:v>0</x:v>
      </x:c>
      <x:c r="O17" s="25" t="n">
        <x:f>IF(M17=0,0,-SUMIFS('日経_S36'!F54:F56,'日経_S36'!F54:F56,"&lt;0",'日経_S36'!C54:C56,C17)/M17)</x:f>
        <x:v>42150</x:v>
      </x:c>
      <x:c r="P17" s="25" t="n">
        <x:f>MAX(0,-_xlfn.MINIFS('日経_S36'!F54:F56,'日経_S36'!C54:C56,C17))</x:f>
        <x:v>42150</x:v>
      </x:c>
      <x:c r="Q17" s="25" t="n">
        <x:f>J17-MAX(0,_xlfn.MAXIFS('日経_S36'!F54:F56,'日経_S36'!C54:C56,C17))-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-IF(COUNTIFS('日経_S36'!F54:F56,MAX(0,_xlfn.MAXIFS('日経_S36'!F54:F56,'日経_S36'!C54:C56,C17)),'日経_S36'!C54:C56,C17)&gt;=3,MAX(0,_xlfn.MAXIFS('日経_S36'!F54:F56,'日経_S36'!C54:C56,C17)),IF(COUNTIFS('日経_S36'!F54:F56,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,'日経_S36'!C54:C56,C17)+COUNTIFS('日経_S36'!F54:F56,"&gt;"&amp;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,'日経_S36'!C54:C56,C17)&gt;=3,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,MAX(0,_xlfn.MAXIFS('日経_S36'!F54:F56,'日経_S36'!C54:C56,C17,'日経_S36'!F54:F56,"&lt;"&amp;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))))</x:f>
        <x:v>-42150</x:v>
      </x:c>
    </x:row>
    <x:row r="18" ht="36" customHeight="1">
      <x:c r="A18" s="2" t="str">
        <x:v>日経mini</x:v>
      </x:c>
      <x:c r="B18" s="2" t="str">
        <x:v>S36</x:v>
      </x:c>
      <x:c r="C18" s="2" t="str">
        <x:v>ナイト</x:v>
      </x:c>
      <x:c r="D18" s="2" t="str">
        <x:v>追加3場</x:v>
      </x:c>
      <x:c r="E18" s="2" t="str">
        <x:v>U06</x:v>
      </x:c>
      <x:c r="F18" s="27" t="str">
        <x:v>独立枠。40分の効率で追従・反転を切替、追加最大5枚</x:v>
      </x:c>
      <x:c r="G18" s="8" t="n">
        <x:f>COUNTIFS('日経_S36'!C54:C56,C18)</x:f>
        <x:v>2</x:v>
      </x:c>
      <x:c r="H18" s="25" t="n">
        <x:f>SUMIFS('日経_S36'!D54:D56,'日経_S36'!C54:C56,C18)</x:f>
        <x:v>116462</x:v>
      </x:c>
      <x:c r="I18" s="25" t="n">
        <x:f>SUMIFS('日経_S36'!E54:E56,'日経_S36'!C54:C56,C18)</x:f>
        <x:v>198228</x:v>
      </x:c>
      <x:c r="J18" s="25" t="n">
        <x:f>H18-I18</x:f>
        <x:v>-81766</x:v>
      </x:c>
      <x:c r="K18" s="8" t="n">
        <x:f>SUMIFS('日経_S36'!J54:J56,'日経_S36'!C54:C56,C18)</x:f>
        <x:v>8</x:v>
      </x:c>
      <x:c r="L18" s="8" t="n">
        <x:f>COUNTIFS('日経_S36'!F54:F56,"&gt;0",'日経_S36'!C54:C56,C18)</x:f>
        <x:v>0</x:v>
      </x:c>
      <x:c r="M18" s="8" t="n">
        <x:f>COUNTIFS('日経_S36'!F54:F56,"&lt;0",'日経_S36'!C54:C56,C18)</x:f>
        <x:v>2</x:v>
      </x:c>
      <x:c r="N18" s="8" t="n">
        <x:f>COUNTIFS('日経_S36'!J54:J56,"=0",'日経_S36'!C54:C56,C18)</x:f>
        <x:v>0</x:v>
      </x:c>
      <x:c r="O18" s="25" t="n">
        <x:f>IF(M18=0,0,-SUMIFS('日経_S36'!F54:F56,'日経_S36'!F54:F56,"&lt;0",'日経_S36'!C54:C56,C18)/M18)</x:f>
        <x:v>40883</x:v>
      </x:c>
      <x:c r="P18" s="25" t="n">
        <x:f>MAX(0,-_xlfn.MINIFS('日経_S36'!F54:F56,'日経_S36'!C54:C56,C18))</x:f>
        <x:v>43538</x:v>
      </x:c>
      <x:c r="Q18" s="25" t="n">
        <x:f>J18-MAX(0,_xlfn.MAXIFS('日経_S36'!F54:F56,'日経_S36'!C54:C56,C18))-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-IF(COUNTIFS('日経_S36'!F54:F56,MAX(0,_xlfn.MAXIFS('日経_S36'!F54:F56,'日経_S36'!C54:C56,C18)),'日経_S36'!C54:C56,C18)&gt;=3,MAX(0,_xlfn.MAXIFS('日経_S36'!F54:F56,'日経_S36'!C54:C56,C18)),IF(COUNTIFS('日経_S36'!F54:F56,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,'日経_S36'!C54:C56,C18)+COUNTIFS('日経_S36'!F54:F56,"&gt;"&amp;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,'日経_S36'!C54:C56,C18)&gt;=3,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,MAX(0,_xlfn.MAXIFS('日経_S36'!F54:F56,'日経_S36'!C54:C56,C18,'日経_S36'!F54:F56,"&lt;"&amp;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))))</x:f>
        <x:v>-81766</x:v>
      </x:c>
    </x:row>
    <x:row r="19" ht="36" customHeight="1">
      <x:c r="A19" s="2" t="str">
        <x:v>日経mini</x:v>
      </x:c>
      <x:c r="B19" s="2" t="str">
        <x:v>R02</x:v>
      </x:c>
      <x:c r="C19" s="2" t="str">
        <x:v>デイ</x:v>
      </x:c>
      <x:c r="D19" s="2" t="str">
        <x:v>全50場</x:v>
      </x:c>
      <x:c r="E19" s="2" t="str">
        <x:v>T06</x:v>
      </x:c>
      <x:c r="F19" s="27" t="str">
        <x:v>利確後の再参加。待機条件だけの対照</x:v>
      </x:c>
      <x:c r="G19" s="8" t="n">
        <x:f>COUNTIFS('日経_R02'!C7:C56,C19)</x:f>
        <x:v>25</x:v>
      </x:c>
      <x:c r="H19" s="25" t="n">
        <x:f>SUMIFS('日経_R02'!D7:D56,'日経_R02'!C7:C56,C19)</x:f>
        <x:v>3142635</x:v>
      </x:c>
      <x:c r="I19" s="25" t="n">
        <x:f>SUMIFS('日経_R02'!E7:E56,'日経_R02'!C7:C56,C19)</x:f>
        <x:v>1427906</x:v>
      </x:c>
      <x:c r="J19" s="25" t="n">
        <x:f>H19-I19</x:f>
        <x:v>1714729</x:v>
      </x:c>
      <x:c r="K19" s="8" t="n">
        <x:f>SUMIFS('日経_R02'!J7:J56,'日経_R02'!C7:C56,C19)</x:f>
        <x:v>76</x:v>
      </x:c>
      <x:c r="L19" s="8" t="n">
        <x:f>COUNTIFS('日経_R02'!F7:F56,"&gt;0",'日経_R02'!C7:C56,C19)</x:f>
        <x:v>16</x:v>
      </x:c>
      <x:c r="M19" s="8" t="n">
        <x:f>COUNTIFS('日経_R02'!F7:F56,"&lt;0",'日経_R02'!C7:C56,C19)</x:f>
        <x:v>9</x:v>
      </x:c>
      <x:c r="N19" s="8" t="n">
        <x:f>COUNTIFS('日経_R02'!J7:J56,"=0",'日経_R02'!C7:C56,C19)</x:f>
        <x:v>0</x:v>
      </x:c>
      <x:c r="O19" s="25" t="n">
        <x:f>IF(M19=0,0,-SUMIFS('日経_R02'!F7:F56,'日経_R02'!F7:F56,"&lt;0",'日経_R02'!C7:C56,C19)/M19)</x:f>
        <x:v>81818.44444444444</x:v>
      </x:c>
      <x:c r="P19" s="25" t="n">
        <x:f>MAX(0,-_xlfn.MINIFS('日経_R02'!F7:F56,'日経_R02'!C7:C56,C19))</x:f>
        <x:v>171458</x:v>
      </x:c>
      <x:c r="Q19" s="25" t="n">
        <x:f>J19-MAX(0,_xlfn.MAXIFS('日経_R02'!F7:F56,'日経_R02'!C7:C56,C19))-IF(COUNTIFS('日経_R02'!F7:F56,MAX(0,_xlfn.MAXIFS('日経_R02'!F7:F56,'日経_R02'!C7:C56,C19)),'日経_R02'!C7:C56,C19)&gt;=2,MAX(0,_xlfn.MAXIFS('日経_R02'!F7:F56,'日経_R02'!C7:C56,C19)),MAX(0,_xlfn.MAXIFS('日経_R02'!F7:F56,'日経_R02'!C7:C56,C19,'日経_R02'!F7:F56,"&lt;"&amp;MAX(0,_xlfn.MAXIFS('日経_R02'!F7:F56,'日経_R02'!C7:C56,C19)))))-IF(COUNTIFS('日経_R02'!F7:F56,MAX(0,_xlfn.MAXIFS('日経_R02'!F7:F56,'日経_R02'!C7:C56,C19)),'日経_R02'!C7:C56,C19)&gt;=3,MAX(0,_xlfn.MAXIFS('日経_R02'!F7:F56,'日経_R02'!C7:C56,C19)),IF(COUNTIFS('日経_R02'!F7:F56,IF(COUNTIFS('日経_R02'!F7:F56,MAX(0,_xlfn.MAXIFS('日経_R02'!F7:F56,'日経_R02'!C7:C56,C19)),'日経_R02'!C7:C56,C19)&gt;=2,MAX(0,_xlfn.MAXIFS('日経_R02'!F7:F56,'日経_R02'!C7:C56,C19)),MAX(0,_xlfn.MAXIFS('日経_R02'!F7:F56,'日経_R02'!C7:C56,C19,'日経_R02'!F7:F56,"&lt;"&amp;MAX(0,_xlfn.MAXIFS('日経_R02'!F7:F56,'日経_R02'!C7:C56,C19))))),'日経_R02'!C7:C56,C19)+COUNTIFS('日経_R02'!F7:F56,"&gt;"&amp;IF(COUNTIFS('日経_R02'!F7:F56,MAX(0,_xlfn.MAXIFS('日経_R02'!F7:F56,'日経_R02'!C7:C56,C19)),'日経_R02'!C7:C56,C19)&gt;=2,MAX(0,_xlfn.MAXIFS('日経_R02'!F7:F56,'日経_R02'!C7:C56,C19)),MAX(0,_xlfn.MAXIFS('日経_R02'!F7:F56,'日経_R02'!C7:C56,C19,'日経_R02'!F7:F56,"&lt;"&amp;MAX(0,_xlfn.MAXIFS('日経_R02'!F7:F56,'日経_R02'!C7:C56,C19))))),'日経_R02'!C7:C56,C19)&gt;=3,IF(COUNTIFS('日経_R02'!F7:F56,MAX(0,_xlfn.MAXIFS('日経_R02'!F7:F56,'日経_R02'!C7:C56,C19)),'日経_R02'!C7:C56,C19)&gt;=2,MAX(0,_xlfn.MAXIFS('日経_R02'!F7:F56,'日経_R02'!C7:C56,C19)),MAX(0,_xlfn.MAXIFS('日経_R02'!F7:F56,'日経_R02'!C7:C56,C19,'日経_R02'!F7:F56,"&lt;"&amp;MAX(0,_xlfn.MAXIFS('日経_R02'!F7:F56,'日経_R02'!C7:C56,C19))))),MAX(0,_xlfn.MAXIFS('日経_R02'!F7:F56,'日経_R02'!C7:C56,C19,'日経_R02'!F7:F56,"&lt;"&amp;IF(COUNTIFS('日経_R02'!F7:F56,MAX(0,_xlfn.MAXIFS('日経_R02'!F7:F56,'日経_R02'!C7:C56,C19)),'日経_R02'!C7:C56,C19)&gt;=2,MAX(0,_xlfn.MAXIFS('日経_R02'!F7:F56,'日経_R02'!C7:C56,C19)),MAX(0,_xlfn.MAXIFS('日経_R02'!F7:F56,'日経_R02'!C7:C56,C19,'日経_R02'!F7:F56,"&lt;"&amp;MAX(0,_xlfn.MAXIFS('日経_R02'!F7:F56,'日経_R02'!C7:C56,C19)))))))))</x:f>
        <x:v>619264</x:v>
      </x:c>
    </x:row>
    <x:row r="20" ht="36" customHeight="1">
      <x:c r="A20" s="2" t="str">
        <x:v>日経mini</x:v>
      </x:c>
      <x:c r="B20" s="2" t="str">
        <x:v>R02</x:v>
      </x:c>
      <x:c r="C20" s="2" t="str">
        <x:v>ナイト</x:v>
      </x:c>
      <x:c r="D20" s="2" t="str">
        <x:v>全50場</x:v>
      </x:c>
      <x:c r="E20" s="2" t="str">
        <x:v>U06</x:v>
      </x:c>
      <x:c r="F20" s="27" t="str">
        <x:v>利確後の再参加。待機条件だけの対照</x:v>
      </x:c>
      <x:c r="G20" s="8" t="n">
        <x:f>COUNTIFS('日経_R02'!C7:C56,C20)</x:f>
        <x:v>25</x:v>
      </x:c>
      <x:c r="H20" s="25" t="n">
        <x:f>SUMIFS('日経_R02'!D7:D56,'日経_R02'!C7:C56,C20)</x:f>
        <x:v>1399096</x:v>
      </x:c>
      <x:c r="I20" s="25" t="n">
        <x:f>SUMIFS('日経_R02'!E7:E56,'日経_R02'!C7:C56,C20)</x:f>
        <x:v>910992</x:v>
      </x:c>
      <x:c r="J20" s="25" t="n">
        <x:f>H20-I20</x:f>
        <x:v>488104</x:v>
      </x:c>
      <x:c r="K20" s="8" t="n">
        <x:f>SUMIFS('日経_R02'!J7:J56,'日経_R02'!C7:C56,C20)</x:f>
        <x:v>55</x:v>
      </x:c>
      <x:c r="L20" s="8" t="n">
        <x:f>COUNTIFS('日経_R02'!F7:F56,"&gt;0",'日経_R02'!C7:C56,C20)</x:f>
        <x:v>16</x:v>
      </x:c>
      <x:c r="M20" s="8" t="n">
        <x:f>COUNTIFS('日経_R02'!F7:F56,"&lt;0",'日経_R02'!C7:C56,C20)</x:f>
        <x:v>9</x:v>
      </x:c>
      <x:c r="N20" s="8" t="n">
        <x:f>COUNTIFS('日経_R02'!J7:J56,"=0",'日経_R02'!C7:C56,C20)</x:f>
        <x:v>0</x:v>
      </x:c>
      <x:c r="O20" s="25" t="n">
        <x:f>IF(M20=0,0,-SUMIFS('日経_R02'!F7:F56,'日経_R02'!F7:F56,"&lt;0",'日経_R02'!C7:C56,C20)/M20)</x:f>
        <x:v>43828.22222222222</x:v>
      </x:c>
      <x:c r="P20" s="25" t="n">
        <x:f>MAX(0,-_xlfn.MINIFS('日経_R02'!F7:F56,'日経_R02'!C7:C56,C20))</x:f>
        <x:v>80768</x:v>
      </x:c>
      <x:c r="Q20" s="25" t="n">
        <x:f>J20-MAX(0,_xlfn.MAXIFS('日経_R02'!F7:F56,'日経_R02'!C7:C56,C20))-IF(COUNTIFS('日経_R02'!F7:F56,MAX(0,_xlfn.MAXIFS('日経_R02'!F7:F56,'日経_R02'!C7:C56,C20)),'日経_R02'!C7:C56,C20)&gt;=2,MAX(0,_xlfn.MAXIFS('日経_R02'!F7:F56,'日経_R02'!C7:C56,C20)),MAX(0,_xlfn.MAXIFS('日経_R02'!F7:F56,'日経_R02'!C7:C56,C20,'日経_R02'!F7:F56,"&lt;"&amp;MAX(0,_xlfn.MAXIFS('日経_R02'!F7:F56,'日経_R02'!C7:C56,C20)))))-IF(COUNTIFS('日経_R02'!F7:F56,MAX(0,_xlfn.MAXIFS('日経_R02'!F7:F56,'日経_R02'!C7:C56,C20)),'日経_R02'!C7:C56,C20)&gt;=3,MAX(0,_xlfn.MAXIFS('日経_R02'!F7:F56,'日経_R02'!C7:C56,C20)),IF(COUNTIFS('日経_R02'!F7:F56,IF(COUNTIFS('日経_R02'!F7:F56,MAX(0,_xlfn.MAXIFS('日経_R02'!F7:F56,'日経_R02'!C7:C56,C20)),'日経_R02'!C7:C56,C20)&gt;=2,MAX(0,_xlfn.MAXIFS('日経_R02'!F7:F56,'日経_R02'!C7:C56,C20)),MAX(0,_xlfn.MAXIFS('日経_R02'!F7:F56,'日経_R02'!C7:C56,C20,'日経_R02'!F7:F56,"&lt;"&amp;MAX(0,_xlfn.MAXIFS('日経_R02'!F7:F56,'日経_R02'!C7:C56,C20))))),'日経_R02'!C7:C56,C20)+COUNTIFS('日経_R02'!F7:F56,"&gt;"&amp;IF(COUNTIFS('日経_R02'!F7:F56,MAX(0,_xlfn.MAXIFS('日経_R02'!F7:F56,'日経_R02'!C7:C56,C20)),'日経_R02'!C7:C56,C20)&gt;=2,MAX(0,_xlfn.MAXIFS('日経_R02'!F7:F56,'日経_R02'!C7:C56,C20)),MAX(0,_xlfn.MAXIFS('日経_R02'!F7:F56,'日経_R02'!C7:C56,C20,'日経_R02'!F7:F56,"&lt;"&amp;MAX(0,_xlfn.MAXIFS('日経_R02'!F7:F56,'日経_R02'!C7:C56,C20))))),'日経_R02'!C7:C56,C20)&gt;=3,IF(COUNTIFS('日経_R02'!F7:F56,MAX(0,_xlfn.MAXIFS('日経_R02'!F7:F56,'日経_R02'!C7:C56,C20)),'日経_R02'!C7:C56,C20)&gt;=2,MAX(0,_xlfn.MAXIFS('日経_R02'!F7:F56,'日経_R02'!C7:C56,C20)),MAX(0,_xlfn.MAXIFS('日経_R02'!F7:F56,'日経_R02'!C7:C56,C20,'日経_R02'!F7:F56,"&lt;"&amp;MAX(0,_xlfn.MAXIFS('日経_R02'!F7:F56,'日経_R02'!C7:C56,C20))))),MAX(0,_xlfn.MAXIFS('日経_R02'!F7:F56,'日経_R02'!C7:C56,C20,'日経_R02'!F7:F56,"&lt;"&amp;IF(COUNTIFS('日経_R02'!F7:F56,MAX(0,_xlfn.MAXIFS('日経_R02'!F7:F56,'日経_R02'!C7:C56,C20)),'日経_R02'!C7:C56,C20)&gt;=2,MAX(0,_xlfn.MAXIFS('日経_R02'!F7:F56,'日経_R02'!C7:C56,C20)),MAX(0,_xlfn.MAXIFS('日経_R02'!F7:F56,'日経_R02'!C7:C56,C20,'日経_R02'!F7:F56,"&lt;"&amp;MAX(0,_xlfn.MAXIFS('日経_R02'!F7:F56,'日経_R02'!C7:C56,C20)))))))))</x:f>
        <x:v>113790</x:v>
      </x:c>
    </x:row>
    <x:row r="21" ht="36" customHeight="1">
      <x:c r="A21" s="2" t="str">
        <x:v>日経mini</x:v>
      </x:c>
      <x:c r="B21" s="2" t="str">
        <x:v>R02</x:v>
      </x:c>
      <x:c r="C21" s="2" t="str">
        <x:v>デイ</x:v>
      </x:c>
      <x:c r="D21" s="2" t="str">
        <x:v>既知47場</x:v>
      </x:c>
      <x:c r="E21" s="2" t="str">
        <x:v>T06</x:v>
      </x:c>
      <x:c r="F21" s="27" t="str">
        <x:v>利確後の再参加。待機条件だけの対照</x:v>
      </x:c>
      <x:c r="G21" s="8" t="n">
        <x:f>COUNTIFS('日経_R02'!C7:C53,C21)</x:f>
        <x:v>24</x:v>
      </x:c>
      <x:c r="H21" s="25" t="n">
        <x:f>SUMIFS('日経_R02'!D7:D53,'日経_R02'!C7:C53,C21)</x:f>
        <x:v>3142635</x:v>
      </x:c>
      <x:c r="I21" s="25" t="n">
        <x:f>SUMIFS('日経_R02'!E7:E53,'日経_R02'!C7:C53,C21)</x:f>
        <x:v>1382522</x:v>
      </x:c>
      <x:c r="J21" s="25" t="n">
        <x:f>H21-I21</x:f>
        <x:v>1760113</x:v>
      </x:c>
      <x:c r="K21" s="8" t="n">
        <x:f>SUMIFS('日経_R02'!J7:J53,'日経_R02'!C7:C53,C21)</x:f>
        <x:v>75</x:v>
      </x:c>
      <x:c r="L21" s="8" t="n">
        <x:f>COUNTIFS('日経_R02'!F7:F53,"&gt;0",'日経_R02'!C7:C53,C21)</x:f>
        <x:v>16</x:v>
      </x:c>
      <x:c r="M21" s="8" t="n">
        <x:f>COUNTIFS('日経_R02'!F7:F53,"&lt;0",'日経_R02'!C7:C53,C21)</x:f>
        <x:v>8</x:v>
      </x:c>
      <x:c r="N21" s="8" t="n">
        <x:f>COUNTIFS('日経_R02'!J7:J53,"=0",'日経_R02'!C7:C53,C21)</x:f>
        <x:v>0</x:v>
      </x:c>
      <x:c r="O21" s="25" t="n">
        <x:f>IF(M21=0,0,-SUMIFS('日経_R02'!F7:F53,'日経_R02'!F7:F53,"&lt;0",'日経_R02'!C7:C53,C21)/M21)</x:f>
        <x:v>86372.75</x:v>
      </x:c>
      <x:c r="P21" s="25" t="n">
        <x:f>MAX(0,-_xlfn.MINIFS('日経_R02'!F7:F53,'日経_R02'!C7:C53,C21))</x:f>
        <x:v>171458</x:v>
      </x:c>
      <x:c r="Q21" s="25" t="n">
        <x:f>J21-MAX(0,_xlfn.MAXIFS('日経_R02'!F7:F53,'日経_R02'!C7:C53,C21))-IF(COUNTIFS('日経_R02'!F7:F53,MAX(0,_xlfn.MAXIFS('日経_R02'!F7:F53,'日経_R02'!C7:C53,C21)),'日経_R02'!C7:C53,C21)&gt;=2,MAX(0,_xlfn.MAXIFS('日経_R02'!F7:F53,'日経_R02'!C7:C53,C21)),MAX(0,_xlfn.MAXIFS('日経_R02'!F7:F53,'日経_R02'!C7:C53,C21,'日経_R02'!F7:F53,"&lt;"&amp;MAX(0,_xlfn.MAXIFS('日経_R02'!F7:F53,'日経_R02'!C7:C53,C21)))))-IF(COUNTIFS('日経_R02'!F7:F53,MAX(0,_xlfn.MAXIFS('日経_R02'!F7:F53,'日経_R02'!C7:C53,C21)),'日経_R02'!C7:C53,C21)&gt;=3,MAX(0,_xlfn.MAXIFS('日経_R02'!F7:F53,'日経_R02'!C7:C53,C21)),IF(COUNTIFS('日経_R02'!F7:F53,IF(COUNTIFS('日経_R02'!F7:F53,MAX(0,_xlfn.MAXIFS('日経_R02'!F7:F53,'日経_R02'!C7:C53,C21)),'日経_R02'!C7:C53,C21)&gt;=2,MAX(0,_xlfn.MAXIFS('日経_R02'!F7:F53,'日経_R02'!C7:C53,C21)),MAX(0,_xlfn.MAXIFS('日経_R02'!F7:F53,'日経_R02'!C7:C53,C21,'日経_R02'!F7:F53,"&lt;"&amp;MAX(0,_xlfn.MAXIFS('日経_R02'!F7:F53,'日経_R02'!C7:C53,C21))))),'日経_R02'!C7:C53,C21)+COUNTIFS('日経_R02'!F7:F53,"&gt;"&amp;IF(COUNTIFS('日経_R02'!F7:F53,MAX(0,_xlfn.MAXIFS('日経_R02'!F7:F53,'日経_R02'!C7:C53,C21)),'日経_R02'!C7:C53,C21)&gt;=2,MAX(0,_xlfn.MAXIFS('日経_R02'!F7:F53,'日経_R02'!C7:C53,C21)),MAX(0,_xlfn.MAXIFS('日経_R02'!F7:F53,'日経_R02'!C7:C53,C21,'日経_R02'!F7:F53,"&lt;"&amp;MAX(0,_xlfn.MAXIFS('日経_R02'!F7:F53,'日経_R02'!C7:C53,C21))))),'日経_R02'!C7:C53,C21)&gt;=3,IF(COUNTIFS('日経_R02'!F7:F53,MAX(0,_xlfn.MAXIFS('日経_R02'!F7:F53,'日経_R02'!C7:C53,C21)),'日経_R02'!C7:C53,C21)&gt;=2,MAX(0,_xlfn.MAXIFS('日経_R02'!F7:F53,'日経_R02'!C7:C53,C21)),MAX(0,_xlfn.MAXIFS('日経_R02'!F7:F53,'日経_R02'!C7:C53,C21,'日経_R02'!F7:F53,"&lt;"&amp;MAX(0,_xlfn.MAXIFS('日経_R02'!F7:F53,'日経_R02'!C7:C53,C21))))),MAX(0,_xlfn.MAXIFS('日経_R02'!F7:F53,'日経_R02'!C7:C53,C21,'日経_R02'!F7:F53,"&lt;"&amp;IF(COUNTIFS('日経_R02'!F7:F53,MAX(0,_xlfn.MAXIFS('日経_R02'!F7:F53,'日経_R02'!C7:C53,C21)),'日経_R02'!C7:C53,C21)&gt;=2,MAX(0,_xlfn.MAXIFS('日経_R02'!F7:F53,'日経_R02'!C7:C53,C21)),MAX(0,_xlfn.MAXIFS('日経_R02'!F7:F53,'日経_R02'!C7:C53,C21,'日経_R02'!F7:F53,"&lt;"&amp;MAX(0,_xlfn.MAXIFS('日経_R02'!F7:F53,'日経_R02'!C7:C53,C21)))))))))</x:f>
        <x:v>664648</x:v>
      </x:c>
    </x:row>
    <x:row r="22" ht="36" customHeight="1">
      <x:c r="A22" s="2" t="str">
        <x:v>日経mini</x:v>
      </x:c>
      <x:c r="B22" s="2" t="str">
        <x:v>R02</x:v>
      </x:c>
      <x:c r="C22" s="2" t="str">
        <x:v>ナイト</x:v>
      </x:c>
      <x:c r="D22" s="2" t="str">
        <x:v>既知47場</x:v>
      </x:c>
      <x:c r="E22" s="2" t="str">
        <x:v>U06</x:v>
      </x:c>
      <x:c r="F22" s="27" t="str">
        <x:v>利確後の再参加。待機条件だけの対照</x:v>
      </x:c>
      <x:c r="G22" s="8" t="n">
        <x:f>COUNTIFS('日経_R02'!C7:C53,C22)</x:f>
        <x:v>23</x:v>
      </x:c>
      <x:c r="H22" s="25" t="n">
        <x:f>SUMIFS('日経_R02'!D7:D53,'日経_R02'!C7:C53,C22)</x:f>
        <x:v>1294480</x:v>
      </x:c>
      <x:c r="I22" s="25" t="n">
        <x:f>SUMIFS('日経_R02'!E7:E53,'日経_R02'!C7:C53,C22)</x:f>
        <x:v>778070</x:v>
      </x:c>
      <x:c r="J22" s="25" t="n">
        <x:f>H22-I22</x:f>
        <x:v>516410</x:v>
      </x:c>
      <x:c r="K22" s="8" t="n">
        <x:f>SUMIFS('日経_R02'!J7:J53,'日経_R02'!C7:C53,C22)</x:f>
        <x:v>51</x:v>
      </x:c>
      <x:c r="L22" s="8" t="n">
        <x:f>COUNTIFS('日経_R02'!F7:F53,"&gt;0",'日経_R02'!C7:C53,C22)</x:f>
        <x:v>15</x:v>
      </x:c>
      <x:c r="M22" s="8" t="n">
        <x:f>COUNTIFS('日経_R02'!F7:F53,"&lt;0",'日経_R02'!C7:C53,C22)</x:f>
        <x:v>8</x:v>
      </x:c>
      <x:c r="N22" s="8" t="n">
        <x:f>COUNTIFS('日経_R02'!J7:J53,"=0",'日経_R02'!C7:C53,C22)</x:f>
        <x:v>0</x:v>
      </x:c>
      <x:c r="O22" s="25" t="n">
        <x:f>IF(M22=0,0,-SUMIFS('日経_R02'!F7:F53,'日経_R02'!F7:F53,"&lt;0",'日経_R02'!C7:C53,C22)/M22)</x:f>
        <x:v>42383.75</x:v>
      </x:c>
      <x:c r="P22" s="25" t="n">
        <x:f>MAX(0,-_xlfn.MINIFS('日経_R02'!F7:F53,'日経_R02'!C7:C53,C22))</x:f>
        <x:v>80768</x:v>
      </x:c>
      <x:c r="Q22" s="25" t="n">
        <x:f>J22-MAX(0,_xlfn.MAXIFS('日経_R02'!F7:F53,'日経_R02'!C7:C53,C22))-IF(COUNTIFS('日経_R02'!F7:F53,MAX(0,_xlfn.MAXIFS('日経_R02'!F7:F53,'日経_R02'!C7:C53,C22)),'日経_R02'!C7:C53,C22)&gt;=2,MAX(0,_xlfn.MAXIFS('日経_R02'!F7:F53,'日経_R02'!C7:C53,C22)),MAX(0,_xlfn.MAXIFS('日経_R02'!F7:F53,'日経_R02'!C7:C53,C22,'日経_R02'!F7:F53,"&lt;"&amp;MAX(0,_xlfn.MAXIFS('日経_R02'!F7:F53,'日経_R02'!C7:C53,C22)))))-IF(COUNTIFS('日経_R02'!F7:F53,MAX(0,_xlfn.MAXIFS('日経_R02'!F7:F53,'日経_R02'!C7:C53,C22)),'日経_R02'!C7:C53,C22)&gt;=3,MAX(0,_xlfn.MAXIFS('日経_R02'!F7:F53,'日経_R02'!C7:C53,C22)),IF(COUNTIFS('日経_R02'!F7:F53,IF(COUNTIFS('日経_R02'!F7:F53,MAX(0,_xlfn.MAXIFS('日経_R02'!F7:F53,'日経_R02'!C7:C53,C22)),'日経_R02'!C7:C53,C22)&gt;=2,MAX(0,_xlfn.MAXIFS('日経_R02'!F7:F53,'日経_R02'!C7:C53,C22)),MAX(0,_xlfn.MAXIFS('日経_R02'!F7:F53,'日経_R02'!C7:C53,C22,'日経_R02'!F7:F53,"&lt;"&amp;MAX(0,_xlfn.MAXIFS('日経_R02'!F7:F53,'日経_R02'!C7:C53,C22))))),'日経_R02'!C7:C53,C22)+COUNTIFS('日経_R02'!F7:F53,"&gt;"&amp;IF(COUNTIFS('日経_R02'!F7:F53,MAX(0,_xlfn.MAXIFS('日経_R02'!F7:F53,'日経_R02'!C7:C53,C22)),'日経_R02'!C7:C53,C22)&gt;=2,MAX(0,_xlfn.MAXIFS('日経_R02'!F7:F53,'日経_R02'!C7:C53,C22)),MAX(0,_xlfn.MAXIFS('日経_R02'!F7:F53,'日経_R02'!C7:C53,C22,'日経_R02'!F7:F53,"&lt;"&amp;MAX(0,_xlfn.MAXIFS('日経_R02'!F7:F53,'日経_R02'!C7:C53,C22))))),'日経_R02'!C7:C53,C22)&gt;=3,IF(COUNTIFS('日経_R02'!F7:F53,MAX(0,_xlfn.MAXIFS('日経_R02'!F7:F53,'日経_R02'!C7:C53,C22)),'日経_R02'!C7:C53,C22)&gt;=2,MAX(0,_xlfn.MAXIFS('日経_R02'!F7:F53,'日経_R02'!C7:C53,C22)),MAX(0,_xlfn.MAXIFS('日経_R02'!F7:F53,'日経_R02'!C7:C53,C22,'日経_R02'!F7:F53,"&lt;"&amp;MAX(0,_xlfn.MAXIFS('日経_R02'!F7:F53,'日経_R02'!C7:C53,C22))))),MAX(0,_xlfn.MAXIFS('日経_R02'!F7:F53,'日経_R02'!C7:C53,C22,'日経_R02'!F7:F53,"&lt;"&amp;IF(COUNTIFS('日経_R02'!F7:F53,MAX(0,_xlfn.MAXIFS('日経_R02'!F7:F53,'日経_R02'!C7:C53,C22)),'日経_R02'!C7:C53,C22)&gt;=2,MAX(0,_xlfn.MAXIFS('日経_R02'!F7:F53,'日経_R02'!C7:C53,C22)),MAX(0,_xlfn.MAXIFS('日経_R02'!F7:F53,'日経_R02'!C7:C53,C22,'日経_R02'!F7:F53,"&lt;"&amp;MAX(0,_xlfn.MAXIFS('日経_R02'!F7:F53,'日経_R02'!C7:C53,C22)))))))))</x:f>
        <x:v>142096</x:v>
      </x:c>
    </x:row>
    <x:row r="23" ht="36" customHeight="1">
      <x:c r="A23" s="2" t="str">
        <x:v>日経mini</x:v>
      </x:c>
      <x:c r="B23" s="2" t="str">
        <x:v>R02</x:v>
      </x:c>
      <x:c r="C23" s="2" t="str">
        <x:v>デイ</x:v>
      </x:c>
      <x:c r="D23" s="2" t="str">
        <x:v>追加3場</x:v>
      </x:c>
      <x:c r="E23" s="2" t="str">
        <x:v>T06</x:v>
      </x:c>
      <x:c r="F23" s="27" t="str">
        <x:v>利確後の再参加。待機条件だけの対照</x:v>
      </x:c>
      <x:c r="G23" s="8" t="n">
        <x:f>COUNTIFS('日経_R02'!C54:C56,C23)</x:f>
        <x:v>1</x:v>
      </x:c>
      <x:c r="H23" s="25" t="n">
        <x:f>SUMIFS('日経_R02'!D54:D56,'日経_R02'!C54:C56,C23)</x:f>
        <x:v>0</x:v>
      </x:c>
      <x:c r="I23" s="25" t="n">
        <x:f>SUMIFS('日経_R02'!E54:E56,'日経_R02'!C54:C56,C23)</x:f>
        <x:v>45384</x:v>
      </x:c>
      <x:c r="J23" s="25" t="n">
        <x:f>H23-I23</x:f>
        <x:v>-45384</x:v>
      </x:c>
      <x:c r="K23" s="8" t="n">
        <x:f>SUMIFS('日経_R02'!J54:J56,'日経_R02'!C54:C56,C23)</x:f>
        <x:v>1</x:v>
      </x:c>
      <x:c r="L23" s="8" t="n">
        <x:f>COUNTIFS('日経_R02'!F54:F56,"&gt;0",'日経_R02'!C54:C56,C23)</x:f>
        <x:v>0</x:v>
      </x:c>
      <x:c r="M23" s="8" t="n">
        <x:f>COUNTIFS('日経_R02'!F54:F56,"&lt;0",'日経_R02'!C54:C56,C23)</x:f>
        <x:v>1</x:v>
      </x:c>
      <x:c r="N23" s="8" t="n">
        <x:f>COUNTIFS('日経_R02'!J54:J56,"=0",'日経_R02'!C54:C56,C23)</x:f>
        <x:v>0</x:v>
      </x:c>
      <x:c r="O23" s="25" t="n">
        <x:f>IF(M23=0,0,-SUMIFS('日経_R02'!F54:F56,'日経_R02'!F54:F56,"&lt;0",'日経_R02'!C54:C56,C23)/M23)</x:f>
        <x:v>45384</x:v>
      </x:c>
      <x:c r="P23" s="25" t="n">
        <x:f>MAX(0,-_xlfn.MINIFS('日経_R02'!F54:F56,'日経_R02'!C54:C56,C23))</x:f>
        <x:v>45384</x:v>
      </x:c>
      <x:c r="Q23" s="25" t="n">
        <x:f>J23-MAX(0,_xlfn.MAXIFS('日経_R02'!F54:F56,'日経_R02'!C54:C56,C23))-IF(COUNTIFS('日経_R02'!F54:F56,MAX(0,_xlfn.MAXIFS('日経_R02'!F54:F56,'日経_R02'!C54:C56,C23)),'日経_R02'!C54:C56,C23)&gt;=2,MAX(0,_xlfn.MAXIFS('日経_R02'!F54:F56,'日経_R02'!C54:C56,C23)),MAX(0,_xlfn.MAXIFS('日経_R02'!F54:F56,'日経_R02'!C54:C56,C23,'日経_R02'!F54:F56,"&lt;"&amp;MAX(0,_xlfn.MAXIFS('日経_R02'!F54:F56,'日経_R02'!C54:C56,C23)))))-IF(COUNTIFS('日経_R02'!F54:F56,MAX(0,_xlfn.MAXIFS('日経_R02'!F54:F56,'日経_R02'!C54:C56,C23)),'日経_R02'!C54:C56,C23)&gt;=3,MAX(0,_xlfn.MAXIFS('日経_R02'!F54:F56,'日経_R02'!C54:C56,C23)),IF(COUNTIFS('日経_R02'!F54:F56,IF(COUNTIFS('日経_R02'!F54:F56,MAX(0,_xlfn.MAXIFS('日経_R02'!F54:F56,'日経_R02'!C54:C56,C23)),'日経_R02'!C54:C56,C23)&gt;=2,MAX(0,_xlfn.MAXIFS('日経_R02'!F54:F56,'日経_R02'!C54:C56,C23)),MAX(0,_xlfn.MAXIFS('日経_R02'!F54:F56,'日経_R02'!C54:C56,C23,'日経_R02'!F54:F56,"&lt;"&amp;MAX(0,_xlfn.MAXIFS('日経_R02'!F54:F56,'日経_R02'!C54:C56,C23))))),'日経_R02'!C54:C56,C23)+COUNTIFS('日経_R02'!F54:F56,"&gt;"&amp;IF(COUNTIFS('日経_R02'!F54:F56,MAX(0,_xlfn.MAXIFS('日経_R02'!F54:F56,'日経_R02'!C54:C56,C23)),'日経_R02'!C54:C56,C23)&gt;=2,MAX(0,_xlfn.MAXIFS('日経_R02'!F54:F56,'日経_R02'!C54:C56,C23)),MAX(0,_xlfn.MAXIFS('日経_R02'!F54:F56,'日経_R02'!C54:C56,C23,'日経_R02'!F54:F56,"&lt;"&amp;MAX(0,_xlfn.MAXIFS('日経_R02'!F54:F56,'日経_R02'!C54:C56,C23))))),'日経_R02'!C54:C56,C23)&gt;=3,IF(COUNTIFS('日経_R02'!F54:F56,MAX(0,_xlfn.MAXIFS('日経_R02'!F54:F56,'日経_R02'!C54:C56,C23)),'日経_R02'!C54:C56,C23)&gt;=2,MAX(0,_xlfn.MAXIFS('日経_R02'!F54:F56,'日経_R02'!C54:C56,C23)),MAX(0,_xlfn.MAXIFS('日経_R02'!F54:F56,'日経_R02'!C54:C56,C23,'日経_R02'!F54:F56,"&lt;"&amp;MAX(0,_xlfn.MAXIFS('日経_R02'!F54:F56,'日経_R02'!C54:C56,C23))))),MAX(0,_xlfn.MAXIFS('日経_R02'!F54:F56,'日経_R02'!C54:C56,C23,'日経_R02'!F54:F56,"&lt;"&amp;IF(COUNTIFS('日経_R02'!F54:F56,MAX(0,_xlfn.MAXIFS('日経_R02'!F54:F56,'日経_R02'!C54:C56,C23)),'日経_R02'!C54:C56,C23)&gt;=2,MAX(0,_xlfn.MAXIFS('日経_R02'!F54:F56,'日経_R02'!C54:C56,C23)),MAX(0,_xlfn.MAXIFS('日経_R02'!F54:F56,'日経_R02'!C54:C56,C23,'日経_R02'!F54:F56,"&lt;"&amp;MAX(0,_xlfn.MAXIFS('日経_R02'!F54:F56,'日経_R02'!C54:C56,C23)))))))))</x:f>
        <x:v>-45384</x:v>
      </x:c>
    </x:row>
    <x:row r="24" ht="36" customHeight="1">
      <x:c r="A24" s="2" t="str">
        <x:v>日経mini</x:v>
      </x:c>
      <x:c r="B24" s="2" t="str">
        <x:v>R02</x:v>
      </x:c>
      <x:c r="C24" s="2" t="str">
        <x:v>ナイト</x:v>
      </x:c>
      <x:c r="D24" s="2" t="str">
        <x:v>追加3場</x:v>
      </x:c>
      <x:c r="E24" s="2" t="str">
        <x:v>U06</x:v>
      </x:c>
      <x:c r="F24" s="27" t="str">
        <x:v>利確後の再参加。待機条件だけの対照</x:v>
      </x:c>
      <x:c r="G24" s="8" t="n">
        <x:f>COUNTIFS('日経_R02'!C54:C56,C24)</x:f>
        <x:v>2</x:v>
      </x:c>
      <x:c r="H24" s="25" t="n">
        <x:f>SUMIFS('日経_R02'!D54:D56,'日経_R02'!C54:C56,C24)</x:f>
        <x:v>104616</x:v>
      </x:c>
      <x:c r="I24" s="25" t="n">
        <x:f>SUMIFS('日経_R02'!E54:E56,'日経_R02'!C54:C56,C24)</x:f>
        <x:v>132922</x:v>
      </x:c>
      <x:c r="J24" s="25" t="n">
        <x:f>H24-I24</x:f>
        <x:v>-28306</x:v>
      </x:c>
      <x:c r="K24" s="8" t="n">
        <x:f>SUMIFS('日経_R02'!J54:J56,'日経_R02'!C54:C56,C24)</x:f>
        <x:v>4</x:v>
      </x:c>
      <x:c r="L24" s="8" t="n">
        <x:f>COUNTIFS('日経_R02'!F54:F56,"&gt;0",'日経_R02'!C54:C56,C24)</x:f>
        <x:v>1</x:v>
      </x:c>
      <x:c r="M24" s="8" t="n">
        <x:f>COUNTIFS('日経_R02'!F54:F56,"&lt;0",'日経_R02'!C54:C56,C24)</x:f>
        <x:v>1</x:v>
      </x:c>
      <x:c r="N24" s="8" t="n">
        <x:f>COUNTIFS('日経_R02'!J54:J56,"=0",'日経_R02'!C54:C56,C24)</x:f>
        <x:v>0</x:v>
      </x:c>
      <x:c r="O24" s="25" t="n">
        <x:f>IF(M24=0,0,-SUMIFS('日経_R02'!F54:F56,'日経_R02'!F54:F56,"&lt;0",'日経_R02'!C54:C56,C24)/M24)</x:f>
        <x:v>55384</x:v>
      </x:c>
      <x:c r="P24" s="25" t="n">
        <x:f>MAX(0,-_xlfn.MINIFS('日経_R02'!F54:F56,'日経_R02'!C54:C56,C24))</x:f>
        <x:v>55384</x:v>
      </x:c>
      <x:c r="Q24" s="25" t="n">
        <x:f>J24-MAX(0,_xlfn.MAXIFS('日経_R02'!F54:F56,'日経_R02'!C54:C56,C24))-IF(COUNTIFS('日経_R02'!F54:F56,MAX(0,_xlfn.MAXIFS('日経_R02'!F54:F56,'日経_R02'!C54:C56,C24)),'日経_R02'!C54:C56,C24)&gt;=2,MAX(0,_xlfn.MAXIFS('日経_R02'!F54:F56,'日経_R02'!C54:C56,C24)),MAX(0,_xlfn.MAXIFS('日経_R02'!F54:F56,'日経_R02'!C54:C56,C24,'日経_R02'!F54:F56,"&lt;"&amp;MAX(0,_xlfn.MAXIFS('日経_R02'!F54:F56,'日経_R02'!C54:C56,C24)))))-IF(COUNTIFS('日経_R02'!F54:F56,MAX(0,_xlfn.MAXIFS('日経_R02'!F54:F56,'日経_R02'!C54:C56,C24)),'日経_R02'!C54:C56,C24)&gt;=3,MAX(0,_xlfn.MAXIFS('日経_R02'!F54:F56,'日経_R02'!C54:C56,C24)),IF(COUNTIFS('日経_R02'!F54:F56,IF(COUNTIFS('日経_R02'!F54:F56,MAX(0,_xlfn.MAXIFS('日経_R02'!F54:F56,'日経_R02'!C54:C56,C24)),'日経_R02'!C54:C56,C24)&gt;=2,MAX(0,_xlfn.MAXIFS('日経_R02'!F54:F56,'日経_R02'!C54:C56,C24)),MAX(0,_xlfn.MAXIFS('日経_R02'!F54:F56,'日経_R02'!C54:C56,C24,'日経_R02'!F54:F56,"&lt;"&amp;MAX(0,_xlfn.MAXIFS('日経_R02'!F54:F56,'日経_R02'!C54:C56,C24))))),'日経_R02'!C54:C56,C24)+COUNTIFS('日経_R02'!F54:F56,"&gt;"&amp;IF(COUNTIFS('日経_R02'!F54:F56,MAX(0,_xlfn.MAXIFS('日経_R02'!F54:F56,'日経_R02'!C54:C56,C24)),'日経_R02'!C54:C56,C24)&gt;=2,MAX(0,_xlfn.MAXIFS('日経_R02'!F54:F56,'日経_R02'!C54:C56,C24)),MAX(0,_xlfn.MAXIFS('日経_R02'!F54:F56,'日経_R02'!C54:C56,C24,'日経_R02'!F54:F56,"&lt;"&amp;MAX(0,_xlfn.MAXIFS('日経_R02'!F54:F56,'日経_R02'!C54:C56,C24))))),'日経_R02'!C54:C56,C24)&gt;=3,IF(COUNTIFS('日経_R02'!F54:F56,MAX(0,_xlfn.MAXIFS('日経_R02'!F54:F56,'日経_R02'!C54:C56,C24)),'日経_R02'!C54:C56,C24)&gt;=2,MAX(0,_xlfn.MAXIFS('日経_R02'!F54:F56,'日経_R02'!C54:C56,C24)),MAX(0,_xlfn.MAXIFS('日経_R02'!F54:F56,'日経_R02'!C54:C56,C24,'日経_R02'!F54:F56,"&lt;"&amp;MAX(0,_xlfn.MAXIFS('日経_R02'!F54:F56,'日経_R02'!C54:C56,C24))))),MAX(0,_xlfn.MAXIFS('日経_R02'!F54:F56,'日経_R02'!C54:C56,C24,'日経_R02'!F54:F56,"&lt;"&amp;IF(COUNTIFS('日経_R02'!F54:F56,MAX(0,_xlfn.MAXIFS('日経_R02'!F54:F56,'日経_R02'!C54:C56,C24)),'日経_R02'!C54:C56,C24)&gt;=2,MAX(0,_xlfn.MAXIFS('日経_R02'!F54:F56,'日経_R02'!C54:C56,C24)),MAX(0,_xlfn.MAXIFS('日経_R02'!F54:F56,'日経_R02'!C54:C56,C24,'日経_R02'!F54:F56,"&lt;"&amp;MAX(0,_xlfn.MAXIFS('日経_R02'!F54:F56,'日経_R02'!C54:C56,C24)))))))))</x:f>
        <x:v>-55384</x:v>
      </x:c>
    </x:row>
    <x:row r="25" ht="36" customHeight="1">
      <x:c r="A25" s="2" t="str">
        <x:v>日経mini</x:v>
      </x:c>
      <x:c r="B25" s="2" t="str">
        <x:v>C36</x:v>
      </x:c>
      <x:c r="C25" s="2" t="str">
        <x:v>デイ</x:v>
      </x:c>
      <x:c r="D25" s="2" t="str">
        <x:v>全50場</x:v>
      </x:c>
      <x:c r="E25" s="2" t="str">
        <x:v>T06</x:v>
      </x:c>
      <x:c r="F25" s="27" t="str">
        <x:v>先着採用。40分の効率で追従・反転を切替、追加最大5枚</x:v>
      </x:c>
      <x:c r="G25" s="8" t="n">
        <x:f>COUNTIFS('日経_C36'!C7:C56,C25)</x:f>
        <x:v>25</x:v>
      </x:c>
      <x:c r="H25" s="25" t="n">
        <x:f>SUMIFS('日経_C36'!D7:D56,'日経_C36'!C7:C56,C25)</x:f>
        <x:v>3437376</x:v>
      </x:c>
      <x:c r="I25" s="25" t="n">
        <x:f>SUMIFS('日経_C36'!E7:E56,'日経_C36'!C7:C56,C25)</x:f>
        <x:v>2217976</x:v>
      </x:c>
      <x:c r="J25" s="25" t="n">
        <x:f>H25-I25</x:f>
        <x:v>1219400</x:v>
      </x:c>
      <x:c r="K25" s="8" t="n">
        <x:f>SUMIFS('日経_C36'!J7:J56,'日経_C36'!C7:C56,C25)</x:f>
        <x:v>188</x:v>
      </x:c>
      <x:c r="L25" s="8" t="n">
        <x:f>COUNTIFS('日経_C36'!F7:F56,"&gt;0",'日経_C36'!C7:C56,C25)</x:f>
        <x:v>18</x:v>
      </x:c>
      <x:c r="M25" s="8" t="n">
        <x:f>COUNTIFS('日経_C36'!F7:F56,"&lt;0",'日経_C36'!C7:C56,C25)</x:f>
        <x:v>7</x:v>
      </x:c>
      <x:c r="N25" s="8" t="n">
        <x:f>COUNTIFS('日経_C36'!J7:J56,"=0",'日経_C36'!C7:C56,C25)</x:f>
        <x:v>0</x:v>
      </x:c>
      <x:c r="O25" s="25" t="n">
        <x:f>IF(M25=0,0,-SUMIFS('日経_C36'!F7:F56,'日経_C36'!F7:F56,"&lt;0",'日経_C36'!C7:C56,C25)/M25)</x:f>
        <x:v>119787.42857142857</x:v>
      </x:c>
      <x:c r="P25" s="25" t="n">
        <x:f>MAX(0,-_xlfn.MINIFS('日経_C36'!F7:F56,'日経_C36'!C7:C56,C25))</x:f>
        <x:v>172378</x:v>
      </x:c>
      <x:c r="Q25" s="25" t="n">
        <x:f>J25-MAX(0,_xlfn.MAXIFS('日経_C36'!F7:F56,'日経_C36'!C7:C56,C25))-IF(COUNTIFS('日経_C36'!F7:F56,MAX(0,_xlfn.MAXIFS('日経_C36'!F7:F56,'日経_C36'!C7:C56,C25)),'日経_C36'!C7:C56,C25)&gt;=2,MAX(0,_xlfn.MAXIFS('日経_C36'!F7:F56,'日経_C36'!C7:C56,C25)),MAX(0,_xlfn.MAXIFS('日経_C36'!F7:F56,'日経_C36'!C7:C56,C25,'日経_C36'!F7:F56,"&lt;"&amp;MAX(0,_xlfn.MAXIFS('日経_C36'!F7:F56,'日経_C36'!C7:C56,C25)))))-IF(COUNTIFS('日経_C36'!F7:F56,MAX(0,_xlfn.MAXIFS('日経_C36'!F7:F56,'日経_C36'!C7:C56,C25)),'日経_C36'!C7:C56,C25)&gt;=3,MAX(0,_xlfn.MAXIFS('日経_C36'!F7:F56,'日経_C36'!C7:C56,C25)),IF(COUNTIFS('日経_C36'!F7:F56,IF(COUNTIFS('日経_C36'!F7:F56,MAX(0,_xlfn.MAXIFS('日経_C36'!F7:F56,'日経_C36'!C7:C56,C25)),'日経_C36'!C7:C56,C25)&gt;=2,MAX(0,_xlfn.MAXIFS('日経_C36'!F7:F56,'日経_C36'!C7:C56,C25)),MAX(0,_xlfn.MAXIFS('日経_C36'!F7:F56,'日経_C36'!C7:C56,C25,'日経_C36'!F7:F56,"&lt;"&amp;MAX(0,_xlfn.MAXIFS('日経_C36'!F7:F56,'日経_C36'!C7:C56,C25))))),'日経_C36'!C7:C56,C25)+COUNTIFS('日経_C36'!F7:F56,"&gt;"&amp;IF(COUNTIFS('日経_C36'!F7:F56,MAX(0,_xlfn.MAXIFS('日経_C36'!F7:F56,'日経_C36'!C7:C56,C25)),'日経_C36'!C7:C56,C25)&gt;=2,MAX(0,_xlfn.MAXIFS('日経_C36'!F7:F56,'日経_C36'!C7:C56,C25)),MAX(0,_xlfn.MAXIFS('日経_C36'!F7:F56,'日経_C36'!C7:C56,C25,'日経_C36'!F7:F56,"&lt;"&amp;MAX(0,_xlfn.MAXIFS('日経_C36'!F7:F56,'日経_C36'!C7:C56,C25))))),'日経_C36'!C7:C56,C25)&gt;=3,IF(COUNTIFS('日経_C36'!F7:F56,MAX(0,_xlfn.MAXIFS('日経_C36'!F7:F56,'日経_C36'!C7:C56,C25)),'日経_C36'!C7:C56,C25)&gt;=2,MAX(0,_xlfn.MAXIFS('日経_C36'!F7:F56,'日経_C36'!C7:C56,C25)),MAX(0,_xlfn.MAXIFS('日経_C36'!F7:F56,'日経_C36'!C7:C56,C25,'日経_C36'!F7:F56,"&lt;"&amp;MAX(0,_xlfn.MAXIFS('日経_C36'!F7:F56,'日経_C36'!C7:C56,C25))))),MAX(0,_xlfn.MAXIFS('日経_C36'!F7:F56,'日経_C36'!C7:C56,C25,'日経_C36'!F7:F56,"&lt;"&amp;IF(COUNTIFS('日経_C36'!F7:F56,MAX(0,_xlfn.MAXIFS('日経_C36'!F7:F56,'日経_C36'!C7:C56,C25)),'日経_C36'!C7:C56,C25)&gt;=2,MAX(0,_xlfn.MAXIFS('日経_C36'!F7:F56,'日経_C36'!C7:C56,C25)),MAX(0,_xlfn.MAXIFS('日経_C36'!F7:F56,'日経_C36'!C7:C56,C25,'日経_C36'!F7:F56,"&lt;"&amp;MAX(0,_xlfn.MAXIFS('日経_C36'!F7:F56,'日経_C36'!C7:C56,C25)))))))))</x:f>
        <x:v>195620</x:v>
      </x:c>
    </x:row>
    <x:row r="26" ht="36" customHeight="1">
      <x:c r="A26" s="2" t="str">
        <x:v>日経mini</x:v>
      </x:c>
      <x:c r="B26" s="2" t="str">
        <x:v>C36</x:v>
      </x:c>
      <x:c r="C26" s="2" t="str">
        <x:v>ナイト</x:v>
      </x:c>
      <x:c r="D26" s="2" t="str">
        <x:v>全50場</x:v>
      </x:c>
      <x:c r="E26" s="2" t="str">
        <x:v>U06</x:v>
      </x:c>
      <x:c r="F26" s="27" t="str">
        <x:v>先着採用。40分の効率で追従・反転を切替、追加最大5枚</x:v>
      </x:c>
      <x:c r="G26" s="8" t="n">
        <x:f>COUNTIFS('日経_C36'!C7:C56,C26)</x:f>
        <x:v>25</x:v>
      </x:c>
      <x:c r="H26" s="25" t="n">
        <x:f>SUMIFS('日経_C36'!D7:D56,'日経_C36'!C7:C56,C26)</x:f>
        <x:v>2022592</x:v>
      </x:c>
      <x:c r="I26" s="25" t="n">
        <x:f>SUMIFS('日経_C36'!E7:E56,'日経_C36'!C7:C56,C26)</x:f>
        <x:v>1246528</x:v>
      </x:c>
      <x:c r="J26" s="25" t="n">
        <x:f>H26-I26</x:f>
        <x:v>776064</x:v>
      </x:c>
      <x:c r="K26" s="8" t="n">
        <x:f>SUMIFS('日経_C36'!J7:J56,'日経_C36'!C7:C56,C26)</x:f>
        <x:v>125</x:v>
      </x:c>
      <x:c r="L26" s="8" t="n">
        <x:f>COUNTIFS('日経_C36'!F7:F56,"&gt;0",'日経_C36'!C7:C56,C26)</x:f>
        <x:v>15</x:v>
      </x:c>
      <x:c r="M26" s="8" t="n">
        <x:f>COUNTIFS('日経_C36'!F7:F56,"&lt;0",'日経_C36'!C7:C56,C26)</x:f>
        <x:v>10</x:v>
      </x:c>
      <x:c r="N26" s="8" t="n">
        <x:f>COUNTIFS('日経_C36'!J7:J56,"=0",'日経_C36'!C7:C56,C26)</x:f>
        <x:v>0</x:v>
      </x:c>
      <x:c r="O26" s="25" t="n">
        <x:f>IF(M26=0,0,-SUMIFS('日経_C36'!F7:F56,'日経_C36'!F7:F56,"&lt;0",'日経_C36'!C7:C56,C26)/M26)</x:f>
        <x:v>54321.6</x:v>
      </x:c>
      <x:c r="P26" s="25" t="n">
        <x:f>MAX(0,-_xlfn.MINIFS('日経_C36'!F7:F56,'日経_C36'!C7:C56,C26))</x:f>
        <x:v>148462</x:v>
      </x:c>
      <x:c r="Q26" s="25" t="n">
        <x:f>J26-MAX(0,_xlfn.MAXIFS('日経_C36'!F7:F56,'日経_C36'!C7:C56,C26))-IF(COUNTIFS('日経_C36'!F7:F56,MAX(0,_xlfn.MAXIFS('日経_C36'!F7:F56,'日経_C36'!C7:C56,C26)),'日経_C36'!C7:C56,C26)&gt;=2,MAX(0,_xlfn.MAXIFS('日経_C36'!F7:F56,'日経_C36'!C7:C56,C26)),MAX(0,_xlfn.MAXIFS('日経_C36'!F7:F56,'日経_C36'!C7:C56,C26,'日経_C36'!F7:F56,"&lt;"&amp;MAX(0,_xlfn.MAXIFS('日経_C36'!F7:F56,'日経_C36'!C7:C56,C26)))))-IF(COUNTIFS('日経_C36'!F7:F56,MAX(0,_xlfn.MAXIFS('日経_C36'!F7:F56,'日経_C36'!C7:C56,C26)),'日経_C36'!C7:C56,C26)&gt;=3,MAX(0,_xlfn.MAXIFS('日経_C36'!F7:F56,'日経_C36'!C7:C56,C26)),IF(COUNTIFS('日経_C36'!F7:F56,IF(COUNTIFS('日経_C36'!F7:F56,MAX(0,_xlfn.MAXIFS('日経_C36'!F7:F56,'日経_C36'!C7:C56,C26)),'日経_C36'!C7:C56,C26)&gt;=2,MAX(0,_xlfn.MAXIFS('日経_C36'!F7:F56,'日経_C36'!C7:C56,C26)),MAX(0,_xlfn.MAXIFS('日経_C36'!F7:F56,'日経_C36'!C7:C56,C26,'日経_C36'!F7:F56,"&lt;"&amp;MAX(0,_xlfn.MAXIFS('日経_C36'!F7:F56,'日経_C36'!C7:C56,C26))))),'日経_C36'!C7:C56,C26)+COUNTIFS('日経_C36'!F7:F56,"&gt;"&amp;IF(COUNTIFS('日経_C36'!F7:F56,MAX(0,_xlfn.MAXIFS('日経_C36'!F7:F56,'日経_C36'!C7:C56,C26)),'日経_C36'!C7:C56,C26)&gt;=2,MAX(0,_xlfn.MAXIFS('日経_C36'!F7:F56,'日経_C36'!C7:C56,C26)),MAX(0,_xlfn.MAXIFS('日経_C36'!F7:F56,'日経_C36'!C7:C56,C26,'日経_C36'!F7:F56,"&lt;"&amp;MAX(0,_xlfn.MAXIFS('日経_C36'!F7:F56,'日経_C36'!C7:C56,C26))))),'日経_C36'!C7:C56,C26)&gt;=3,IF(COUNTIFS('日経_C36'!F7:F56,MAX(0,_xlfn.MAXIFS('日経_C36'!F7:F56,'日経_C36'!C7:C56,C26)),'日経_C36'!C7:C56,C26)&gt;=2,MAX(0,_xlfn.MAXIFS('日経_C36'!F7:F56,'日経_C36'!C7:C56,C26)),MAX(0,_xlfn.MAXIFS('日経_C36'!F7:F56,'日経_C36'!C7:C56,C26,'日経_C36'!F7:F56,"&lt;"&amp;MAX(0,_xlfn.MAXIFS('日経_C36'!F7:F56,'日経_C36'!C7:C56,C26))))),MAX(0,_xlfn.MAXIFS('日経_C36'!F7:F56,'日経_C36'!C7:C56,C26,'日経_C36'!F7:F56,"&lt;"&amp;IF(COUNTIFS('日経_C36'!F7:F56,MAX(0,_xlfn.MAXIFS('日経_C36'!F7:F56,'日経_C36'!C7:C56,C26)),'日経_C36'!C7:C56,C26)&gt;=2,MAX(0,_xlfn.MAXIFS('日経_C36'!F7:F56,'日経_C36'!C7:C56,C26)),MAX(0,_xlfn.MAXIFS('日経_C36'!F7:F56,'日経_C36'!C7:C56,C26,'日経_C36'!F7:F56,"&lt;"&amp;MAX(0,_xlfn.MAXIFS('日経_C36'!F7:F56,'日経_C36'!C7:C56,C26)))))))))</x:f>
        <x:v>94970</x:v>
      </x:c>
    </x:row>
    <x:row r="27" ht="36" customHeight="1">
      <x:c r="A27" s="2" t="str">
        <x:v>日経mini</x:v>
      </x:c>
      <x:c r="B27" s="2" t="str">
        <x:v>C36</x:v>
      </x:c>
      <x:c r="C27" s="2" t="str">
        <x:v>デイ</x:v>
      </x:c>
      <x:c r="D27" s="2" t="str">
        <x:v>既知47場</x:v>
      </x:c>
      <x:c r="E27" s="2" t="str">
        <x:v>T06</x:v>
      </x:c>
      <x:c r="F27" s="27" t="str">
        <x:v>先着採用。40分の効率で追従・反転を切替、追加最大5枚</x:v>
      </x:c>
      <x:c r="G27" s="8" t="n">
        <x:f>COUNTIFS('日経_C36'!C7:C53,C27)</x:f>
        <x:v>24</x:v>
      </x:c>
      <x:c r="H27" s="25" t="n">
        <x:f>SUMIFS('日経_C36'!D7:D53,'日経_C36'!C7:C53,C27)</x:f>
        <x:v>3360758</x:v>
      </x:c>
      <x:c r="I27" s="25" t="n">
        <x:f>SUMIFS('日経_C36'!E7:E53,'日経_C36'!C7:C53,C27)</x:f>
        <x:v>2144592</x:v>
      </x:c>
      <x:c r="J27" s="25" t="n">
        <x:f>H27-I27</x:f>
        <x:v>1216166</x:v>
      </x:c>
      <x:c r="K27" s="8" t="n">
        <x:f>SUMIFS('日経_C36'!J7:J53,'日経_C36'!C7:C53,C27)</x:f>
        <x:v>181</x:v>
      </x:c>
      <x:c r="L27" s="8" t="n">
        <x:f>COUNTIFS('日経_C36'!F7:F53,"&gt;0",'日経_C36'!C7:C53,C27)</x:f>
        <x:v>17</x:v>
      </x:c>
      <x:c r="M27" s="8" t="n">
        <x:f>COUNTIFS('日経_C36'!F7:F53,"&lt;0",'日経_C36'!C7:C53,C27)</x:f>
        <x:v>7</x:v>
      </x:c>
      <x:c r="N27" s="8" t="n">
        <x:f>COUNTIFS('日経_C36'!J7:J53,"=0",'日経_C36'!C7:C53,C27)</x:f>
        <x:v>0</x:v>
      </x:c>
      <x:c r="O27" s="25" t="n">
        <x:f>IF(M27=0,0,-SUMIFS('日経_C36'!F7:F53,'日経_C36'!F7:F53,"&lt;0",'日経_C36'!C7:C53,C27)/M27)</x:f>
        <x:v>119787.42857142857</x:v>
      </x:c>
      <x:c r="P27" s="25" t="n">
        <x:f>MAX(0,-_xlfn.MINIFS('日経_C36'!F7:F53,'日経_C36'!C7:C53,C27))</x:f>
        <x:v>172378</x:v>
      </x:c>
      <x:c r="Q27" s="25" t="n">
        <x:f>J27-MAX(0,_xlfn.MAXIFS('日経_C36'!F7:F53,'日経_C36'!C7:C53,C27))-IF(COUNTIFS('日経_C36'!F7:F53,MAX(0,_xlfn.MAXIFS('日経_C36'!F7:F53,'日経_C36'!C7:C53,C27)),'日経_C36'!C7:C53,C27)&gt;=2,MAX(0,_xlfn.MAXIFS('日経_C36'!F7:F53,'日経_C36'!C7:C53,C27)),MAX(0,_xlfn.MAXIFS('日経_C36'!F7:F53,'日経_C36'!C7:C53,C27,'日経_C36'!F7:F53,"&lt;"&amp;MAX(0,_xlfn.MAXIFS('日経_C36'!F7:F53,'日経_C36'!C7:C53,C27)))))-IF(COUNTIFS('日経_C36'!F7:F53,MAX(0,_xlfn.MAXIFS('日経_C36'!F7:F53,'日経_C36'!C7:C53,C27)),'日経_C36'!C7:C53,C27)&gt;=3,MAX(0,_xlfn.MAXIFS('日経_C36'!F7:F53,'日経_C36'!C7:C53,C27)),IF(COUNTIFS('日経_C36'!F7:F53,IF(COUNTIFS('日経_C36'!F7:F53,MAX(0,_xlfn.MAXIFS('日経_C36'!F7:F53,'日経_C36'!C7:C53,C27)),'日経_C36'!C7:C53,C27)&gt;=2,MAX(0,_xlfn.MAXIFS('日経_C36'!F7:F53,'日経_C36'!C7:C53,C27)),MAX(0,_xlfn.MAXIFS('日経_C36'!F7:F53,'日経_C36'!C7:C53,C27,'日経_C36'!F7:F53,"&lt;"&amp;MAX(0,_xlfn.MAXIFS('日経_C36'!F7:F53,'日経_C36'!C7:C53,C27))))),'日経_C36'!C7:C53,C27)+COUNTIFS('日経_C36'!F7:F53,"&gt;"&amp;IF(COUNTIFS('日経_C36'!F7:F53,MAX(0,_xlfn.MAXIFS('日経_C36'!F7:F53,'日経_C36'!C7:C53,C27)),'日経_C36'!C7:C53,C27)&gt;=2,MAX(0,_xlfn.MAXIFS('日経_C36'!F7:F53,'日経_C36'!C7:C53,C27)),MAX(0,_xlfn.MAXIFS('日経_C36'!F7:F53,'日経_C36'!C7:C53,C27,'日経_C36'!F7:F53,"&lt;"&amp;MAX(0,_xlfn.MAXIFS('日経_C36'!F7:F53,'日経_C36'!C7:C53,C27))))),'日経_C36'!C7:C53,C27)&gt;=3,IF(COUNTIFS('日経_C36'!F7:F53,MAX(0,_xlfn.MAXIFS('日経_C36'!F7:F53,'日経_C36'!C7:C53,C27)),'日経_C36'!C7:C53,C27)&gt;=2,MAX(0,_xlfn.MAXIFS('日経_C36'!F7:F53,'日経_C36'!C7:C53,C27)),MAX(0,_xlfn.MAXIFS('日経_C36'!F7:F53,'日経_C36'!C7:C53,C27,'日経_C36'!F7:F53,"&lt;"&amp;MAX(0,_xlfn.MAXIFS('日経_C36'!F7:F53,'日経_C36'!C7:C53,C27))))),MAX(0,_xlfn.MAXIFS('日経_C36'!F7:F53,'日経_C36'!C7:C53,C27,'日経_C36'!F7:F53,"&lt;"&amp;IF(COUNTIFS('日経_C36'!F7:F53,MAX(0,_xlfn.MAXIFS('日経_C36'!F7:F53,'日経_C36'!C7:C53,C27)),'日経_C36'!C7:C53,C27)&gt;=2,MAX(0,_xlfn.MAXIFS('日経_C36'!F7:F53,'日経_C36'!C7:C53,C27)),MAX(0,_xlfn.MAXIFS('日経_C36'!F7:F53,'日経_C36'!C7:C53,C27,'日経_C36'!F7:F53,"&lt;"&amp;MAX(0,_xlfn.MAXIFS('日経_C36'!F7:F53,'日経_C36'!C7:C53,C27)))))))))</x:f>
        <x:v>192386</x:v>
      </x:c>
    </x:row>
    <x:row r="28" ht="36" customHeight="1">
      <x:c r="A28" s="2" t="str">
        <x:v>日経mini</x:v>
      </x:c>
      <x:c r="B28" s="2" t="str">
        <x:v>C36</x:v>
      </x:c>
      <x:c r="C28" s="2" t="str">
        <x:v>ナイト</x:v>
      </x:c>
      <x:c r="D28" s="2" t="str">
        <x:v>既知47場</x:v>
      </x:c>
      <x:c r="E28" s="2" t="str">
        <x:v>U06</x:v>
      </x:c>
      <x:c r="F28" s="27" t="str">
        <x:v>先着採用。40分の効率で追従・反転を切替、追加最大5枚</x:v>
      </x:c>
      <x:c r="G28" s="8" t="n">
        <x:f>COUNTIFS('日経_C36'!C7:C53,C28)</x:f>
        <x:v>23</x:v>
      </x:c>
      <x:c r="H28" s="25" t="n">
        <x:f>SUMIFS('日経_C36'!D7:D53,'日経_C36'!C7:C53,C28)</x:f>
        <x:v>1906130</x:v>
      </x:c>
      <x:c r="I28" s="25" t="n">
        <x:f>SUMIFS('日経_C36'!E7:E53,'日経_C36'!C7:C53,C28)</x:f>
        <x:v>1048300</x:v>
      </x:c>
      <x:c r="J28" s="25" t="n">
        <x:f>H28-I28</x:f>
        <x:v>857830</x:v>
      </x:c>
      <x:c r="K28" s="8" t="n">
        <x:f>SUMIFS('日経_C36'!J7:J53,'日経_C36'!C7:C53,C28)</x:f>
        <x:v>117</x:v>
      </x:c>
      <x:c r="L28" s="8" t="n">
        <x:f>COUNTIFS('日経_C36'!F7:F53,"&gt;0",'日経_C36'!C7:C53,C28)</x:f>
        <x:v>15</x:v>
      </x:c>
      <x:c r="M28" s="8" t="n">
        <x:f>COUNTIFS('日経_C36'!F7:F53,"&lt;0",'日経_C36'!C7:C53,C28)</x:f>
        <x:v>8</x:v>
      </x:c>
      <x:c r="N28" s="8" t="n">
        <x:f>COUNTIFS('日経_C36'!J7:J53,"=0",'日経_C36'!C7:C53,C28)</x:f>
        <x:v>0</x:v>
      </x:c>
      <x:c r="O28" s="25" t="n">
        <x:f>IF(M28=0,0,-SUMIFS('日経_C36'!F7:F53,'日経_C36'!F7:F53,"&lt;0",'日経_C36'!C7:C53,C28)/M28)</x:f>
        <x:v>57681.25</x:v>
      </x:c>
      <x:c r="P28" s="25" t="n">
        <x:f>MAX(0,-_xlfn.MINIFS('日経_C36'!F7:F53,'日経_C36'!C7:C53,C28))</x:f>
        <x:v>148462</x:v>
      </x:c>
      <x:c r="Q28" s="25" t="n">
        <x:f>J28-MAX(0,_xlfn.MAXIFS('日経_C36'!F7:F53,'日経_C36'!C7:C53,C28))-IF(COUNTIFS('日経_C36'!F7:F53,MAX(0,_xlfn.MAXIFS('日経_C36'!F7:F53,'日経_C36'!C7:C53,C28)),'日経_C36'!C7:C53,C28)&gt;=2,MAX(0,_xlfn.MAXIFS('日経_C36'!F7:F53,'日経_C36'!C7:C53,C28)),MAX(0,_xlfn.MAXIFS('日経_C36'!F7:F53,'日経_C36'!C7:C53,C28,'日経_C36'!F7:F53,"&lt;"&amp;MAX(0,_xlfn.MAXIFS('日経_C36'!F7:F53,'日経_C36'!C7:C53,C28)))))-IF(COUNTIFS('日経_C36'!F7:F53,MAX(0,_xlfn.MAXIFS('日経_C36'!F7:F53,'日経_C36'!C7:C53,C28)),'日経_C36'!C7:C53,C28)&gt;=3,MAX(0,_xlfn.MAXIFS('日経_C36'!F7:F53,'日経_C36'!C7:C53,C28)),IF(COUNTIFS('日経_C36'!F7:F53,IF(COUNTIFS('日経_C36'!F7:F53,MAX(0,_xlfn.MAXIFS('日経_C36'!F7:F53,'日経_C36'!C7:C53,C28)),'日経_C36'!C7:C53,C28)&gt;=2,MAX(0,_xlfn.MAXIFS('日経_C36'!F7:F53,'日経_C36'!C7:C53,C28)),MAX(0,_xlfn.MAXIFS('日経_C36'!F7:F53,'日経_C36'!C7:C53,C28,'日経_C36'!F7:F53,"&lt;"&amp;MAX(0,_xlfn.MAXIFS('日経_C36'!F7:F53,'日経_C36'!C7:C53,C28))))),'日経_C36'!C7:C53,C28)+COUNTIFS('日経_C36'!F7:F53,"&gt;"&amp;IF(COUNTIFS('日経_C36'!F7:F53,MAX(0,_xlfn.MAXIFS('日経_C36'!F7:F53,'日経_C36'!C7:C53,C28)),'日経_C36'!C7:C53,C28)&gt;=2,MAX(0,_xlfn.MAXIFS('日経_C36'!F7:F53,'日経_C36'!C7:C53,C28)),MAX(0,_xlfn.MAXIFS('日経_C36'!F7:F53,'日経_C36'!C7:C53,C28,'日経_C36'!F7:F53,"&lt;"&amp;MAX(0,_xlfn.MAXIFS('日経_C36'!F7:F53,'日経_C36'!C7:C53,C28))))),'日経_C36'!C7:C53,C28)&gt;=3,IF(COUNTIFS('日経_C36'!F7:F53,MAX(0,_xlfn.MAXIFS('日経_C36'!F7:F53,'日経_C36'!C7:C53,C28)),'日経_C36'!C7:C53,C28)&gt;=2,MAX(0,_xlfn.MAXIFS('日経_C36'!F7:F53,'日経_C36'!C7:C53,C28)),MAX(0,_xlfn.MAXIFS('日経_C36'!F7:F53,'日経_C36'!C7:C53,C28,'日経_C36'!F7:F53,"&lt;"&amp;MAX(0,_xlfn.MAXIFS('日経_C36'!F7:F53,'日経_C36'!C7:C53,C28))))),MAX(0,_xlfn.MAXIFS('日経_C36'!F7:F53,'日経_C36'!C7:C53,C28,'日経_C36'!F7:F53,"&lt;"&amp;IF(COUNTIFS('日経_C36'!F7:F53,MAX(0,_xlfn.MAXIFS('日経_C36'!F7:F53,'日経_C36'!C7:C53,C28)),'日経_C36'!C7:C53,C28)&gt;=2,MAX(0,_xlfn.MAXIFS('日経_C36'!F7:F53,'日経_C36'!C7:C53,C28)),MAX(0,_xlfn.MAXIFS('日経_C36'!F7:F53,'日経_C36'!C7:C53,C28,'日経_C36'!F7:F53,"&lt;"&amp;MAX(0,_xlfn.MAXIFS('日経_C36'!F7:F53,'日経_C36'!C7:C53,C28)))))))))</x:f>
        <x:v>176736</x:v>
      </x:c>
    </x:row>
    <x:row r="29" ht="36" customHeight="1">
      <x:c r="A29" s="2" t="str">
        <x:v>日経mini</x:v>
      </x:c>
      <x:c r="B29" s="2" t="str">
        <x:v>C36</x:v>
      </x:c>
      <x:c r="C29" s="2" t="str">
        <x:v>デイ</x:v>
      </x:c>
      <x:c r="D29" s="2" t="str">
        <x:v>追加3場</x:v>
      </x:c>
      <x:c r="E29" s="2" t="str">
        <x:v>T06</x:v>
      </x:c>
      <x:c r="F29" s="27" t="str">
        <x:v>先着採用。40分の効率で追従・反転を切替、追加最大5枚</x:v>
      </x:c>
      <x:c r="G29" s="8" t="n">
        <x:f>COUNTIFS('日経_C36'!C54:C56,C29)</x:f>
        <x:v>1</x:v>
      </x:c>
      <x:c r="H29" s="25" t="n">
        <x:f>SUMIFS('日経_C36'!D54:D56,'日経_C36'!C54:C56,C29)</x:f>
        <x:v>76618</x:v>
      </x:c>
      <x:c r="I29" s="25" t="n">
        <x:f>SUMIFS('日経_C36'!E54:E56,'日経_C36'!C54:C56,C29)</x:f>
        <x:v>73384</x:v>
      </x:c>
      <x:c r="J29" s="25" t="n">
        <x:f>H29-I29</x:f>
        <x:v>3234</x:v>
      </x:c>
      <x:c r="K29" s="8" t="n">
        <x:f>SUMIFS('日経_C36'!J54:J56,'日経_C36'!C54:C56,C29)</x:f>
        <x:v>7</x:v>
      </x:c>
      <x:c r="L29" s="8" t="n">
        <x:f>COUNTIFS('日経_C36'!F54:F56,"&gt;0",'日経_C36'!C54:C56,C29)</x:f>
        <x:v>1</x:v>
      </x:c>
      <x:c r="M29" s="8" t="n">
        <x:f>COUNTIFS('日経_C36'!F54:F56,"&lt;0",'日経_C36'!C54:C56,C29)</x:f>
        <x:v>0</x:v>
      </x:c>
      <x:c r="N29" s="8" t="n">
        <x:f>COUNTIFS('日経_C36'!J54:J56,"=0",'日経_C36'!C54:C56,C29)</x:f>
        <x:v>0</x:v>
      </x:c>
      <x:c r="O29" s="25" t="n">
        <x:f>IF(M29=0,0,-SUMIFS('日経_C36'!F54:F56,'日経_C36'!F54:F56,"&lt;0",'日経_C36'!C54:C56,C29)/M29)</x:f>
        <x:v>0</x:v>
      </x:c>
      <x:c r="P29" s="25" t="n">
        <x:f>MAX(0,-_xlfn.MINIFS('日経_C36'!F54:F56,'日経_C36'!C54:C56,C29))</x:f>
        <x:v>0</x:v>
      </x:c>
      <x:c r="Q29" s="25" t="n">
        <x:f>J29-MAX(0,_xlfn.MAXIFS('日経_C36'!F54:F56,'日経_C36'!C54:C56,C29))-IF(COUNTIFS('日経_C36'!F54:F56,MAX(0,_xlfn.MAXIFS('日経_C36'!F54:F56,'日経_C36'!C54:C56,C29)),'日経_C36'!C54:C56,C29)&gt;=2,MAX(0,_xlfn.MAXIFS('日経_C36'!F54:F56,'日経_C36'!C54:C56,C29)),MAX(0,_xlfn.MAXIFS('日経_C36'!F54:F56,'日経_C36'!C54:C56,C29,'日経_C36'!F54:F56,"&lt;"&amp;MAX(0,_xlfn.MAXIFS('日経_C36'!F54:F56,'日経_C36'!C54:C56,C29)))))-IF(COUNTIFS('日経_C36'!F54:F56,MAX(0,_xlfn.MAXIFS('日経_C36'!F54:F56,'日経_C36'!C54:C56,C29)),'日経_C36'!C54:C56,C29)&gt;=3,MAX(0,_xlfn.MAXIFS('日経_C36'!F54:F56,'日経_C36'!C54:C56,C29)),IF(COUNTIFS('日経_C36'!F54:F56,IF(COUNTIFS('日経_C36'!F54:F56,MAX(0,_xlfn.MAXIFS('日経_C36'!F54:F56,'日経_C36'!C54:C56,C29)),'日経_C36'!C54:C56,C29)&gt;=2,MAX(0,_xlfn.MAXIFS('日経_C36'!F54:F56,'日経_C36'!C54:C56,C29)),MAX(0,_xlfn.MAXIFS('日経_C36'!F54:F56,'日経_C36'!C54:C56,C29,'日経_C36'!F54:F56,"&lt;"&amp;MAX(0,_xlfn.MAXIFS('日経_C36'!F54:F56,'日経_C36'!C54:C56,C29))))),'日経_C36'!C54:C56,C29)+COUNTIFS('日経_C36'!F54:F56,"&gt;"&amp;IF(COUNTIFS('日経_C36'!F54:F56,MAX(0,_xlfn.MAXIFS('日経_C36'!F54:F56,'日経_C36'!C54:C56,C29)),'日経_C36'!C54:C56,C29)&gt;=2,MAX(0,_xlfn.MAXIFS('日経_C36'!F54:F56,'日経_C36'!C54:C56,C29)),MAX(0,_xlfn.MAXIFS('日経_C36'!F54:F56,'日経_C36'!C54:C56,C29,'日経_C36'!F54:F56,"&lt;"&amp;MAX(0,_xlfn.MAXIFS('日経_C36'!F54:F56,'日経_C36'!C54:C56,C29))))),'日経_C36'!C54:C56,C29)&gt;=3,IF(COUNTIFS('日経_C36'!F54:F56,MAX(0,_xlfn.MAXIFS('日経_C36'!F54:F56,'日経_C36'!C54:C56,C29)),'日経_C36'!C54:C56,C29)&gt;=2,MAX(0,_xlfn.MAXIFS('日経_C36'!F54:F56,'日経_C36'!C54:C56,C29)),MAX(0,_xlfn.MAXIFS('日経_C36'!F54:F56,'日経_C36'!C54:C56,C29,'日経_C36'!F54:F56,"&lt;"&amp;MAX(0,_xlfn.MAXIFS('日経_C36'!F54:F56,'日経_C36'!C54:C56,C29))))),MAX(0,_xlfn.MAXIFS('日経_C36'!F54:F56,'日経_C36'!C54:C56,C29,'日経_C36'!F54:F56,"&lt;"&amp;IF(COUNTIFS('日経_C36'!F54:F56,MAX(0,_xlfn.MAXIFS('日経_C36'!F54:F56,'日経_C36'!C54:C56,C29)),'日経_C36'!C54:C56,C29)&gt;=2,MAX(0,_xlfn.MAXIFS('日経_C36'!F54:F56,'日経_C36'!C54:C56,C29)),MAX(0,_xlfn.MAXIFS('日経_C36'!F54:F56,'日経_C36'!C54:C56,C29,'日経_C36'!F54:F56,"&lt;"&amp;MAX(0,_xlfn.MAXIFS('日経_C36'!F54:F56,'日経_C36'!C54:C56,C29)))))))))</x:f>
        <x:v>0</x:v>
      </x:c>
    </x:row>
    <x:row r="30" ht="36" customHeight="1">
      <x:c r="A30" s="2" t="str">
        <x:v>日経mini</x:v>
      </x:c>
      <x:c r="B30" s="2" t="str">
        <x:v>C36</x:v>
      </x:c>
      <x:c r="C30" s="2" t="str">
        <x:v>ナイト</x:v>
      </x:c>
      <x:c r="D30" s="2" t="str">
        <x:v>追加3場</x:v>
      </x:c>
      <x:c r="E30" s="2" t="str">
        <x:v>U06</x:v>
      </x:c>
      <x:c r="F30" s="27" t="str">
        <x:v>先着採用。40分の効率で追従・反転を切替、追加最大5枚</x:v>
      </x:c>
      <x:c r="G30" s="8" t="n">
        <x:f>COUNTIFS('日経_C36'!C54:C56,C30)</x:f>
        <x:v>2</x:v>
      </x:c>
      <x:c r="H30" s="25" t="n">
        <x:f>SUMIFS('日経_C36'!D54:D56,'日経_C36'!C54:C56,C30)</x:f>
        <x:v>116462</x:v>
      </x:c>
      <x:c r="I30" s="25" t="n">
        <x:f>SUMIFS('日経_C36'!E54:E56,'日経_C36'!C54:C56,C30)</x:f>
        <x:v>198228</x:v>
      </x:c>
      <x:c r="J30" s="25" t="n">
        <x:f>H30-I30</x:f>
        <x:v>-81766</x:v>
      </x:c>
      <x:c r="K30" s="8" t="n">
        <x:f>SUMIFS('日経_C36'!J54:J56,'日経_C36'!C54:C56,C30)</x:f>
        <x:v>8</x:v>
      </x:c>
      <x:c r="L30" s="8" t="n">
        <x:f>COUNTIFS('日経_C36'!F54:F56,"&gt;0",'日経_C36'!C54:C56,C30)</x:f>
        <x:v>0</x:v>
      </x:c>
      <x:c r="M30" s="8" t="n">
        <x:f>COUNTIFS('日経_C36'!F54:F56,"&lt;0",'日経_C36'!C54:C56,C30)</x:f>
        <x:v>2</x:v>
      </x:c>
      <x:c r="N30" s="8" t="n">
        <x:f>COUNTIFS('日経_C36'!J54:J56,"=0",'日経_C36'!C54:C56,C30)</x:f>
        <x:v>0</x:v>
      </x:c>
      <x:c r="O30" s="25" t="n">
        <x:f>IF(M30=0,0,-SUMIFS('日経_C36'!F54:F56,'日経_C36'!F54:F56,"&lt;0",'日経_C36'!C54:C56,C30)/M30)</x:f>
        <x:v>40883</x:v>
      </x:c>
      <x:c r="P30" s="25" t="n">
        <x:f>MAX(0,-_xlfn.MINIFS('日経_C36'!F54:F56,'日経_C36'!C54:C56,C30))</x:f>
        <x:v>43538</x:v>
      </x:c>
      <x:c r="Q30" s="25" t="n">
        <x:f>J30-MAX(0,_xlfn.MAXIFS('日経_C36'!F54:F56,'日経_C36'!C54:C56,C30))-IF(COUNTIFS('日経_C36'!F54:F56,MAX(0,_xlfn.MAXIFS('日経_C36'!F54:F56,'日経_C36'!C54:C56,C30)),'日経_C36'!C54:C56,C30)&gt;=2,MAX(0,_xlfn.MAXIFS('日経_C36'!F54:F56,'日経_C36'!C54:C56,C30)),MAX(0,_xlfn.MAXIFS('日経_C36'!F54:F56,'日経_C36'!C54:C56,C30,'日経_C36'!F54:F56,"&lt;"&amp;MAX(0,_xlfn.MAXIFS('日経_C36'!F54:F56,'日経_C36'!C54:C56,C30)))))-IF(COUNTIFS('日経_C36'!F54:F56,MAX(0,_xlfn.MAXIFS('日経_C36'!F54:F56,'日経_C36'!C54:C56,C30)),'日経_C36'!C54:C56,C30)&gt;=3,MAX(0,_xlfn.MAXIFS('日経_C36'!F54:F56,'日経_C36'!C54:C56,C30)),IF(COUNTIFS('日経_C36'!F54:F56,IF(COUNTIFS('日経_C36'!F54:F56,MAX(0,_xlfn.MAXIFS('日経_C36'!F54:F56,'日経_C36'!C54:C56,C30)),'日経_C36'!C54:C56,C30)&gt;=2,MAX(0,_xlfn.MAXIFS('日経_C36'!F54:F56,'日経_C36'!C54:C56,C30)),MAX(0,_xlfn.MAXIFS('日経_C36'!F54:F56,'日経_C36'!C54:C56,C30,'日経_C36'!F54:F56,"&lt;"&amp;MAX(0,_xlfn.MAXIFS('日経_C36'!F54:F56,'日経_C36'!C54:C56,C30))))),'日経_C36'!C54:C56,C30)+COUNTIFS('日経_C36'!F54:F56,"&gt;"&amp;IF(COUNTIFS('日経_C36'!F54:F56,MAX(0,_xlfn.MAXIFS('日経_C36'!F54:F56,'日経_C36'!C54:C56,C30)),'日経_C36'!C54:C56,C30)&gt;=2,MAX(0,_xlfn.MAXIFS('日経_C36'!F54:F56,'日経_C36'!C54:C56,C30)),MAX(0,_xlfn.MAXIFS('日経_C36'!F54:F56,'日経_C36'!C54:C56,C30,'日経_C36'!F54:F56,"&lt;"&amp;MAX(0,_xlfn.MAXIFS('日経_C36'!F54:F56,'日経_C36'!C54:C56,C30))))),'日経_C36'!C54:C56,C30)&gt;=3,IF(COUNTIFS('日経_C36'!F54:F56,MAX(0,_xlfn.MAXIFS('日経_C36'!F54:F56,'日経_C36'!C54:C56,C30)),'日経_C36'!C54:C56,C30)&gt;=2,MAX(0,_xlfn.MAXIFS('日経_C36'!F54:F56,'日経_C36'!C54:C56,C30)),MAX(0,_xlfn.MAXIFS('日経_C36'!F54:F56,'日経_C36'!C54:C56,C30,'日経_C36'!F54:F56,"&lt;"&amp;MAX(0,_xlfn.MAXIFS('日経_C36'!F54:F56,'日経_C36'!C54:C56,C30))))),MAX(0,_xlfn.MAXIFS('日経_C36'!F54:F56,'日経_C36'!C54:C56,C30,'日経_C36'!F54:F56,"&lt;"&amp;IF(COUNTIFS('日経_C36'!F54:F56,MAX(0,_xlfn.MAXIFS('日経_C36'!F54:F56,'日経_C36'!C54:C56,C30)),'日経_C36'!C54:C56,C30)&gt;=2,MAX(0,_xlfn.MAXIFS('日経_C36'!F54:F56,'日経_C36'!C54:C56,C30)),MAX(0,_xlfn.MAXIFS('日経_C36'!F54:F56,'日経_C36'!C54:C56,C30,'日経_C36'!F54:F56,"&lt;"&amp;MAX(0,_xlfn.MAXIFS('日経_C36'!F54:F56,'日経_C36'!C54:C56,C30)))))))))</x:f>
        <x:v>-81766</x:v>
      </x:c>
    </x:row>
    <x:row r="31" ht="36" customHeight="1">
      <x:c r="A31" s="2" t="str">
        <x:v>TOPIXmini</x:v>
      </x:c>
      <x:c r="B31" s="2" t="str">
        <x:v>B5</x:v>
      </x:c>
      <x:c r="C31" s="2" t="str">
        <x:v>デイ</x:v>
      </x:c>
      <x:c r="D31" s="2" t="str">
        <x:v>全50場</x:v>
      </x:c>
      <x:c r="E31" s="2" t="str">
        <x:v>T06</x:v>
      </x:c>
      <x:c r="F31" s="27" t="str">
        <x:v>追加なし</x:v>
      </x:c>
      <x:c r="G31" s="8" t="n">
        <x:f>COUNTIFS('TOPIX_B5'!C7:C56,C31)</x:f>
        <x:v>25</x:v>
      </x:c>
      <x:c r="H31" s="25" t="n">
        <x:f>SUMIFS('TOPIX_B5'!D7:D56,'TOPIX_B5'!C7:C56,C31)</x:f>
        <x:v>1283248</x:v>
      </x:c>
      <x:c r="I31" s="25" t="n">
        <x:f>SUMIFS('TOPIX_B5'!E7:E56,'TOPIX_B5'!C7:C56,C31)</x:f>
        <x:v>888711</x:v>
      </x:c>
      <x:c r="J31" s="25" t="n">
        <x:f>H31-I31</x:f>
        <x:v>394537</x:v>
      </x:c>
      <x:c r="K31" s="8" t="n">
        <x:f>SUMIFS('TOPIX_B5'!J7:J56,'TOPIX_B5'!C7:C56,C31)</x:f>
        <x:v>55</x:v>
      </x:c>
      <x:c r="L31" s="8" t="n">
        <x:f>COUNTIFS('TOPIX_B5'!F7:F56,"&gt;0",'TOPIX_B5'!C7:C56,C31)</x:f>
        <x:v>16</x:v>
      </x:c>
      <x:c r="M31" s="8" t="n">
        <x:f>COUNTIFS('TOPIX_B5'!F7:F56,"&lt;0",'TOPIX_B5'!C7:C56,C31)</x:f>
        <x:v>9</x:v>
      </x:c>
      <x:c r="N31" s="8" t="n">
        <x:f>COUNTIFS('TOPIX_B5'!J7:J56,"=0",'TOPIX_B5'!C7:C56,C31)</x:f>
        <x:v>0</x:v>
      </x:c>
      <x:c r="O31" s="25" t="n">
        <x:f>IF(M31=0,0,-SUMIFS('TOPIX_B5'!F7:F56,'TOPIX_B5'!F7:F56,"&lt;0",'TOPIX_B5'!C7:C56,C31)/M31)</x:f>
        <x:v>48040.333333333336</x:v>
      </x:c>
      <x:c r="P31" s="25" t="n">
        <x:f>MAX(0,-_xlfn.MINIFS('TOPIX_B5'!F7:F56,'TOPIX_B5'!C7:C56,C31))</x:f>
        <x:v>131254</x:v>
      </x:c>
      <x:c r="Q31" s="25" t="n">
        <x:f>J31-MAX(0,_xlfn.MAXIFS('TOPIX_B5'!F7:F56,'TOPIX_B5'!C7:C56,C31))-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-IF(COUNTIFS('TOPIX_B5'!F7:F56,MAX(0,_xlfn.MAXIFS('TOPIX_B5'!F7:F56,'TOPIX_B5'!C7:C56,C31)),'TOPIX_B5'!C7:C56,C31)&gt;=3,MAX(0,_xlfn.MAXIFS('TOPIX_B5'!F7:F56,'TOPIX_B5'!C7:C56,C31)),IF(COUNTIFS('TOPIX_B5'!F7:F56,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'TOPIX_B5'!C7:C56,C31)+COUNTIFS('TOPIX_B5'!F7:F56,"&gt;"&amp;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'TOPIX_B5'!C7:C56,C31)&gt;=3,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MAX(0,_xlfn.MAXIFS('TOPIX_B5'!F7:F56,'TOPIX_B5'!C7:C56,C31,'TOPIX_B5'!F7:F56,"&lt;"&amp;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))))</x:f>
        <x:v>118041</x:v>
      </x:c>
    </x:row>
    <x:row r="32" ht="36" customHeight="1">
      <x:c r="A32" s="2" t="str">
        <x:v>TOPIXmini</x:v>
      </x:c>
      <x:c r="B32" s="2" t="str">
        <x:v>B5</x:v>
      </x:c>
      <x:c r="C32" s="2" t="str">
        <x:v>ナイト</x:v>
      </x:c>
      <x:c r="D32" s="2" t="str">
        <x:v>全50場</x:v>
      </x:c>
      <x:c r="E32" s="2" t="str">
        <x:v>T04</x:v>
      </x:c>
      <x:c r="F32" s="27" t="str">
        <x:v>追加なし</x:v>
      </x:c>
      <x:c r="G32" s="8" t="n">
        <x:f>COUNTIFS('TOPIX_B5'!C7:C56,C32)</x:f>
        <x:v>25</x:v>
      </x:c>
      <x:c r="H32" s="25" t="n">
        <x:f>SUMIFS('TOPIX_B5'!D7:D56,'TOPIX_B5'!C7:C56,C32)</x:f>
        <x:v>938288</x:v>
      </x:c>
      <x:c r="I32" s="25" t="n">
        <x:f>SUMIFS('TOPIX_B5'!E7:E56,'TOPIX_B5'!C7:C56,C32)</x:f>
        <x:v>577540</x:v>
      </x:c>
      <x:c r="J32" s="25" t="n">
        <x:f>H32-I32</x:f>
        <x:v>360748</x:v>
      </x:c>
      <x:c r="K32" s="8" t="n">
        <x:f>SUMIFS('TOPIX_B5'!J7:J56,'TOPIX_B5'!C7:C56,C32)</x:f>
        <x:v>64</x:v>
      </x:c>
      <x:c r="L32" s="8" t="n">
        <x:f>COUNTIFS('TOPIX_B5'!F7:F56,"&gt;0",'TOPIX_B5'!C7:C56,C32)</x:f>
        <x:v>22</x:v>
      </x:c>
      <x:c r="M32" s="8" t="n">
        <x:f>COUNTIFS('TOPIX_B5'!F7:F56,"&lt;0",'TOPIX_B5'!C7:C56,C32)</x:f>
        <x:v>3</x:v>
      </x:c>
      <x:c r="N32" s="8" t="n">
        <x:f>COUNTIFS('TOPIX_B5'!J7:J56,"=0",'TOPIX_B5'!C7:C56,C32)</x:f>
        <x:v>0</x:v>
      </x:c>
      <x:c r="O32" s="25" t="n">
        <x:f>IF(M32=0,0,-SUMIFS('TOPIX_B5'!F7:F56,'TOPIX_B5'!F7:F56,"&lt;0",'TOPIX_B5'!C7:C56,C32)/M32)</x:f>
        <x:v>49448</x:v>
      </x:c>
      <x:c r="P32" s="25" t="n">
        <x:f>MAX(0,-_xlfn.MINIFS('TOPIX_B5'!F7:F56,'TOPIX_B5'!C7:C56,C32))</x:f>
        <x:v>53754</x:v>
      </x:c>
      <x:c r="Q32" s="25" t="n">
        <x:f>J32-MAX(0,_xlfn.MAXIFS('TOPIX_B5'!F7:F56,'TOPIX_B5'!C7:C56,C32))-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-IF(COUNTIFS('TOPIX_B5'!F7:F56,MAX(0,_xlfn.MAXIFS('TOPIX_B5'!F7:F56,'TOPIX_B5'!C7:C56,C32)),'TOPIX_B5'!C7:C56,C32)&gt;=3,MAX(0,_xlfn.MAXIFS('TOPIX_B5'!F7:F56,'TOPIX_B5'!C7:C56,C32)),IF(COUNTIFS('TOPIX_B5'!F7:F56,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'TOPIX_B5'!C7:C56,C32)+COUNTIFS('TOPIX_B5'!F7:F56,"&gt;"&amp;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'TOPIX_B5'!C7:C56,C32)&gt;=3,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MAX(0,_xlfn.MAXIFS('TOPIX_B5'!F7:F56,'TOPIX_B5'!C7:C56,C32,'TOPIX_B5'!F7:F56,"&lt;"&amp;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))))</x:f>
        <x:v>152428</x:v>
      </x:c>
    </x:row>
    <x:row r="33" ht="36" customHeight="1">
      <x:c r="A33" s="2" t="str">
        <x:v>TOPIXmini</x:v>
      </x:c>
      <x:c r="B33" s="2" t="str">
        <x:v>B5</x:v>
      </x:c>
      <x:c r="C33" s="2" t="str">
        <x:v>デイ</x:v>
      </x:c>
      <x:c r="D33" s="2" t="str">
        <x:v>既知47場</x:v>
      </x:c>
      <x:c r="E33" s="2" t="str">
        <x:v>T06</x:v>
      </x:c>
      <x:c r="F33" s="27" t="str">
        <x:v>追加なし</x:v>
      </x:c>
      <x:c r="G33" s="8" t="n">
        <x:f>COUNTIFS('TOPIX_B5'!C7:C53,C33)</x:f>
        <x:v>24</x:v>
      </x:c>
      <x:c r="H33" s="25" t="n">
        <x:f>SUMIFS('TOPIX_B5'!D7:D53,'TOPIX_B5'!C7:C53,C33)</x:f>
        <x:v>1283248</x:v>
      </x:c>
      <x:c r="I33" s="25" t="n">
        <x:f>SUMIFS('TOPIX_B5'!E7:E53,'TOPIX_B5'!C7:C53,C33)</x:f>
        <x:v>757457</x:v>
      </x:c>
      <x:c r="J33" s="25" t="n">
        <x:f>H33-I33</x:f>
        <x:v>525791</x:v>
      </x:c>
      <x:c r="K33" s="8" t="n">
        <x:f>SUMIFS('TOPIX_B5'!J7:J53,'TOPIX_B5'!C7:C53,C33)</x:f>
        <x:v>52</x:v>
      </x:c>
      <x:c r="L33" s="8" t="n">
        <x:f>COUNTIFS('TOPIX_B5'!F7:F53,"&gt;0",'TOPIX_B5'!C7:C53,C33)</x:f>
        <x:v>16</x:v>
      </x:c>
      <x:c r="M33" s="8" t="n">
        <x:f>COUNTIFS('TOPIX_B5'!F7:F53,"&lt;0",'TOPIX_B5'!C7:C53,C33)</x:f>
        <x:v>8</x:v>
      </x:c>
      <x:c r="N33" s="8" t="n">
        <x:f>COUNTIFS('TOPIX_B5'!J7:J53,"=0",'TOPIX_B5'!C7:C53,C33)</x:f>
        <x:v>0</x:v>
      </x:c>
      <x:c r="O33" s="25" t="n">
        <x:f>IF(M33=0,0,-SUMIFS('TOPIX_B5'!F7:F53,'TOPIX_B5'!F7:F53,"&lt;0",'TOPIX_B5'!C7:C53,C33)/M33)</x:f>
        <x:v>37638.625</x:v>
      </x:c>
      <x:c r="P33" s="25" t="n">
        <x:f>MAX(0,-_xlfn.MINIFS('TOPIX_B5'!F7:F53,'TOPIX_B5'!C7:C53,C33))</x:f>
        <x:v>79172</x:v>
      </x:c>
      <x:c r="Q33" s="25" t="n">
        <x:f>J33-MAX(0,_xlfn.MAXIFS('TOPIX_B5'!F7:F53,'TOPIX_B5'!C7:C53,C33))-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-IF(COUNTIFS('TOPIX_B5'!F7:F53,MAX(0,_xlfn.MAXIFS('TOPIX_B5'!F7:F53,'TOPIX_B5'!C7:C53,C33)),'TOPIX_B5'!C7:C53,C33)&gt;=3,MAX(0,_xlfn.MAXIFS('TOPIX_B5'!F7:F53,'TOPIX_B5'!C7:C53,C33)),IF(COUNTIFS('TOPIX_B5'!F7:F53,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'TOPIX_B5'!C7:C53,C33)+COUNTIFS('TOPIX_B5'!F7:F53,"&gt;"&amp;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'TOPIX_B5'!C7:C53,C33)&gt;=3,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MAX(0,_xlfn.MAXIFS('TOPIX_B5'!F7:F53,'TOPIX_B5'!C7:C53,C33,'TOPIX_B5'!F7:F53,"&lt;"&amp;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))))</x:f>
        <x:v>249295</x:v>
      </x:c>
    </x:row>
    <x:row r="34" ht="36" customHeight="1">
      <x:c r="A34" s="2" t="str">
        <x:v>TOPIXmini</x:v>
      </x:c>
      <x:c r="B34" s="2" t="str">
        <x:v>B5</x:v>
      </x:c>
      <x:c r="C34" s="2" t="str">
        <x:v>ナイト</x:v>
      </x:c>
      <x:c r="D34" s="2" t="str">
        <x:v>既知47場</x:v>
      </x:c>
      <x:c r="E34" s="2" t="str">
        <x:v>T04</x:v>
      </x:c>
      <x:c r="F34" s="27" t="str">
        <x:v>追加なし</x:v>
      </x:c>
      <x:c r="G34" s="8" t="n">
        <x:f>COUNTIFS('TOPIX_B5'!C7:C53,C34)</x:f>
        <x:v>23</x:v>
      </x:c>
      <x:c r="H34" s="25" t="n">
        <x:f>SUMIFS('TOPIX_B5'!D7:D53,'TOPIX_B5'!C7:C53,C34)</x:f>
        <x:v>839960</x:v>
      </x:c>
      <x:c r="I34" s="25" t="n">
        <x:f>SUMIFS('TOPIX_B5'!E7:E53,'TOPIX_B5'!C7:C53,C34)</x:f>
        <x:v>541704</x:v>
      </x:c>
      <x:c r="J34" s="25" t="n">
        <x:f>H34-I34</x:f>
        <x:v>298256</x:v>
      </x:c>
      <x:c r="K34" s="8" t="n">
        <x:f>SUMIFS('TOPIX_B5'!J7:J53,'TOPIX_B5'!C7:C53,C34)</x:f>
        <x:v>58</x:v>
      </x:c>
      <x:c r="L34" s="8" t="n">
        <x:f>COUNTIFS('TOPIX_B5'!F7:F53,"&gt;0",'TOPIX_B5'!C7:C53,C34)</x:f>
        <x:v>20</x:v>
      </x:c>
      <x:c r="M34" s="8" t="n">
        <x:f>COUNTIFS('TOPIX_B5'!F7:F53,"&lt;0",'TOPIX_B5'!C7:C53,C34)</x:f>
        <x:v>3</x:v>
      </x:c>
      <x:c r="N34" s="8" t="n">
        <x:f>COUNTIFS('TOPIX_B5'!J7:J53,"=0",'TOPIX_B5'!C7:C53,C34)</x:f>
        <x:v>0</x:v>
      </x:c>
      <x:c r="O34" s="25" t="n">
        <x:f>IF(M34=0,0,-SUMIFS('TOPIX_B5'!F7:F53,'TOPIX_B5'!F7:F53,"&lt;0",'TOPIX_B5'!C7:C53,C34)/M34)</x:f>
        <x:v>49448</x:v>
      </x:c>
      <x:c r="P34" s="25" t="n">
        <x:f>MAX(0,-_xlfn.MINIFS('TOPIX_B5'!F7:F53,'TOPIX_B5'!C7:C53,C34))</x:f>
        <x:v>53754</x:v>
      </x:c>
      <x:c r="Q34" s="25" t="n">
        <x:f>J34-MAX(0,_xlfn.MAXIFS('TOPIX_B5'!F7:F53,'TOPIX_B5'!C7:C53,C34))-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-IF(COUNTIFS('TOPIX_B5'!F7:F53,MAX(0,_xlfn.MAXIFS('TOPIX_B5'!F7:F53,'TOPIX_B5'!C7:C53,C34)),'TOPIX_B5'!C7:C53,C34)&gt;=3,MAX(0,_xlfn.MAXIFS('TOPIX_B5'!F7:F53,'TOPIX_B5'!C7:C53,C34)),IF(COUNTIFS('TOPIX_B5'!F7:F53,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'TOPIX_B5'!C7:C53,C34)+COUNTIFS('TOPIX_B5'!F7:F53,"&gt;"&amp;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'TOPIX_B5'!C7:C53,C34)&gt;=3,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MAX(0,_xlfn.MAXIFS('TOPIX_B5'!F7:F53,'TOPIX_B5'!C7:C53,C34,'TOPIX_B5'!F7:F53,"&lt;"&amp;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))))</x:f>
        <x:v>89936</x:v>
      </x:c>
    </x:row>
    <x:row r="35" ht="36" customHeight="1">
      <x:c r="A35" s="2" t="str">
        <x:v>TOPIXmini</x:v>
      </x:c>
      <x:c r="B35" s="2" t="str">
        <x:v>B5</x:v>
      </x:c>
      <x:c r="C35" s="2" t="str">
        <x:v>デイ</x:v>
      </x:c>
      <x:c r="D35" s="2" t="str">
        <x:v>追加3場</x:v>
      </x:c>
      <x:c r="E35" s="2" t="str">
        <x:v>T06</x:v>
      </x:c>
      <x:c r="F35" s="27" t="str">
        <x:v>追加なし</x:v>
      </x:c>
      <x:c r="G35" s="8" t="n">
        <x:f>COUNTIFS('TOPIX_B5'!C54:C56,C35)</x:f>
        <x:v>1</x:v>
      </x:c>
      <x:c r="H35" s="25" t="n">
        <x:f>SUMIFS('TOPIX_B5'!D54:D56,'TOPIX_B5'!C54:C56,C35)</x:f>
        <x:v>0</x:v>
      </x:c>
      <x:c r="I35" s="25" t="n">
        <x:f>SUMIFS('TOPIX_B5'!E54:E56,'TOPIX_B5'!C54:C56,C35)</x:f>
        <x:v>131254</x:v>
      </x:c>
      <x:c r="J35" s="25" t="n">
        <x:f>H35-I35</x:f>
        <x:v>-131254</x:v>
      </x:c>
      <x:c r="K35" s="8" t="n">
        <x:f>SUMIFS('TOPIX_B5'!J54:J56,'TOPIX_B5'!C54:C56,C35)</x:f>
        <x:v>3</x:v>
      </x:c>
      <x:c r="L35" s="8" t="n">
        <x:f>COUNTIFS('TOPIX_B5'!F54:F56,"&gt;0",'TOPIX_B5'!C54:C56,C35)</x:f>
        <x:v>0</x:v>
      </x:c>
      <x:c r="M35" s="8" t="n">
        <x:f>COUNTIFS('TOPIX_B5'!F54:F56,"&lt;0",'TOPIX_B5'!C54:C56,C35)</x:f>
        <x:v>1</x:v>
      </x:c>
      <x:c r="N35" s="8" t="n">
        <x:f>COUNTIFS('TOPIX_B5'!J54:J56,"=0",'TOPIX_B5'!C54:C56,C35)</x:f>
        <x:v>0</x:v>
      </x:c>
      <x:c r="O35" s="25" t="n">
        <x:f>IF(M35=0,0,-SUMIFS('TOPIX_B5'!F54:F56,'TOPIX_B5'!F54:F56,"&lt;0",'TOPIX_B5'!C54:C56,C35)/M35)</x:f>
        <x:v>131254</x:v>
      </x:c>
      <x:c r="P35" s="25" t="n">
        <x:f>MAX(0,-_xlfn.MINIFS('TOPIX_B5'!F54:F56,'TOPIX_B5'!C54:C56,C35))</x:f>
        <x:v>131254</x:v>
      </x:c>
      <x:c r="Q35" s="25" t="n">
        <x:f>J35-MAX(0,_xlfn.MAXIFS('TOPIX_B5'!F54:F56,'TOPIX_B5'!C54:C56,C35))-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-IF(COUNTIFS('TOPIX_B5'!F54:F56,MAX(0,_xlfn.MAXIFS('TOPIX_B5'!F54:F56,'TOPIX_B5'!C54:C56,C35)),'TOPIX_B5'!C54:C56,C35)&gt;=3,MAX(0,_xlfn.MAXIFS('TOPIX_B5'!F54:F56,'TOPIX_B5'!C54:C56,C35)),IF(COUNTIFS('TOPIX_B5'!F54:F56,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'TOPIX_B5'!C54:C56,C35)+COUNTIFS('TOPIX_B5'!F54:F56,"&gt;"&amp;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'TOPIX_B5'!C54:C56,C35)&gt;=3,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MAX(0,_xlfn.MAXIFS('TOPIX_B5'!F54:F56,'TOPIX_B5'!C54:C56,C35,'TOPIX_B5'!F54:F56,"&lt;"&amp;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))))</x:f>
        <x:v>-131254</x:v>
      </x:c>
    </x:row>
    <x:row r="36" ht="36" customHeight="1">
      <x:c r="A36" s="2" t="str">
        <x:v>TOPIXmini</x:v>
      </x:c>
      <x:c r="B36" s="2" t="str">
        <x:v>B5</x:v>
      </x:c>
      <x:c r="C36" s="2" t="str">
        <x:v>ナイト</x:v>
      </x:c>
      <x:c r="D36" s="2" t="str">
        <x:v>追加3場</x:v>
      </x:c>
      <x:c r="E36" s="2" t="str">
        <x:v>T04</x:v>
      </x:c>
      <x:c r="F36" s="27" t="str">
        <x:v>追加なし</x:v>
      </x:c>
      <x:c r="G36" s="8" t="n">
        <x:f>COUNTIFS('TOPIX_B5'!C54:C56,C36)</x:f>
        <x:v>2</x:v>
      </x:c>
      <x:c r="H36" s="25" t="n">
        <x:f>SUMIFS('TOPIX_B5'!D54:D56,'TOPIX_B5'!C54:C56,C36)</x:f>
        <x:v>98328</x:v>
      </x:c>
      <x:c r="I36" s="25" t="n">
        <x:f>SUMIFS('TOPIX_B5'!E54:E56,'TOPIX_B5'!C54:C56,C36)</x:f>
        <x:v>35836</x:v>
      </x:c>
      <x:c r="J36" s="25" t="n">
        <x:f>H36-I36</x:f>
        <x:v>62492</x:v>
      </x:c>
      <x:c r="K36" s="8" t="n">
        <x:f>SUMIFS('TOPIX_B5'!J54:J56,'TOPIX_B5'!C54:C56,C36)</x:f>
        <x:v>6</x:v>
      </x:c>
      <x:c r="L36" s="8" t="n">
        <x:f>COUNTIFS('TOPIX_B5'!F54:F56,"&gt;0",'TOPIX_B5'!C54:C56,C36)</x:f>
        <x:v>2</x:v>
      </x:c>
      <x:c r="M36" s="8" t="n">
        <x:f>COUNTIFS('TOPIX_B5'!F54:F56,"&lt;0",'TOPIX_B5'!C54:C56,C36)</x:f>
        <x:v>0</x:v>
      </x:c>
      <x:c r="N36" s="8" t="n">
        <x:f>COUNTIFS('TOPIX_B5'!J54:J56,"=0",'TOPIX_B5'!C54:C56,C36)</x:f>
        <x:v>0</x:v>
      </x:c>
      <x:c r="O36" s="25" t="n">
        <x:f>IF(M36=0,0,-SUMIFS('TOPIX_B5'!F54:F56,'TOPIX_B5'!F54:F56,"&lt;0",'TOPIX_B5'!C54:C56,C36)/M36)</x:f>
        <x:v>0</x:v>
      </x:c>
      <x:c r="P36" s="25" t="n">
        <x:f>MAX(0,-_xlfn.MINIFS('TOPIX_B5'!F54:F56,'TOPIX_B5'!C54:C56,C36))</x:f>
        <x:v>0</x:v>
      </x:c>
      <x:c r="Q36" s="25" t="n">
        <x:f>J36-MAX(0,_xlfn.MAXIFS('TOPIX_B5'!F54:F56,'TOPIX_B5'!C54:C56,C36))-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-IF(COUNTIFS('TOPIX_B5'!F54:F56,MAX(0,_xlfn.MAXIFS('TOPIX_B5'!F54:F56,'TOPIX_B5'!C54:C56,C36)),'TOPIX_B5'!C54:C56,C36)&gt;=3,MAX(0,_xlfn.MAXIFS('TOPIX_B5'!F54:F56,'TOPIX_B5'!C54:C56,C36)),IF(COUNTIFS('TOPIX_B5'!F54:F56,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'TOPIX_B5'!C54:C56,C36)+COUNTIFS('TOPIX_B5'!F54:F56,"&gt;"&amp;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'TOPIX_B5'!C54:C56,C36)&gt;=3,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MAX(0,_xlfn.MAXIFS('TOPIX_B5'!F54:F56,'TOPIX_B5'!C54:C56,C36,'TOPIX_B5'!F54:F56,"&lt;"&amp;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))))</x:f>
        <x:v>0</x:v>
      </x:c>
    </x:row>
    <x:row r="37" ht="36" customHeight="1">
      <x:c r="A37" s="2" t="str">
        <x:v>TOPIXmini</x:v>
      </x:c>
      <x:c r="B37" s="2" t="str">
        <x:v>C33</x:v>
      </x:c>
      <x:c r="C37" s="2" t="str">
        <x:v>デイ</x:v>
      </x:c>
      <x:c r="D37" s="2" t="str">
        <x:v>全50場</x:v>
      </x:c>
      <x:c r="E37" s="2" t="str">
        <x:v>T06</x:v>
      </x:c>
      <x:c r="F37" s="27" t="str">
        <x:v>先着採用。40分の低効率帯の端から反転、追加最大2枚</x:v>
      </x:c>
      <x:c r="G37" s="8" t="n">
        <x:f>COUNTIFS('TOPIX_C33'!C7:C56,C37)</x:f>
        <x:v>25</x:v>
      </x:c>
      <x:c r="H37" s="25" t="n">
        <x:f>SUMIFS('TOPIX_C33'!D7:D56,'TOPIX_C33'!C7:C56,C37)</x:f>
        <x:v>1433438</x:v>
      </x:c>
      <x:c r="I37" s="25" t="n">
        <x:f>SUMIFS('TOPIX_C33'!E7:E56,'TOPIX_C33'!C7:C56,C37)</x:f>
        <x:v>813928</x:v>
      </x:c>
      <x:c r="J37" s="25" t="n">
        <x:f>H37-I37</x:f>
        <x:v>619510</x:v>
      </x:c>
      <x:c r="K37" s="8" t="n">
        <x:f>SUMIFS('TOPIX_C33'!J7:J56,'TOPIX_C33'!C7:C56,C37)</x:f>
        <x:v>95</x:v>
      </x:c>
      <x:c r="L37" s="8" t="n">
        <x:f>COUNTIFS('TOPIX_C33'!F7:F56,"&gt;0",'TOPIX_C33'!C7:C56,C37)</x:f>
        <x:v>18</x:v>
      </x:c>
      <x:c r="M37" s="8" t="n">
        <x:f>COUNTIFS('TOPIX_C33'!F7:F56,"&lt;0",'TOPIX_C33'!C7:C56,C37)</x:f>
        <x:v>7</x:v>
      </x:c>
      <x:c r="N37" s="8" t="n">
        <x:f>COUNTIFS('TOPIX_C33'!J7:J56,"=0",'TOPIX_C33'!C7:C56,C37)</x:f>
        <x:v>0</x:v>
      </x:c>
      <x:c r="O37" s="25" t="n">
        <x:f>IF(M37=0,0,-SUMIFS('TOPIX_C33'!F7:F56,'TOPIX_C33'!F7:F56,"&lt;0",'TOPIX_C33'!C7:C56,C37)/M37)</x:f>
        <x:v>29951.285714285714</x:v>
      </x:c>
      <x:c r="P37" s="25" t="n">
        <x:f>MAX(0,-_xlfn.MINIFS('TOPIX_C33'!F7:F56,'TOPIX_C33'!C7:C56,C37))</x:f>
        <x:v>68328</x:v>
      </x:c>
      <x:c r="Q37" s="25" t="n">
        <x:f>J37-MAX(0,_xlfn.MAXIFS('TOPIX_C33'!F7:F56,'TOPIX_C33'!C7:C56,C37))-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-IF(COUNTIFS('TOPIX_C33'!F7:F56,MAX(0,_xlfn.MAXIFS('TOPIX_C33'!F7:F56,'TOPIX_C33'!C7:C56,C37)),'TOPIX_C33'!C7:C56,C37)&gt;=3,MAX(0,_xlfn.MAXIFS('TOPIX_C33'!F7:F56,'TOPIX_C33'!C7:C56,C37)),IF(COUNTIFS('TOPIX_C33'!F7:F56,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,'TOPIX_C33'!C7:C56,C37)+COUNTIFS('TOPIX_C33'!F7:F56,"&gt;"&amp;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,'TOPIX_C33'!C7:C56,C37)&gt;=3,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,MAX(0,_xlfn.MAXIFS('TOPIX_C33'!F7:F56,'TOPIX_C33'!C7:C56,C37,'TOPIX_C33'!F7:F56,"&lt;"&amp;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))))</x:f>
        <x:v>307260</x:v>
      </x:c>
    </x:row>
    <x:row r="38" ht="36" customHeight="1">
      <x:c r="A38" s="2" t="str">
        <x:v>TOPIXmini</x:v>
      </x:c>
      <x:c r="B38" s="2" t="str">
        <x:v>C33</x:v>
      </x:c>
      <x:c r="C38" s="2" t="str">
        <x:v>ナイト</x:v>
      </x:c>
      <x:c r="D38" s="2" t="str">
        <x:v>全50場</x:v>
      </x:c>
      <x:c r="E38" s="2" t="str">
        <x:v>T04</x:v>
      </x:c>
      <x:c r="F38" s="27" t="str">
        <x:v>先着採用。40分の低効率帯の端から反転、追加最大2枚</x:v>
      </x:c>
      <x:c r="G38" s="8" t="n">
        <x:f>COUNTIFS('TOPIX_C33'!C7:C56,C38)</x:f>
        <x:v>25</x:v>
      </x:c>
      <x:c r="H38" s="25" t="n">
        <x:f>SUMIFS('TOPIX_C33'!D7:D56,'TOPIX_C33'!C7:C56,C38)</x:f>
        <x:v>1074308</x:v>
      </x:c>
      <x:c r="I38" s="25" t="n">
        <x:f>SUMIFS('TOPIX_C33'!E7:E56,'TOPIX_C33'!C7:C56,C38)</x:f>
        <x:v>708114</x:v>
      </x:c>
      <x:c r="J38" s="25" t="n">
        <x:f>H38-I38</x:f>
        <x:v>366194</x:v>
      </x:c>
      <x:c r="K38" s="8" t="n">
        <x:f>SUMIFS('TOPIX_C33'!J7:J56,'TOPIX_C33'!C7:C56,C38)</x:f>
        <x:v>99</x:v>
      </x:c>
      <x:c r="L38" s="8" t="n">
        <x:f>COUNTIFS('TOPIX_C33'!F7:F56,"&gt;0",'TOPIX_C33'!C7:C56,C38)</x:f>
        <x:v>21</x:v>
      </x:c>
      <x:c r="M38" s="8" t="n">
        <x:f>COUNTIFS('TOPIX_C33'!F7:F56,"&lt;0",'TOPIX_C33'!C7:C56,C38)</x:f>
        <x:v>4</x:v>
      </x:c>
      <x:c r="N38" s="8" t="n">
        <x:f>COUNTIFS('TOPIX_C33'!J7:J56,"=0",'TOPIX_C33'!C7:C56,C38)</x:f>
        <x:v>0</x:v>
      </x:c>
      <x:c r="O38" s="25" t="n">
        <x:f>IF(M38=0,0,-SUMIFS('TOPIX_C33'!F7:F56,'TOPIX_C33'!F7:F56,"&lt;0",'TOPIX_C33'!C7:C56,C38)/M38)</x:f>
        <x:v>30753</x:v>
      </x:c>
      <x:c r="P38" s="25" t="n">
        <x:f>MAX(0,-_xlfn.MINIFS('TOPIX_C33'!F7:F56,'TOPIX_C33'!C7:C56,C38))</x:f>
        <x:v>44086</x:v>
      </x:c>
      <x:c r="Q38" s="25" t="n">
        <x:f>J38-MAX(0,_xlfn.MAXIFS('TOPIX_C33'!F7:F56,'TOPIX_C33'!C7:C56,C38))-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-IF(COUNTIFS('TOPIX_C33'!F7:F56,MAX(0,_xlfn.MAXIFS('TOPIX_C33'!F7:F56,'TOPIX_C33'!C7:C56,C38)),'TOPIX_C33'!C7:C56,C38)&gt;=3,MAX(0,_xlfn.MAXIFS('TOPIX_C33'!F7:F56,'TOPIX_C33'!C7:C56,C38)),IF(COUNTIFS('TOPIX_C33'!F7:F56,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,'TOPIX_C33'!C7:C56,C38)+COUNTIFS('TOPIX_C33'!F7:F56,"&gt;"&amp;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,'TOPIX_C33'!C7:C56,C38)&gt;=3,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,MAX(0,_xlfn.MAXIFS('TOPIX_C33'!F7:F56,'TOPIX_C33'!C7:C56,C38,'TOPIX_C33'!F7:F56,"&lt;"&amp;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))))</x:f>
        <x:v>124284</x:v>
      </x:c>
    </x:row>
    <x:row r="39" ht="36" customHeight="1">
      <x:c r="A39" s="2" t="str">
        <x:v>TOPIXmini</x:v>
      </x:c>
      <x:c r="B39" s="2" t="str">
        <x:v>C33</x:v>
      </x:c>
      <x:c r="C39" s="2" t="str">
        <x:v>デイ</x:v>
      </x:c>
      <x:c r="D39" s="2" t="str">
        <x:v>既知47場</x:v>
      </x:c>
      <x:c r="E39" s="2" t="str">
        <x:v>T06</x:v>
      </x:c>
      <x:c r="F39" s="27" t="str">
        <x:v>先着採用。40分の低効率帯の端から反転、追加最大2枚</x:v>
      </x:c>
      <x:c r="G39" s="8" t="n">
        <x:f>COUNTIFS('TOPIX_C33'!C7:C53,C39)</x:f>
        <x:v>24</x:v>
      </x:c>
      <x:c r="H39" s="25" t="n">
        <x:f>SUMIFS('TOPIX_C33'!D7:D53,'TOPIX_C33'!C7:C53,C39)</x:f>
        <x:v>1374102</x:v>
      </x:c>
      <x:c r="I39" s="25" t="n">
        <x:f>SUMIFS('TOPIX_C33'!E7:E53,'TOPIX_C33'!C7:C53,C39)</x:f>
        <x:v>686264</x:v>
      </x:c>
      <x:c r="J39" s="25" t="n">
        <x:f>H39-I39</x:f>
        <x:v>687838</x:v>
      </x:c>
      <x:c r="K39" s="8" t="n">
        <x:f>SUMIFS('TOPIX_C33'!J7:J53,'TOPIX_C33'!C7:C53,C39)</x:f>
        <x:v>85</x:v>
      </x:c>
      <x:c r="L39" s="8" t="n">
        <x:f>COUNTIFS('TOPIX_C33'!F7:F53,"&gt;0",'TOPIX_C33'!C7:C53,C39)</x:f>
        <x:v>18</x:v>
      </x:c>
      <x:c r="M39" s="8" t="n">
        <x:f>COUNTIFS('TOPIX_C33'!F7:F53,"&lt;0",'TOPIX_C33'!C7:C53,C39)</x:f>
        <x:v>6</x:v>
      </x:c>
      <x:c r="N39" s="8" t="n">
        <x:f>COUNTIFS('TOPIX_C33'!J7:J53,"=0",'TOPIX_C33'!C7:C53,C39)</x:f>
        <x:v>0</x:v>
      </x:c>
      <x:c r="O39" s="25" t="n">
        <x:f>IF(M39=0,0,-SUMIFS('TOPIX_C33'!F7:F53,'TOPIX_C33'!F7:F53,"&lt;0",'TOPIX_C33'!C7:C53,C39)/M39)</x:f>
        <x:v>23555.166666666668</x:v>
      </x:c>
      <x:c r="P39" s="25" t="n">
        <x:f>MAX(0,-_xlfn.MINIFS('TOPIX_C33'!F7:F53,'TOPIX_C33'!C7:C53,C39))</x:f>
        <x:v>41080</x:v>
      </x:c>
      <x:c r="Q39" s="25" t="n">
        <x:f>J39-MAX(0,_xlfn.MAXIFS('TOPIX_C33'!F7:F53,'TOPIX_C33'!C7:C53,C39))-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-IF(COUNTIFS('TOPIX_C33'!F7:F53,MAX(0,_xlfn.MAXIFS('TOPIX_C33'!F7:F53,'TOPIX_C33'!C7:C53,C39)),'TOPIX_C33'!C7:C53,C39)&gt;=3,MAX(0,_xlfn.MAXIFS('TOPIX_C33'!F7:F53,'TOPIX_C33'!C7:C53,C39)),IF(COUNTIFS('TOPIX_C33'!F7:F53,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,'TOPIX_C33'!C7:C53,C39)+COUNTIFS('TOPIX_C33'!F7:F53,"&gt;"&amp;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,'TOPIX_C33'!C7:C53,C39)&gt;=3,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,MAX(0,_xlfn.MAXIFS('TOPIX_C33'!F7:F53,'TOPIX_C33'!C7:C53,C39,'TOPIX_C33'!F7:F53,"&lt;"&amp;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))))</x:f>
        <x:v>375588</x:v>
      </x:c>
    </x:row>
    <x:row r="40" ht="36" customHeight="1">
      <x:c r="A40" s="2" t="str">
        <x:v>TOPIXmini</x:v>
      </x:c>
      <x:c r="B40" s="2" t="str">
        <x:v>C33</x:v>
      </x:c>
      <x:c r="C40" s="2" t="str">
        <x:v>ナイト</x:v>
      </x:c>
      <x:c r="D40" s="2" t="str">
        <x:v>既知47場</x:v>
      </x:c>
      <x:c r="E40" s="2" t="str">
        <x:v>T04</x:v>
      </x:c>
      <x:c r="F40" s="27" t="str">
        <x:v>先着採用。40分の低効率帯の端から反転、追加最大2枚</x:v>
      </x:c>
      <x:c r="G40" s="8" t="n">
        <x:f>COUNTIFS('TOPIX_C33'!C7:C53,C40)</x:f>
        <x:v>23</x:v>
      </x:c>
      <x:c r="H40" s="25" t="n">
        <x:f>SUMIFS('TOPIX_C33'!D7:D53,'TOPIX_C33'!C7:C53,C40)</x:f>
        <x:v>944810</x:v>
      </x:c>
      <x:c r="I40" s="25" t="n">
        <x:f>SUMIFS('TOPIX_C33'!E7:E53,'TOPIX_C33'!C7:C53,C40)</x:f>
        <x:v>654112</x:v>
      </x:c>
      <x:c r="J40" s="25" t="n">
        <x:f>H40-I40</x:f>
        <x:v>290698</x:v>
      </x:c>
      <x:c r="K40" s="8" t="n">
        <x:f>SUMIFS('TOPIX_C33'!J7:J53,'TOPIX_C33'!C7:C53,C40)</x:f>
        <x:v>87</x:v>
      </x:c>
      <x:c r="L40" s="8" t="n">
        <x:f>COUNTIFS('TOPIX_C33'!F7:F53,"&gt;0",'TOPIX_C33'!C7:C53,C40)</x:f>
        <x:v>19</x:v>
      </x:c>
      <x:c r="M40" s="8" t="n">
        <x:f>COUNTIFS('TOPIX_C33'!F7:F53,"&lt;0",'TOPIX_C33'!C7:C53,C40)</x:f>
        <x:v>4</x:v>
      </x:c>
      <x:c r="N40" s="8" t="n">
        <x:f>COUNTIFS('TOPIX_C33'!J7:J53,"=0",'TOPIX_C33'!C7:C53,C40)</x:f>
        <x:v>0</x:v>
      </x:c>
      <x:c r="O40" s="25" t="n">
        <x:f>IF(M40=0,0,-SUMIFS('TOPIX_C33'!F7:F53,'TOPIX_C33'!F7:F53,"&lt;0",'TOPIX_C33'!C7:C53,C40)/M40)</x:f>
        <x:v>30753</x:v>
      </x:c>
      <x:c r="P40" s="25" t="n">
        <x:f>MAX(0,-_xlfn.MINIFS('TOPIX_C33'!F7:F53,'TOPIX_C33'!C7:C53,C40))</x:f>
        <x:v>44086</x:v>
      </x:c>
      <x:c r="Q40" s="25" t="n">
        <x:f>J40-MAX(0,_xlfn.MAXIFS('TOPIX_C33'!F7:F53,'TOPIX_C33'!C7:C53,C40))-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-IF(COUNTIFS('TOPIX_C33'!F7:F53,MAX(0,_xlfn.MAXIFS('TOPIX_C33'!F7:F53,'TOPIX_C33'!C7:C53,C40)),'TOPIX_C33'!C7:C53,C40)&gt;=3,MAX(0,_xlfn.MAXIFS('TOPIX_C33'!F7:F53,'TOPIX_C33'!C7:C53,C40)),IF(COUNTIFS('TOPIX_C33'!F7:F53,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,'TOPIX_C33'!C7:C53,C40)+COUNTIFS('TOPIX_C33'!F7:F53,"&gt;"&amp;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,'TOPIX_C33'!C7:C53,C40)&gt;=3,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,MAX(0,_xlfn.MAXIFS('TOPIX_C33'!F7:F53,'TOPIX_C33'!C7:C53,C40,'TOPIX_C33'!F7:F53,"&lt;"&amp;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))))</x:f>
        <x:v>69618</x:v>
      </x:c>
    </x:row>
    <x:row r="41" ht="36" customHeight="1">
      <x:c r="A41" s="2" t="str">
        <x:v>TOPIXmini</x:v>
      </x:c>
      <x:c r="B41" s="2" t="str">
        <x:v>C33</x:v>
      </x:c>
      <x:c r="C41" s="2" t="str">
        <x:v>デイ</x:v>
      </x:c>
      <x:c r="D41" s="2" t="str">
        <x:v>追加3場</x:v>
      </x:c>
      <x:c r="E41" s="2" t="str">
        <x:v>T06</x:v>
      </x:c>
      <x:c r="F41" s="27" t="str">
        <x:v>先着採用。40分の低効率帯の端から反転、追加最大2枚</x:v>
      </x:c>
      <x:c r="G41" s="8" t="n">
        <x:f>COUNTIFS('TOPIX_C33'!C54:C56,C41)</x:f>
        <x:v>1</x:v>
      </x:c>
      <x:c r="H41" s="25" t="n">
        <x:f>SUMIFS('TOPIX_C33'!D54:D56,'TOPIX_C33'!C54:C56,C41)</x:f>
        <x:v>59336</x:v>
      </x:c>
      <x:c r="I41" s="25" t="n">
        <x:f>SUMIFS('TOPIX_C33'!E54:E56,'TOPIX_C33'!C54:C56,C41)</x:f>
        <x:v>127664</x:v>
      </x:c>
      <x:c r="J41" s="25" t="n">
        <x:f>H41-I41</x:f>
        <x:v>-68328</x:v>
      </x:c>
      <x:c r="K41" s="8" t="n">
        <x:f>SUMIFS('TOPIX_C33'!J54:J56,'TOPIX_C33'!C54:C56,C41)</x:f>
        <x:v>10</x:v>
      </x:c>
      <x:c r="L41" s="8" t="n">
        <x:f>COUNTIFS('TOPIX_C33'!F54:F56,"&gt;0",'TOPIX_C33'!C54:C56,C41)</x:f>
        <x:v>0</x:v>
      </x:c>
      <x:c r="M41" s="8" t="n">
        <x:f>COUNTIFS('TOPIX_C33'!F54:F56,"&lt;0",'TOPIX_C33'!C54:C56,C41)</x:f>
        <x:v>1</x:v>
      </x:c>
      <x:c r="N41" s="8" t="n">
        <x:f>COUNTIFS('TOPIX_C33'!J54:J56,"=0",'TOPIX_C33'!C54:C56,C41)</x:f>
        <x:v>0</x:v>
      </x:c>
      <x:c r="O41" s="25" t="n">
        <x:f>IF(M41=0,0,-SUMIFS('TOPIX_C33'!F54:F56,'TOPIX_C33'!F54:F56,"&lt;0",'TOPIX_C33'!C54:C56,C41)/M41)</x:f>
        <x:v>68328</x:v>
      </x:c>
      <x:c r="P41" s="25" t="n">
        <x:f>MAX(0,-_xlfn.MINIFS('TOPIX_C33'!F54:F56,'TOPIX_C33'!C54:C56,C41))</x:f>
        <x:v>68328</x:v>
      </x:c>
      <x:c r="Q41" s="25" t="n">
        <x:f>J41-MAX(0,_xlfn.MAXIFS('TOPIX_C33'!F54:F56,'TOPIX_C33'!C54:C56,C41))-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-IF(COUNTIFS('TOPIX_C33'!F54:F56,MAX(0,_xlfn.MAXIFS('TOPIX_C33'!F54:F56,'TOPIX_C33'!C54:C56,C41)),'TOPIX_C33'!C54:C56,C41)&gt;=3,MAX(0,_xlfn.MAXIFS('TOPIX_C33'!F54:F56,'TOPIX_C33'!C54:C56,C41)),IF(COUNTIFS('TOPIX_C33'!F54:F56,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,'TOPIX_C33'!C54:C56,C41)+COUNTIFS('TOPIX_C33'!F54:F56,"&gt;"&amp;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,'TOPIX_C33'!C54:C56,C41)&gt;=3,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,MAX(0,_xlfn.MAXIFS('TOPIX_C33'!F54:F56,'TOPIX_C33'!C54:C56,C41,'TOPIX_C33'!F54:F56,"&lt;"&amp;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))))</x:f>
        <x:v>-68328</x:v>
      </x:c>
    </x:row>
    <x:row r="42" ht="36" customHeight="1">
      <x:c r="A42" s="2" t="str">
        <x:v>TOPIXmini</x:v>
      </x:c>
      <x:c r="B42" s="2" t="str">
        <x:v>C33</x:v>
      </x:c>
      <x:c r="C42" s="2" t="str">
        <x:v>ナイト</x:v>
      </x:c>
      <x:c r="D42" s="2" t="str">
        <x:v>追加3場</x:v>
      </x:c>
      <x:c r="E42" s="2" t="str">
        <x:v>T04</x:v>
      </x:c>
      <x:c r="F42" s="27" t="str">
        <x:v>先着採用。40分の低効率帯の端から反転、追加最大2枚</x:v>
      </x:c>
      <x:c r="G42" s="8" t="n">
        <x:f>COUNTIFS('TOPIX_C33'!C54:C56,C42)</x:f>
        <x:v>2</x:v>
      </x:c>
      <x:c r="H42" s="25" t="n">
        <x:f>SUMIFS('TOPIX_C33'!D54:D56,'TOPIX_C33'!C54:C56,C42)</x:f>
        <x:v>129498</x:v>
      </x:c>
      <x:c r="I42" s="25" t="n">
        <x:f>SUMIFS('TOPIX_C33'!E54:E56,'TOPIX_C33'!C54:C56,C42)</x:f>
        <x:v>54002</x:v>
      </x:c>
      <x:c r="J42" s="25" t="n">
        <x:f>H42-I42</x:f>
        <x:v>75496</x:v>
      </x:c>
      <x:c r="K42" s="8" t="n">
        <x:f>SUMIFS('TOPIX_C33'!J54:J56,'TOPIX_C33'!C54:C56,C42)</x:f>
        <x:v>12</x:v>
      </x:c>
      <x:c r="L42" s="8" t="n">
        <x:f>COUNTIFS('TOPIX_C33'!F54:F56,"&gt;0",'TOPIX_C33'!C54:C56,C42)</x:f>
        <x:v>2</x:v>
      </x:c>
      <x:c r="M42" s="8" t="n">
        <x:f>COUNTIFS('TOPIX_C33'!F54:F56,"&lt;0",'TOPIX_C33'!C54:C56,C42)</x:f>
        <x:v>0</x:v>
      </x:c>
      <x:c r="N42" s="8" t="n">
        <x:f>COUNTIFS('TOPIX_C33'!J54:J56,"=0",'TOPIX_C33'!C54:C56,C42)</x:f>
        <x:v>0</x:v>
      </x:c>
      <x:c r="O42" s="25" t="n">
        <x:f>IF(M42=0,0,-SUMIFS('TOPIX_C33'!F54:F56,'TOPIX_C33'!F54:F56,"&lt;0",'TOPIX_C33'!C54:C56,C42)/M42)</x:f>
        <x:v>0</x:v>
      </x:c>
      <x:c r="P42" s="25" t="n">
        <x:f>MAX(0,-_xlfn.MINIFS('TOPIX_C33'!F54:F56,'TOPIX_C33'!C54:C56,C42))</x:f>
        <x:v>0</x:v>
      </x:c>
      <x:c r="Q42" s="25" t="n">
        <x:f>J42-MAX(0,_xlfn.MAXIFS('TOPIX_C33'!F54:F56,'TOPIX_C33'!C54:C56,C42))-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-IF(COUNTIFS('TOPIX_C33'!F54:F56,MAX(0,_xlfn.MAXIFS('TOPIX_C33'!F54:F56,'TOPIX_C33'!C54:C56,C42)),'TOPIX_C33'!C54:C56,C42)&gt;=3,MAX(0,_xlfn.MAXIFS('TOPIX_C33'!F54:F56,'TOPIX_C33'!C54:C56,C42)),IF(COUNTIFS('TOPIX_C33'!F54:F56,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,'TOPIX_C33'!C54:C56,C42)+COUNTIFS('TOPIX_C33'!F54:F56,"&gt;"&amp;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,'TOPIX_C33'!C54:C56,C42)&gt;=3,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,MAX(0,_xlfn.MAXIFS('TOPIX_C33'!F54:F56,'TOPIX_C33'!C54:C56,C42,'TOPIX_C33'!F54:F56,"&lt;"&amp;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))))</x:f>
        <x:v>0</x:v>
      </x:c>
    </x:row>
    <x:row r="43" ht="36" customHeight="1">
      <x:c r="A43" s="2" t="str">
        <x:v>TOPIXmini</x:v>
      </x:c>
      <x:c r="B43" s="2" t="str">
        <x:v>R09</x:v>
      </x:c>
      <x:c r="C43" s="2" t="str">
        <x:v>デイ</x:v>
      </x:c>
      <x:c r="D43" s="2" t="str">
        <x:v>全50場</x:v>
      </x:c>
      <x:c r="E43" s="2" t="str">
        <x:v>T06</x:v>
      </x:c>
      <x:c r="F43" s="27" t="str">
        <x:v>利確後に1枚で再参加</x:v>
      </x:c>
      <x:c r="G43" s="8" t="n">
        <x:f>COUNTIFS('TOPIX_R09'!C7:C56,C43)</x:f>
        <x:v>25</x:v>
      </x:c>
      <x:c r="H43" s="25" t="n">
        <x:f>SUMIFS('TOPIX_R09'!D7:D56,'TOPIX_R09'!C7:C56,C43)</x:f>
        <x:v>1288084</x:v>
      </x:c>
      <x:c r="I43" s="25" t="n">
        <x:f>SUMIFS('TOPIX_R09'!E7:E56,'TOPIX_R09'!C7:C56,C43)</x:f>
        <x:v>888711</x:v>
      </x:c>
      <x:c r="J43" s="25" t="n">
        <x:f>H43-I43</x:f>
        <x:v>399373</x:v>
      </x:c>
      <x:c r="K43" s="8" t="n">
        <x:f>SUMIFS('TOPIX_R09'!J7:J56,'TOPIX_R09'!C7:C56,C43)</x:f>
        <x:v>57</x:v>
      </x:c>
      <x:c r="L43" s="8" t="n">
        <x:f>COUNTIFS('TOPIX_R09'!F7:F56,"&gt;0",'TOPIX_R09'!C7:C56,C43)</x:f>
        <x:v>16</x:v>
      </x:c>
      <x:c r="M43" s="8" t="n">
        <x:f>COUNTIFS('TOPIX_R09'!F7:F56,"&lt;0",'TOPIX_R09'!C7:C56,C43)</x:f>
        <x:v>9</x:v>
      </x:c>
      <x:c r="N43" s="8" t="n">
        <x:f>COUNTIFS('TOPIX_R09'!J7:J56,"=0",'TOPIX_R09'!C7:C56,C43)</x:f>
        <x:v>0</x:v>
      </x:c>
      <x:c r="O43" s="25" t="n">
        <x:f>IF(M43=0,0,-SUMIFS('TOPIX_R09'!F7:F56,'TOPIX_R09'!F7:F56,"&lt;0",'TOPIX_R09'!C7:C56,C43)/M43)</x:f>
        <x:v>47827.22222222222</x:v>
      </x:c>
      <x:c r="P43" s="25" t="n">
        <x:f>MAX(0,-_xlfn.MINIFS('TOPIX_R09'!F7:F56,'TOPIX_R09'!C7:C56,C43))</x:f>
        <x:v>131254</x:v>
      </x:c>
      <x:c r="Q43" s="25" t="n">
        <x:f>J43-MAX(0,_xlfn.MAXIFS('TOPIX_R09'!F7:F56,'TOPIX_R09'!C7:C56,C43))-IF(COUNTIFS('TOPIX_R09'!F7:F56,MAX(0,_xlfn.MAXIFS('TOPIX_R09'!F7:F56,'TOPIX_R09'!C7:C56,C43)),'TOPIX_R09'!C7:C56,C43)&gt;=2,MAX(0,_xlfn.MAXIFS('TOPIX_R09'!F7:F56,'TOPIX_R09'!C7:C56,C43)),MAX(0,_xlfn.MAXIFS('TOPIX_R09'!F7:F56,'TOPIX_R09'!C7:C56,C43,'TOPIX_R09'!F7:F56,"&lt;"&amp;MAX(0,_xlfn.MAXIFS('TOPIX_R09'!F7:F56,'TOPIX_R09'!C7:C56,C43)))))-IF(COUNTIFS('TOPIX_R09'!F7:F56,MAX(0,_xlfn.MAXIFS('TOPIX_R09'!F7:F56,'TOPIX_R09'!C7:C56,C43)),'TOPIX_R09'!C7:C56,C43)&gt;=3,MAX(0,_xlfn.MAXIFS('TOPIX_R09'!F7:F56,'TOPIX_R09'!C7:C56,C43)),IF(COUNTIFS('TOPIX_R09'!F7:F56,IF(COUNTIFS('TOPIX_R09'!F7:F56,MAX(0,_xlfn.MAXIFS('TOPIX_R09'!F7:F56,'TOPIX_R09'!C7:C56,C43)),'TOPIX_R09'!C7:C56,C43)&gt;=2,MAX(0,_xlfn.MAXIFS('TOPIX_R09'!F7:F56,'TOPIX_R09'!C7:C56,C43)),MAX(0,_xlfn.MAXIFS('TOPIX_R09'!F7:F56,'TOPIX_R09'!C7:C56,C43,'TOPIX_R09'!F7:F56,"&lt;"&amp;MAX(0,_xlfn.MAXIFS('TOPIX_R09'!F7:F56,'TOPIX_R09'!C7:C56,C43))))),'TOPIX_R09'!C7:C56,C43)+COUNTIFS('TOPIX_R09'!F7:F56,"&gt;"&amp;IF(COUNTIFS('TOPIX_R09'!F7:F56,MAX(0,_xlfn.MAXIFS('TOPIX_R09'!F7:F56,'TOPIX_R09'!C7:C56,C43)),'TOPIX_R09'!C7:C56,C43)&gt;=2,MAX(0,_xlfn.MAXIFS('TOPIX_R09'!F7:F56,'TOPIX_R09'!C7:C56,C43)),MAX(0,_xlfn.MAXIFS('TOPIX_R09'!F7:F56,'TOPIX_R09'!C7:C56,C43,'TOPIX_R09'!F7:F56,"&lt;"&amp;MAX(0,_xlfn.MAXIFS('TOPIX_R09'!F7:F56,'TOPIX_R09'!C7:C56,C43))))),'TOPIX_R09'!C7:C56,C43)&gt;=3,IF(COUNTIFS('TOPIX_R09'!F7:F56,MAX(0,_xlfn.MAXIFS('TOPIX_R09'!F7:F56,'TOPIX_R09'!C7:C56,C43)),'TOPIX_R09'!C7:C56,C43)&gt;=2,MAX(0,_xlfn.MAXIFS('TOPIX_R09'!F7:F56,'TOPIX_R09'!C7:C56,C43)),MAX(0,_xlfn.MAXIFS('TOPIX_R09'!F7:F56,'TOPIX_R09'!C7:C56,C43,'TOPIX_R09'!F7:F56,"&lt;"&amp;MAX(0,_xlfn.MAXIFS('TOPIX_R09'!F7:F56,'TOPIX_R09'!C7:C56,C43))))),MAX(0,_xlfn.MAXIFS('TOPIX_R09'!F7:F56,'TOPIX_R09'!C7:C56,C43,'TOPIX_R09'!F7:F56,"&lt;"&amp;IF(COUNTIFS('TOPIX_R09'!F7:F56,MAX(0,_xlfn.MAXIFS('TOPIX_R09'!F7:F56,'TOPIX_R09'!C7:C56,C43)),'TOPIX_R09'!C7:C56,C43)&gt;=2,MAX(0,_xlfn.MAXIFS('TOPIX_R09'!F7:F56,'TOPIX_R09'!C7:C56,C43)),MAX(0,_xlfn.MAXIFS('TOPIX_R09'!F7:F56,'TOPIX_R09'!C7:C56,C43,'TOPIX_R09'!F7:F56,"&lt;"&amp;MAX(0,_xlfn.MAXIFS('TOPIX_R09'!F7:F56,'TOPIX_R09'!C7:C56,C43)))))))))</x:f>
        <x:v>122877</x:v>
      </x:c>
    </x:row>
    <x:row r="44" ht="36" customHeight="1">
      <x:c r="A44" s="2" t="str">
        <x:v>TOPIXmini</x:v>
      </x:c>
      <x:c r="B44" s="2" t="str">
        <x:v>R09</x:v>
      </x:c>
      <x:c r="C44" s="2" t="str">
        <x:v>ナイト</x:v>
      </x:c>
      <x:c r="D44" s="2" t="str">
        <x:v>全50場</x:v>
      </x:c>
      <x:c r="E44" s="2" t="str">
        <x:v>T04</x:v>
      </x:c>
      <x:c r="F44" s="27" t="str">
        <x:v>利確後に1枚で再参加</x:v>
      </x:c>
      <x:c r="G44" s="8" t="n">
        <x:f>COUNTIFS('TOPIX_R09'!C7:C56,C44)</x:f>
        <x:v>25</x:v>
      </x:c>
      <x:c r="H44" s="25" t="n">
        <x:f>SUMIFS('TOPIX_R09'!D7:D56,'TOPIX_R09'!C7:C56,C44)</x:f>
        <x:v>940706</x:v>
      </x:c>
      <x:c r="I44" s="25" t="n">
        <x:f>SUMIFS('TOPIX_R09'!E7:E56,'TOPIX_R09'!C7:C56,C44)</x:f>
        <x:v>572450</x:v>
      </x:c>
      <x:c r="J44" s="25" t="n">
        <x:f>H44-I44</x:f>
        <x:v>368256</x:v>
      </x:c>
      <x:c r="K44" s="8" t="n">
        <x:f>SUMIFS('TOPIX_R09'!J7:J56,'TOPIX_R09'!C7:C56,C44)</x:f>
        <x:v>68</x:v>
      </x:c>
      <x:c r="L44" s="8" t="n">
        <x:f>COUNTIFS('TOPIX_R09'!F7:F56,"&gt;0",'TOPIX_R09'!C7:C56,C44)</x:f>
        <x:v>22</x:v>
      </x:c>
      <x:c r="M44" s="8" t="n">
        <x:f>COUNTIFS('TOPIX_R09'!F7:F56,"&lt;0",'TOPIX_R09'!C7:C56,C44)</x:f>
        <x:v>3</x:v>
      </x:c>
      <x:c r="N44" s="8" t="n">
        <x:f>COUNTIFS('TOPIX_R09'!J7:J56,"=0",'TOPIX_R09'!C7:C56,C44)</x:f>
        <x:v>0</x:v>
      </x:c>
      <x:c r="O44" s="25" t="n">
        <x:f>IF(M44=0,0,-SUMIFS('TOPIX_R09'!F7:F56,'TOPIX_R09'!F7:F56,"&lt;0",'TOPIX_R09'!C7:C56,C44)/M44)</x:f>
        <x:v>49448</x:v>
      </x:c>
      <x:c r="P44" s="25" t="n">
        <x:f>MAX(0,-_xlfn.MINIFS('TOPIX_R09'!F7:F56,'TOPIX_R09'!C7:C56,C44))</x:f>
        <x:v>53754</x:v>
      </x:c>
      <x:c r="Q44" s="25" t="n">
        <x:f>J44-MAX(0,_xlfn.MAXIFS('TOPIX_R09'!F7:F56,'TOPIX_R09'!C7:C56,C44))-IF(COUNTIFS('TOPIX_R09'!F7:F56,MAX(0,_xlfn.MAXIFS('TOPIX_R09'!F7:F56,'TOPIX_R09'!C7:C56,C44)),'TOPIX_R09'!C7:C56,C44)&gt;=2,MAX(0,_xlfn.MAXIFS('TOPIX_R09'!F7:F56,'TOPIX_R09'!C7:C56,C44)),MAX(0,_xlfn.MAXIFS('TOPIX_R09'!F7:F56,'TOPIX_R09'!C7:C56,C44,'TOPIX_R09'!F7:F56,"&lt;"&amp;MAX(0,_xlfn.MAXIFS('TOPIX_R09'!F7:F56,'TOPIX_R09'!C7:C56,C44)))))-IF(COUNTIFS('TOPIX_R09'!F7:F56,MAX(0,_xlfn.MAXIFS('TOPIX_R09'!F7:F56,'TOPIX_R09'!C7:C56,C44)),'TOPIX_R09'!C7:C56,C44)&gt;=3,MAX(0,_xlfn.MAXIFS('TOPIX_R09'!F7:F56,'TOPIX_R09'!C7:C56,C44)),IF(COUNTIFS('TOPIX_R09'!F7:F56,IF(COUNTIFS('TOPIX_R09'!F7:F56,MAX(0,_xlfn.MAXIFS('TOPIX_R09'!F7:F56,'TOPIX_R09'!C7:C56,C44)),'TOPIX_R09'!C7:C56,C44)&gt;=2,MAX(0,_xlfn.MAXIFS('TOPIX_R09'!F7:F56,'TOPIX_R09'!C7:C56,C44)),MAX(0,_xlfn.MAXIFS('TOPIX_R09'!F7:F56,'TOPIX_R09'!C7:C56,C44,'TOPIX_R09'!F7:F56,"&lt;"&amp;MAX(0,_xlfn.MAXIFS('TOPIX_R09'!F7:F56,'TOPIX_R09'!C7:C56,C44))))),'TOPIX_R09'!C7:C56,C44)+COUNTIFS('TOPIX_R09'!F7:F56,"&gt;"&amp;IF(COUNTIFS('TOPIX_R09'!F7:F56,MAX(0,_xlfn.MAXIFS('TOPIX_R09'!F7:F56,'TOPIX_R09'!C7:C56,C44)),'TOPIX_R09'!C7:C56,C44)&gt;=2,MAX(0,_xlfn.MAXIFS('TOPIX_R09'!F7:F56,'TOPIX_R09'!C7:C56,C44)),MAX(0,_xlfn.MAXIFS('TOPIX_R09'!F7:F56,'TOPIX_R09'!C7:C56,C44,'TOPIX_R09'!F7:F56,"&lt;"&amp;MAX(0,_xlfn.MAXIFS('TOPIX_R09'!F7:F56,'TOPIX_R09'!C7:C56,C44))))),'TOPIX_R09'!C7:C56,C44)&gt;=3,IF(COUNTIFS('TOPIX_R09'!F7:F56,MAX(0,_xlfn.MAXIFS('TOPIX_R09'!F7:F56,'TOPIX_R09'!C7:C56,C44)),'TOPIX_R09'!C7:C56,C44)&gt;=2,MAX(0,_xlfn.MAXIFS('TOPIX_R09'!F7:F56,'TOPIX_R09'!C7:C56,C44)),MAX(0,_xlfn.MAXIFS('TOPIX_R09'!F7:F56,'TOPIX_R09'!C7:C56,C44,'TOPIX_R09'!F7:F56,"&lt;"&amp;MAX(0,_xlfn.MAXIFS('TOPIX_R09'!F7:F56,'TOPIX_R09'!C7:C56,C44))))),MAX(0,_xlfn.MAXIFS('TOPIX_R09'!F7:F56,'TOPIX_R09'!C7:C56,C44,'TOPIX_R09'!F7:F56,"&lt;"&amp;IF(COUNTIFS('TOPIX_R09'!F7:F56,MAX(0,_xlfn.MAXIFS('TOPIX_R09'!F7:F56,'TOPIX_R09'!C7:C56,C44)),'TOPIX_R09'!C7:C56,C44)&gt;=2,MAX(0,_xlfn.MAXIFS('TOPIX_R09'!F7:F56,'TOPIX_R09'!C7:C56,C44)),MAX(0,_xlfn.MAXIFS('TOPIX_R09'!F7:F56,'TOPIX_R09'!C7:C56,C44,'TOPIX_R09'!F7:F56,"&lt;"&amp;MAX(0,_xlfn.MAXIFS('TOPIX_R09'!F7:F56,'TOPIX_R09'!C7:C56,C44)))))))))</x:f>
        <x:v>150100</x:v>
      </x:c>
    </x:row>
    <x:row r="45" ht="36" customHeight="1">
      <x:c r="A45" s="2" t="str">
        <x:v>TOPIXmini</x:v>
      </x:c>
      <x:c r="B45" s="2" t="str">
        <x:v>R09</x:v>
      </x:c>
      <x:c r="C45" s="2" t="str">
        <x:v>デイ</x:v>
      </x:c>
      <x:c r="D45" s="2" t="str">
        <x:v>既知47場</x:v>
      </x:c>
      <x:c r="E45" s="2" t="str">
        <x:v>T06</x:v>
      </x:c>
      <x:c r="F45" s="27" t="str">
        <x:v>利確後に1枚で再参加</x:v>
      </x:c>
      <x:c r="G45" s="8" t="n">
        <x:f>COUNTIFS('TOPIX_R09'!C7:C53,C45)</x:f>
        <x:v>24</x:v>
      </x:c>
      <x:c r="H45" s="25" t="n">
        <x:f>SUMIFS('TOPIX_R09'!D7:D53,'TOPIX_R09'!C7:C53,C45)</x:f>
        <x:v>1288084</x:v>
      </x:c>
      <x:c r="I45" s="25" t="n">
        <x:f>SUMIFS('TOPIX_R09'!E7:E53,'TOPIX_R09'!C7:C53,C45)</x:f>
        <x:v>757457</x:v>
      </x:c>
      <x:c r="J45" s="25" t="n">
        <x:f>H45-I45</x:f>
        <x:v>530627</x:v>
      </x:c>
      <x:c r="K45" s="8" t="n">
        <x:f>SUMIFS('TOPIX_R09'!J7:J53,'TOPIX_R09'!C7:C53,C45)</x:f>
        <x:v>54</x:v>
      </x:c>
      <x:c r="L45" s="8" t="n">
        <x:f>COUNTIFS('TOPIX_R09'!F7:F53,"&gt;0",'TOPIX_R09'!C7:C53,C45)</x:f>
        <x:v>16</x:v>
      </x:c>
      <x:c r="M45" s="8" t="n">
        <x:f>COUNTIFS('TOPIX_R09'!F7:F53,"&lt;0",'TOPIX_R09'!C7:C53,C45)</x:f>
        <x:v>8</x:v>
      </x:c>
      <x:c r="N45" s="8" t="n">
        <x:f>COUNTIFS('TOPIX_R09'!J7:J53,"=0",'TOPIX_R09'!C7:C53,C45)</x:f>
        <x:v>0</x:v>
      </x:c>
      <x:c r="O45" s="25" t="n">
        <x:f>IF(M45=0,0,-SUMIFS('TOPIX_R09'!F7:F53,'TOPIX_R09'!F7:F53,"&lt;0",'TOPIX_R09'!C7:C53,C45)/M45)</x:f>
        <x:v>37398.875</x:v>
      </x:c>
      <x:c r="P45" s="25" t="n">
        <x:f>MAX(0,-_xlfn.MINIFS('TOPIX_R09'!F7:F53,'TOPIX_R09'!C7:C53,C45))</x:f>
        <x:v>79172</x:v>
      </x:c>
      <x:c r="Q45" s="25" t="n">
        <x:f>J45-MAX(0,_xlfn.MAXIFS('TOPIX_R09'!F7:F53,'TOPIX_R09'!C7:C53,C45))-IF(COUNTIFS('TOPIX_R09'!F7:F53,MAX(0,_xlfn.MAXIFS('TOPIX_R09'!F7:F53,'TOPIX_R09'!C7:C53,C45)),'TOPIX_R09'!C7:C53,C45)&gt;=2,MAX(0,_xlfn.MAXIFS('TOPIX_R09'!F7:F53,'TOPIX_R09'!C7:C53,C45)),MAX(0,_xlfn.MAXIFS('TOPIX_R09'!F7:F53,'TOPIX_R09'!C7:C53,C45,'TOPIX_R09'!F7:F53,"&lt;"&amp;MAX(0,_xlfn.MAXIFS('TOPIX_R09'!F7:F53,'TOPIX_R09'!C7:C53,C45)))))-IF(COUNTIFS('TOPIX_R09'!F7:F53,MAX(0,_xlfn.MAXIFS('TOPIX_R09'!F7:F53,'TOPIX_R09'!C7:C53,C45)),'TOPIX_R09'!C7:C53,C45)&gt;=3,MAX(0,_xlfn.MAXIFS('TOPIX_R09'!F7:F53,'TOPIX_R09'!C7:C53,C45)),IF(COUNTIFS('TOPIX_R09'!F7:F53,IF(COUNTIFS('TOPIX_R09'!F7:F53,MAX(0,_xlfn.MAXIFS('TOPIX_R09'!F7:F53,'TOPIX_R09'!C7:C53,C45)),'TOPIX_R09'!C7:C53,C45)&gt;=2,MAX(0,_xlfn.MAXIFS('TOPIX_R09'!F7:F53,'TOPIX_R09'!C7:C53,C45)),MAX(0,_xlfn.MAXIFS('TOPIX_R09'!F7:F53,'TOPIX_R09'!C7:C53,C45,'TOPIX_R09'!F7:F53,"&lt;"&amp;MAX(0,_xlfn.MAXIFS('TOPIX_R09'!F7:F53,'TOPIX_R09'!C7:C53,C45))))),'TOPIX_R09'!C7:C53,C45)+COUNTIFS('TOPIX_R09'!F7:F53,"&gt;"&amp;IF(COUNTIFS('TOPIX_R09'!F7:F53,MAX(0,_xlfn.MAXIFS('TOPIX_R09'!F7:F53,'TOPIX_R09'!C7:C53,C45)),'TOPIX_R09'!C7:C53,C45)&gt;=2,MAX(0,_xlfn.MAXIFS('TOPIX_R09'!F7:F53,'TOPIX_R09'!C7:C53,C45)),MAX(0,_xlfn.MAXIFS('TOPIX_R09'!F7:F53,'TOPIX_R09'!C7:C53,C45,'TOPIX_R09'!F7:F53,"&lt;"&amp;MAX(0,_xlfn.MAXIFS('TOPIX_R09'!F7:F53,'TOPIX_R09'!C7:C53,C45))))),'TOPIX_R09'!C7:C53,C45)&gt;=3,IF(COUNTIFS('TOPIX_R09'!F7:F53,MAX(0,_xlfn.MAXIFS('TOPIX_R09'!F7:F53,'TOPIX_R09'!C7:C53,C45)),'TOPIX_R09'!C7:C53,C45)&gt;=2,MAX(0,_xlfn.MAXIFS('TOPIX_R09'!F7:F53,'TOPIX_R09'!C7:C53,C45)),MAX(0,_xlfn.MAXIFS('TOPIX_R09'!F7:F53,'TOPIX_R09'!C7:C53,C45,'TOPIX_R09'!F7:F53,"&lt;"&amp;MAX(0,_xlfn.MAXIFS('TOPIX_R09'!F7:F53,'TOPIX_R09'!C7:C53,C45))))),MAX(0,_xlfn.MAXIFS('TOPIX_R09'!F7:F53,'TOPIX_R09'!C7:C53,C45,'TOPIX_R09'!F7:F53,"&lt;"&amp;IF(COUNTIFS('TOPIX_R09'!F7:F53,MAX(0,_xlfn.MAXIFS('TOPIX_R09'!F7:F53,'TOPIX_R09'!C7:C53,C45)),'TOPIX_R09'!C7:C53,C45)&gt;=2,MAX(0,_xlfn.MAXIFS('TOPIX_R09'!F7:F53,'TOPIX_R09'!C7:C53,C45)),MAX(0,_xlfn.MAXIFS('TOPIX_R09'!F7:F53,'TOPIX_R09'!C7:C53,C45,'TOPIX_R09'!F7:F53,"&lt;"&amp;MAX(0,_xlfn.MAXIFS('TOPIX_R09'!F7:F53,'TOPIX_R09'!C7:C53,C45)))))))))</x:f>
        <x:v>254131</x:v>
      </x:c>
    </x:row>
    <x:row r="46" ht="36" customHeight="1">
      <x:c r="A46" s="2" t="str">
        <x:v>TOPIXmini</x:v>
      </x:c>
      <x:c r="B46" s="2" t="str">
        <x:v>R09</x:v>
      </x:c>
      <x:c r="C46" s="2" t="str">
        <x:v>ナイト</x:v>
      </x:c>
      <x:c r="D46" s="2" t="str">
        <x:v>既知47場</x:v>
      </x:c>
      <x:c r="E46" s="2" t="str">
        <x:v>T04</x:v>
      </x:c>
      <x:c r="F46" s="27" t="str">
        <x:v>利確後に1枚で再参加</x:v>
      </x:c>
      <x:c r="G46" s="8" t="n">
        <x:f>COUNTIFS('TOPIX_R09'!C7:C53,C46)</x:f>
        <x:v>23</x:v>
      </x:c>
      <x:c r="H46" s="25" t="n">
        <x:f>SUMIFS('TOPIX_R09'!D7:D53,'TOPIX_R09'!C7:C53,C46)</x:f>
        <x:v>842378</x:v>
      </x:c>
      <x:c r="I46" s="25" t="n">
        <x:f>SUMIFS('TOPIX_R09'!E7:E53,'TOPIX_R09'!C7:C53,C46)</x:f>
        <x:v>531532</x:v>
      </x:c>
      <x:c r="J46" s="25" t="n">
        <x:f>H46-I46</x:f>
        <x:v>310846</x:v>
      </x:c>
      <x:c r="K46" s="8" t="n">
        <x:f>SUMIFS('TOPIX_R09'!J7:J53,'TOPIX_R09'!C7:C53,C46)</x:f>
        <x:v>61</x:v>
      </x:c>
      <x:c r="L46" s="8" t="n">
        <x:f>COUNTIFS('TOPIX_R09'!F7:F53,"&gt;0",'TOPIX_R09'!C7:C53,C46)</x:f>
        <x:v>20</x:v>
      </x:c>
      <x:c r="M46" s="8" t="n">
        <x:f>COUNTIFS('TOPIX_R09'!F7:F53,"&lt;0",'TOPIX_R09'!C7:C53,C46)</x:f>
        <x:v>3</x:v>
      </x:c>
      <x:c r="N46" s="8" t="n">
        <x:f>COUNTIFS('TOPIX_R09'!J7:J53,"=0",'TOPIX_R09'!C7:C53,C46)</x:f>
        <x:v>0</x:v>
      </x:c>
      <x:c r="O46" s="25" t="n">
        <x:f>IF(M46=0,0,-SUMIFS('TOPIX_R09'!F7:F53,'TOPIX_R09'!F7:F53,"&lt;0",'TOPIX_R09'!C7:C53,C46)/M46)</x:f>
        <x:v>49448</x:v>
      </x:c>
      <x:c r="P46" s="25" t="n">
        <x:f>MAX(0,-_xlfn.MINIFS('TOPIX_R09'!F7:F53,'TOPIX_R09'!C7:C53,C46))</x:f>
        <x:v>53754</x:v>
      </x:c>
      <x:c r="Q46" s="25" t="n">
        <x:f>J46-MAX(0,_xlfn.MAXIFS('TOPIX_R09'!F7:F53,'TOPIX_R09'!C7:C53,C46))-IF(COUNTIFS('TOPIX_R09'!F7:F53,MAX(0,_xlfn.MAXIFS('TOPIX_R09'!F7:F53,'TOPIX_R09'!C7:C53,C46)),'TOPIX_R09'!C7:C53,C46)&gt;=2,MAX(0,_xlfn.MAXIFS('TOPIX_R09'!F7:F53,'TOPIX_R09'!C7:C53,C46)),MAX(0,_xlfn.MAXIFS('TOPIX_R09'!F7:F53,'TOPIX_R09'!C7:C53,C46,'TOPIX_R09'!F7:F53,"&lt;"&amp;MAX(0,_xlfn.MAXIFS('TOPIX_R09'!F7:F53,'TOPIX_R09'!C7:C53,C46)))))-IF(COUNTIFS('TOPIX_R09'!F7:F53,MAX(0,_xlfn.MAXIFS('TOPIX_R09'!F7:F53,'TOPIX_R09'!C7:C53,C46)),'TOPIX_R09'!C7:C53,C46)&gt;=3,MAX(0,_xlfn.MAXIFS('TOPIX_R09'!F7:F53,'TOPIX_R09'!C7:C53,C46)),IF(COUNTIFS('TOPIX_R09'!F7:F53,IF(COUNTIFS('TOPIX_R09'!F7:F53,MAX(0,_xlfn.MAXIFS('TOPIX_R09'!F7:F53,'TOPIX_R09'!C7:C53,C46)),'TOPIX_R09'!C7:C53,C46)&gt;=2,MAX(0,_xlfn.MAXIFS('TOPIX_R09'!F7:F53,'TOPIX_R09'!C7:C53,C46)),MAX(0,_xlfn.MAXIFS('TOPIX_R09'!F7:F53,'TOPIX_R09'!C7:C53,C46,'TOPIX_R09'!F7:F53,"&lt;"&amp;MAX(0,_xlfn.MAXIFS('TOPIX_R09'!F7:F53,'TOPIX_R09'!C7:C53,C46))))),'TOPIX_R09'!C7:C53,C46)+COUNTIFS('TOPIX_R09'!F7:F53,"&gt;"&amp;IF(COUNTIFS('TOPIX_R09'!F7:F53,MAX(0,_xlfn.MAXIFS('TOPIX_R09'!F7:F53,'TOPIX_R09'!C7:C53,C46)),'TOPIX_R09'!C7:C53,C46)&gt;=2,MAX(0,_xlfn.MAXIFS('TOPIX_R09'!F7:F53,'TOPIX_R09'!C7:C53,C46)),MAX(0,_xlfn.MAXIFS('TOPIX_R09'!F7:F53,'TOPIX_R09'!C7:C53,C46,'TOPIX_R09'!F7:F53,"&lt;"&amp;MAX(0,_xlfn.MAXIFS('TOPIX_R09'!F7:F53,'TOPIX_R09'!C7:C53,C46))))),'TOPIX_R09'!C7:C53,C46)&gt;=3,IF(COUNTIFS('TOPIX_R09'!F7:F53,MAX(0,_xlfn.MAXIFS('TOPIX_R09'!F7:F53,'TOPIX_R09'!C7:C53,C46)),'TOPIX_R09'!C7:C53,C46)&gt;=2,MAX(0,_xlfn.MAXIFS('TOPIX_R09'!F7:F53,'TOPIX_R09'!C7:C53,C46)),MAX(0,_xlfn.MAXIFS('TOPIX_R09'!F7:F53,'TOPIX_R09'!C7:C53,C46,'TOPIX_R09'!F7:F53,"&lt;"&amp;MAX(0,_xlfn.MAXIFS('TOPIX_R09'!F7:F53,'TOPIX_R09'!C7:C53,C46))))),MAX(0,_xlfn.MAXIFS('TOPIX_R09'!F7:F53,'TOPIX_R09'!C7:C53,C46,'TOPIX_R09'!F7:F53,"&lt;"&amp;IF(COUNTIFS('TOPIX_R09'!F7:F53,MAX(0,_xlfn.MAXIFS('TOPIX_R09'!F7:F53,'TOPIX_R09'!C7:C53,C46)),'TOPIX_R09'!C7:C53,C46)&gt;=2,MAX(0,_xlfn.MAXIFS('TOPIX_R09'!F7:F53,'TOPIX_R09'!C7:C53,C46)),MAX(0,_xlfn.MAXIFS('TOPIX_R09'!F7:F53,'TOPIX_R09'!C7:C53,C46,'TOPIX_R09'!F7:F53,"&lt;"&amp;MAX(0,_xlfn.MAXIFS('TOPIX_R09'!F7:F53,'TOPIX_R09'!C7:C53,C46)))))))))</x:f>
        <x:v>92690</x:v>
      </x:c>
    </x:row>
    <x:row r="47" ht="36" customHeight="1">
      <x:c r="A47" s="2" t="str">
        <x:v>TOPIXmini</x:v>
      </x:c>
      <x:c r="B47" s="2" t="str">
        <x:v>R09</x:v>
      </x:c>
      <x:c r="C47" s="2" t="str">
        <x:v>デイ</x:v>
      </x:c>
      <x:c r="D47" s="2" t="str">
        <x:v>追加3場</x:v>
      </x:c>
      <x:c r="E47" s="2" t="str">
        <x:v>T06</x:v>
      </x:c>
      <x:c r="F47" s="27" t="str">
        <x:v>利確後に1枚で再参加</x:v>
      </x:c>
      <x:c r="G47" s="8" t="n">
        <x:f>COUNTIFS('TOPIX_R09'!C54:C56,C47)</x:f>
        <x:v>1</x:v>
      </x:c>
      <x:c r="H47" s="25" t="n">
        <x:f>SUMIFS('TOPIX_R09'!D54:D56,'TOPIX_R09'!C54:C56,C47)</x:f>
        <x:v>0</x:v>
      </x:c>
      <x:c r="I47" s="25" t="n">
        <x:f>SUMIFS('TOPIX_R09'!E54:E56,'TOPIX_R09'!C54:C56,C47)</x:f>
        <x:v>131254</x:v>
      </x:c>
      <x:c r="J47" s="25" t="n">
        <x:f>H47-I47</x:f>
        <x:v>-131254</x:v>
      </x:c>
      <x:c r="K47" s="8" t="n">
        <x:f>SUMIFS('TOPIX_R09'!J54:J56,'TOPIX_R09'!C54:C56,C47)</x:f>
        <x:v>3</x:v>
      </x:c>
      <x:c r="L47" s="8" t="n">
        <x:f>COUNTIFS('TOPIX_R09'!F54:F56,"&gt;0",'TOPIX_R09'!C54:C56,C47)</x:f>
        <x:v>0</x:v>
      </x:c>
      <x:c r="M47" s="8" t="n">
        <x:f>COUNTIFS('TOPIX_R09'!F54:F56,"&lt;0",'TOPIX_R09'!C54:C56,C47)</x:f>
        <x:v>1</x:v>
      </x:c>
      <x:c r="N47" s="8" t="n">
        <x:f>COUNTIFS('TOPIX_R09'!J54:J56,"=0",'TOPIX_R09'!C54:C56,C47)</x:f>
        <x:v>0</x:v>
      </x:c>
      <x:c r="O47" s="25" t="n">
        <x:f>IF(M47=0,0,-SUMIFS('TOPIX_R09'!F54:F56,'TOPIX_R09'!F54:F56,"&lt;0",'TOPIX_R09'!C54:C56,C47)/M47)</x:f>
        <x:v>131254</x:v>
      </x:c>
      <x:c r="P47" s="25" t="n">
        <x:f>MAX(0,-_xlfn.MINIFS('TOPIX_R09'!F54:F56,'TOPIX_R09'!C54:C56,C47))</x:f>
        <x:v>131254</x:v>
      </x:c>
      <x:c r="Q47" s="25" t="n">
        <x:f>J47-MAX(0,_xlfn.MAXIFS('TOPIX_R09'!F54:F56,'TOPIX_R09'!C54:C56,C47))-IF(COUNTIFS('TOPIX_R09'!F54:F56,MAX(0,_xlfn.MAXIFS('TOPIX_R09'!F54:F56,'TOPIX_R09'!C54:C56,C47)),'TOPIX_R09'!C54:C56,C47)&gt;=2,MAX(0,_xlfn.MAXIFS('TOPIX_R09'!F54:F56,'TOPIX_R09'!C54:C56,C47)),MAX(0,_xlfn.MAXIFS('TOPIX_R09'!F54:F56,'TOPIX_R09'!C54:C56,C47,'TOPIX_R09'!F54:F56,"&lt;"&amp;MAX(0,_xlfn.MAXIFS('TOPIX_R09'!F54:F56,'TOPIX_R09'!C54:C56,C47)))))-IF(COUNTIFS('TOPIX_R09'!F54:F56,MAX(0,_xlfn.MAXIFS('TOPIX_R09'!F54:F56,'TOPIX_R09'!C54:C56,C47)),'TOPIX_R09'!C54:C56,C47)&gt;=3,MAX(0,_xlfn.MAXIFS('TOPIX_R09'!F54:F56,'TOPIX_R09'!C54:C56,C47)),IF(COUNTIFS('TOPIX_R09'!F54:F56,IF(COUNTIFS('TOPIX_R09'!F54:F56,MAX(0,_xlfn.MAXIFS('TOPIX_R09'!F54:F56,'TOPIX_R09'!C54:C56,C47)),'TOPIX_R09'!C54:C56,C47)&gt;=2,MAX(0,_xlfn.MAXIFS('TOPIX_R09'!F54:F56,'TOPIX_R09'!C54:C56,C47)),MAX(0,_xlfn.MAXIFS('TOPIX_R09'!F54:F56,'TOPIX_R09'!C54:C56,C47,'TOPIX_R09'!F54:F56,"&lt;"&amp;MAX(0,_xlfn.MAXIFS('TOPIX_R09'!F54:F56,'TOPIX_R09'!C54:C56,C47))))),'TOPIX_R09'!C54:C56,C47)+COUNTIFS('TOPIX_R09'!F54:F56,"&gt;"&amp;IF(COUNTIFS('TOPIX_R09'!F54:F56,MAX(0,_xlfn.MAXIFS('TOPIX_R09'!F54:F56,'TOPIX_R09'!C54:C56,C47)),'TOPIX_R09'!C54:C56,C47)&gt;=2,MAX(0,_xlfn.MAXIFS('TOPIX_R09'!F54:F56,'TOPIX_R09'!C54:C56,C47)),MAX(0,_xlfn.MAXIFS('TOPIX_R09'!F54:F56,'TOPIX_R09'!C54:C56,C47,'TOPIX_R09'!F54:F56,"&lt;"&amp;MAX(0,_xlfn.MAXIFS('TOPIX_R09'!F54:F56,'TOPIX_R09'!C54:C56,C47))))),'TOPIX_R09'!C54:C56,C47)&gt;=3,IF(COUNTIFS('TOPIX_R09'!F54:F56,MAX(0,_xlfn.MAXIFS('TOPIX_R09'!F54:F56,'TOPIX_R09'!C54:C56,C47)),'TOPIX_R09'!C54:C56,C47)&gt;=2,MAX(0,_xlfn.MAXIFS('TOPIX_R09'!F54:F56,'TOPIX_R09'!C54:C56,C47)),MAX(0,_xlfn.MAXIFS('TOPIX_R09'!F54:F56,'TOPIX_R09'!C54:C56,C47,'TOPIX_R09'!F54:F56,"&lt;"&amp;MAX(0,_xlfn.MAXIFS('TOPIX_R09'!F54:F56,'TOPIX_R09'!C54:C56,C47))))),MAX(0,_xlfn.MAXIFS('TOPIX_R09'!F54:F56,'TOPIX_R09'!C54:C56,C47,'TOPIX_R09'!F54:F56,"&lt;"&amp;IF(COUNTIFS('TOPIX_R09'!F54:F56,MAX(0,_xlfn.MAXIFS('TOPIX_R09'!F54:F56,'TOPIX_R09'!C54:C56,C47)),'TOPIX_R09'!C54:C56,C47)&gt;=2,MAX(0,_xlfn.MAXIFS('TOPIX_R09'!F54:F56,'TOPIX_R09'!C54:C56,C47)),MAX(0,_xlfn.MAXIFS('TOPIX_R09'!F54:F56,'TOPIX_R09'!C54:C56,C47,'TOPIX_R09'!F54:F56,"&lt;"&amp;MAX(0,_xlfn.MAXIFS('TOPIX_R09'!F54:F56,'TOPIX_R09'!C54:C56,C47)))))))))</x:f>
        <x:v>-131254</x:v>
      </x:c>
    </x:row>
    <x:row r="48" ht="36" customHeight="1">
      <x:c r="A48" s="2" t="str">
        <x:v>TOPIXmini</x:v>
      </x:c>
      <x:c r="B48" s="2" t="str">
        <x:v>R09</x:v>
      </x:c>
      <x:c r="C48" s="2" t="str">
        <x:v>ナイト</x:v>
      </x:c>
      <x:c r="D48" s="2" t="str">
        <x:v>追加3場</x:v>
      </x:c>
      <x:c r="E48" s="2" t="str">
        <x:v>T04</x:v>
      </x:c>
      <x:c r="F48" s="27" t="str">
        <x:v>利確後に1枚で再参加</x:v>
      </x:c>
      <x:c r="G48" s="8" t="n">
        <x:f>COUNTIFS('TOPIX_R09'!C54:C56,C48)</x:f>
        <x:v>2</x:v>
      </x:c>
      <x:c r="H48" s="25" t="n">
        <x:f>SUMIFS('TOPIX_R09'!D54:D56,'TOPIX_R09'!C54:C56,C48)</x:f>
        <x:v>98328</x:v>
      </x:c>
      <x:c r="I48" s="25" t="n">
        <x:f>SUMIFS('TOPIX_R09'!E54:E56,'TOPIX_R09'!C54:C56,C48)</x:f>
        <x:v>40918</x:v>
      </x:c>
      <x:c r="J48" s="25" t="n">
        <x:f>H48-I48</x:f>
        <x:v>57410</x:v>
      </x:c>
      <x:c r="K48" s="8" t="n">
        <x:f>SUMIFS('TOPIX_R09'!J54:J56,'TOPIX_R09'!C54:C56,C48)</x:f>
        <x:v>7</x:v>
      </x:c>
      <x:c r="L48" s="8" t="n">
        <x:f>COUNTIFS('TOPIX_R09'!F54:F56,"&gt;0",'TOPIX_R09'!C54:C56,C48)</x:f>
        <x:v>2</x:v>
      </x:c>
      <x:c r="M48" s="8" t="n">
        <x:f>COUNTIFS('TOPIX_R09'!F54:F56,"&lt;0",'TOPIX_R09'!C54:C56,C48)</x:f>
        <x:v>0</x:v>
      </x:c>
      <x:c r="N48" s="8" t="n">
        <x:f>COUNTIFS('TOPIX_R09'!J54:J56,"=0",'TOPIX_R09'!C54:C56,C48)</x:f>
        <x:v>0</x:v>
      </x:c>
      <x:c r="O48" s="25" t="n">
        <x:f>IF(M48=0,0,-SUMIFS('TOPIX_R09'!F54:F56,'TOPIX_R09'!F54:F56,"&lt;0",'TOPIX_R09'!C54:C56,C48)/M48)</x:f>
        <x:v>0</x:v>
      </x:c>
      <x:c r="P48" s="25" t="n">
        <x:f>MAX(0,-_xlfn.MINIFS('TOPIX_R09'!F54:F56,'TOPIX_R09'!C54:C56,C48))</x:f>
        <x:v>0</x:v>
      </x:c>
      <x:c r="Q48" s="25" t="n">
        <x:f>J48-MAX(0,_xlfn.MAXIFS('TOPIX_R09'!F54:F56,'TOPIX_R09'!C54:C56,C48))-IF(COUNTIFS('TOPIX_R09'!F54:F56,MAX(0,_xlfn.MAXIFS('TOPIX_R09'!F54:F56,'TOPIX_R09'!C54:C56,C48)),'TOPIX_R09'!C54:C56,C48)&gt;=2,MAX(0,_xlfn.MAXIFS('TOPIX_R09'!F54:F56,'TOPIX_R09'!C54:C56,C48)),MAX(0,_xlfn.MAXIFS('TOPIX_R09'!F54:F56,'TOPIX_R09'!C54:C56,C48,'TOPIX_R09'!F54:F56,"&lt;"&amp;MAX(0,_xlfn.MAXIFS('TOPIX_R09'!F54:F56,'TOPIX_R09'!C54:C56,C48)))))-IF(COUNTIFS('TOPIX_R09'!F54:F56,MAX(0,_xlfn.MAXIFS('TOPIX_R09'!F54:F56,'TOPIX_R09'!C54:C56,C48)),'TOPIX_R09'!C54:C56,C48)&gt;=3,MAX(0,_xlfn.MAXIFS('TOPIX_R09'!F54:F56,'TOPIX_R09'!C54:C56,C48)),IF(COUNTIFS('TOPIX_R09'!F54:F56,IF(COUNTIFS('TOPIX_R09'!F54:F56,MAX(0,_xlfn.MAXIFS('TOPIX_R09'!F54:F56,'TOPIX_R09'!C54:C56,C48)),'TOPIX_R09'!C54:C56,C48)&gt;=2,MAX(0,_xlfn.MAXIFS('TOPIX_R09'!F54:F56,'TOPIX_R09'!C54:C56,C48)),MAX(0,_xlfn.MAXIFS('TOPIX_R09'!F54:F56,'TOPIX_R09'!C54:C56,C48,'TOPIX_R09'!F54:F56,"&lt;"&amp;MAX(0,_xlfn.MAXIFS('TOPIX_R09'!F54:F56,'TOPIX_R09'!C54:C56,C48))))),'TOPIX_R09'!C54:C56,C48)+COUNTIFS('TOPIX_R09'!F54:F56,"&gt;"&amp;IF(COUNTIFS('TOPIX_R09'!F54:F56,MAX(0,_xlfn.MAXIFS('TOPIX_R09'!F54:F56,'TOPIX_R09'!C54:C56,C48)),'TOPIX_R09'!C54:C56,C48)&gt;=2,MAX(0,_xlfn.MAXIFS('TOPIX_R09'!F54:F56,'TOPIX_R09'!C54:C56,C48)),MAX(0,_xlfn.MAXIFS('TOPIX_R09'!F54:F56,'TOPIX_R09'!C54:C56,C48,'TOPIX_R09'!F54:F56,"&lt;"&amp;MAX(0,_xlfn.MAXIFS('TOPIX_R09'!F54:F56,'TOPIX_R09'!C54:C56,C48))))),'TOPIX_R09'!C54:C56,C48)&gt;=3,IF(COUNTIFS('TOPIX_R09'!F54:F56,MAX(0,_xlfn.MAXIFS('TOPIX_R09'!F54:F56,'TOPIX_R09'!C54:C56,C48)),'TOPIX_R09'!C54:C56,C48)&gt;=2,MAX(0,_xlfn.MAXIFS('TOPIX_R09'!F54:F56,'TOPIX_R09'!C54:C56,C48)),MAX(0,_xlfn.MAXIFS('TOPIX_R09'!F54:F56,'TOPIX_R09'!C54:C56,C48,'TOPIX_R09'!F54:F56,"&lt;"&amp;MAX(0,_xlfn.MAXIFS('TOPIX_R09'!F54:F56,'TOPIX_R09'!C54:C56,C48))))),MAX(0,_xlfn.MAXIFS('TOPIX_R09'!F54:F56,'TOPIX_R09'!C54:C56,C48,'TOPIX_R09'!F54:F56,"&lt;"&amp;IF(COUNTIFS('TOPIX_R09'!F54:F56,MAX(0,_xlfn.MAXIFS('TOPIX_R09'!F54:F56,'TOPIX_R09'!C54:C56,C48)),'TOPIX_R09'!C54:C56,C48)&gt;=2,MAX(0,_xlfn.MAXIFS('TOPIX_R09'!F54:F56,'TOPIX_R09'!C54:C56,C48)),MAX(0,_xlfn.MAXIFS('TOPIX_R09'!F54:F56,'TOPIX_R09'!C54:C56,C48,'TOPIX_R09'!F54:F56,"&lt;"&amp;MAX(0,_xlfn.MAXIFS('TOPIX_R09'!F54:F56,'TOPIX_R09'!C54:C56,C48)))))))))</x:f>
        <x:v>0</x:v>
      </x:c>
    </x:row>
    <x:row r="49" ht="36" customHeight="1">
      <x:c r="A49" s="2" t="str">
        <x:v>TOPIXmini</x:v>
      </x:c>
      <x:c r="B49" s="2" t="str">
        <x:v>S33</x:v>
      </x:c>
      <x:c r="C49" s="2" t="str">
        <x:v>デイ</x:v>
      </x:c>
      <x:c r="D49" s="2" t="str">
        <x:v>全50場</x:v>
      </x:c>
      <x:c r="E49" s="2" t="str">
        <x:v>T06</x:v>
      </x:c>
      <x:c r="F49" s="27" t="str">
        <x:v>独立枠。40分の低効率帯の端から反転、追加最大2枚</x:v>
      </x:c>
      <x:c r="G49" s="8" t="n">
        <x:f>COUNTIFS('TOPIX_S33'!C7:C56,C49)</x:f>
        <x:v>25</x:v>
      </x:c>
      <x:c r="H49" s="25" t="n">
        <x:f>SUMIFS('TOPIX_S33'!D7:D56,'TOPIX_S33'!C7:C56,C49)</x:f>
        <x:v>1718952</x:v>
      </x:c>
      <x:c r="I49" s="25" t="n">
        <x:f>SUMIFS('TOPIX_S33'!E7:E56,'TOPIX_S33'!C7:C56,C49)</x:f>
        <x:v>1568093</x:v>
      </x:c>
      <x:c r="J49" s="25" t="n">
        <x:f>H49-I49</x:f>
        <x:v>150859</x:v>
      </x:c>
      <x:c r="K49" s="8" t="n">
        <x:f>SUMIFS('TOPIX_S33'!J7:J56,'TOPIX_S33'!C7:C56,C49)</x:f>
        <x:v>162</x:v>
      </x:c>
      <x:c r="L49" s="8" t="n">
        <x:f>COUNTIFS('TOPIX_S33'!F7:F56,"&gt;0",'TOPIX_S33'!C7:C56,C49)</x:f>
        <x:v>17</x:v>
      </x:c>
      <x:c r="M49" s="8" t="n">
        <x:f>COUNTIFS('TOPIX_S33'!F7:F56,"&lt;0",'TOPIX_S33'!C7:C56,C49)</x:f>
        <x:v>8</x:v>
      </x:c>
      <x:c r="N49" s="8" t="n">
        <x:f>COUNTIFS('TOPIX_S33'!J7:J56,"=0",'TOPIX_S33'!C7:C56,C49)</x:f>
        <x:v>0</x:v>
      </x:c>
      <x:c r="O49" s="25" t="n">
        <x:f>IF(M49=0,0,-SUMIFS('TOPIX_S33'!F7:F56,'TOPIX_S33'!F7:F56,"&lt;0",'TOPIX_S33'!C7:C56,C49)/M49)</x:f>
        <x:v>60531.25</x:v>
      </x:c>
      <x:c r="P49" s="25" t="n">
        <x:f>MAX(0,-_xlfn.MINIFS('TOPIX_S33'!F7:F56,'TOPIX_S33'!C7:C56,C49))</x:f>
        <x:v>151664</x:v>
      </x:c>
      <x:c r="Q49" s="25" t="n">
        <x:f>J49-MAX(0,_xlfn.MAXIFS('TOPIX_S33'!F7:F56,'TOPIX_S33'!C7:C56,C49))-IF(COUNTIFS('TOPIX_S33'!F7:F56,MAX(0,_xlfn.MAXIFS('TOPIX_S33'!F7:F56,'TOPIX_S33'!C7:C56,C49)),'TOPIX_S33'!C7:C56,C49)&gt;=2,MAX(0,_xlfn.MAXIFS('TOPIX_S33'!F7:F56,'TOPIX_S33'!C7:C56,C49)),MAX(0,_xlfn.MAXIFS('TOPIX_S33'!F7:F56,'TOPIX_S33'!C7:C56,C49,'TOPIX_S33'!F7:F56,"&lt;"&amp;MAX(0,_xlfn.MAXIFS('TOPIX_S33'!F7:F56,'TOPIX_S33'!C7:C56,C49)))))-IF(COUNTIFS('TOPIX_S33'!F7:F56,MAX(0,_xlfn.MAXIFS('TOPIX_S33'!F7:F56,'TOPIX_S33'!C7:C56,C49)),'TOPIX_S33'!C7:C56,C49)&gt;=3,MAX(0,_xlfn.MAXIFS('TOPIX_S33'!F7:F56,'TOPIX_S33'!C7:C56,C49)),IF(COUNTIFS('TOPIX_S33'!F7:F56,IF(COUNTIFS('TOPIX_S33'!F7:F56,MAX(0,_xlfn.MAXIFS('TOPIX_S33'!F7:F56,'TOPIX_S33'!C7:C56,C49)),'TOPIX_S33'!C7:C56,C49)&gt;=2,MAX(0,_xlfn.MAXIFS('TOPIX_S33'!F7:F56,'TOPIX_S33'!C7:C56,C49)),MAX(0,_xlfn.MAXIFS('TOPIX_S33'!F7:F56,'TOPIX_S33'!C7:C56,C49,'TOPIX_S33'!F7:F56,"&lt;"&amp;MAX(0,_xlfn.MAXIFS('TOPIX_S33'!F7:F56,'TOPIX_S33'!C7:C56,C49))))),'TOPIX_S33'!C7:C56,C49)+COUNTIFS('TOPIX_S33'!F7:F56,"&gt;"&amp;IF(COUNTIFS('TOPIX_S33'!F7:F56,MAX(0,_xlfn.MAXIFS('TOPIX_S33'!F7:F56,'TOPIX_S33'!C7:C56,C49)),'TOPIX_S33'!C7:C56,C49)&gt;=2,MAX(0,_xlfn.MAXIFS('TOPIX_S33'!F7:F56,'TOPIX_S33'!C7:C56,C49)),MAX(0,_xlfn.MAXIFS('TOPIX_S33'!F7:F56,'TOPIX_S33'!C7:C56,C49,'TOPIX_S33'!F7:F56,"&lt;"&amp;MAX(0,_xlfn.MAXIFS('TOPIX_S33'!F7:F56,'TOPIX_S33'!C7:C56,C49))))),'TOPIX_S33'!C7:C56,C49)&gt;=3,IF(COUNTIFS('TOPIX_S33'!F7:F56,MAX(0,_xlfn.MAXIFS('TOPIX_S33'!F7:F56,'TOPIX_S33'!C7:C56,C49)),'TOPIX_S33'!C7:C56,C49)&gt;=2,MAX(0,_xlfn.MAXIFS('TOPIX_S33'!F7:F56,'TOPIX_S33'!C7:C56,C49)),MAX(0,_xlfn.MAXIFS('TOPIX_S33'!F7:F56,'TOPIX_S33'!C7:C56,C49,'TOPIX_S33'!F7:F56,"&lt;"&amp;MAX(0,_xlfn.MAXIFS('TOPIX_S33'!F7:F56,'TOPIX_S33'!C7:C56,C49))))),MAX(0,_xlfn.MAXIFS('TOPIX_S33'!F7:F56,'TOPIX_S33'!C7:C56,C49,'TOPIX_S33'!F7:F56,"&lt;"&amp;IF(COUNTIFS('TOPIX_S33'!F7:F56,MAX(0,_xlfn.MAXIFS('TOPIX_S33'!F7:F56,'TOPIX_S33'!C7:C56,C49)),'TOPIX_S33'!C7:C56,C49)&gt;=2,MAX(0,_xlfn.MAXIFS('TOPIX_S33'!F7:F56,'TOPIX_S33'!C7:C56,C49)),MAX(0,_xlfn.MAXIFS('TOPIX_S33'!F7:F56,'TOPIX_S33'!C7:C56,C49,'TOPIX_S33'!F7:F56,"&lt;"&amp;MAX(0,_xlfn.MAXIFS('TOPIX_S33'!F7:F56,'TOPIX_S33'!C7:C56,C49)))))))))</x:f>
        <x:v>-128314</x:v>
      </x:c>
    </x:row>
    <x:row r="50" ht="36" customHeight="1">
      <x:c r="A50" s="2" t="str">
        <x:v>TOPIXmini</x:v>
      </x:c>
      <x:c r="B50" s="2" t="str">
        <x:v>S33</x:v>
      </x:c>
      <x:c r="C50" s="2" t="str">
        <x:v>ナイト</x:v>
      </x:c>
      <x:c r="D50" s="2" t="str">
        <x:v>全50場</x:v>
      </x:c>
      <x:c r="E50" s="2" t="str">
        <x:v>T04</x:v>
      </x:c>
      <x:c r="F50" s="27" t="str">
        <x:v>独立枠。40分の低効率帯の端から反転、追加最大2枚</x:v>
      </x:c>
      <x:c r="G50" s="8" t="n">
        <x:f>COUNTIFS('TOPIX_S33'!C7:C56,C50)</x:f>
        <x:v>25</x:v>
      </x:c>
      <x:c r="H50" s="25" t="n">
        <x:f>SUMIFS('TOPIX_S33'!D7:D56,'TOPIX_S33'!C7:C56,C50)</x:f>
        <x:v>1153806</x:v>
      </x:c>
      <x:c r="I50" s="25" t="n">
        <x:f>SUMIFS('TOPIX_S33'!E7:E56,'TOPIX_S33'!C7:C56,C50)</x:f>
        <x:v>753864</x:v>
      </x:c>
      <x:c r="J50" s="25" t="n">
        <x:f>H50-I50</x:f>
        <x:v>399942</x:v>
      </x:c>
      <x:c r="K50" s="8" t="n">
        <x:f>SUMIFS('TOPIX_S33'!J7:J56,'TOPIX_S33'!C7:C56,C50)</x:f>
        <x:v>105</x:v>
      </x:c>
      <x:c r="L50" s="8" t="n">
        <x:f>COUNTIFS('TOPIX_S33'!F7:F56,"&gt;0",'TOPIX_S33'!C7:C56,C50)</x:f>
        <x:v>22</x:v>
      </x:c>
      <x:c r="M50" s="8" t="n">
        <x:f>COUNTIFS('TOPIX_S33'!F7:F56,"&lt;0",'TOPIX_S33'!C7:C56,C50)</x:f>
        <x:v>3</x:v>
      </x:c>
      <x:c r="N50" s="8" t="n">
        <x:f>COUNTIFS('TOPIX_S33'!J7:J56,"=0",'TOPIX_S33'!C7:C56,C50)</x:f>
        <x:v>0</x:v>
      </x:c>
      <x:c r="O50" s="25" t="n">
        <x:f>IF(M50=0,0,-SUMIFS('TOPIX_S33'!F7:F56,'TOPIX_S33'!F7:F56,"&lt;0",'TOPIX_S33'!C7:C56,C50)/M50)</x:f>
        <x:v>44724.666666666664</x:v>
      </x:c>
      <x:c r="P50" s="25" t="n">
        <x:f>MAX(0,-_xlfn.MINIFS('TOPIX_S33'!F7:F56,'TOPIX_S33'!C7:C56,C50))</x:f>
        <x:v>52002</x:v>
      </x:c>
      <x:c r="Q50" s="25" t="n">
        <x:f>J50-MAX(0,_xlfn.MAXIFS('TOPIX_S33'!F7:F56,'TOPIX_S33'!C7:C56,C50))-IF(COUNTIFS('TOPIX_S33'!F7:F56,MAX(0,_xlfn.MAXIFS('TOPIX_S33'!F7:F56,'TOPIX_S33'!C7:C56,C50)),'TOPIX_S33'!C7:C56,C50)&gt;=2,MAX(0,_xlfn.MAXIFS('TOPIX_S33'!F7:F56,'TOPIX_S33'!C7:C56,C50)),MAX(0,_xlfn.MAXIFS('TOPIX_S33'!F7:F56,'TOPIX_S33'!C7:C56,C50,'TOPIX_S33'!F7:F56,"&lt;"&amp;MAX(0,_xlfn.MAXIFS('TOPIX_S33'!F7:F56,'TOPIX_S33'!C7:C56,C50)))))-IF(COUNTIFS('TOPIX_S33'!F7:F56,MAX(0,_xlfn.MAXIFS('TOPIX_S33'!F7:F56,'TOPIX_S33'!C7:C56,C50)),'TOPIX_S33'!C7:C56,C50)&gt;=3,MAX(0,_xlfn.MAXIFS('TOPIX_S33'!F7:F56,'TOPIX_S33'!C7:C56,C50)),IF(COUNTIFS('TOPIX_S33'!F7:F56,IF(COUNTIFS('TOPIX_S33'!F7:F56,MAX(0,_xlfn.MAXIFS('TOPIX_S33'!F7:F56,'TOPIX_S33'!C7:C56,C50)),'TOPIX_S33'!C7:C56,C50)&gt;=2,MAX(0,_xlfn.MAXIFS('TOPIX_S33'!F7:F56,'TOPIX_S33'!C7:C56,C50)),MAX(0,_xlfn.MAXIFS('TOPIX_S33'!F7:F56,'TOPIX_S33'!C7:C56,C50,'TOPIX_S33'!F7:F56,"&lt;"&amp;MAX(0,_xlfn.MAXIFS('TOPIX_S33'!F7:F56,'TOPIX_S33'!C7:C56,C50))))),'TOPIX_S33'!C7:C56,C50)+COUNTIFS('TOPIX_S33'!F7:F56,"&gt;"&amp;IF(COUNTIFS('TOPIX_S33'!F7:F56,MAX(0,_xlfn.MAXIFS('TOPIX_S33'!F7:F56,'TOPIX_S33'!C7:C56,C50)),'TOPIX_S33'!C7:C56,C50)&gt;=2,MAX(0,_xlfn.MAXIFS('TOPIX_S33'!F7:F56,'TOPIX_S33'!C7:C56,C50)),MAX(0,_xlfn.MAXIFS('TOPIX_S33'!F7:F56,'TOPIX_S33'!C7:C56,C50,'TOPIX_S33'!F7:F56,"&lt;"&amp;MAX(0,_xlfn.MAXIFS('TOPIX_S33'!F7:F56,'TOPIX_S33'!C7:C56,C50))))),'TOPIX_S33'!C7:C56,C50)&gt;=3,IF(COUNTIFS('TOPIX_S33'!F7:F56,MAX(0,_xlfn.MAXIFS('TOPIX_S33'!F7:F56,'TOPIX_S33'!C7:C56,C50)),'TOPIX_S33'!C7:C56,C50)&gt;=2,MAX(0,_xlfn.MAXIFS('TOPIX_S33'!F7:F56,'TOPIX_S33'!C7:C56,C50)),MAX(0,_xlfn.MAXIFS('TOPIX_S33'!F7:F56,'TOPIX_S33'!C7:C56,C50,'TOPIX_S33'!F7:F56,"&lt;"&amp;MAX(0,_xlfn.MAXIFS('TOPIX_S33'!F7:F56,'TOPIX_S33'!C7:C56,C50))))),MAX(0,_xlfn.MAXIFS('TOPIX_S33'!F7:F56,'TOPIX_S33'!C7:C56,C50,'TOPIX_S33'!F7:F56,"&lt;"&amp;IF(COUNTIFS('TOPIX_S33'!F7:F56,MAX(0,_xlfn.MAXIFS('TOPIX_S33'!F7:F56,'TOPIX_S33'!C7:C56,C50)),'TOPIX_S33'!C7:C56,C50)&gt;=2,MAX(0,_xlfn.MAXIFS('TOPIX_S33'!F7:F56,'TOPIX_S33'!C7:C56,C50)),MAX(0,_xlfn.MAXIFS('TOPIX_S33'!F7:F56,'TOPIX_S33'!C7:C56,C50,'TOPIX_S33'!F7:F56,"&lt;"&amp;MAX(0,_xlfn.MAXIFS('TOPIX_S33'!F7:F56,'TOPIX_S33'!C7:C56,C50)))))))))</x:f>
        <x:v>140950</x:v>
      </x:c>
    </x:row>
    <x:row r="51" ht="36" customHeight="1">
      <x:c r="A51" s="2" t="str">
        <x:v>TOPIXmini</x:v>
      </x:c>
      <x:c r="B51" s="2" t="str">
        <x:v>S33</x:v>
      </x:c>
      <x:c r="C51" s="2" t="str">
        <x:v>デイ</x:v>
      </x:c>
      <x:c r="D51" s="2" t="str">
        <x:v>既知47場</x:v>
      </x:c>
      <x:c r="E51" s="2" t="str">
        <x:v>T06</x:v>
      </x:c>
      <x:c r="F51" s="27" t="str">
        <x:v>独立枠。40分の低効率帯の端から反転、追加最大2枚</x:v>
      </x:c>
      <x:c r="G51" s="8" t="n">
        <x:f>COUNTIFS('TOPIX_S33'!C7:C53,C51)</x:f>
        <x:v>24</x:v>
      </x:c>
      <x:c r="H51" s="25" t="n">
        <x:f>SUMIFS('TOPIX_S33'!D7:D53,'TOPIX_S33'!C7:C53,C51)</x:f>
        <x:v>1659616</x:v>
      </x:c>
      <x:c r="I51" s="25" t="n">
        <x:f>SUMIFS('TOPIX_S33'!E7:E53,'TOPIX_S33'!C7:C53,C51)</x:f>
        <x:v>1357093</x:v>
      </x:c>
      <x:c r="J51" s="25" t="n">
        <x:f>H51-I51</x:f>
        <x:v>302523</x:v>
      </x:c>
      <x:c r="K51" s="8" t="n">
        <x:f>SUMIFS('TOPIX_S33'!J7:J53,'TOPIX_S33'!C7:C53,C51)</x:f>
        <x:v>150</x:v>
      </x:c>
      <x:c r="L51" s="8" t="n">
        <x:f>COUNTIFS('TOPIX_S33'!F7:F53,"&gt;0",'TOPIX_S33'!C7:C53,C51)</x:f>
        <x:v>17</x:v>
      </x:c>
      <x:c r="M51" s="8" t="n">
        <x:f>COUNTIFS('TOPIX_S33'!F7:F53,"&lt;0",'TOPIX_S33'!C7:C53,C51)</x:f>
        <x:v>7</x:v>
      </x:c>
      <x:c r="N51" s="8" t="n">
        <x:f>COUNTIFS('TOPIX_S33'!J7:J53,"=0",'TOPIX_S33'!C7:C53,C51)</x:f>
        <x:v>0</x:v>
      </x:c>
      <x:c r="O51" s="25" t="n">
        <x:f>IF(M51=0,0,-SUMIFS('TOPIX_S33'!F7:F53,'TOPIX_S33'!F7:F53,"&lt;0",'TOPIX_S33'!C7:C53,C51)/M51)</x:f>
        <x:v>47512.28571428572</x:v>
      </x:c>
      <x:c r="P51" s="25" t="n">
        <x:f>MAX(0,-_xlfn.MINIFS('TOPIX_S33'!F7:F53,'TOPIX_S33'!C7:C53,C51))</x:f>
        <x:v>95338</x:v>
      </x:c>
      <x:c r="Q51" s="25" t="n">
        <x:f>J51-MAX(0,_xlfn.MAXIFS('TOPIX_S33'!F7:F53,'TOPIX_S33'!C7:C53,C51))-IF(COUNTIFS('TOPIX_S33'!F7:F53,MAX(0,_xlfn.MAXIFS('TOPIX_S33'!F7:F53,'TOPIX_S33'!C7:C53,C51)),'TOPIX_S33'!C7:C53,C51)&gt;=2,MAX(0,_xlfn.MAXIFS('TOPIX_S33'!F7:F53,'TOPIX_S33'!C7:C53,C51)),MAX(0,_xlfn.MAXIFS('TOPIX_S33'!F7:F53,'TOPIX_S33'!C7:C53,C51,'TOPIX_S33'!F7:F53,"&lt;"&amp;MAX(0,_xlfn.MAXIFS('TOPIX_S33'!F7:F53,'TOPIX_S33'!C7:C53,C51)))))-IF(COUNTIFS('TOPIX_S33'!F7:F53,MAX(0,_xlfn.MAXIFS('TOPIX_S33'!F7:F53,'TOPIX_S33'!C7:C53,C51)),'TOPIX_S33'!C7:C53,C51)&gt;=3,MAX(0,_xlfn.MAXIFS('TOPIX_S33'!F7:F53,'TOPIX_S33'!C7:C53,C51)),IF(COUNTIFS('TOPIX_S33'!F7:F53,IF(COUNTIFS('TOPIX_S33'!F7:F53,MAX(0,_xlfn.MAXIFS('TOPIX_S33'!F7:F53,'TOPIX_S33'!C7:C53,C51)),'TOPIX_S33'!C7:C53,C51)&gt;=2,MAX(0,_xlfn.MAXIFS('TOPIX_S33'!F7:F53,'TOPIX_S33'!C7:C53,C51)),MAX(0,_xlfn.MAXIFS('TOPIX_S33'!F7:F53,'TOPIX_S33'!C7:C53,C51,'TOPIX_S33'!F7:F53,"&lt;"&amp;MAX(0,_xlfn.MAXIFS('TOPIX_S33'!F7:F53,'TOPIX_S33'!C7:C53,C51))))),'TOPIX_S33'!C7:C53,C51)+COUNTIFS('TOPIX_S33'!F7:F53,"&gt;"&amp;IF(COUNTIFS('TOPIX_S33'!F7:F53,MAX(0,_xlfn.MAXIFS('TOPIX_S33'!F7:F53,'TOPIX_S33'!C7:C53,C51)),'TOPIX_S33'!C7:C53,C51)&gt;=2,MAX(0,_xlfn.MAXIFS('TOPIX_S33'!F7:F53,'TOPIX_S33'!C7:C53,C51)),MAX(0,_xlfn.MAXIFS('TOPIX_S33'!F7:F53,'TOPIX_S33'!C7:C53,C51,'TOPIX_S33'!F7:F53,"&lt;"&amp;MAX(0,_xlfn.MAXIFS('TOPIX_S33'!F7:F53,'TOPIX_S33'!C7:C53,C51))))),'TOPIX_S33'!C7:C53,C51)&gt;=3,IF(COUNTIFS('TOPIX_S33'!F7:F53,MAX(0,_xlfn.MAXIFS('TOPIX_S33'!F7:F53,'TOPIX_S33'!C7:C53,C51)),'TOPIX_S33'!C7:C53,C51)&gt;=2,MAX(0,_xlfn.MAXIFS('TOPIX_S33'!F7:F53,'TOPIX_S33'!C7:C53,C51)),MAX(0,_xlfn.MAXIFS('TOPIX_S33'!F7:F53,'TOPIX_S33'!C7:C53,C51,'TOPIX_S33'!F7:F53,"&lt;"&amp;MAX(0,_xlfn.MAXIFS('TOPIX_S33'!F7:F53,'TOPIX_S33'!C7:C53,C51))))),MAX(0,_xlfn.MAXIFS('TOPIX_S33'!F7:F53,'TOPIX_S33'!C7:C53,C51,'TOPIX_S33'!F7:F53,"&lt;"&amp;IF(COUNTIFS('TOPIX_S33'!F7:F53,MAX(0,_xlfn.MAXIFS('TOPIX_S33'!F7:F53,'TOPIX_S33'!C7:C53,C51)),'TOPIX_S33'!C7:C53,C51)&gt;=2,MAX(0,_xlfn.MAXIFS('TOPIX_S33'!F7:F53,'TOPIX_S33'!C7:C53,C51)),MAX(0,_xlfn.MAXIFS('TOPIX_S33'!F7:F53,'TOPIX_S33'!C7:C53,C51,'TOPIX_S33'!F7:F53,"&lt;"&amp;MAX(0,_xlfn.MAXIFS('TOPIX_S33'!F7:F53,'TOPIX_S33'!C7:C53,C51)))))))))</x:f>
        <x:v>23350</x:v>
      </x:c>
    </x:row>
    <x:row r="52" ht="36" customHeight="1">
      <x:c r="A52" s="2" t="str">
        <x:v>TOPIXmini</x:v>
      </x:c>
      <x:c r="B52" s="2" t="str">
        <x:v>S33</x:v>
      </x:c>
      <x:c r="C52" s="2" t="str">
        <x:v>ナイト</x:v>
      </x:c>
      <x:c r="D52" s="2" t="str">
        <x:v>既知47場</x:v>
      </x:c>
      <x:c r="E52" s="2" t="str">
        <x:v>T04</x:v>
      </x:c>
      <x:c r="F52" s="27" t="str">
        <x:v>独立枠。40分の低効率帯の端から反転、追加最大2枚</x:v>
      </x:c>
      <x:c r="G52" s="8" t="n">
        <x:f>COUNTIFS('TOPIX_S33'!C7:C53,C52)</x:f>
        <x:v>23</x:v>
      </x:c>
      <x:c r="H52" s="25" t="n">
        <x:f>SUMIFS('TOPIX_S33'!D7:D53,'TOPIX_S33'!C7:C53,C52)</x:f>
        <x:v>1024308</x:v>
      </x:c>
      <x:c r="I52" s="25" t="n">
        <x:f>SUMIFS('TOPIX_S33'!E7:E53,'TOPIX_S33'!C7:C53,C52)</x:f>
        <x:v>699862</x:v>
      </x:c>
      <x:c r="J52" s="25" t="n">
        <x:f>H52-I52</x:f>
        <x:v>324446</x:v>
      </x:c>
      <x:c r="K52" s="8" t="n">
        <x:f>SUMIFS('TOPIX_S33'!J7:J53,'TOPIX_S33'!C7:C53,C52)</x:f>
        <x:v>93</x:v>
      </x:c>
      <x:c r="L52" s="8" t="n">
        <x:f>COUNTIFS('TOPIX_S33'!F7:F53,"&gt;0",'TOPIX_S33'!C7:C53,C52)</x:f>
        <x:v>20</x:v>
      </x:c>
      <x:c r="M52" s="8" t="n">
        <x:f>COUNTIFS('TOPIX_S33'!F7:F53,"&lt;0",'TOPIX_S33'!C7:C53,C52)</x:f>
        <x:v>3</x:v>
      </x:c>
      <x:c r="N52" s="8" t="n">
        <x:f>COUNTIFS('TOPIX_S33'!J7:J53,"=0",'TOPIX_S33'!C7:C53,C52)</x:f>
        <x:v>0</x:v>
      </x:c>
      <x:c r="O52" s="25" t="n">
        <x:f>IF(M52=0,0,-SUMIFS('TOPIX_S33'!F7:F53,'TOPIX_S33'!F7:F53,"&lt;0",'TOPIX_S33'!C7:C53,C52)/M52)</x:f>
        <x:v>44724.666666666664</x:v>
      </x:c>
      <x:c r="P52" s="25" t="n">
        <x:f>MAX(0,-_xlfn.MINIFS('TOPIX_S33'!F7:F53,'TOPIX_S33'!C7:C53,C52))</x:f>
        <x:v>52002</x:v>
      </x:c>
      <x:c r="Q52" s="25" t="n">
        <x:f>J52-MAX(0,_xlfn.MAXIFS('TOPIX_S33'!F7:F53,'TOPIX_S33'!C7:C53,C52))-IF(COUNTIFS('TOPIX_S33'!F7:F53,MAX(0,_xlfn.MAXIFS('TOPIX_S33'!F7:F53,'TOPIX_S33'!C7:C53,C52)),'TOPIX_S33'!C7:C53,C52)&gt;=2,MAX(0,_xlfn.MAXIFS('TOPIX_S33'!F7:F53,'TOPIX_S33'!C7:C53,C52)),MAX(0,_xlfn.MAXIFS('TOPIX_S33'!F7:F53,'TOPIX_S33'!C7:C53,C52,'TOPIX_S33'!F7:F53,"&lt;"&amp;MAX(0,_xlfn.MAXIFS('TOPIX_S33'!F7:F53,'TOPIX_S33'!C7:C53,C52)))))-IF(COUNTIFS('TOPIX_S33'!F7:F53,MAX(0,_xlfn.MAXIFS('TOPIX_S33'!F7:F53,'TOPIX_S33'!C7:C53,C52)),'TOPIX_S33'!C7:C53,C52)&gt;=3,MAX(0,_xlfn.MAXIFS('TOPIX_S33'!F7:F53,'TOPIX_S33'!C7:C53,C52)),IF(COUNTIFS('TOPIX_S33'!F7:F53,IF(COUNTIFS('TOPIX_S33'!F7:F53,MAX(0,_xlfn.MAXIFS('TOPIX_S33'!F7:F53,'TOPIX_S33'!C7:C53,C52)),'TOPIX_S33'!C7:C53,C52)&gt;=2,MAX(0,_xlfn.MAXIFS('TOPIX_S33'!F7:F53,'TOPIX_S33'!C7:C53,C52)),MAX(0,_xlfn.MAXIFS('TOPIX_S33'!F7:F53,'TOPIX_S33'!C7:C53,C52,'TOPIX_S33'!F7:F53,"&lt;"&amp;MAX(0,_xlfn.MAXIFS('TOPIX_S33'!F7:F53,'TOPIX_S33'!C7:C53,C52))))),'TOPIX_S33'!C7:C53,C52)+COUNTIFS('TOPIX_S33'!F7:F53,"&gt;"&amp;IF(COUNTIFS('TOPIX_S33'!F7:F53,MAX(0,_xlfn.MAXIFS('TOPIX_S33'!F7:F53,'TOPIX_S33'!C7:C53,C52)),'TOPIX_S33'!C7:C53,C52)&gt;=2,MAX(0,_xlfn.MAXIFS('TOPIX_S33'!F7:F53,'TOPIX_S33'!C7:C53,C52)),MAX(0,_xlfn.MAXIFS('TOPIX_S33'!F7:F53,'TOPIX_S33'!C7:C53,C52,'TOPIX_S33'!F7:F53,"&lt;"&amp;MAX(0,_xlfn.MAXIFS('TOPIX_S33'!F7:F53,'TOPIX_S33'!C7:C53,C52))))),'TOPIX_S33'!C7:C53,C52)&gt;=3,IF(COUNTIFS('TOPIX_S33'!F7:F53,MAX(0,_xlfn.MAXIFS('TOPIX_S33'!F7:F53,'TOPIX_S33'!C7:C53,C52)),'TOPIX_S33'!C7:C53,C52)&gt;=2,MAX(0,_xlfn.MAXIFS('TOPIX_S33'!F7:F53,'TOPIX_S33'!C7:C53,C52)),MAX(0,_xlfn.MAXIFS('TOPIX_S33'!F7:F53,'TOPIX_S33'!C7:C53,C52,'TOPIX_S33'!F7:F53,"&lt;"&amp;MAX(0,_xlfn.MAXIFS('TOPIX_S33'!F7:F53,'TOPIX_S33'!C7:C53,C52))))),MAX(0,_xlfn.MAXIFS('TOPIX_S33'!F7:F53,'TOPIX_S33'!C7:C53,C52,'TOPIX_S33'!F7:F53,"&lt;"&amp;IF(COUNTIFS('TOPIX_S33'!F7:F53,MAX(0,_xlfn.MAXIFS('TOPIX_S33'!F7:F53,'TOPIX_S33'!C7:C53,C52)),'TOPIX_S33'!C7:C53,C52)&gt;=2,MAX(0,_xlfn.MAXIFS('TOPIX_S33'!F7:F53,'TOPIX_S33'!C7:C53,C52)),MAX(0,_xlfn.MAXIFS('TOPIX_S33'!F7:F53,'TOPIX_S33'!C7:C53,C52,'TOPIX_S33'!F7:F53,"&lt;"&amp;MAX(0,_xlfn.MAXIFS('TOPIX_S33'!F7:F53,'TOPIX_S33'!C7:C53,C52)))))))))</x:f>
        <x:v>85116</x:v>
      </x:c>
    </x:row>
    <x:row r="53" ht="36" customHeight="1">
      <x:c r="A53" s="2" t="str">
        <x:v>TOPIXmini</x:v>
      </x:c>
      <x:c r="B53" s="2" t="str">
        <x:v>S33</x:v>
      </x:c>
      <x:c r="C53" s="2" t="str">
        <x:v>デイ</x:v>
      </x:c>
      <x:c r="D53" s="2" t="str">
        <x:v>追加3場</x:v>
      </x:c>
      <x:c r="E53" s="2" t="str">
        <x:v>T06</x:v>
      </x:c>
      <x:c r="F53" s="27" t="str">
        <x:v>独立枠。40分の低効率帯の端から反転、追加最大2枚</x:v>
      </x:c>
      <x:c r="G53" s="8" t="n">
        <x:f>COUNTIFS('TOPIX_S33'!C54:C56,C53)</x:f>
        <x:v>1</x:v>
      </x:c>
      <x:c r="H53" s="25" t="n">
        <x:f>SUMIFS('TOPIX_S33'!D54:D56,'TOPIX_S33'!C54:C56,C53)</x:f>
        <x:v>59336</x:v>
      </x:c>
      <x:c r="I53" s="25" t="n">
        <x:f>SUMIFS('TOPIX_S33'!E54:E56,'TOPIX_S33'!C54:C56,C53)</x:f>
        <x:v>211000</x:v>
      </x:c>
      <x:c r="J53" s="25" t="n">
        <x:f>H53-I53</x:f>
        <x:v>-151664</x:v>
      </x:c>
      <x:c r="K53" s="8" t="n">
        <x:f>SUMIFS('TOPIX_S33'!J54:J56,'TOPIX_S33'!C54:C56,C53)</x:f>
        <x:v>12</x:v>
      </x:c>
      <x:c r="L53" s="8" t="n">
        <x:f>COUNTIFS('TOPIX_S33'!F54:F56,"&gt;0",'TOPIX_S33'!C54:C56,C53)</x:f>
        <x:v>0</x:v>
      </x:c>
      <x:c r="M53" s="8" t="n">
        <x:f>COUNTIFS('TOPIX_S33'!F54:F56,"&lt;0",'TOPIX_S33'!C54:C56,C53)</x:f>
        <x:v>1</x:v>
      </x:c>
      <x:c r="N53" s="8" t="n">
        <x:f>COUNTIFS('TOPIX_S33'!J54:J56,"=0",'TOPIX_S33'!C54:C56,C53)</x:f>
        <x:v>0</x:v>
      </x:c>
      <x:c r="O53" s="25" t="n">
        <x:f>IF(M53=0,0,-SUMIFS('TOPIX_S33'!F54:F56,'TOPIX_S33'!F54:F56,"&lt;0",'TOPIX_S33'!C54:C56,C53)/M53)</x:f>
        <x:v>151664</x:v>
      </x:c>
      <x:c r="P53" s="25" t="n">
        <x:f>MAX(0,-_xlfn.MINIFS('TOPIX_S33'!F54:F56,'TOPIX_S33'!C54:C56,C53))</x:f>
        <x:v>151664</x:v>
      </x:c>
      <x:c r="Q53" s="25" t="n">
        <x:f>J53-MAX(0,_xlfn.MAXIFS('TOPIX_S33'!F54:F56,'TOPIX_S33'!C54:C56,C53))-IF(COUNTIFS('TOPIX_S33'!F54:F56,MAX(0,_xlfn.MAXIFS('TOPIX_S33'!F54:F56,'TOPIX_S33'!C54:C56,C53)),'TOPIX_S33'!C54:C56,C53)&gt;=2,MAX(0,_xlfn.MAXIFS('TOPIX_S33'!F54:F56,'TOPIX_S33'!C54:C56,C53)),MAX(0,_xlfn.MAXIFS('TOPIX_S33'!F54:F56,'TOPIX_S33'!C54:C56,C53,'TOPIX_S33'!F54:F56,"&lt;"&amp;MAX(0,_xlfn.MAXIFS('TOPIX_S33'!F54:F56,'TOPIX_S33'!C54:C56,C53)))))-IF(COUNTIFS('TOPIX_S33'!F54:F56,MAX(0,_xlfn.MAXIFS('TOPIX_S33'!F54:F56,'TOPIX_S33'!C54:C56,C53)),'TOPIX_S33'!C54:C56,C53)&gt;=3,MAX(0,_xlfn.MAXIFS('TOPIX_S33'!F54:F56,'TOPIX_S33'!C54:C56,C53)),IF(COUNTIFS('TOPIX_S33'!F54:F56,IF(COUNTIFS('TOPIX_S33'!F54:F56,MAX(0,_xlfn.MAXIFS('TOPIX_S33'!F54:F56,'TOPIX_S33'!C54:C56,C53)),'TOPIX_S33'!C54:C56,C53)&gt;=2,MAX(0,_xlfn.MAXIFS('TOPIX_S33'!F54:F56,'TOPIX_S33'!C54:C56,C53)),MAX(0,_xlfn.MAXIFS('TOPIX_S33'!F54:F56,'TOPIX_S33'!C54:C56,C53,'TOPIX_S33'!F54:F56,"&lt;"&amp;MAX(0,_xlfn.MAXIFS('TOPIX_S33'!F54:F56,'TOPIX_S33'!C54:C56,C53))))),'TOPIX_S33'!C54:C56,C53)+COUNTIFS('TOPIX_S33'!F54:F56,"&gt;"&amp;IF(COUNTIFS('TOPIX_S33'!F54:F56,MAX(0,_xlfn.MAXIFS('TOPIX_S33'!F54:F56,'TOPIX_S33'!C54:C56,C53)),'TOPIX_S33'!C54:C56,C53)&gt;=2,MAX(0,_xlfn.MAXIFS('TOPIX_S33'!F54:F56,'TOPIX_S33'!C54:C56,C53)),MAX(0,_xlfn.MAXIFS('TOPIX_S33'!F54:F56,'TOPIX_S33'!C54:C56,C53,'TOPIX_S33'!F54:F56,"&lt;"&amp;MAX(0,_xlfn.MAXIFS('TOPIX_S33'!F54:F56,'TOPIX_S33'!C54:C56,C53))))),'TOPIX_S33'!C54:C56,C53)&gt;=3,IF(COUNTIFS('TOPIX_S33'!F54:F56,MAX(0,_xlfn.MAXIFS('TOPIX_S33'!F54:F56,'TOPIX_S33'!C54:C56,C53)),'TOPIX_S33'!C54:C56,C53)&gt;=2,MAX(0,_xlfn.MAXIFS('TOPIX_S33'!F54:F56,'TOPIX_S33'!C54:C56,C53)),MAX(0,_xlfn.MAXIFS('TOPIX_S33'!F54:F56,'TOPIX_S33'!C54:C56,C53,'TOPIX_S33'!F54:F56,"&lt;"&amp;MAX(0,_xlfn.MAXIFS('TOPIX_S33'!F54:F56,'TOPIX_S33'!C54:C56,C53))))),MAX(0,_xlfn.MAXIFS('TOPIX_S33'!F54:F56,'TOPIX_S33'!C54:C56,C53,'TOPIX_S33'!F54:F56,"&lt;"&amp;IF(COUNTIFS('TOPIX_S33'!F54:F56,MAX(0,_xlfn.MAXIFS('TOPIX_S33'!F54:F56,'TOPIX_S33'!C54:C56,C53)),'TOPIX_S33'!C54:C56,C53)&gt;=2,MAX(0,_xlfn.MAXIFS('TOPIX_S33'!F54:F56,'TOPIX_S33'!C54:C56,C53)),MAX(0,_xlfn.MAXIFS('TOPIX_S33'!F54:F56,'TOPIX_S33'!C54:C56,C53,'TOPIX_S33'!F54:F56,"&lt;"&amp;MAX(0,_xlfn.MAXIFS('TOPIX_S33'!F54:F56,'TOPIX_S33'!C54:C56,C53)))))))))</x:f>
        <x:v>-151664</x:v>
      </x:c>
    </x:row>
    <x:row r="54" ht="36" customHeight="1">
      <x:c r="A54" s="2" t="str">
        <x:v>TOPIXmini</x:v>
      </x:c>
      <x:c r="B54" s="2" t="str">
        <x:v>S33</x:v>
      </x:c>
      <x:c r="C54" s="2" t="str">
        <x:v>ナイト</x:v>
      </x:c>
      <x:c r="D54" s="2" t="str">
        <x:v>追加3場</x:v>
      </x:c>
      <x:c r="E54" s="2" t="str">
        <x:v>T04</x:v>
      </x:c>
      <x:c r="F54" s="27" t="str">
        <x:v>独立枠。40分の低効率帯の端から反転、追加最大2枚</x:v>
      </x:c>
      <x:c r="G54" s="8" t="n">
        <x:f>COUNTIFS('TOPIX_S33'!C54:C56,C54)</x:f>
        <x:v>2</x:v>
      </x:c>
      <x:c r="H54" s="25" t="n">
        <x:f>SUMIFS('TOPIX_S33'!D54:D56,'TOPIX_S33'!C54:C56,C54)</x:f>
        <x:v>129498</x:v>
      </x:c>
      <x:c r="I54" s="25" t="n">
        <x:f>SUMIFS('TOPIX_S33'!E54:E56,'TOPIX_S33'!C54:C56,C54)</x:f>
        <x:v>54002</x:v>
      </x:c>
      <x:c r="J54" s="25" t="n">
        <x:f>H54-I54</x:f>
        <x:v>75496</x:v>
      </x:c>
      <x:c r="K54" s="8" t="n">
        <x:f>SUMIFS('TOPIX_S33'!J54:J56,'TOPIX_S33'!C54:C56,C54)</x:f>
        <x:v>12</x:v>
      </x:c>
      <x:c r="L54" s="8" t="n">
        <x:f>COUNTIFS('TOPIX_S33'!F54:F56,"&gt;0",'TOPIX_S33'!C54:C56,C54)</x:f>
        <x:v>2</x:v>
      </x:c>
      <x:c r="M54" s="8" t="n">
        <x:f>COUNTIFS('TOPIX_S33'!F54:F56,"&lt;0",'TOPIX_S33'!C54:C56,C54)</x:f>
        <x:v>0</x:v>
      </x:c>
      <x:c r="N54" s="8" t="n">
        <x:f>COUNTIFS('TOPIX_S33'!J54:J56,"=0",'TOPIX_S33'!C54:C56,C54)</x:f>
        <x:v>0</x:v>
      </x:c>
      <x:c r="O54" s="25" t="n">
        <x:f>IF(M54=0,0,-SUMIFS('TOPIX_S33'!F54:F56,'TOPIX_S33'!F54:F56,"&lt;0",'TOPIX_S33'!C54:C56,C54)/M54)</x:f>
        <x:v>0</x:v>
      </x:c>
      <x:c r="P54" s="25" t="n">
        <x:f>MAX(0,-_xlfn.MINIFS('TOPIX_S33'!F54:F56,'TOPIX_S33'!C54:C56,C54))</x:f>
        <x:v>0</x:v>
      </x:c>
      <x:c r="Q54" s="25" t="n">
        <x:f>J54-MAX(0,_xlfn.MAXIFS('TOPIX_S33'!F54:F56,'TOPIX_S33'!C54:C56,C54))-IF(COUNTIFS('TOPIX_S33'!F54:F56,MAX(0,_xlfn.MAXIFS('TOPIX_S33'!F54:F56,'TOPIX_S33'!C54:C56,C54)),'TOPIX_S33'!C54:C56,C54)&gt;=2,MAX(0,_xlfn.MAXIFS('TOPIX_S33'!F54:F56,'TOPIX_S33'!C54:C56,C54)),MAX(0,_xlfn.MAXIFS('TOPIX_S33'!F54:F56,'TOPIX_S33'!C54:C56,C54,'TOPIX_S33'!F54:F56,"&lt;"&amp;MAX(0,_xlfn.MAXIFS('TOPIX_S33'!F54:F56,'TOPIX_S33'!C54:C56,C54)))))-IF(COUNTIFS('TOPIX_S33'!F54:F56,MAX(0,_xlfn.MAXIFS('TOPIX_S33'!F54:F56,'TOPIX_S33'!C54:C56,C54)),'TOPIX_S33'!C54:C56,C54)&gt;=3,MAX(0,_xlfn.MAXIFS('TOPIX_S33'!F54:F56,'TOPIX_S33'!C54:C56,C54)),IF(COUNTIFS('TOPIX_S33'!F54:F56,IF(COUNTIFS('TOPIX_S33'!F54:F56,MAX(0,_xlfn.MAXIFS('TOPIX_S33'!F54:F56,'TOPIX_S33'!C54:C56,C54)),'TOPIX_S33'!C54:C56,C54)&gt;=2,MAX(0,_xlfn.MAXIFS('TOPIX_S33'!F54:F56,'TOPIX_S33'!C54:C56,C54)),MAX(0,_xlfn.MAXIFS('TOPIX_S33'!F54:F56,'TOPIX_S33'!C54:C56,C54,'TOPIX_S33'!F54:F56,"&lt;"&amp;MAX(0,_xlfn.MAXIFS('TOPIX_S33'!F54:F56,'TOPIX_S33'!C54:C56,C54))))),'TOPIX_S33'!C54:C56,C54)+COUNTIFS('TOPIX_S33'!F54:F56,"&gt;"&amp;IF(COUNTIFS('TOPIX_S33'!F54:F56,MAX(0,_xlfn.MAXIFS('TOPIX_S33'!F54:F56,'TOPIX_S33'!C54:C56,C54)),'TOPIX_S33'!C54:C56,C54)&gt;=2,MAX(0,_xlfn.MAXIFS('TOPIX_S33'!F54:F56,'TOPIX_S33'!C54:C56,C54)),MAX(0,_xlfn.MAXIFS('TOPIX_S33'!F54:F56,'TOPIX_S33'!C54:C56,C54,'TOPIX_S33'!F54:F56,"&lt;"&amp;MAX(0,_xlfn.MAXIFS('TOPIX_S33'!F54:F56,'TOPIX_S33'!C54:C56,C54))))),'TOPIX_S33'!C54:C56,C54)&gt;=3,IF(COUNTIFS('TOPIX_S33'!F54:F56,MAX(0,_xlfn.MAXIFS('TOPIX_S33'!F54:F56,'TOPIX_S33'!C54:C56,C54)),'TOPIX_S33'!C54:C56,C54)&gt;=2,MAX(0,_xlfn.MAXIFS('TOPIX_S33'!F54:F56,'TOPIX_S33'!C54:C56,C54)),MAX(0,_xlfn.MAXIFS('TOPIX_S33'!F54:F56,'TOPIX_S33'!C54:C56,C54,'TOPIX_S33'!F54:F56,"&lt;"&amp;MAX(0,_xlfn.MAXIFS('TOPIX_S33'!F54:F56,'TOPIX_S33'!C54:C56,C54))))),MAX(0,_xlfn.MAXIFS('TOPIX_S33'!F54:F56,'TOPIX_S33'!C54:C56,C54,'TOPIX_S33'!F54:F56,"&lt;"&amp;IF(COUNTIFS('TOPIX_S33'!F54:F56,MAX(0,_xlfn.MAXIFS('TOPIX_S33'!F54:F56,'TOPIX_S33'!C54:C56,C54)),'TOPIX_S33'!C54:C56,C54)&gt;=2,MAX(0,_xlfn.MAXIFS('TOPIX_S33'!F54:F56,'TOPIX_S33'!C54:C56,C54)),MAX(0,_xlfn.MAXIFS('TOPIX_S33'!F54:F56,'TOPIX_S33'!C54:C56,C54,'TOPIX_S33'!F54:F56,"&lt;"&amp;MAX(0,_xlfn.MAXIFS('TOPIX_S33'!F54:F56,'TOPIX_S33'!C54:C56,C54)))))))))</x:f>
        <x:v>0</x:v>
      </x:c>
    </x:row>
  </x:sheetData>
  <x:conditionalFormatting sqref="H7:J54">
    <x:cfRule type="cellIs" dxfId="17" priority="1" operator="lessThan">
      <x:formula>0</x:formula>
    </x:cfRule>
  </x:conditionalFormatting>
  <x:conditionalFormatting sqref="O7:Q54">
    <x:cfRule type="cellIs" dxfId="18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79817b0a1047a0"/>
  </x:tableParts>
</x:worksheet>
</file>

<file path=xl/worksheets/sheet3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B5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昼基準：T06／夜基準：U06。既知47場：9/21～10/22デイ。追加3場：10/22ナイト～10/23ナイト。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追加なし。昼夜別の基準手法で運用。累計は日時順。出典：00140保存会計。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B5</x:v>
      </x:c>
      <x:c r="B7" s="7" t="d">
        <x:v>2026-09-21T08:45:00.000Z</x:v>
      </x:c>
      <x:c r="C7" s="2" t="str">
        <x:v>デイ</x:v>
      </x:c>
      <x:c r="D7" s="25" t="n">
        <x:v>85616</x:v>
      </x:c>
      <x:c r="E7" s="25" t="n">
        <x:v>0</x:v>
      </x:c>
      <x:c r="F7" s="25" t="n">
        <x:f>D7-E7</x:f>
        <x:v>85616</x:v>
      </x:c>
      <x:c r="G7" s="25" t="n">
        <x:f>SUMIFS($F$7:$F$56,$A$7:$A$56,A7,$B$7:$B$56,"&lt;="&amp;B7)</x:f>
        <x:v>85616</x:v>
      </x:c>
      <x:c r="H7" s="25" t="n">
        <x:v>384</x:v>
      </x:c>
      <x:c r="I7" s="25" t="n">
        <x:v>86000</x:v>
      </x:c>
      <x:c r="J7" s="11" t="n">
        <x:v>1</x:v>
      </x:c>
      <x:c r="K7" s="11" t="n">
        <x:v>5</x:v>
      </x:c>
      <x:c r="L7" s="11" t="n">
        <x:v>5</x:v>
      </x:c>
      <x:c r="M7" s="13" t="str">
        <x:v>既知47場</x:v>
      </x:c>
      <x:c r="N7" s="12" t="n">
        <x:v>190.06666666666666</x:v>
      </x:c>
      <x:c r="O7" s="12" t="n">
        <x:v>167.2</x:v>
      </x:c>
    </x:row>
    <x:row r="8" ht="22" customHeight="1">
      <x:c r="A8" s="2" t="str">
        <x:v>B5</x:v>
      </x:c>
      <x:c r="B8" s="7" t="d">
        <x:v>2026-09-21T17:00:00.000Z</x:v>
      </x:c>
      <x:c r="C8" s="2" t="str">
        <x:v>ナイト</x:v>
      </x:c>
      <x:c r="D8" s="25" t="n">
        <x:v>0</x:v>
      </x:c>
      <x:c r="E8" s="25" t="n">
        <x:v>45384</x:v>
      </x:c>
      <x:c r="F8" s="25" t="n">
        <x:f>D8-E8</x:f>
        <x:v>-45384</x:v>
      </x:c>
      <x:c r="G8" s="25" t="n">
        <x:f>SUMIFS($F$7:$F$56,$A$7:$A$56,A8,$B$7:$B$56,"&lt;="&amp;B8)</x:f>
        <x:v>40232</x:v>
      </x:c>
      <x:c r="H8" s="25" t="n">
        <x:v>384</x:v>
      </x:c>
      <x:c r="I8" s="25" t="n">
        <x:v>-45000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360.01666666666665</x:v>
      </x:c>
      <x:c r="O8" s="12" t="n">
        <x:v>5.666666666666667</x:v>
      </x:c>
    </x:row>
    <x:row r="9" ht="22" customHeight="1">
      <x:c r="A9" s="2" t="str">
        <x:v>B5</x:v>
      </x:c>
      <x:c r="B9" s="7" t="d">
        <x:v>2026-09-22T08:45:00.000Z</x:v>
      </x:c>
      <x:c r="C9" s="2" t="str">
        <x:v>デイ</x:v>
      </x:c>
      <x:c r="D9" s="25" t="n">
        <x:v>0</x:v>
      </x:c>
      <x:c r="E9" s="25" t="n">
        <x:v>106152</x:v>
      </x:c>
      <x:c r="F9" s="25" t="n">
        <x:f>D9-E9</x:f>
        <x:v>-106152</x:v>
      </x:c>
      <x:c r="G9" s="25" t="n">
        <x:f>SUMIFS($F$7:$F$56,$A$7:$A$56,A9,$B$7:$B$56,"&lt;="&amp;B9)</x:f>
        <x:v>-65920</x:v>
      </x:c>
      <x:c r="H9" s="25" t="n">
        <x:v>1152</x:v>
      </x:c>
      <x:c r="I9" s="25" t="n">
        <x:v>-105000</x:v>
      </x:c>
      <x:c r="J9" s="11" t="n">
        <x:v>3</x:v>
      </x:c>
      <x:c r="K9" s="11" t="n">
        <x:v>15</x:v>
      </x:c>
      <x:c r="L9" s="11" t="n">
        <x:v>5</x:v>
      </x:c>
      <x:c r="M9" s="13" t="str">
        <x:v>既知47場</x:v>
      </x:c>
      <x:c r="N9" s="12" t="n">
        <x:v>242.78333333333333</x:v>
      </x:c>
      <x:c r="O9" s="12" t="n">
        <x:v>28.166666666666668</x:v>
      </x:c>
    </x:row>
    <x:row r="10" ht="22" customHeight="1">
      <x:c r="A10" s="2" t="str">
        <x:v>B5</x:v>
      </x:c>
      <x:c r="B10" s="7" t="d">
        <x:v>2026-09-22T17:00:00.000Z</x:v>
      </x:c>
      <x:c r="C10" s="2" t="str">
        <x:v>ナイト</x:v>
      </x:c>
      <x:c r="D10" s="25" t="n">
        <x:v>39616</x:v>
      </x:c>
      <x:c r="E10" s="25" t="n">
        <x:v>0</x:v>
      </x:c>
      <x:c r="F10" s="25" t="n">
        <x:f>D10-E10</x:f>
        <x:v>39616</x:v>
      </x:c>
      <x:c r="G10" s="25" t="n">
        <x:f>SUMIFS($F$7:$F$56,$A$7:$A$56,A10,$B$7:$B$56,"&lt;="&amp;B10)</x:f>
        <x:v>-26304</x:v>
      </x:c>
      <x:c r="H10" s="25" t="n">
        <x:v>384</x:v>
      </x:c>
      <x:c r="I10" s="25" t="n">
        <x:v>40000</x:v>
      </x:c>
      <x:c r="J10" s="11" t="n">
        <x:v>1</x:v>
      </x:c>
      <x:c r="K10" s="11" t="n">
        <x:v>5</x:v>
      </x:c>
      <x:c r="L10" s="11" t="n">
        <x:v>5</x:v>
      </x:c>
      <x:c r="M10" s="13" t="str">
        <x:v>既知47場</x:v>
      </x:c>
      <x:c r="N10" s="12" t="n">
        <x:v>360.1</x:v>
      </x:c>
      <x:c r="O10" s="12" t="n">
        <x:v>13.583333333333334</x:v>
      </x:c>
    </x:row>
    <x:row r="11" ht="22" customHeight="1">
      <x:c r="A11" s="2" t="str">
        <x:v>B5</x:v>
      </x:c>
      <x:c r="B11" s="7" t="d">
        <x:v>2026-09-23T08:45:00.000Z</x:v>
      </x:c>
      <x:c r="C11" s="2" t="str">
        <x:v>デイ</x:v>
      </x:c>
      <x:c r="D11" s="25" t="n">
        <x:v>0</x:v>
      </x:c>
      <x:c r="E11" s="25" t="n">
        <x:v>4384</x:v>
      </x:c>
      <x:c r="F11" s="25" t="n">
        <x:f>D11-E11</x:f>
        <x:v>-4384</x:v>
      </x:c>
      <x:c r="G11" s="25" t="n">
        <x:f>SUMIFS($F$7:$F$56,$A$7:$A$56,A11,$B$7:$B$56,"&lt;="&amp;B11)</x:f>
        <x:v>-30688</x:v>
      </x:c>
      <x:c r="H11" s="25" t="n">
        <x:v>384</x:v>
      </x:c>
      <x:c r="I11" s="25" t="n">
        <x:v>-4000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68.15</x:v>
      </x:c>
      <x:c r="O11" s="12" t="n">
        <x:v>313.75</x:v>
      </x:c>
    </x:row>
    <x:row r="12" ht="22" customHeight="1">
      <x:c r="A12" s="2" t="str">
        <x:v>B5</x:v>
      </x:c>
      <x:c r="B12" s="7" t="d">
        <x:v>2026-09-23T17:00:00.000Z</x:v>
      </x:c>
      <x:c r="C12" s="2" t="str">
        <x:v>ナイト</x:v>
      </x:c>
      <x:c r="D12" s="25" t="n">
        <x:v>0</x:v>
      </x:c>
      <x:c r="E12" s="25" t="n">
        <x:v>40384</x:v>
      </x:c>
      <x:c r="F12" s="25" t="n">
        <x:f>D12-E12</x:f>
        <x:v>-40384</x:v>
      </x:c>
      <x:c r="G12" s="25" t="n">
        <x:f>SUMIFS($F$7:$F$56,$A$7:$A$56,A12,$B$7:$B$56,"&lt;="&amp;B12)</x:f>
        <x:v>-71072</x:v>
      </x:c>
      <x:c r="H12" s="25" t="n">
        <x:v>384</x:v>
      </x:c>
      <x:c r="I12" s="25" t="n">
        <x:v>-40000</x:v>
      </x:c>
      <x:c r="J12" s="11" t="n">
        <x:v>1</x:v>
      </x:c>
      <x:c r="K12" s="11" t="n">
        <x:v>5</x:v>
      </x:c>
      <x:c r="L12" s="11" t="n">
        <x:v>5</x:v>
      </x:c>
      <x:c r="M12" s="13" t="str">
        <x:v>既知47場</x:v>
      </x:c>
      <x:c r="N12" s="12" t="n">
        <x:v>358.03333333333336</x:v>
      </x:c>
      <x:c r="O12" s="12" t="n">
        <x:v>2.15</x:v>
      </x:c>
    </x:row>
    <x:row r="13" ht="22" customHeight="1">
      <x:c r="A13" s="2" t="str">
        <x:v>B5</x:v>
      </x:c>
      <x:c r="B13" s="7" t="d">
        <x:v>2026-09-24T08:45:00.000Z</x:v>
      </x:c>
      <x:c r="C13" s="2" t="str">
        <x:v>デイ</x:v>
      </x:c>
      <x:c r="D13" s="25" t="n">
        <x:v>60616</x:v>
      </x:c>
      <x:c r="E13" s="25" t="n">
        <x:v>85768</x:v>
      </x:c>
      <x:c r="F13" s="25" t="n">
        <x:f>D13-E13</x:f>
        <x:v>-25152</x:v>
      </x:c>
      <x:c r="G13" s="25" t="n">
        <x:f>SUMIFS($F$7:$F$56,$A$7:$A$56,A13,$B$7:$B$56,"&lt;="&amp;B13)</x:f>
        <x:v>-96224</x:v>
      </x:c>
      <x:c r="H13" s="25" t="n">
        <x:v>1152</x:v>
      </x:c>
      <x:c r="I13" s="25" t="n">
        <x:v>-24000</x:v>
      </x:c>
      <x:c r="J13" s="11" t="n">
        <x:v>3</x:v>
      </x:c>
      <x:c r="K13" s="11" t="n">
        <x:v>15</x:v>
      </x:c>
      <x:c r="L13" s="11" t="n">
        <x:v>5</x:v>
      </x:c>
      <x:c r="M13" s="13" t="str">
        <x:v>既知47場</x:v>
      </x:c>
      <x:c r="N13" s="12" t="n">
        <x:v>149.83333333333334</x:v>
      </x:c>
      <x:c r="O13" s="12" t="n">
        <x:v>91.76666666666667</x:v>
      </x:c>
    </x:row>
    <x:row r="14" ht="22" customHeight="1">
      <x:c r="A14" s="2" t="str">
        <x:v>B5</x:v>
      </x:c>
      <x:c r="B14" s="7" t="d">
        <x:v>2026-09-24T17:00:00.000Z</x:v>
      </x:c>
      <x:c r="C14" s="2" t="str">
        <x:v>ナイト</x:v>
      </x:c>
      <x:c r="D14" s="25" t="n">
        <x:v>44616</x:v>
      </x:c>
      <x:c r="E14" s="25" t="n">
        <x:v>40384</x:v>
      </x:c>
      <x:c r="F14" s="25" t="n">
        <x:f>D14-E14</x:f>
        <x:v>4232</x:v>
      </x:c>
      <x:c r="G14" s="25" t="n">
        <x:f>SUMIFS($F$7:$F$56,$A$7:$A$56,A14,$B$7:$B$56,"&lt;="&amp;B14)</x:f>
        <x:v>-91992</x:v>
      </x:c>
      <x:c r="H14" s="25" t="n">
        <x:v>768</x:v>
      </x:c>
      <x:c r="I14" s="25" t="n">
        <x:v>5000</x:v>
      </x:c>
      <x:c r="J14" s="11" t="n">
        <x:v>2</x:v>
      </x:c>
      <x:c r="K14" s="11" t="n">
        <x:v>10</x:v>
      </x:c>
      <x:c r="L14" s="11" t="n">
        <x:v>5</x:v>
      </x:c>
      <x:c r="M14" s="13" t="str">
        <x:v>既知47場</x:v>
      </x:c>
      <x:c r="N14" s="12" t="n">
        <x:v>360.3333333333333</x:v>
      </x:c>
      <x:c r="O14" s="12" t="n">
        <x:v>13.133333333333333</x:v>
      </x:c>
    </x:row>
    <x:row r="15" ht="22" customHeight="1">
      <x:c r="A15" s="2" t="str">
        <x:v>B5</x:v>
      </x:c>
      <x:c r="B15" s="7" t="d">
        <x:v>2026-09-25T08:45:00.000Z</x:v>
      </x:c>
      <x:c r="C15" s="2" t="str">
        <x:v>デイ</x:v>
      </x:c>
      <x:c r="D15" s="25" t="n">
        <x:v>145616</x:v>
      </x:c>
      <x:c r="E15" s="25" t="n">
        <x:v>0</x:v>
      </x:c>
      <x:c r="F15" s="25" t="n">
        <x:f>D15-E15</x:f>
        <x:v>145616</x:v>
      </x:c>
      <x:c r="G15" s="25" t="n">
        <x:f>SUMIFS($F$7:$F$56,$A$7:$A$56,A15,$B$7:$B$56,"&lt;="&amp;B15)</x:f>
        <x:v>53624</x:v>
      </x:c>
      <x:c r="H15" s="25" t="n">
        <x:v>384</x:v>
      </x:c>
      <x:c r="I15" s="25" t="n">
        <x:v>146000</x:v>
      </x:c>
      <x:c r="J15" s="11" t="n">
        <x:v>1</x:v>
      </x:c>
      <x:c r="K15" s="11" t="n">
        <x:v>5</x:v>
      </x:c>
      <x:c r="L15" s="11" t="n">
        <x:v>5</x:v>
      </x:c>
      <x:c r="M15" s="13" t="str">
        <x:v>既知47場</x:v>
      </x:c>
      <x:c r="N15" s="12" t="n">
        <x:v>86.55</x:v>
      </x:c>
      <x:c r="O15" s="12" t="n">
        <x:v>323.45</x:v>
      </x:c>
    </x:row>
    <x:row r="16" ht="22" customHeight="1">
      <x:c r="A16" s="2" t="str">
        <x:v>B5</x:v>
      </x:c>
      <x:c r="B16" s="7" t="d">
        <x:v>2026-09-25T17:00:00.000Z</x:v>
      </x:c>
      <x:c r="C16" s="2" t="str">
        <x:v>ナイト</x:v>
      </x:c>
      <x:c r="D16" s="25" t="n">
        <x:v>14616</x:v>
      </x:c>
      <x:c r="E16" s="25" t="n">
        <x:v>0</x:v>
      </x:c>
      <x:c r="F16" s="25" t="n">
        <x:f>D16-E16</x:f>
        <x:v>14616</x:v>
      </x:c>
      <x:c r="G16" s="25" t="n">
        <x:f>SUMIFS($F$7:$F$56,$A$7:$A$56,A16,$B$7:$B$56,"&lt;="&amp;B16)</x:f>
        <x:v>68240</x:v>
      </x:c>
      <x:c r="H16" s="25" t="n">
        <x:v>384</x:v>
      </x:c>
      <x:c r="I16" s="25" t="n">
        <x:v>15000</x:v>
      </x:c>
      <x:c r="J16" s="11" t="n">
        <x:v>1</x:v>
      </x:c>
      <x:c r="K16" s="11" t="n">
        <x:v>5</x:v>
      </x:c>
      <x:c r="L16" s="11" t="n">
        <x:v>5</x:v>
      </x:c>
      <x:c r="M16" s="13" t="str">
        <x:v>既知47場</x:v>
      </x:c>
      <x:c r="N16" s="12" t="n">
        <x:v>360</x:v>
      </x:c>
      <x:c r="O16" s="12" t="n">
        <x:v>2.433333333333333</x:v>
      </x:c>
    </x:row>
    <x:row r="17" ht="22" customHeight="1">
      <x:c r="A17" s="2" t="str">
        <x:v>B5</x:v>
      </x:c>
      <x:c r="B17" s="7" t="d">
        <x:v>2026-09-28T08:45:00.000Z</x:v>
      </x:c>
      <x:c r="C17" s="2" t="str">
        <x:v>デイ</x:v>
      </x:c>
      <x:c r="D17" s="25" t="n">
        <x:v>261616</x:v>
      </x:c>
      <x:c r="E17" s="25" t="n">
        <x:v>75384</x:v>
      </x:c>
      <x:c r="F17" s="25" t="n">
        <x:f>D17-E17</x:f>
        <x:v>186232</x:v>
      </x:c>
      <x:c r="G17" s="25" t="n">
        <x:f>SUMIFS($F$7:$F$56,$A$7:$A$56,A17,$B$7:$B$56,"&lt;="&amp;B17)</x:f>
        <x:v>254472</x:v>
      </x:c>
      <x:c r="H17" s="25" t="n">
        <x:v>768</x:v>
      </x:c>
      <x:c r="I17" s="25" t="n">
        <x:v>187000</x:v>
      </x:c>
      <x:c r="J17" s="11" t="n">
        <x:v>2</x:v>
      </x:c>
      <x:c r="K17" s="11" t="n">
        <x:v>10</x:v>
      </x:c>
      <x:c r="L17" s="11" t="n">
        <x:v>5</x:v>
      </x:c>
      <x:c r="M17" s="13" t="str">
        <x:v>既知47場</x:v>
      </x:c>
      <x:c r="N17" s="12" t="n">
        <x:v>66.3</x:v>
      </x:c>
      <x:c r="O17" s="12" t="n">
        <x:v>331.28333333333336</x:v>
      </x:c>
    </x:row>
    <x:row r="18" ht="22" customHeight="1">
      <x:c r="A18" s="2" t="str">
        <x:v>B5</x:v>
      </x:c>
      <x:c r="B18" s="7" t="d">
        <x:v>2026-09-28T17:00:00.000Z</x:v>
      </x:c>
      <x:c r="C18" s="2" t="str">
        <x:v>ナイト</x:v>
      </x:c>
      <x:c r="D18" s="25" t="n">
        <x:v>59616</x:v>
      </x:c>
      <x:c r="E18" s="25" t="n">
        <x:v>0</x:v>
      </x:c>
      <x:c r="F18" s="25" t="n">
        <x:f>D18-E18</x:f>
        <x:v>59616</x:v>
      </x:c>
      <x:c r="G18" s="25" t="n">
        <x:f>SUMIFS($F$7:$F$56,$A$7:$A$56,A18,$B$7:$B$56,"&lt;="&amp;B18)</x:f>
        <x:v>314088</x:v>
      </x:c>
      <x:c r="H18" s="25" t="n">
        <x:v>384</x:v>
      </x:c>
      <x:c r="I18" s="25" t="n">
        <x:v>60000</x:v>
      </x:c>
      <x:c r="J18" s="11" t="n">
        <x:v>1</x:v>
      </x:c>
      <x:c r="K18" s="11" t="n">
        <x:v>5</x:v>
      </x:c>
      <x:c r="L18" s="11" t="n">
        <x:v>5</x:v>
      </x:c>
      <x:c r="M18" s="13" t="str">
        <x:v>既知47場</x:v>
      </x:c>
      <x:c r="N18" s="12" t="n">
        <x:v>360</x:v>
      </x:c>
      <x:c r="O18" s="12" t="n">
        <x:v>6.433333333333334</x:v>
      </x:c>
    </x:row>
    <x:row r="19" ht="22" customHeight="1">
      <x:c r="A19" s="2" t="str">
        <x:v>B5</x:v>
      </x:c>
      <x:c r="B19" s="7" t="d">
        <x:v>2026-09-29T08:45:00.000Z</x:v>
      </x:c>
      <x:c r="C19" s="2" t="str">
        <x:v>デイ</x:v>
      </x:c>
      <x:c r="D19" s="25" t="n">
        <x:v>282232</x:v>
      </x:c>
      <x:c r="E19" s="25" t="n">
        <x:v>0</x:v>
      </x:c>
      <x:c r="F19" s="25" t="n">
        <x:f>D19-E19</x:f>
        <x:v>282232</x:v>
      </x:c>
      <x:c r="G19" s="25" t="n">
        <x:f>SUMIFS($F$7:$F$56,$A$7:$A$56,A19,$B$7:$B$56,"&lt;="&amp;B19)</x:f>
        <x:v>596320</x:v>
      </x:c>
      <x:c r="H19" s="25" t="n">
        <x:v>768</x:v>
      </x:c>
      <x:c r="I19" s="25" t="n">
        <x:v>283000</x:v>
      </x:c>
      <x:c r="J19" s="11" t="n">
        <x:v>2</x:v>
      </x:c>
      <x:c r="K19" s="11" t="n">
        <x:v>10</x:v>
      </x:c>
      <x:c r="L19" s="11" t="n">
        <x:v>5</x:v>
      </x:c>
      <x:c r="M19" s="13" t="str">
        <x:v>既知47場</x:v>
      </x:c>
      <x:c r="N19" s="12" t="n">
        <x:v>66.68333333333334</x:v>
      </x:c>
      <x:c r="O19" s="12" t="n">
        <x:v>296.96666666666664</x:v>
      </x:c>
    </x:row>
    <x:row r="20" ht="22" customHeight="1">
      <x:c r="A20" s="2" t="str">
        <x:v>B5</x:v>
      </x:c>
      <x:c r="B20" s="7" t="d">
        <x:v>2026-09-29T17:00:00.000Z</x:v>
      </x:c>
      <x:c r="C20" s="2" t="str">
        <x:v>ナイト</x:v>
      </x:c>
      <x:c r="D20" s="25" t="n">
        <x:v>168848</x:v>
      </x:c>
      <x:c r="E20" s="25" t="n">
        <x:v>50384</x:v>
      </x:c>
      <x:c r="F20" s="25" t="n">
        <x:f>D20-E20</x:f>
        <x:v>118464</x:v>
      </x:c>
      <x:c r="G20" s="25" t="n">
        <x:f>SUMIFS($F$7:$F$56,$A$7:$A$56,A20,$B$7:$B$56,"&lt;="&amp;B20)</x:f>
        <x:v>714784</x:v>
      </x:c>
      <x:c r="H20" s="25" t="n">
        <x:v>1536</x:v>
      </x:c>
      <x:c r="I20" s="25" t="n">
        <x:v>120000</x:v>
      </x:c>
      <x:c r="J20" s="11" t="n">
        <x:v>4</x:v>
      </x:c>
      <x:c r="K20" s="11" t="n">
        <x:v>20</x:v>
      </x:c>
      <x:c r="L20" s="11" t="n">
        <x:v>5</x:v>
      </x:c>
      <x:c r="M20" s="13" t="str">
        <x:v>既知47場</x:v>
      </x:c>
      <x:c r="N20" s="12" t="n">
        <x:v>360.01666666666665</x:v>
      </x:c>
      <x:c r="O20" s="12" t="n">
        <x:v>43.95</x:v>
      </x:c>
    </x:row>
    <x:row r="21" ht="22" customHeight="1">
      <x:c r="A21" s="2" t="str">
        <x:v>B5</x:v>
      </x:c>
      <x:c r="B21" s="7" t="d">
        <x:v>2026-09-30T08:45:00.000Z</x:v>
      </x:c>
      <x:c r="C21" s="2" t="str">
        <x:v>デイ</x:v>
      </x:c>
      <x:c r="D21" s="25" t="n">
        <x:v>170616</x:v>
      </x:c>
      <x:c r="E21" s="25" t="n">
        <x:v>55384</x:v>
      </x:c>
      <x:c r="F21" s="25" t="n">
        <x:f>D21-E21</x:f>
        <x:v>115232</x:v>
      </x:c>
      <x:c r="G21" s="25" t="n">
        <x:f>SUMIFS($F$7:$F$56,$A$7:$A$56,A21,$B$7:$B$56,"&lt;="&amp;B21)</x:f>
        <x:v>830016</x:v>
      </x:c>
      <x:c r="H21" s="25" t="n">
        <x:v>768</x:v>
      </x:c>
      <x:c r="I21" s="25" t="n">
        <x:v>116000</x:v>
      </x:c>
      <x:c r="J21" s="11" t="n">
        <x:v>2</x:v>
      </x:c>
      <x:c r="K21" s="11" t="n">
        <x:v>10</x:v>
      </x:c>
      <x:c r="L21" s="11" t="n">
        <x:v>5</x:v>
      </x:c>
      <x:c r="M21" s="13" t="str">
        <x:v>既知47場</x:v>
      </x:c>
      <x:c r="N21" s="12" t="n">
        <x:v>161.31666666666666</x:v>
      </x:c>
      <x:c r="O21" s="12" t="n">
        <x:v>106.96666666666667</x:v>
      </x:c>
    </x:row>
    <x:row r="22" ht="22" customHeight="1">
      <x:c r="A22" s="2" t="str">
        <x:v>B5</x:v>
      </x:c>
      <x:c r="B22" s="7" t="d">
        <x:v>2026-09-30T17:00:00.000Z</x:v>
      </x:c>
      <x:c r="C22" s="2" t="str">
        <x:v>ナイト</x:v>
      </x:c>
      <x:c r="D22" s="25" t="n">
        <x:v>59232</x:v>
      </x:c>
      <x:c r="E22" s="25" t="n">
        <x:v>0</x:v>
      </x:c>
      <x:c r="F22" s="25" t="n">
        <x:f>D22-E22</x:f>
        <x:v>59232</x:v>
      </x:c>
      <x:c r="G22" s="25" t="n">
        <x:f>SUMIFS($F$7:$F$56,$A$7:$A$56,A22,$B$7:$B$56,"&lt;="&amp;B22)</x:f>
        <x:v>889248</x:v>
      </x:c>
      <x:c r="H22" s="25" t="n">
        <x:v>768</x:v>
      </x:c>
      <x:c r="I22" s="25" t="n">
        <x:v>60000</x:v>
      </x:c>
      <x:c r="J22" s="11" t="n">
        <x:v>2</x:v>
      </x:c>
      <x:c r="K22" s="11" t="n">
        <x:v>10</x:v>
      </x:c>
      <x:c r="L22" s="11" t="n">
        <x:v>5</x:v>
      </x:c>
      <x:c r="M22" s="13" t="str">
        <x:v>既知47場</x:v>
      </x:c>
      <x:c r="N22" s="12" t="n">
        <x:v>360</x:v>
      </x:c>
      <x:c r="O22" s="12" t="n">
        <x:v>19.883333333333333</x:v>
      </x:c>
    </x:row>
    <x:row r="23" ht="22" customHeight="1">
      <x:c r="A23" s="2" t="str">
        <x:v>B5</x:v>
      </x:c>
      <x:c r="B23" s="7" t="d">
        <x:v>2026-10-01T08:45:00.000Z</x:v>
      </x:c>
      <x:c r="C23" s="2" t="str">
        <x:v>デイ</x:v>
      </x:c>
      <x:c r="D23" s="25" t="n">
        <x:v>183616</x:v>
      </x:c>
      <x:c r="E23" s="25" t="n">
        <x:v>60384</x:v>
      </x:c>
      <x:c r="F23" s="25" t="n">
        <x:f>D23-E23</x:f>
        <x:v>123232</x:v>
      </x:c>
      <x:c r="G23" s="25" t="n">
        <x:f>SUMIFS($F$7:$F$56,$A$7:$A$56,A23,$B$7:$B$56,"&lt;="&amp;B23)</x:f>
        <x:v>1012480</x:v>
      </x:c>
      <x:c r="H23" s="25" t="n">
        <x:v>768</x:v>
      </x:c>
      <x:c r="I23" s="25" t="n">
        <x:v>124000</x:v>
      </x:c>
      <x:c r="J23" s="11" t="n">
        <x:v>2</x:v>
      </x:c>
      <x:c r="K23" s="11" t="n">
        <x:v>10</x:v>
      </x:c>
      <x:c r="L23" s="11" t="n">
        <x:v>5</x:v>
      </x:c>
      <x:c r="M23" s="13" t="str">
        <x:v>既知47場</x:v>
      </x:c>
      <x:c r="N23" s="12" t="n">
        <x:v>88.93333333333334</x:v>
      </x:c>
      <x:c r="O23" s="12" t="n">
        <x:v>128.06666666666666</x:v>
      </x:c>
    </x:row>
    <x:row r="24" ht="22" customHeight="1">
      <x:c r="A24" s="2" t="str">
        <x:v>B5</x:v>
      </x:c>
      <x:c r="B24" s="7" t="d">
        <x:v>2026-10-01T17:00:00.000Z</x:v>
      </x:c>
      <x:c r="C24" s="2" t="str">
        <x:v>ナイト</x:v>
      </x:c>
      <x:c r="D24" s="25" t="n">
        <x:v>55692</x:v>
      </x:c>
      <x:c r="E24" s="25" t="n">
        <x:v>0</x:v>
      </x:c>
      <x:c r="F24" s="25" t="n">
        <x:f>D24-E24</x:f>
        <x:v>55692</x:v>
      </x:c>
      <x:c r="G24" s="25" t="n">
        <x:f>SUMIFS($F$7:$F$56,$A$7:$A$56,A24,$B$7:$B$56,"&lt;="&amp;B24)</x:f>
        <x:v>1068172</x:v>
      </x:c>
      <x:c r="H24" s="25" t="n">
        <x:v>308</x:v>
      </x:c>
      <x:c r="I24" s="25" t="n">
        <x:v>56000</x:v>
      </x:c>
      <x:c r="J24" s="11" t="n">
        <x:v>1</x:v>
      </x:c>
      <x:c r="K24" s="11" t="n">
        <x:v>4</x:v>
      </x:c>
      <x:c r="L24" s="11" t="n">
        <x:v>4</x:v>
      </x:c>
      <x:c r="M24" s="13" t="str">
        <x:v>既知47場</x:v>
      </x:c>
      <x:c r="N24" s="12" t="n">
        <x:v>360</x:v>
      </x:c>
      <x:c r="O24" s="12" t="n">
        <x:v>2.75</x:v>
      </x:c>
    </x:row>
    <x:row r="25" ht="22" customHeight="1">
      <x:c r="A25" s="2" t="str">
        <x:v>B5</x:v>
      </x:c>
      <x:c r="B25" s="7" t="d">
        <x:v>2026-10-02T08:45:00.000Z</x:v>
      </x:c>
      <x:c r="C25" s="2" t="str">
        <x:v>デイ</x:v>
      </x:c>
      <x:c r="D25" s="25" t="n">
        <x:v>0</x:v>
      </x:c>
      <x:c r="E25" s="25" t="n">
        <x:v>65384</x:v>
      </x:c>
      <x:c r="F25" s="25" t="n">
        <x:f>D25-E25</x:f>
        <x:v>-65384</x:v>
      </x:c>
      <x:c r="G25" s="25" t="n">
        <x:f>SUMIFS($F$7:$F$56,$A$7:$A$56,A25,$B$7:$B$56,"&lt;="&amp;B25)</x:f>
        <x:v>1002788</x:v>
      </x:c>
      <x:c r="H25" s="25" t="n">
        <x:v>384</x:v>
      </x:c>
      <x:c r="I25" s="25" t="n">
        <x:v>-65000</x:v>
      </x:c>
      <x:c r="J25" s="11" t="n">
        <x:v>1</x:v>
      </x:c>
      <x:c r="K25" s="11" t="n">
        <x:v>5</x:v>
      </x:c>
      <x:c r="L25" s="11" t="n">
        <x:v>5</x:v>
      </x:c>
      <x:c r="M25" s="13" t="str">
        <x:v>既知47場</x:v>
      </x:c>
      <x:c r="N25" s="12" t="n">
        <x:v>100.65</x:v>
      </x:c>
      <x:c r="O25" s="12" t="n">
        <x:v>33.65</x:v>
      </x:c>
    </x:row>
    <x:row r="26" ht="22" customHeight="1">
      <x:c r="A26" s="2" t="str">
        <x:v>B5</x:v>
      </x:c>
      <x:c r="B26" s="7" t="d">
        <x:v>2026-10-02T17:00:00.000Z</x:v>
      </x:c>
      <x:c r="C26" s="2" t="str">
        <x:v>ナイト</x:v>
      </x:c>
      <x:c r="D26" s="25" t="n">
        <x:v>119232</x:v>
      </x:c>
      <x:c r="E26" s="25" t="n">
        <x:v>55384</x:v>
      </x:c>
      <x:c r="F26" s="25" t="n">
        <x:f>D26-E26</x:f>
        <x:v>63848</x:v>
      </x:c>
      <x:c r="G26" s="25" t="n">
        <x:f>SUMIFS($F$7:$F$56,$A$7:$A$56,A26,$B$7:$B$56,"&lt;="&amp;B26)</x:f>
        <x:v>1066636</x:v>
      </x:c>
      <x:c r="H26" s="25" t="n">
        <x:v>1152</x:v>
      </x:c>
      <x:c r="I26" s="25" t="n">
        <x:v>65000</x:v>
      </x:c>
      <x:c r="J26" s="11" t="n">
        <x:v>3</x:v>
      </x:c>
      <x:c r="K26" s="11" t="n">
        <x:v>15</x:v>
      </x:c>
      <x:c r="L26" s="11" t="n">
        <x:v>5</x:v>
      </x:c>
      <x:c r="M26" s="13" t="str">
        <x:v>既知47場</x:v>
      </x:c>
      <x:c r="N26" s="12" t="n">
        <x:v>360</x:v>
      </x:c>
      <x:c r="O26" s="12" t="n">
        <x:v>17.783333333333335</x:v>
      </x:c>
    </x:row>
    <x:row r="27" ht="22" customHeight="1">
      <x:c r="A27" s="2" t="str">
        <x:v>B5</x:v>
      </x:c>
      <x:c r="B27" s="7" t="d">
        <x:v>2026-10-05T08:45:00.000Z</x:v>
      </x:c>
      <x:c r="C27" s="2" t="str">
        <x:v>デイ</x:v>
      </x:c>
      <x:c r="D27" s="25" t="n">
        <x:v>4616</x:v>
      </x:c>
      <x:c r="E27" s="25" t="n">
        <x:v>126536</x:v>
      </x:c>
      <x:c r="F27" s="25" t="n">
        <x:f>D27-E27</x:f>
        <x:v>-121920</x:v>
      </x:c>
      <x:c r="G27" s="25" t="n">
        <x:f>SUMIFS($F$7:$F$56,$A$7:$A$56,A27,$B$7:$B$56,"&lt;="&amp;B27)</x:f>
        <x:v>944716</x:v>
      </x:c>
      <x:c r="H27" s="25" t="n">
        <x:v>1920</x:v>
      </x:c>
      <x:c r="I27" s="25" t="n">
        <x:v>-120000</x:v>
      </x:c>
      <x:c r="J27" s="11" t="n">
        <x:v>5</x:v>
      </x:c>
      <x:c r="K27" s="11" t="n">
        <x:v>25</x:v>
      </x:c>
      <x:c r="L27" s="11" t="n">
        <x:v>5</x:v>
      </x:c>
      <x:c r="M27" s="13" t="str">
        <x:v>既知47場</x:v>
      </x:c>
      <x:c r="N27" s="12" t="n">
        <x:v>106</x:v>
      </x:c>
      <x:c r="O27" s="12" t="n">
        <x:v>117.81666666666666</x:v>
      </x:c>
    </x:row>
    <x:row r="28" ht="22" customHeight="1">
      <x:c r="A28" s="2" t="str">
        <x:v>B5</x:v>
      </x:c>
      <x:c r="B28" s="7" t="d">
        <x:v>2026-10-05T17:00:00.000Z</x:v>
      </x:c>
      <x:c r="C28" s="2" t="str">
        <x:v>ナイト</x:v>
      </x:c>
      <x:c r="D28" s="25" t="n">
        <x:v>24616</x:v>
      </x:c>
      <x:c r="E28" s="25" t="n">
        <x:v>20384</x:v>
      </x:c>
      <x:c r="F28" s="25" t="n">
        <x:f>D28-E28</x:f>
        <x:v>4232</x:v>
      </x:c>
      <x:c r="G28" s="25" t="n">
        <x:f>SUMIFS($F$7:$F$56,$A$7:$A$56,A28,$B$7:$B$56,"&lt;="&amp;B28)</x:f>
        <x:v>948948</x:v>
      </x:c>
      <x:c r="H28" s="25" t="n">
        <x:v>768</x:v>
      </x:c>
      <x:c r="I28" s="25" t="n">
        <x:v>5000</x:v>
      </x:c>
      <x:c r="J28" s="11" t="n">
        <x:v>2</x:v>
      </x:c>
      <x:c r="K28" s="11" t="n">
        <x:v>10</x:v>
      </x:c>
      <x:c r="L28" s="11" t="n">
        <x:v>5</x:v>
      </x:c>
      <x:c r="M28" s="13" t="str">
        <x:v>既知47場</x:v>
      </x:c>
      <x:c r="N28" s="12" t="n">
        <x:v>360.01666666666665</x:v>
      </x:c>
      <x:c r="O28" s="12" t="n">
        <x:v>28.866666666666667</x:v>
      </x:c>
    </x:row>
    <x:row r="29" ht="22" customHeight="1">
      <x:c r="A29" s="2" t="str">
        <x:v>B5</x:v>
      </x:c>
      <x:c r="B29" s="7" t="d">
        <x:v>2026-10-06T08:45:00.000Z</x:v>
      </x:c>
      <x:c r="C29" s="2" t="str">
        <x:v>デイ</x:v>
      </x:c>
      <x:c r="D29" s="25" t="n">
        <x:v>73616</x:v>
      </x:c>
      <x:c r="E29" s="25" t="n">
        <x:v>50384</x:v>
      </x:c>
      <x:c r="F29" s="25" t="n">
        <x:f>D29-E29</x:f>
        <x:v>23232</x:v>
      </x:c>
      <x:c r="G29" s="25" t="n">
        <x:f>SUMIFS($F$7:$F$56,$A$7:$A$56,A29,$B$7:$B$56,"&lt;="&amp;B29)</x:f>
        <x:v>972180</x:v>
      </x:c>
      <x:c r="H29" s="25" t="n">
        <x:v>768</x:v>
      </x:c>
      <x:c r="I29" s="25" t="n">
        <x:v>24000</x:v>
      </x:c>
      <x:c r="J29" s="11" t="n">
        <x:v>2</x:v>
      </x:c>
      <x:c r="K29" s="11" t="n">
        <x:v>10</x:v>
      </x:c>
      <x:c r="L29" s="11" t="n">
        <x:v>5</x:v>
      </x:c>
      <x:c r="M29" s="13" t="str">
        <x:v>既知47場</x:v>
      </x:c>
      <x:c r="N29" s="12" t="n">
        <x:v>81.4</x:v>
      </x:c>
      <x:c r="O29" s="12" t="n">
        <x:v>27.2</x:v>
      </x:c>
    </x:row>
    <x:row r="30" ht="22" customHeight="1">
      <x:c r="A30" s="2" t="str">
        <x:v>B5</x:v>
      </x:c>
      <x:c r="B30" s="7" t="d">
        <x:v>2026-10-06T17:00:00.000Z</x:v>
      </x:c>
      <x:c r="C30" s="2" t="str">
        <x:v>ナイト</x:v>
      </x:c>
      <x:c r="D30" s="25" t="n">
        <x:v>24616</x:v>
      </x:c>
      <x:c r="E30" s="25" t="n">
        <x:v>35384</x:v>
      </x:c>
      <x:c r="F30" s="25" t="n">
        <x:f>D30-E30</x:f>
        <x:v>-10768</x:v>
      </x:c>
      <x:c r="G30" s="25" t="n">
        <x:f>SUMIFS($F$7:$F$56,$A$7:$A$56,A30,$B$7:$B$56,"&lt;="&amp;B30)</x:f>
        <x:v>961412</x:v>
      </x:c>
      <x:c r="H30" s="25" t="n">
        <x:v>768</x:v>
      </x:c>
      <x:c r="I30" s="25" t="n">
        <x:v>-10000</x:v>
      </x:c>
      <x:c r="J30" s="11" t="n">
        <x:v>2</x:v>
      </x:c>
      <x:c r="K30" s="11" t="n">
        <x:v>10</x:v>
      </x:c>
      <x:c r="L30" s="11" t="n">
        <x:v>5</x:v>
      </x:c>
      <x:c r="M30" s="13" t="str">
        <x:v>既知47場</x:v>
      </x:c>
      <x:c r="N30" s="12" t="n">
        <x:v>360.06666666666666</x:v>
      </x:c>
      <x:c r="O30" s="12" t="n">
        <x:v>13.533333333333333</x:v>
      </x:c>
    </x:row>
    <x:row r="31" ht="22" customHeight="1">
      <x:c r="A31" s="2" t="str">
        <x:v>B5</x:v>
      </x:c>
      <x:c r="B31" s="7" t="d">
        <x:v>2026-10-07T08:45:00.000Z</x:v>
      </x:c>
      <x:c r="C31" s="2" t="str">
        <x:v>デイ</x:v>
      </x:c>
      <x:c r="D31" s="25" t="n">
        <x:v>70232</x:v>
      </x:c>
      <x:c r="E31" s="25" t="n">
        <x:v>0</x:v>
      </x:c>
      <x:c r="F31" s="25" t="n">
        <x:f>D31-E31</x:f>
        <x:v>70232</x:v>
      </x:c>
      <x:c r="G31" s="25" t="n">
        <x:f>SUMIFS($F$7:$F$56,$A$7:$A$56,A31,$B$7:$B$56,"&lt;="&amp;B31)</x:f>
        <x:v>1031644</x:v>
      </x:c>
      <x:c r="H31" s="25" t="n">
        <x:v>768</x:v>
      </x:c>
      <x:c r="I31" s="25" t="n">
        <x:v>71000</x:v>
      </x:c>
      <x:c r="J31" s="11" t="n">
        <x:v>2</x:v>
      </x:c>
      <x:c r="K31" s="11" t="n">
        <x:v>10</x:v>
      </x:c>
      <x:c r="L31" s="11" t="n">
        <x:v>5</x:v>
      </x:c>
      <x:c r="M31" s="13" t="str">
        <x:v>既知47場</x:v>
      </x:c>
      <x:c r="N31" s="12" t="n">
        <x:v>225</x:v>
      </x:c>
      <x:c r="O31" s="12" t="n">
        <x:v>31.6</x:v>
      </x:c>
    </x:row>
    <x:row r="32" ht="22" customHeight="1">
      <x:c r="A32" s="2" t="str">
        <x:v>B5</x:v>
      </x:c>
      <x:c r="B32" s="7" t="d">
        <x:v>2026-10-07T17:00:00.000Z</x:v>
      </x:c>
      <x:c r="C32" s="2" t="str">
        <x:v>ナイト</x:v>
      </x:c>
      <x:c r="D32" s="25" t="n">
        <x:v>24232</x:v>
      </x:c>
      <x:c r="E32" s="25" t="n">
        <x:v>0</x:v>
      </x:c>
      <x:c r="F32" s="25" t="n">
        <x:f>D32-E32</x:f>
        <x:v>24232</x:v>
      </x:c>
      <x:c r="G32" s="25" t="n">
        <x:f>SUMIFS($F$7:$F$56,$A$7:$A$56,A32,$B$7:$B$56,"&lt;="&amp;B32)</x:f>
        <x:v>1055876</x:v>
      </x:c>
      <x:c r="H32" s="25" t="n">
        <x:v>768</x:v>
      </x:c>
      <x:c r="I32" s="25" t="n">
        <x:v>25000</x:v>
      </x:c>
      <x:c r="J32" s="11" t="n">
        <x:v>2</x:v>
      </x:c>
      <x:c r="K32" s="11" t="n">
        <x:v>10</x:v>
      </x:c>
      <x:c r="L32" s="11" t="n">
        <x:v>5</x:v>
      </x:c>
      <x:c r="M32" s="13" t="str">
        <x:v>既知47場</x:v>
      </x:c>
      <x:c r="N32" s="12" t="n">
        <x:v>360</x:v>
      </x:c>
      <x:c r="O32" s="12" t="n">
        <x:v>11.1</x:v>
      </x:c>
    </x:row>
    <x:row r="33" ht="22" customHeight="1">
      <x:c r="A33" s="2" t="str">
        <x:v>B5</x:v>
      </x:c>
      <x:c r="B33" s="7" t="d">
        <x:v>2026-10-08T08:45:00.000Z</x:v>
      </x:c>
      <x:c r="C33" s="2" t="str">
        <x:v>デイ</x:v>
      </x:c>
      <x:c r="D33" s="25" t="n">
        <x:v>94616</x:v>
      </x:c>
      <x:c r="E33" s="25" t="n">
        <x:v>151536</x:v>
      </x:c>
      <x:c r="F33" s="25" t="n">
        <x:f>D33-E33</x:f>
        <x:v>-56920</x:v>
      </x:c>
      <x:c r="G33" s="25" t="n">
        <x:f>SUMIFS($F$7:$F$56,$A$7:$A$56,A33,$B$7:$B$56,"&lt;="&amp;B33)</x:f>
        <x:v>998956</x:v>
      </x:c>
      <x:c r="H33" s="25" t="n">
        <x:v>1920</x:v>
      </x:c>
      <x:c r="I33" s="25" t="n">
        <x:v>-55000</x:v>
      </x:c>
      <x:c r="J33" s="11" t="n">
        <x:v>5</x:v>
      </x:c>
      <x:c r="K33" s="11" t="n">
        <x:v>25</x:v>
      </x:c>
      <x:c r="L33" s="11" t="n">
        <x:v>5</x:v>
      </x:c>
      <x:c r="M33" s="13" t="str">
        <x:v>既知47場</x:v>
      </x:c>
      <x:c r="N33" s="12" t="n">
        <x:v>70.23333333333333</x:v>
      </x:c>
      <x:c r="O33" s="12" t="n">
        <x:v>73.46666666666667</x:v>
      </x:c>
    </x:row>
    <x:row r="34" ht="22" customHeight="1">
      <x:c r="A34" s="2" t="str">
        <x:v>B5</x:v>
      </x:c>
      <x:c r="B34" s="7" t="d">
        <x:v>2026-10-08T17:00:00.000Z</x:v>
      </x:c>
      <x:c r="C34" s="2" t="str">
        <x:v>ナイト</x:v>
      </x:c>
      <x:c r="D34" s="25" t="n">
        <x:v>49232</x:v>
      </x:c>
      <x:c r="E34" s="25" t="n">
        <x:v>0</x:v>
      </x:c>
      <x:c r="F34" s="25" t="n">
        <x:f>D34-E34</x:f>
        <x:v>49232</x:v>
      </x:c>
      <x:c r="G34" s="25" t="n">
        <x:f>SUMIFS($F$7:$F$56,$A$7:$A$56,A34,$B$7:$B$56,"&lt;="&amp;B34)</x:f>
        <x:v>1048188</x:v>
      </x:c>
      <x:c r="H34" s="25" t="n">
        <x:v>768</x:v>
      </x:c>
      <x:c r="I34" s="25" t="n">
        <x:v>50000</x:v>
      </x:c>
      <x:c r="J34" s="11" t="n">
        <x:v>2</x:v>
      </x:c>
      <x:c r="K34" s="11" t="n">
        <x:v>10</x:v>
      </x:c>
      <x:c r="L34" s="11" t="n">
        <x:v>5</x:v>
      </x:c>
      <x:c r="M34" s="13" t="str">
        <x:v>既知47場</x:v>
      </x:c>
      <x:c r="N34" s="12" t="n">
        <x:v>360</x:v>
      </x:c>
      <x:c r="O34" s="12" t="n">
        <x:v>23.016666666666666</x:v>
      </x:c>
    </x:row>
    <x:row r="35" ht="22" customHeight="1">
      <x:c r="A35" s="2" t="str">
        <x:v>B5</x:v>
      </x:c>
      <x:c r="B35" s="7" t="d">
        <x:v>2026-10-09T08:45:00.000Z</x:v>
      </x:c>
      <x:c r="C35" s="2" t="str">
        <x:v>デイ</x:v>
      </x:c>
      <x:c r="D35" s="25" t="n">
        <x:v>59616</x:v>
      </x:c>
      <x:c r="E35" s="25" t="n">
        <x:v>0</x:v>
      </x:c>
      <x:c r="F35" s="25" t="n">
        <x:f>D35-E35</x:f>
        <x:v>59616</x:v>
      </x:c>
      <x:c r="G35" s="25" t="n">
        <x:f>SUMIFS($F$7:$F$56,$A$7:$A$56,A35,$B$7:$B$56,"&lt;="&amp;B35)</x:f>
        <x:v>1107804</x:v>
      </x:c>
      <x:c r="H35" s="25" t="n">
        <x:v>384</x:v>
      </x:c>
      <x:c r="I35" s="25" t="n">
        <x:v>60000</x:v>
      </x:c>
      <x:c r="J35" s="11" t="n">
        <x:v>1</x:v>
      </x:c>
      <x:c r="K35" s="11" t="n">
        <x:v>5</x:v>
      </x:c>
      <x:c r="L35" s="11" t="n">
        <x:v>5</x:v>
      </x:c>
      <x:c r="M35" s="13" t="str">
        <x:v>既知47場</x:v>
      </x:c>
      <x:c r="N35" s="12" t="n">
        <x:v>225</x:v>
      </x:c>
      <x:c r="O35" s="12" t="n">
        <x:v>14.433333333333334</x:v>
      </x:c>
    </x:row>
    <x:row r="36" ht="22" customHeight="1">
      <x:c r="A36" s="2" t="str">
        <x:v>B5</x:v>
      </x:c>
      <x:c r="B36" s="7" t="d">
        <x:v>2026-10-09T17:00:00.000Z</x:v>
      </x:c>
      <x:c r="C36" s="2" t="str">
        <x:v>ナイト</x:v>
      </x:c>
      <x:c r="D36" s="25" t="n">
        <x:v>19616</x:v>
      </x:c>
      <x:c r="E36" s="25" t="n">
        <x:v>0</x:v>
      </x:c>
      <x:c r="F36" s="25" t="n">
        <x:f>D36-E36</x:f>
        <x:v>19616</x:v>
      </x:c>
      <x:c r="G36" s="25" t="n">
        <x:f>SUMIFS($F$7:$F$56,$A$7:$A$56,A36,$B$7:$B$56,"&lt;="&amp;B36)</x:f>
        <x:v>1127420</x:v>
      </x:c>
      <x:c r="H36" s="25" t="n">
        <x:v>384</x:v>
      </x:c>
      <x:c r="I36" s="25" t="n">
        <x:v>20000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360.06666666666666</x:v>
      </x:c>
      <x:c r="O36" s="12" t="n">
        <x:v>11.916666666666666</x:v>
      </x:c>
    </x:row>
    <x:row r="37" ht="22" customHeight="1">
      <x:c r="A37" s="2" t="str">
        <x:v>B5</x:v>
      </x:c>
      <x:c r="B37" s="7" t="d">
        <x:v>2026-10-12T08:45:00.000Z</x:v>
      </x:c>
      <x:c r="C37" s="2" t="str">
        <x:v>デイ</x:v>
      </x:c>
      <x:c r="D37" s="25" t="n">
        <x:v>32616</x:v>
      </x:c>
      <x:c r="E37" s="25" t="n">
        <x:v>25384</x:v>
      </x:c>
      <x:c r="F37" s="25" t="n">
        <x:f>D37-E37</x:f>
        <x:v>7232</x:v>
      </x:c>
      <x:c r="G37" s="25" t="n">
        <x:f>SUMIFS($F$7:$F$56,$A$7:$A$56,A37,$B$7:$B$56,"&lt;="&amp;B37)</x:f>
        <x:v>1134652</x:v>
      </x:c>
      <x:c r="H37" s="25" t="n">
        <x:v>768</x:v>
      </x:c>
      <x:c r="I37" s="25" t="n">
        <x:v>8000</x:v>
      </x:c>
      <x:c r="J37" s="11" t="n">
        <x:v>2</x:v>
      </x:c>
      <x:c r="K37" s="11" t="n">
        <x:v>10</x:v>
      </x:c>
      <x:c r="L37" s="11" t="n">
        <x:v>5</x:v>
      </x:c>
      <x:c r="M37" s="13" t="str">
        <x:v>既知47場</x:v>
      </x:c>
      <x:c r="N37" s="12" t="n">
        <x:v>122.76666666666667</x:v>
      </x:c>
      <x:c r="O37" s="12" t="n">
        <x:v>265.15</x:v>
      </x:c>
    </x:row>
    <x:row r="38" ht="22" customHeight="1">
      <x:c r="A38" s="2" t="str">
        <x:v>B5</x:v>
      </x:c>
      <x:c r="B38" s="7" t="d">
        <x:v>2026-10-12T17:00:00.000Z</x:v>
      </x:c>
      <x:c r="C38" s="2" t="str">
        <x:v>ナイト</x:v>
      </x:c>
      <x:c r="D38" s="25" t="n">
        <x:v>94616</x:v>
      </x:c>
      <x:c r="E38" s="25" t="n">
        <x:v>0</x:v>
      </x:c>
      <x:c r="F38" s="25" t="n">
        <x:f>D38-E38</x:f>
        <x:v>94616</x:v>
      </x:c>
      <x:c r="G38" s="25" t="n">
        <x:f>SUMIFS($F$7:$F$56,$A$7:$A$56,A38,$B$7:$B$56,"&lt;="&amp;B38)</x:f>
        <x:v>1229268</x:v>
      </x:c>
      <x:c r="H38" s="25" t="n">
        <x:v>384</x:v>
      </x:c>
      <x:c r="I38" s="25" t="n">
        <x:v>95000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360.21666666666664</x:v>
      </x:c>
      <x:c r="O38" s="12" t="n">
        <x:v>10.65</x:v>
      </x:c>
    </x:row>
    <x:row r="39" ht="22" customHeight="1">
      <x:c r="A39" s="2" t="str">
        <x:v>B5</x:v>
      </x:c>
      <x:c r="B39" s="7" t="d">
        <x:v>2026-10-13T08:45:00.000Z</x:v>
      </x:c>
      <x:c r="C39" s="2" t="str">
        <x:v>デイ</x:v>
      </x:c>
      <x:c r="D39" s="25" t="n">
        <x:v>69232</x:v>
      </x:c>
      <x:c r="E39" s="25" t="n">
        <x:v>40384</x:v>
      </x:c>
      <x:c r="F39" s="25" t="n">
        <x:f>D39-E39</x:f>
        <x:v>28848</x:v>
      </x:c>
      <x:c r="G39" s="25" t="n">
        <x:f>SUMIFS($F$7:$F$56,$A$7:$A$56,A39,$B$7:$B$56,"&lt;="&amp;B39)</x:f>
        <x:v>1258116</x:v>
      </x:c>
      <x:c r="H39" s="25" t="n">
        <x:v>1152</x:v>
      </x:c>
      <x:c r="I39" s="25" t="n">
        <x:v>30000</x:v>
      </x:c>
      <x:c r="J39" s="11" t="n">
        <x:v>3</x:v>
      </x:c>
      <x:c r="K39" s="11" t="n">
        <x:v>15</x:v>
      </x:c>
      <x:c r="L39" s="11" t="n">
        <x:v>5</x:v>
      </x:c>
      <x:c r="M39" s="13" t="str">
        <x:v>既知47場</x:v>
      </x:c>
      <x:c r="N39" s="12" t="n">
        <x:v>65.25</x:v>
      </x:c>
      <x:c r="O39" s="12" t="n">
        <x:v>313.5833333333333</x:v>
      </x:c>
    </x:row>
    <x:row r="40" ht="22" customHeight="1">
      <x:c r="A40" s="2" t="str">
        <x:v>B5</x:v>
      </x:c>
      <x:c r="B40" s="7" t="d">
        <x:v>2026-10-13T17:00:00.000Z</x:v>
      </x:c>
      <x:c r="C40" s="2" t="str">
        <x:v>ナイト</x:v>
      </x:c>
      <x:c r="D40" s="25" t="n">
        <x:v>0</x:v>
      </x:c>
      <x:c r="E40" s="25" t="n">
        <x:v>80768</x:v>
      </x:c>
      <x:c r="F40" s="25" t="n">
        <x:f>D40-E40</x:f>
        <x:v>-80768</x:v>
      </x:c>
      <x:c r="G40" s="25" t="n">
        <x:f>SUMIFS($F$7:$F$56,$A$7:$A$56,A40,$B$7:$B$56,"&lt;="&amp;B40)</x:f>
        <x:v>1177348</x:v>
      </x:c>
      <x:c r="H40" s="25" t="n">
        <x:v>768</x:v>
      </x:c>
      <x:c r="I40" s="25" t="n">
        <x:v>-80000</x:v>
      </x:c>
      <x:c r="J40" s="11" t="n">
        <x:v>2</x:v>
      </x:c>
      <x:c r="K40" s="11" t="n">
        <x:v>10</x:v>
      </x:c>
      <x:c r="L40" s="11" t="n">
        <x:v>5</x:v>
      </x:c>
      <x:c r="M40" s="13" t="str">
        <x:v>既知47場</x:v>
      </x:c>
      <x:c r="N40" s="12" t="n">
        <x:v>360.23333333333335</x:v>
      </x:c>
      <x:c r="O40" s="12" t="n">
        <x:v>7.716666666666667</x:v>
      </x:c>
    </x:row>
    <x:row r="41" ht="22" customHeight="1">
      <x:c r="A41" s="2" t="str">
        <x:v>B5</x:v>
      </x:c>
      <x:c r="B41" s="7" t="d">
        <x:v>2026-10-14T08:45:00.000Z</x:v>
      </x:c>
      <x:c r="C41" s="2" t="str">
        <x:v>デイ</x:v>
      </x:c>
      <x:c r="D41" s="25" t="n">
        <x:v>172232</x:v>
      </x:c>
      <x:c r="E41" s="25" t="n">
        <x:v>15384</x:v>
      </x:c>
      <x:c r="F41" s="25" t="n">
        <x:f>D41-E41</x:f>
        <x:v>156848</x:v>
      </x:c>
      <x:c r="G41" s="25" t="n">
        <x:f>SUMIFS($F$7:$F$56,$A$7:$A$56,A41,$B$7:$B$56,"&lt;="&amp;B41)</x:f>
        <x:v>1334196</x:v>
      </x:c>
      <x:c r="H41" s="25" t="n">
        <x:v>1152</x:v>
      </x:c>
      <x:c r="I41" s="25" t="n">
        <x:v>158000</x:v>
      </x:c>
      <x:c r="J41" s="11" t="n">
        <x:v>3</x:v>
      </x:c>
      <x:c r="K41" s="11" t="n">
        <x:v>15</x:v>
      </x:c>
      <x:c r="L41" s="11" t="n">
        <x:v>5</x:v>
      </x:c>
      <x:c r="M41" s="13" t="str">
        <x:v>既知47場</x:v>
      </x:c>
      <x:c r="N41" s="12" t="n">
        <x:v>225</x:v>
      </x:c>
      <x:c r="O41" s="12" t="n">
        <x:v>70.13333333333334</x:v>
      </x:c>
    </x:row>
    <x:row r="42" ht="22" customHeight="1">
      <x:c r="A42" s="2" t="str">
        <x:v>B5</x:v>
      </x:c>
      <x:c r="B42" s="7" t="d">
        <x:v>2026-10-14T17:00:00.000Z</x:v>
      </x:c>
      <x:c r="C42" s="2" t="str">
        <x:v>ナイト</x:v>
      </x:c>
      <x:c r="D42" s="25" t="n">
        <x:v>214232</x:v>
      </x:c>
      <x:c r="E42" s="25" t="n">
        <x:v>46154</x:v>
      </x:c>
      <x:c r="F42" s="25" t="n">
        <x:f>D42-E42</x:f>
        <x:v>168078</x:v>
      </x:c>
      <x:c r="G42" s="25" t="n">
        <x:f>SUMIFS($F$7:$F$56,$A$7:$A$56,A42,$B$7:$B$56,"&lt;="&amp;B42)</x:f>
        <x:v>1502274</x:v>
      </x:c>
      <x:c r="H42" s="25" t="n">
        <x:v>922</x:v>
      </x:c>
      <x:c r="I42" s="25" t="n">
        <x:v>169000</x:v>
      </x:c>
      <x:c r="J42" s="11" t="n">
        <x:v>3</x:v>
      </x:c>
      <x:c r="K42" s="11" t="n">
        <x:v>12</x:v>
      </x:c>
      <x:c r="L42" s="11" t="n">
        <x:v>5</x:v>
      </x:c>
      <x:c r="M42" s="13" t="str">
        <x:v>既知47場</x:v>
      </x:c>
      <x:c r="N42" s="12" t="n">
        <x:v>360</x:v>
      </x:c>
      <x:c r="O42" s="12" t="n">
        <x:v>150.75</x:v>
      </x:c>
    </x:row>
    <x:row r="43" ht="22" customHeight="1">
      <x:c r="A43" s="2" t="str">
        <x:v>B5</x:v>
      </x:c>
      <x:c r="B43" s="7" t="d">
        <x:v>2026-10-15T08:45:00.000Z</x:v>
      </x:c>
      <x:c r="C43" s="2" t="str">
        <x:v>デイ</x:v>
      </x:c>
      <x:c r="D43" s="25" t="n">
        <x:v>393232</x:v>
      </x:c>
      <x:c r="E43" s="25" t="n">
        <x:v>0</x:v>
      </x:c>
      <x:c r="F43" s="25" t="n">
        <x:f>D43-E43</x:f>
        <x:v>393232</x:v>
      </x:c>
      <x:c r="G43" s="25" t="n">
        <x:f>SUMIFS($F$7:$F$56,$A$7:$A$56,A43,$B$7:$B$56,"&lt;="&amp;B43)</x:f>
        <x:v>1895506</x:v>
      </x:c>
      <x:c r="H43" s="25" t="n">
        <x:v>768</x:v>
      </x:c>
      <x:c r="I43" s="25" t="n">
        <x:v>394000</x:v>
      </x:c>
      <x:c r="J43" s="11" t="n">
        <x:v>2</x:v>
      </x:c>
      <x:c r="K43" s="11" t="n">
        <x:v>10</x:v>
      </x:c>
      <x:c r="L43" s="11" t="n">
        <x:v>5</x:v>
      </x:c>
      <x:c r="M43" s="13" t="str">
        <x:v>既知47場</x:v>
      </x:c>
      <x:c r="N43" s="12" t="n">
        <x:v>68.51666666666667</x:v>
      </x:c>
      <x:c r="O43" s="12" t="n">
        <x:v>165.43333333333334</x:v>
      </x:c>
    </x:row>
    <x:row r="44" ht="22" customHeight="1">
      <x:c r="A44" s="2" t="str">
        <x:v>B5</x:v>
      </x:c>
      <x:c r="B44" s="7" t="d">
        <x:v>2026-10-15T17:00:00.000Z</x:v>
      </x:c>
      <x:c r="C44" s="2" t="str">
        <x:v>ナイト</x:v>
      </x:c>
      <x:c r="D44" s="25" t="n">
        <x:v>0</x:v>
      </x:c>
      <x:c r="E44" s="25" t="n">
        <x:v>56154</x:v>
      </x:c>
      <x:c r="F44" s="25" t="n">
        <x:f>D44-E44</x:f>
        <x:v>-56154</x:v>
      </x:c>
      <x:c r="G44" s="25" t="n">
        <x:f>SUMIFS($F$7:$F$56,$A$7:$A$56,A44,$B$7:$B$56,"&lt;="&amp;B44)</x:f>
        <x:v>1839352</x:v>
      </x:c>
      <x:c r="H44" s="25" t="n">
        <x:v>154</x:v>
      </x:c>
      <x:c r="I44" s="25" t="n">
        <x:v>-56000</x:v>
      </x:c>
      <x:c r="J44" s="11" t="n">
        <x:v>1</x:v>
      </x:c>
      <x:c r="K44" s="11" t="n">
        <x:v>2</x:v>
      </x:c>
      <x:c r="L44" s="11" t="n">
        <x:v>2</x:v>
      </x:c>
      <x:c r="M44" s="13" t="str">
        <x:v>既知47場</x:v>
      </x:c>
      <x:c r="N44" s="12" t="n">
        <x:v>360</x:v>
      </x:c>
      <x:c r="O44" s="12" t="n">
        <x:v>4.133333333333334</x:v>
      </x:c>
    </x:row>
    <x:row r="45" ht="22" customHeight="1">
      <x:c r="A45" s="2" t="str">
        <x:v>B5</x:v>
      </x:c>
      <x:c r="B45" s="7" t="d">
        <x:v>2026-10-16T08:45:00.000Z</x:v>
      </x:c>
      <x:c r="C45" s="2" t="str">
        <x:v>デイ</x:v>
      </x:c>
      <x:c r="D45" s="25" t="n">
        <x:v>66232</x:v>
      </x:c>
      <x:c r="E45" s="25" t="n">
        <x:v>171536</x:v>
      </x:c>
      <x:c r="F45" s="25" t="n">
        <x:f>D45-E45</x:f>
        <x:v>-105304</x:v>
      </x:c>
      <x:c r="G45" s="25" t="n">
        <x:f>SUMIFS($F$7:$F$56,$A$7:$A$56,A45,$B$7:$B$56,"&lt;="&amp;B45)</x:f>
        <x:v>1734048</x:v>
      </x:c>
      <x:c r="H45" s="25" t="n">
        <x:v>2304</x:v>
      </x:c>
      <x:c r="I45" s="25" t="n">
        <x:v>-103000</x:v>
      </x:c>
      <x:c r="J45" s="11" t="n">
        <x:v>6</x:v>
      </x:c>
      <x:c r="K45" s="11" t="n">
        <x:v>30</x:v>
      </x:c>
      <x:c r="L45" s="11" t="n">
        <x:v>5</x:v>
      </x:c>
      <x:c r="M45" s="13" t="str">
        <x:v>既知47場</x:v>
      </x:c>
      <x:c r="N45" s="12" t="n">
        <x:v>66.9</x:v>
      </x:c>
      <x:c r="O45" s="12" t="n">
        <x:v>95.85</x:v>
      </x:c>
    </x:row>
    <x:row r="46" ht="22" customHeight="1">
      <x:c r="A46" s="2" t="str">
        <x:v>B5</x:v>
      </x:c>
      <x:c r="B46" s="7" t="d">
        <x:v>2026-10-16T17:00:00.000Z</x:v>
      </x:c>
      <x:c r="C46" s="2" t="str">
        <x:v>ナイト</x:v>
      </x:c>
      <x:c r="D46" s="25" t="n">
        <x:v>78002</x:v>
      </x:c>
      <x:c r="E46" s="25" t="n">
        <x:v>0</x:v>
      </x:c>
      <x:c r="F46" s="25" t="n">
        <x:f>D46-E46</x:f>
        <x:v>78002</x:v>
      </x:c>
      <x:c r="G46" s="25" t="n">
        <x:f>SUMIFS($F$7:$F$56,$A$7:$A$56,A46,$B$7:$B$56,"&lt;="&amp;B46)</x:f>
        <x:v>1812050</x:v>
      </x:c>
      <x:c r="H46" s="25" t="n">
        <x:v>998</x:v>
      </x:c>
      <x:c r="I46" s="25" t="n">
        <x:v>79000</x:v>
      </x:c>
      <x:c r="J46" s="11" t="n">
        <x:v>3</x:v>
      </x:c>
      <x:c r="K46" s="11" t="n">
        <x:v>13</x:v>
      </x:c>
      <x:c r="L46" s="11" t="n">
        <x:v>5</x:v>
      </x:c>
      <x:c r="M46" s="13" t="str">
        <x:v>既知47場</x:v>
      </x:c>
      <x:c r="N46" s="12" t="n">
        <x:v>360</x:v>
      </x:c>
      <x:c r="O46" s="12" t="n">
        <x:v>25.933333333333334</x:v>
      </x:c>
    </x:row>
    <x:row r="47" ht="22" customHeight="1">
      <x:c r="A47" s="2" t="str">
        <x:v>B5</x:v>
      </x:c>
      <x:c r="B47" s="7" t="d">
        <x:v>2026-10-19T08:45:00.000Z</x:v>
      </x:c>
      <x:c r="C47" s="2" t="str">
        <x:v>デイ</x:v>
      </x:c>
      <x:c r="D47" s="25" t="n">
        <x:v>182616</x:v>
      </x:c>
      <x:c r="E47" s="25" t="n">
        <x:v>0</x:v>
      </x:c>
      <x:c r="F47" s="25" t="n">
        <x:f>D47-E47</x:f>
        <x:v>182616</x:v>
      </x:c>
      <x:c r="G47" s="25" t="n">
        <x:f>SUMIFS($F$7:$F$56,$A$7:$A$56,A47,$B$7:$B$56,"&lt;="&amp;B47)</x:f>
        <x:v>1994666</x:v>
      </x:c>
      <x:c r="H47" s="25" t="n">
        <x:v>384</x:v>
      </x:c>
      <x:c r="I47" s="25" t="n">
        <x:v>183000</x:v>
      </x:c>
      <x:c r="J47" s="11" t="n">
        <x:v>1</x:v>
      </x:c>
      <x:c r="K47" s="11" t="n">
        <x:v>5</x:v>
      </x:c>
      <x:c r="L47" s="11" t="n">
        <x:v>5</x:v>
      </x:c>
      <x:c r="M47" s="13" t="str">
        <x:v>既知47場</x:v>
      </x:c>
      <x:c r="N47" s="12" t="n">
        <x:v>85.6</x:v>
      </x:c>
      <x:c r="O47" s="12" t="n">
        <x:v>324.4</x:v>
      </x:c>
    </x:row>
    <x:row r="48" ht="22" customHeight="1">
      <x:c r="A48" s="2" t="str">
        <x:v>B5</x:v>
      </x:c>
      <x:c r="B48" s="7" t="d">
        <x:v>2026-10-19T17:00:00.000Z</x:v>
      </x:c>
      <x:c r="C48" s="2" t="str">
        <x:v>ナイト</x:v>
      </x:c>
      <x:c r="D48" s="25" t="n">
        <x:v>24616</x:v>
      </x:c>
      <x:c r="E48" s="25" t="n">
        <x:v>50384</x:v>
      </x:c>
      <x:c r="F48" s="25" t="n">
        <x:f>D48-E48</x:f>
        <x:v>-25768</x:v>
      </x:c>
      <x:c r="G48" s="25" t="n">
        <x:f>SUMIFS($F$7:$F$56,$A$7:$A$56,A48,$B$7:$B$56,"&lt;="&amp;B48)</x:f>
        <x:v>1968898</x:v>
      </x:c>
      <x:c r="H48" s="25" t="n">
        <x:v>768</x:v>
      </x:c>
      <x:c r="I48" s="25" t="n">
        <x:v>-25000</x:v>
      </x:c>
      <x:c r="J48" s="11" t="n">
        <x:v>2</x:v>
      </x:c>
      <x:c r="K48" s="11" t="n">
        <x:v>10</x:v>
      </x:c>
      <x:c r="L48" s="11" t="n">
        <x:v>5</x:v>
      </x:c>
      <x:c r="M48" s="13" t="str">
        <x:v>既知47場</x:v>
      </x:c>
      <x:c r="N48" s="12" t="n">
        <x:v>360</x:v>
      </x:c>
      <x:c r="O48" s="12" t="n">
        <x:v>16.7</x:v>
      </x:c>
    </x:row>
    <x:row r="49" ht="22" customHeight="1">
      <x:c r="A49" s="2" t="str">
        <x:v>B5</x:v>
      </x:c>
      <x:c r="B49" s="7" t="d">
        <x:v>2026-10-20T08:45:00.000Z</x:v>
      </x:c>
      <x:c r="C49" s="2" t="str">
        <x:v>デイ</x:v>
      </x:c>
      <x:c r="D49" s="25" t="n">
        <x:v>104848</x:v>
      </x:c>
      <x:c r="E49" s="25" t="n">
        <x:v>35384</x:v>
      </x:c>
      <x:c r="F49" s="25" t="n">
        <x:f>D49-E49</x:f>
        <x:v>69464</x:v>
      </x:c>
      <x:c r="G49" s="25" t="n">
        <x:f>SUMIFS($F$7:$F$56,$A$7:$A$56,A49,$B$7:$B$56,"&lt;="&amp;B49)</x:f>
        <x:v>2038362</x:v>
      </x:c>
      <x:c r="H49" s="25" t="n">
        <x:v>1536</x:v>
      </x:c>
      <x:c r="I49" s="25" t="n">
        <x:v>71000</x:v>
      </x:c>
      <x:c r="J49" s="11" t="n">
        <x:v>4</x:v>
      </x:c>
      <x:c r="K49" s="11" t="n">
        <x:v>20</x:v>
      </x:c>
      <x:c r="L49" s="11" t="n">
        <x:v>5</x:v>
      </x:c>
      <x:c r="M49" s="13" t="str">
        <x:v>既知47場</x:v>
      </x:c>
      <x:c r="N49" s="12" t="n">
        <x:v>82.2</x:v>
      </x:c>
      <x:c r="O49" s="12" t="n">
        <x:v>188.18333333333334</x:v>
      </x:c>
    </x:row>
    <x:row r="50" ht="22" customHeight="1">
      <x:c r="A50" s="2" t="str">
        <x:v>B5</x:v>
      </x:c>
      <x:c r="B50" s="7" t="d">
        <x:v>2026-10-20T17:00:00.000Z</x:v>
      </x:c>
      <x:c r="C50" s="2" t="str">
        <x:v>ナイト</x:v>
      </x:c>
      <x:c r="D50" s="25" t="n">
        <x:v>19846</x:v>
      </x:c>
      <x:c r="E50" s="25" t="n">
        <x:v>70384</x:v>
      </x:c>
      <x:c r="F50" s="25" t="n">
        <x:f>D50-E50</x:f>
        <x:v>-50538</x:v>
      </x:c>
      <x:c r="G50" s="25" t="n">
        <x:f>SUMIFS($F$7:$F$56,$A$7:$A$56,A50,$B$7:$B$56,"&lt;="&amp;B50)</x:f>
        <x:v>1987824</x:v>
      </x:c>
      <x:c r="H50" s="25" t="n">
        <x:v>538</x:v>
      </x:c>
      <x:c r="I50" s="25" t="n">
        <x:v>-50000</x:v>
      </x:c>
      <x:c r="J50" s="11" t="n">
        <x:v>2</x:v>
      </x:c>
      <x:c r="K50" s="11" t="n">
        <x:v>7</x:v>
      </x:c>
      <x:c r="L50" s="11" t="n">
        <x:v>5</x:v>
      </x:c>
      <x:c r="M50" s="13" t="str">
        <x:v>既知47場</x:v>
      </x:c>
      <x:c r="N50" s="12" t="n">
        <x:v>360.01666666666665</x:v>
      </x:c>
      <x:c r="O50" s="12" t="n">
        <x:v>37.266666666666666</x:v>
      </x:c>
    </x:row>
    <x:row r="51" ht="22" customHeight="1">
      <x:c r="A51" s="2" t="str">
        <x:v>B5</x:v>
      </x:c>
      <x:c r="B51" s="7" t="d">
        <x:v>2026-10-21T08:45:00.000Z</x:v>
      </x:c>
      <x:c r="C51" s="2" t="str">
        <x:v>デイ</x:v>
      </x:c>
      <x:c r="D51" s="25" t="n">
        <x:v>93616</x:v>
      </x:c>
      <x:c r="E51" s="25" t="n">
        <x:v>246920</x:v>
      </x:c>
      <x:c r="F51" s="25" t="n">
        <x:f>D51-E51</x:f>
        <x:v>-153304</x:v>
      </x:c>
      <x:c r="G51" s="25" t="n">
        <x:f>SUMIFS($F$7:$F$56,$A$7:$A$56,A51,$B$7:$B$56,"&lt;="&amp;B51)</x:f>
        <x:v>1834520</x:v>
      </x:c>
      <x:c r="H51" s="25" t="n">
        <x:v>2304</x:v>
      </x:c>
      <x:c r="I51" s="25" t="n">
        <x:v>-151000</x:v>
      </x:c>
      <x:c r="J51" s="11" t="n">
        <x:v>6</x:v>
      </x:c>
      <x:c r="K51" s="11" t="n">
        <x:v>30</x:v>
      </x:c>
      <x:c r="L51" s="11" t="n">
        <x:v>5</x:v>
      </x:c>
      <x:c r="M51" s="13" t="str">
        <x:v>既知47場</x:v>
      </x:c>
      <x:c r="N51" s="12" t="n">
        <x:v>94.45</x:v>
      </x:c>
      <x:c r="O51" s="12" t="n">
        <x:v>83.13333333333334</x:v>
      </x:c>
    </x:row>
    <x:row r="52" ht="22" customHeight="1">
      <x:c r="A52" s="2" t="str">
        <x:v>B5</x:v>
      </x:c>
      <x:c r="B52" s="7" t="d">
        <x:v>2026-10-21T17:00:00.000Z</x:v>
      </x:c>
      <x:c r="C52" s="2" t="str">
        <x:v>ナイト</x:v>
      </x:c>
      <x:c r="D52" s="25" t="n">
        <x:v>44616</x:v>
      </x:c>
      <x:c r="E52" s="25" t="n">
        <x:v>85768</x:v>
      </x:c>
      <x:c r="F52" s="25" t="n">
        <x:f>D52-E52</x:f>
        <x:v>-41152</x:v>
      </x:c>
      <x:c r="G52" s="25" t="n">
        <x:f>SUMIFS($F$7:$F$56,$A$7:$A$56,A52,$B$7:$B$56,"&lt;="&amp;B52)</x:f>
        <x:v>1793368</x:v>
      </x:c>
      <x:c r="H52" s="25" t="n">
        <x:v>1152</x:v>
      </x:c>
      <x:c r="I52" s="25" t="n">
        <x:v>-40000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360</x:v>
      </x:c>
      <x:c r="O52" s="12" t="n">
        <x:v>93.56666666666666</x:v>
      </x:c>
    </x:row>
    <x:row r="53" ht="22" customHeight="1">
      <x:c r="A53" s="2" t="str">
        <x:v>B5</x:v>
      </x:c>
      <x:c r="B53" s="7" t="d">
        <x:v>2026-10-22T08:45:00.000Z</x:v>
      </x:c>
      <x:c r="C53" s="2" t="str">
        <x:v>デイ</x:v>
      </x:c>
      <x:c r="D53" s="25" t="n">
        <x:v>323616</x:v>
      </x:c>
      <x:c r="E53" s="25" t="n">
        <x:v>0</x:v>
      </x:c>
      <x:c r="F53" s="25" t="n">
        <x:f>D53-E53</x:f>
        <x:v>323616</x:v>
      </x:c>
      <x:c r="G53" s="25" t="n">
        <x:f>SUMIFS($F$7:$F$56,$A$7:$A$56,A53,$B$7:$B$56,"&lt;="&amp;B53)</x:f>
        <x:v>2116984</x:v>
      </x:c>
      <x:c r="H53" s="25" t="n">
        <x:v>384</x:v>
      </x:c>
      <x:c r="I53" s="25" t="n">
        <x:v>324000</x:v>
      </x:c>
      <x:c r="J53" s="11" t="n">
        <x:v>1</x:v>
      </x:c>
      <x:c r="K53" s="11" t="n">
        <x:v>5</x:v>
      </x:c>
      <x:c r="L53" s="11" t="n">
        <x:v>5</x:v>
      </x:c>
      <x:c r="M53" s="13" t="str">
        <x:v>既知47場</x:v>
      </x:c>
      <x:c r="N53" s="12" t="n">
        <x:v>79.91666666666667</x:v>
      </x:c>
      <x:c r="O53" s="12" t="n">
        <x:v>234.56666666666666</x:v>
      </x:c>
    </x:row>
    <x:row r="54" ht="22" customHeight="1">
      <x:c r="A54" s="2" t="str">
        <x:v>B5</x:v>
      </x:c>
      <x:c r="B54" s="7" t="d">
        <x:v>2026-10-22T17:00:00.000Z</x:v>
      </x:c>
      <x:c r="C54" s="2" t="str">
        <x:v>ナイト</x:v>
      </x:c>
      <x:c r="D54" s="25" t="n">
        <x:v>104616</x:v>
      </x:c>
      <x:c r="E54" s="25" t="n">
        <x:v>55384</x:v>
      </x:c>
      <x:c r="F54" s="25" t="n">
        <x:f>D54-E54</x:f>
        <x:v>49232</x:v>
      </x:c>
      <x:c r="G54" s="25" t="n">
        <x:f>SUMIFS($F$7:$F$56,$A$7:$A$56,A54,$B$7:$B$56,"&lt;="&amp;B54)</x:f>
        <x:v>2166216</x:v>
      </x:c>
      <x:c r="H54" s="25" t="n">
        <x:v>768</x:v>
      </x:c>
      <x:c r="I54" s="25" t="n">
        <x:v>50000</x:v>
      </x:c>
      <x:c r="J54" s="11" t="n">
        <x:v>2</x:v>
      </x:c>
      <x:c r="K54" s="11" t="n">
        <x:v>10</x:v>
      </x:c>
      <x:c r="L54" s="11" t="n">
        <x:v>5</x:v>
      </x:c>
      <x:c r="M54" s="13" t="str">
        <x:v>追加3場</x:v>
      </x:c>
      <x:c r="N54" s="12" t="n">
        <x:v>360.06666666666666</x:v>
      </x:c>
      <x:c r="O54" s="12" t="n">
        <x:v>22.083333333333332</x:v>
      </x:c>
    </x:row>
    <x:row r="55" ht="22" customHeight="1">
      <x:c r="A55" s="2" t="str">
        <x:v>B5</x:v>
      </x:c>
      <x:c r="B55" s="7" t="d">
        <x:v>2026-10-23T08:45:00.000Z</x:v>
      </x:c>
      <x:c r="C55" s="2" t="str">
        <x:v>デイ</x:v>
      </x:c>
      <x:c r="D55" s="25" t="n">
        <x:v>0</x:v>
      </x:c>
      <x:c r="E55" s="25" t="n">
        <x:v>45384</x:v>
      </x:c>
      <x:c r="F55" s="25" t="n">
        <x:f>D55-E55</x:f>
        <x:v>-45384</x:v>
      </x:c>
      <x:c r="G55" s="25" t="n">
        <x:f>SUMIFS($F$7:$F$56,$A$7:$A$56,A55,$B$7:$B$56,"&lt;="&amp;B55)</x:f>
        <x:v>2120832</x:v>
      </x:c>
      <x:c r="H55" s="25" t="n">
        <x:v>384</x:v>
      </x:c>
      <x:c r="I55" s="25" t="n">
        <x:v>-45000</x:v>
      </x:c>
      <x:c r="J55" s="11" t="n">
        <x:v>1</x:v>
      </x:c>
      <x:c r="K55" s="11" t="n">
        <x:v>5</x:v>
      </x:c>
      <x:c r="L55" s="11" t="n">
        <x:v>5</x:v>
      </x:c>
      <x:c r="M55" s="13" t="str">
        <x:v>追加3場</x:v>
      </x:c>
      <x:c r="N55" s="12" t="n">
        <x:v>138.36666666666667</x:v>
      </x:c>
      <x:c r="O55" s="12" t="n">
        <x:v>4.233333333333333</x:v>
      </x:c>
    </x:row>
    <x:row r="56" ht="22" customHeight="1">
      <x:c r="A56" s="2" t="str">
        <x:v>B5</x:v>
      </x:c>
      <x:c r="B56" s="7" t="d">
        <x:v>2026-10-23T17:00:00.000Z</x:v>
      </x:c>
      <x:c r="C56" s="2" t="str">
        <x:v>ナイト</x:v>
      </x:c>
      <x:c r="D56" s="25" t="n">
        <x:v>0</x:v>
      </x:c>
      <x:c r="E56" s="25" t="n">
        <x:v>55384</x:v>
      </x:c>
      <x:c r="F56" s="25" t="n">
        <x:f>D56-E56</x:f>
        <x:v>-55384</x:v>
      </x:c>
      <x:c r="G56" s="25" t="n">
        <x:f>SUMIFS($F$7:$F$56,$A$7:$A$56,A56,$B$7:$B$56,"&lt;="&amp;B56)</x:f>
        <x:v>2065448</x:v>
      </x:c>
      <x:c r="H56" s="25" t="n">
        <x:v>384</x:v>
      </x:c>
      <x:c r="I56" s="25" t="n">
        <x:v>-55000</x:v>
      </x:c>
      <x:c r="J56" s="11" t="n">
        <x:v>1</x:v>
      </x:c>
      <x:c r="K56" s="11" t="n">
        <x:v>5</x:v>
      </x:c>
      <x:c r="L56" s="11" t="n">
        <x:v>5</x:v>
      </x:c>
      <x:c r="M56" s="13" t="str">
        <x:v>追加3場</x:v>
      </x:c>
      <x:c r="N56" s="12" t="n">
        <x:v>360.03333333333336</x:v>
      </x:c>
      <x:c r="O56" s="12" t="n">
        <x:v>1.5666666666666667</x:v>
      </x:c>
    </x:row>
  </x:sheetData>
  <x:conditionalFormatting sqref="D7:I5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fbc878b4994188"/>
  </x:tableParts>
</x:worksheet>
</file>

<file path=xl/worksheets/sheet4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S36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昼基準：T06／夜基準：U06。既知47場：9/21～10/22デイ。追加3場：10/22ナイト～10/23ナイト。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追加入口は昼夜共通の比較。夜のみ米国開始前後15分は静観。累計は日時順。出典：00140保存会計。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S36</x:v>
      </x:c>
      <x:c r="B7" s="7" t="d">
        <x:v>2026-09-21T08:45:00.000Z</x:v>
      </x:c>
      <x:c r="C7" s="2" t="str">
        <x:v>デイ</x:v>
      </x:c>
      <x:c r="D7" s="25" t="n">
        <x:v>85616</x:v>
      </x:c>
      <x:c r="E7" s="25" t="n">
        <x:v>0</x:v>
      </x:c>
      <x:c r="F7" s="25" t="n">
        <x:f>D7-E7</x:f>
        <x:v>85616</x:v>
      </x:c>
      <x:c r="G7" s="25" t="n">
        <x:f>SUMIFS($F$7:$F$56,$A$7:$A$56,A7,$B$7:$B$56,"&lt;="&amp;B7)</x:f>
        <x:v>85616</x:v>
      </x:c>
      <x:c r="H7" s="25" t="n">
        <x:v>384</x:v>
      </x:c>
      <x:c r="I7" s="25" t="n">
        <x:v>86000</x:v>
      </x:c>
      <x:c r="J7" s="11" t="n">
        <x:v>1</x:v>
      </x:c>
      <x:c r="K7" s="11" t="n">
        <x:v>5</x:v>
      </x:c>
      <x:c r="L7" s="11" t="n">
        <x:v>5</x:v>
      </x:c>
      <x:c r="M7" s="13" t="str">
        <x:v>既知47場</x:v>
      </x:c>
      <x:c r="N7" s="12" t="n">
        <x:v>190.06666666666666</x:v>
      </x:c>
      <x:c r="O7" s="12" t="n">
        <x:v>167.2</x:v>
      </x:c>
    </x:row>
    <x:row r="8" ht="22" customHeight="1">
      <x:c r="A8" s="2" t="str">
        <x:v>S36</x:v>
      </x:c>
      <x:c r="B8" s="7" t="d">
        <x:v>2026-09-21T17:00:00.000Z</x:v>
      </x:c>
      <x:c r="C8" s="2" t="str">
        <x:v>ナイト</x:v>
      </x:c>
      <x:c r="D8" s="25" t="n">
        <x:v>0</x:v>
      </x:c>
      <x:c r="E8" s="25" t="n">
        <x:v>45384</x:v>
      </x:c>
      <x:c r="F8" s="25" t="n">
        <x:f>D8-E8</x:f>
        <x:v>-45384</x:v>
      </x:c>
      <x:c r="G8" s="25" t="n">
        <x:f>SUMIFS($F$7:$F$56,$A$7:$A$56,A8,$B$7:$B$56,"&lt;="&amp;B8)</x:f>
        <x:v>40232</x:v>
      </x:c>
      <x:c r="H8" s="25" t="n">
        <x:v>384</x:v>
      </x:c>
      <x:c r="I8" s="25" t="n">
        <x:v>-45000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360.01666666666665</x:v>
      </x:c>
      <x:c r="O8" s="12" t="n">
        <x:v>5.666666666666667</x:v>
      </x:c>
    </x:row>
    <x:row r="9" ht="22" customHeight="1">
      <x:c r="A9" s="2" t="str">
        <x:v>S36</x:v>
      </x:c>
      <x:c r="B9" s="7" t="d">
        <x:v>2026-09-22T08:45:00.000Z</x:v>
      </x:c>
      <x:c r="C9" s="2" t="str">
        <x:v>デイ</x:v>
      </x:c>
      <x:c r="D9" s="25" t="n">
        <x:v>0</x:v>
      </x:c>
      <x:c r="E9" s="25" t="n">
        <x:v>106152</x:v>
      </x:c>
      <x:c r="F9" s="25" t="n">
        <x:f>D9-E9</x:f>
        <x:v>-106152</x:v>
      </x:c>
      <x:c r="G9" s="25" t="n">
        <x:f>SUMIFS($F$7:$F$56,$A$7:$A$56,A9,$B$7:$B$56,"&lt;="&amp;B9)</x:f>
        <x:v>-65920</x:v>
      </x:c>
      <x:c r="H9" s="25" t="n">
        <x:v>1152</x:v>
      </x:c>
      <x:c r="I9" s="25" t="n">
        <x:v>-105000</x:v>
      </x:c>
      <x:c r="J9" s="11" t="n">
        <x:v>3</x:v>
      </x:c>
      <x:c r="K9" s="11" t="n">
        <x:v>15</x:v>
      </x:c>
      <x:c r="L9" s="11" t="n">
        <x:v>5</x:v>
      </x:c>
      <x:c r="M9" s="13" t="str">
        <x:v>既知47場</x:v>
      </x:c>
      <x:c r="N9" s="12" t="n">
        <x:v>242.78333333333333</x:v>
      </x:c>
      <x:c r="O9" s="12" t="n">
        <x:v>28.166666666666668</x:v>
      </x:c>
    </x:row>
    <x:row r="10" ht="22" customHeight="1">
      <x:c r="A10" s="2" t="str">
        <x:v>S36</x:v>
      </x:c>
      <x:c r="B10" s="7" t="d">
        <x:v>2026-09-22T17:00:00.000Z</x:v>
      </x:c>
      <x:c r="C10" s="2" t="str">
        <x:v>ナイト</x:v>
      </x:c>
      <x:c r="D10" s="25" t="n">
        <x:v>39616</x:v>
      </x:c>
      <x:c r="E10" s="25" t="n">
        <x:v>0</x:v>
      </x:c>
      <x:c r="F10" s="25" t="n">
        <x:f>D10-E10</x:f>
        <x:v>39616</x:v>
      </x:c>
      <x:c r="G10" s="25" t="n">
        <x:f>SUMIFS($F$7:$F$56,$A$7:$A$56,A10,$B$7:$B$56,"&lt;="&amp;B10)</x:f>
        <x:v>-26304</x:v>
      </x:c>
      <x:c r="H10" s="25" t="n">
        <x:v>384</x:v>
      </x:c>
      <x:c r="I10" s="25" t="n">
        <x:v>40000</x:v>
      </x:c>
      <x:c r="J10" s="11" t="n">
        <x:v>1</x:v>
      </x:c>
      <x:c r="K10" s="11" t="n">
        <x:v>5</x:v>
      </x:c>
      <x:c r="L10" s="11" t="n">
        <x:v>5</x:v>
      </x:c>
      <x:c r="M10" s="13" t="str">
        <x:v>既知47場</x:v>
      </x:c>
      <x:c r="N10" s="12" t="n">
        <x:v>360.1</x:v>
      </x:c>
      <x:c r="O10" s="12" t="n">
        <x:v>13.583333333333334</x:v>
      </x:c>
    </x:row>
    <x:row r="11" ht="22" customHeight="1">
      <x:c r="A11" s="2" t="str">
        <x:v>S36</x:v>
      </x:c>
      <x:c r="B11" s="7" t="d">
        <x:v>2026-09-23T08:45:00.000Z</x:v>
      </x:c>
      <x:c r="C11" s="2" t="str">
        <x:v>デイ</x:v>
      </x:c>
      <x:c r="D11" s="25" t="n">
        <x:v>0</x:v>
      </x:c>
      <x:c r="E11" s="25" t="n">
        <x:v>4384</x:v>
      </x:c>
      <x:c r="F11" s="25" t="n">
        <x:f>D11-E11</x:f>
        <x:v>-4384</x:v>
      </x:c>
      <x:c r="G11" s="25" t="n">
        <x:f>SUMIFS($F$7:$F$56,$A$7:$A$56,A11,$B$7:$B$56,"&lt;="&amp;B11)</x:f>
        <x:v>-30688</x:v>
      </x:c>
      <x:c r="H11" s="25" t="n">
        <x:v>384</x:v>
      </x:c>
      <x:c r="I11" s="25" t="n">
        <x:v>-4000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68.15</x:v>
      </x:c>
      <x:c r="O11" s="12" t="n">
        <x:v>313.75</x:v>
      </x:c>
    </x:row>
    <x:row r="12" ht="22" customHeight="1">
      <x:c r="A12" s="2" t="str">
        <x:v>S36</x:v>
      </x:c>
      <x:c r="B12" s="7" t="d">
        <x:v>2026-09-23T17:00:00.000Z</x:v>
      </x:c>
      <x:c r="C12" s="2" t="str">
        <x:v>ナイト</x:v>
      </x:c>
      <x:c r="D12" s="25" t="n">
        <x:v>2694</x:v>
      </x:c>
      <x:c r="E12" s="25" t="n">
        <x:v>40384</x:v>
      </x:c>
      <x:c r="F12" s="25" t="n">
        <x:f>D12-E12</x:f>
        <x:v>-37690</x:v>
      </x:c>
      <x:c r="G12" s="25" t="n">
        <x:f>SUMIFS($F$7:$F$56,$A$7:$A$56,A12,$B$7:$B$56,"&lt;="&amp;B12)</x:f>
        <x:v>-68378</x:v>
      </x:c>
      <x:c r="H12" s="25" t="n">
        <x:v>690</x:v>
      </x:c>
      <x:c r="I12" s="25" t="n">
        <x:v>-37000</x:v>
      </x:c>
      <x:c r="J12" s="11" t="n">
        <x:v>4</x:v>
      </x:c>
      <x:c r="K12" s="11" t="n">
        <x:v>9</x:v>
      </x:c>
      <x:c r="L12" s="11" t="n">
        <x:v>5</x:v>
      </x:c>
      <x:c r="M12" s="13" t="str">
        <x:v>既知47場</x:v>
      </x:c>
      <x:c r="N12" s="12" t="n">
        <x:v>358.03333333333336</x:v>
      </x:c>
      <x:c r="O12" s="12" t="n">
        <x:v>5.3</x:v>
      </x:c>
    </x:row>
    <x:row r="13" ht="22" customHeight="1">
      <x:c r="A13" s="2" t="str">
        <x:v>S36</x:v>
      </x:c>
      <x:c r="B13" s="7" t="d">
        <x:v>2026-09-24T08:45:00.000Z</x:v>
      </x:c>
      <x:c r="C13" s="2" t="str">
        <x:v>デイ</x:v>
      </x:c>
      <x:c r="D13" s="25" t="n">
        <x:v>110234</x:v>
      </x:c>
      <x:c r="E13" s="25" t="n">
        <x:v>85768</x:v>
      </x:c>
      <x:c r="F13" s="25" t="n">
        <x:f>D13-E13</x:f>
        <x:v>24466</x:v>
      </x:c>
      <x:c r="G13" s="25" t="n">
        <x:f>SUMIFS($F$7:$F$56,$A$7:$A$56,A13,$B$7:$B$56,"&lt;="&amp;B13)</x:f>
        <x:v>-43912</x:v>
      </x:c>
      <x:c r="H13" s="25" t="n">
        <x:v>1534</x:v>
      </x:c>
      <x:c r="I13" s="25" t="n">
        <x:v>26000</x:v>
      </x:c>
      <x:c r="J13" s="11" t="n">
        <x:v>7</x:v>
      </x:c>
      <x:c r="K13" s="11" t="n">
        <x:v>20</x:v>
      </x:c>
      <x:c r="L13" s="11" t="n">
        <x:v>7</x:v>
      </x:c>
      <x:c r="M13" s="13" t="str">
        <x:v>既知47場</x:v>
      </x:c>
      <x:c r="N13" s="12" t="n">
        <x:v>50.733333333333334</x:v>
      </x:c>
      <x:c r="O13" s="12" t="n">
        <x:v>310.8333333333333</x:v>
      </x:c>
    </x:row>
    <x:row r="14" ht="22" customHeight="1">
      <x:c r="A14" s="2" t="str">
        <x:v>S36</x:v>
      </x:c>
      <x:c r="B14" s="7" t="d">
        <x:v>2026-09-24T17:00:00.000Z</x:v>
      </x:c>
      <x:c r="C14" s="2" t="str">
        <x:v>ナイト</x:v>
      </x:c>
      <x:c r="D14" s="25" t="n">
        <x:v>74234</x:v>
      </x:c>
      <x:c r="E14" s="25" t="n">
        <x:v>40384</x:v>
      </x:c>
      <x:c r="F14" s="25" t="n">
        <x:f>D14-E14</x:f>
        <x:v>33850</x:v>
      </x:c>
      <x:c r="G14" s="25" t="n">
        <x:f>SUMIFS($F$7:$F$56,$A$7:$A$56,A14,$B$7:$B$56,"&lt;="&amp;B14)</x:f>
        <x:v>-10062</x:v>
      </x:c>
      <x:c r="H14" s="25" t="n">
        <x:v>1150</x:v>
      </x:c>
      <x:c r="I14" s="25" t="n">
        <x:v>35000</x:v>
      </x:c>
      <x:c r="J14" s="11" t="n">
        <x:v>6</x:v>
      </x:c>
      <x:c r="K14" s="11" t="n">
        <x:v>15</x:v>
      </x:c>
      <x:c r="L14" s="11" t="n">
        <x:v>5</x:v>
      </x:c>
      <x:c r="M14" s="13" t="str">
        <x:v>既知47場</x:v>
      </x:c>
      <x:c r="N14" s="12" t="n">
        <x:v>360.3333333333333</x:v>
      </x:c>
      <x:c r="O14" s="12" t="n">
        <x:v>25.5</x:v>
      </x:c>
    </x:row>
    <x:row r="15" ht="22" customHeight="1">
      <x:c r="A15" s="2" t="str">
        <x:v>S36</x:v>
      </x:c>
      <x:c r="B15" s="7" t="d">
        <x:v>2026-09-25T08:45:00.000Z</x:v>
      </x:c>
      <x:c r="C15" s="2" t="str">
        <x:v>デイ</x:v>
      </x:c>
      <x:c r="D15" s="25" t="n">
        <x:v>156234</x:v>
      </x:c>
      <x:c r="E15" s="25" t="n">
        <x:v>78462</x:v>
      </x:c>
      <x:c r="F15" s="25" t="n">
        <x:f>D15-E15</x:f>
        <x:v>77772</x:v>
      </x:c>
      <x:c r="G15" s="25" t="n">
        <x:f>SUMIFS($F$7:$F$56,$A$7:$A$56,A15,$B$7:$B$56,"&lt;="&amp;B15)</x:f>
        <x:v>67710</x:v>
      </x:c>
      <x:c r="H15" s="25" t="n">
        <x:v>1228</x:v>
      </x:c>
      <x:c r="I15" s="25" t="n">
        <x:v>79000</x:v>
      </x:c>
      <x:c r="J15" s="11" t="n">
        <x:v>8</x:v>
      </x:c>
      <x:c r="K15" s="11" t="n">
        <x:v>16</x:v>
      </x:c>
      <x:c r="L15" s="11" t="n">
        <x:v>5</x:v>
      </x:c>
      <x:c r="M15" s="13" t="str">
        <x:v>既知47場</x:v>
      </x:c>
      <x:c r="N15" s="12" t="n">
        <x:v>62.81666666666667</x:v>
      </x:c>
      <x:c r="O15" s="12" t="n">
        <x:v>343.81666666666666</x:v>
      </x:c>
    </x:row>
    <x:row r="16" ht="22" customHeight="1">
      <x:c r="A16" s="2" t="str">
        <x:v>S36</x:v>
      </x:c>
      <x:c r="B16" s="7" t="d">
        <x:v>2026-09-25T17:00:00.000Z</x:v>
      </x:c>
      <x:c r="C16" s="2" t="str">
        <x:v>ナイト</x:v>
      </x:c>
      <x:c r="D16" s="25" t="n">
        <x:v>14616</x:v>
      </x:c>
      <x:c r="E16" s="25" t="n">
        <x:v>0</x:v>
      </x:c>
      <x:c r="F16" s="25" t="n">
        <x:f>D16-E16</x:f>
        <x:v>14616</x:v>
      </x:c>
      <x:c r="G16" s="25" t="n">
        <x:f>SUMIFS($F$7:$F$56,$A$7:$A$56,A16,$B$7:$B$56,"&lt;="&amp;B16)</x:f>
        <x:v>82326</x:v>
      </x:c>
      <x:c r="H16" s="25" t="n">
        <x:v>384</x:v>
      </x:c>
      <x:c r="I16" s="25" t="n">
        <x:v>15000</x:v>
      </x:c>
      <x:c r="J16" s="11" t="n">
        <x:v>1</x:v>
      </x:c>
      <x:c r="K16" s="11" t="n">
        <x:v>5</x:v>
      </x:c>
      <x:c r="L16" s="11" t="n">
        <x:v>5</x:v>
      </x:c>
      <x:c r="M16" s="13" t="str">
        <x:v>既知47場</x:v>
      </x:c>
      <x:c r="N16" s="12" t="n">
        <x:v>360</x:v>
      </x:c>
      <x:c r="O16" s="12" t="n">
        <x:v>2.433333333333333</x:v>
      </x:c>
    </x:row>
    <x:row r="17" ht="22" customHeight="1">
      <x:c r="A17" s="2" t="str">
        <x:v>S36</x:v>
      </x:c>
      <x:c r="B17" s="7" t="d">
        <x:v>2026-09-28T08:45:00.000Z</x:v>
      </x:c>
      <x:c r="C17" s="2" t="str">
        <x:v>デイ</x:v>
      </x:c>
      <x:c r="D17" s="25" t="n">
        <x:v>261616</x:v>
      </x:c>
      <x:c r="E17" s="25" t="n">
        <x:v>221382</x:v>
      </x:c>
      <x:c r="F17" s="25" t="n">
        <x:f>D17-E17</x:f>
        <x:v>40234</x:v>
      </x:c>
      <x:c r="G17" s="25" t="n">
        <x:f>SUMIFS($F$7:$F$56,$A$7:$A$56,A17,$B$7:$B$56,"&lt;="&amp;B17)</x:f>
        <x:v>122560</x:v>
      </x:c>
      <x:c r="H17" s="25" t="n">
        <x:v>1766</x:v>
      </x:c>
      <x:c r="I17" s="25" t="n">
        <x:v>42000</x:v>
      </x:c>
      <x:c r="J17" s="11" t="n">
        <x:v>10</x:v>
      </x:c>
      <x:c r="K17" s="11" t="n">
        <x:v>23</x:v>
      </x:c>
      <x:c r="L17" s="11" t="n">
        <x:v>7</x:v>
      </x:c>
      <x:c r="M17" s="13" t="str">
        <x:v>既知47場</x:v>
      </x:c>
      <x:c r="N17" s="12" t="n">
        <x:v>66.3</x:v>
      </x:c>
      <x:c r="O17" s="12" t="n">
        <x:v>331.28333333333336</x:v>
      </x:c>
    </x:row>
    <x:row r="18" ht="22" customHeight="1">
      <x:c r="A18" s="2" t="str">
        <x:v>S36</x:v>
      </x:c>
      <x:c r="B18" s="7" t="d">
        <x:v>2026-09-28T17:00:00.000Z</x:v>
      </x:c>
      <x:c r="C18" s="2" t="str">
        <x:v>ナイト</x:v>
      </x:c>
      <x:c r="D18" s="25" t="n">
        <x:v>77462</x:v>
      </x:c>
      <x:c r="E18" s="25" t="n">
        <x:v>20154</x:v>
      </x:c>
      <x:c r="F18" s="25" t="n">
        <x:f>D18-E18</x:f>
        <x:v>57308</x:v>
      </x:c>
      <x:c r="G18" s="25" t="n">
        <x:f>SUMIFS($F$7:$F$56,$A$7:$A$56,A18,$B$7:$B$56,"&lt;="&amp;B18)</x:f>
        <x:v>179868</x:v>
      </x:c>
      <x:c r="H18" s="25" t="n">
        <x:v>692</x:v>
      </x:c>
      <x:c r="I18" s="25" t="n">
        <x:v>58000</x:v>
      </x:c>
      <x:c r="J18" s="11" t="n">
        <x:v>3</x:v>
      </x:c>
      <x:c r="K18" s="11" t="n">
        <x:v>9</x:v>
      </x:c>
      <x:c r="L18" s="11" t="n">
        <x:v>5</x:v>
      </x:c>
      <x:c r="M18" s="13" t="str">
        <x:v>既知47場</x:v>
      </x:c>
      <x:c r="N18" s="12" t="n">
        <x:v>135.46666666666667</x:v>
      </x:c>
      <x:c r="O18" s="12" t="n">
        <x:v>47.65</x:v>
      </x:c>
    </x:row>
    <x:row r="19" ht="22" customHeight="1">
      <x:c r="A19" s="2" t="str">
        <x:v>S36</x:v>
      </x:c>
      <x:c r="B19" s="7" t="d">
        <x:v>2026-09-29T08:45:00.000Z</x:v>
      </x:c>
      <x:c r="C19" s="2" t="str">
        <x:v>デイ</x:v>
      </x:c>
      <x:c r="D19" s="25" t="n">
        <x:v>344468</x:v>
      </x:c>
      <x:c r="E19" s="25" t="n">
        <x:v>90460</x:v>
      </x:c>
      <x:c r="F19" s="25" t="n">
        <x:f>D19-E19</x:f>
        <x:v>254008</x:v>
      </x:c>
      <x:c r="G19" s="25" t="n">
        <x:f>SUMIFS($F$7:$F$56,$A$7:$A$56,A19,$B$7:$B$56,"&lt;="&amp;B19)</x:f>
        <x:v>433876</x:v>
      </x:c>
      <x:c r="H19" s="25" t="n">
        <x:v>1992</x:v>
      </x:c>
      <x:c r="I19" s="25" t="n">
        <x:v>256000</x:v>
      </x:c>
      <x:c r="J19" s="11" t="n">
        <x:v>14</x:v>
      </x:c>
      <x:c r="K19" s="11" t="n">
        <x:v>26</x:v>
      </x:c>
      <x:c r="L19" s="11" t="n">
        <x:v>10</x:v>
      </x:c>
      <x:c r="M19" s="13" t="str">
        <x:v>既知47場</x:v>
      </x:c>
      <x:c r="N19" s="12" t="n">
        <x:v>45.583333333333336</x:v>
      </x:c>
      <x:c r="O19" s="12" t="n">
        <x:v>318.06666666666666</x:v>
      </x:c>
    </x:row>
    <x:row r="20" ht="22" customHeight="1">
      <x:c r="A20" s="2" t="str">
        <x:v>S36</x:v>
      </x:c>
      <x:c r="B20" s="7" t="d">
        <x:v>2026-09-29T17:00:00.000Z</x:v>
      </x:c>
      <x:c r="C20" s="2" t="str">
        <x:v>ナイト</x:v>
      </x:c>
      <x:c r="D20" s="25" t="n">
        <x:v>195618</x:v>
      </x:c>
      <x:c r="E20" s="25" t="n">
        <x:v>66538</x:v>
      </x:c>
      <x:c r="F20" s="25" t="n">
        <x:f>D20-E20</x:f>
        <x:v>129080</x:v>
      </x:c>
      <x:c r="G20" s="25" t="n">
        <x:f>SUMIFS($F$7:$F$56,$A$7:$A$56,A20,$B$7:$B$56,"&lt;="&amp;B20)</x:f>
        <x:v>562956</x:v>
      </x:c>
      <x:c r="H20" s="25" t="n">
        <x:v>1920</x:v>
      </x:c>
      <x:c r="I20" s="25" t="n">
        <x:v>131000</x:v>
      </x:c>
      <x:c r="J20" s="11" t="n">
        <x:v>7</x:v>
      </x:c>
      <x:c r="K20" s="11" t="n">
        <x:v>25</x:v>
      </x:c>
      <x:c r="L20" s="11" t="n">
        <x:v>5</x:v>
      </x:c>
      <x:c r="M20" s="13" t="str">
        <x:v>既知47場</x:v>
      </x:c>
      <x:c r="N20" s="12" t="n">
        <x:v>359.71666666666664</x:v>
      </x:c>
      <x:c r="O20" s="12" t="n">
        <x:v>124.46666666666667</x:v>
      </x:c>
    </x:row>
    <x:row r="21" ht="22" customHeight="1">
      <x:c r="A21" s="2" t="str">
        <x:v>S36</x:v>
      </x:c>
      <x:c r="B21" s="7" t="d">
        <x:v>2026-09-30T08:45:00.000Z</x:v>
      </x:c>
      <x:c r="C21" s="2" t="str">
        <x:v>デイ</x:v>
      </x:c>
      <x:c r="D21" s="25" t="n">
        <x:v>212234</x:v>
      </x:c>
      <x:c r="E21" s="25" t="n">
        <x:v>88768</x:v>
      </x:c>
      <x:c r="F21" s="25" t="n">
        <x:f>D21-E21</x:f>
        <x:v>123466</x:v>
      </x:c>
      <x:c r="G21" s="25" t="n">
        <x:f>SUMIFS($F$7:$F$56,$A$7:$A$56,A21,$B$7:$B$56,"&lt;="&amp;B21)</x:f>
        <x:v>686422</x:v>
      </x:c>
      <x:c r="H21" s="25" t="n">
        <x:v>1534</x:v>
      </x:c>
      <x:c r="I21" s="25" t="n">
        <x:v>125000</x:v>
      </x:c>
      <x:c r="J21" s="11" t="n">
        <x:v>9</x:v>
      </x:c>
      <x:c r="K21" s="11" t="n">
        <x:v>20</x:v>
      </x:c>
      <x:c r="L21" s="11" t="n">
        <x:v>5</x:v>
      </x:c>
      <x:c r="M21" s="13" t="str">
        <x:v>既知47場</x:v>
      </x:c>
      <x:c r="N21" s="12" t="n">
        <x:v>46.15</x:v>
      </x:c>
      <x:c r="O21" s="12" t="n">
        <x:v>192.45</x:v>
      </x:c>
    </x:row>
    <x:row r="22" ht="22" customHeight="1">
      <x:c r="A22" s="2" t="str">
        <x:v>S36</x:v>
      </x:c>
      <x:c r="B22" s="7" t="d">
        <x:v>2026-09-30T17:00:00.000Z</x:v>
      </x:c>
      <x:c r="C22" s="2" t="str">
        <x:v>ナイト</x:v>
      </x:c>
      <x:c r="D22" s="25" t="n">
        <x:v>59232</x:v>
      </x:c>
      <x:c r="E22" s="25" t="n">
        <x:v>0</x:v>
      </x:c>
      <x:c r="F22" s="25" t="n">
        <x:f>D22-E22</x:f>
        <x:v>59232</x:v>
      </x:c>
      <x:c r="G22" s="25" t="n">
        <x:f>SUMIFS($F$7:$F$56,$A$7:$A$56,A22,$B$7:$B$56,"&lt;="&amp;B22)</x:f>
        <x:v>745654</x:v>
      </x:c>
      <x:c r="H22" s="25" t="n">
        <x:v>768</x:v>
      </x:c>
      <x:c r="I22" s="25" t="n">
        <x:v>60000</x:v>
      </x:c>
      <x:c r="J22" s="11" t="n">
        <x:v>2</x:v>
      </x:c>
      <x:c r="K22" s="11" t="n">
        <x:v>10</x:v>
      </x:c>
      <x:c r="L22" s="11" t="n">
        <x:v>5</x:v>
      </x:c>
      <x:c r="M22" s="13" t="str">
        <x:v>既知47場</x:v>
      </x:c>
      <x:c r="N22" s="12" t="n">
        <x:v>360</x:v>
      </x:c>
      <x:c r="O22" s="12" t="n">
        <x:v>19.883333333333333</x:v>
      </x:c>
    </x:row>
    <x:row r="23" ht="22" customHeight="1">
      <x:c r="A23" s="2" t="str">
        <x:v>S36</x:v>
      </x:c>
      <x:c r="B23" s="7" t="d">
        <x:v>2026-10-01T08:45:00.000Z</x:v>
      </x:c>
      <x:c r="C23" s="2" t="str">
        <x:v>デイ</x:v>
      </x:c>
      <x:c r="D23" s="25" t="n">
        <x:v>507234</x:v>
      </x:c>
      <x:c r="E23" s="25" t="n">
        <x:v>60384</x:v>
      </x:c>
      <x:c r="F23" s="25" t="n">
        <x:f>D23-E23</x:f>
        <x:v>446850</x:v>
      </x:c>
      <x:c r="G23" s="25" t="n">
        <x:f>SUMIFS($F$7:$F$56,$A$7:$A$56,A23,$B$7:$B$56,"&lt;="&amp;B23)</x:f>
        <x:v>1192504</x:v>
      </x:c>
      <x:c r="H23" s="25" t="n">
        <x:v>1150</x:v>
      </x:c>
      <x:c r="I23" s="25" t="n">
        <x:v>448000</x:v>
      </x:c>
      <x:c r="J23" s="11" t="n">
        <x:v>6</x:v>
      </x:c>
      <x:c r="K23" s="11" t="n">
        <x:v>15</x:v>
      </x:c>
      <x:c r="L23" s="11" t="n">
        <x:v>7</x:v>
      </x:c>
      <x:c r="M23" s="13" t="str">
        <x:v>既知47場</x:v>
      </x:c>
      <x:c r="N23" s="12" t="n">
        <x:v>88.93333333333334</x:v>
      </x:c>
      <x:c r="O23" s="12" t="n">
        <x:v>317.35</x:v>
      </x:c>
    </x:row>
    <x:row r="24" ht="22" customHeight="1">
      <x:c r="A24" s="2" t="str">
        <x:v>S36</x:v>
      </x:c>
      <x:c r="B24" s="7" t="d">
        <x:v>2026-10-01T17:00:00.000Z</x:v>
      </x:c>
      <x:c r="C24" s="2" t="str">
        <x:v>ナイト</x:v>
      </x:c>
      <x:c r="D24" s="25" t="n">
        <x:v>99310</x:v>
      </x:c>
      <x:c r="E24" s="25" t="n">
        <x:v>103538</x:v>
      </x:c>
      <x:c r="F24" s="25" t="n">
        <x:f>D24-E24</x:f>
        <x:v>-4228</x:v>
      </x:c>
      <x:c r="G24" s="25" t="n">
        <x:f>SUMIFS($F$7:$F$56,$A$7:$A$56,A24,$B$7:$B$56,"&lt;="&amp;B24)</x:f>
        <x:v>1188276</x:v>
      </x:c>
      <x:c r="H24" s="25" t="n">
        <x:v>1228</x:v>
      </x:c>
      <x:c r="I24" s="25" t="n">
        <x:v>-3000</x:v>
      </x:c>
      <x:c r="J24" s="11" t="n">
        <x:v>9</x:v>
      </x:c>
      <x:c r="K24" s="11" t="n">
        <x:v>16</x:v>
      </x:c>
      <x:c r="L24" s="11" t="n">
        <x:v>5</x:v>
      </x:c>
      <x:c r="M24" s="13" t="str">
        <x:v>既知47場</x:v>
      </x:c>
      <x:c r="N24" s="12" t="n">
        <x:v>109.66666666666667</x:v>
      </x:c>
      <x:c r="O24" s="12" t="n">
        <x:v>42.88333333333333</x:v>
      </x:c>
    </x:row>
    <x:row r="25" ht="22" customHeight="1">
      <x:c r="A25" s="2" t="str">
        <x:v>S36</x:v>
      </x:c>
      <x:c r="B25" s="7" t="d">
        <x:v>2026-10-02T08:45:00.000Z</x:v>
      </x:c>
      <x:c r="C25" s="2" t="str">
        <x:v>デイ</x:v>
      </x:c>
      <x:c r="D25" s="25" t="n">
        <x:v>24464</x:v>
      </x:c>
      <x:c r="E25" s="25" t="n">
        <x:v>165998</x:v>
      </x:c>
      <x:c r="F25" s="25" t="n">
        <x:f>D25-E25</x:f>
        <x:v>-141534</x:v>
      </x:c>
      <x:c r="G25" s="25" t="n">
        <x:f>SUMIFS($F$7:$F$56,$A$7:$A$56,A25,$B$7:$B$56,"&lt;="&amp;B25)</x:f>
        <x:v>1046742</x:v>
      </x:c>
      <x:c r="H25" s="25" t="n">
        <x:v>1534</x:v>
      </x:c>
      <x:c r="I25" s="25" t="n">
        <x:v>-140000</x:v>
      </x:c>
      <x:c r="J25" s="11" t="n">
        <x:v>11</x:v>
      </x:c>
      <x:c r="K25" s="11" t="n">
        <x:v>20</x:v>
      </x:c>
      <x:c r="L25" s="11" t="n">
        <x:v>5</x:v>
      </x:c>
      <x:c r="M25" s="13" t="str">
        <x:v>既知47場</x:v>
      </x:c>
      <x:c r="N25" s="12" t="n">
        <x:v>92.78333333333333</x:v>
      </x:c>
      <x:c r="O25" s="12" t="n">
        <x:v>153.3</x:v>
      </x:c>
    </x:row>
    <x:row r="26" ht="22" customHeight="1">
      <x:c r="A26" s="2" t="str">
        <x:v>S36</x:v>
      </x:c>
      <x:c r="B26" s="7" t="d">
        <x:v>2026-10-02T17:00:00.000Z</x:v>
      </x:c>
      <x:c r="C26" s="2" t="str">
        <x:v>ナイト</x:v>
      </x:c>
      <x:c r="D26" s="25" t="n">
        <x:v>178162</x:v>
      </x:c>
      <x:c r="E26" s="25" t="n">
        <x:v>55384</x:v>
      </x:c>
      <x:c r="F26" s="25" t="n">
        <x:f>D26-E26</x:f>
        <x:v>122778</x:v>
      </x:c>
      <x:c r="G26" s="25" t="n">
        <x:f>SUMIFS($F$7:$F$56,$A$7:$A$56,A26,$B$7:$B$56,"&lt;="&amp;B26)</x:f>
        <x:v>1169520</x:v>
      </x:c>
      <x:c r="H26" s="25" t="n">
        <x:v>2222</x:v>
      </x:c>
      <x:c r="I26" s="25" t="n">
        <x:v>125000</x:v>
      </x:c>
      <x:c r="J26" s="11" t="n">
        <x:v>14</x:v>
      </x:c>
      <x:c r="K26" s="11" t="n">
        <x:v>29</x:v>
      </x:c>
      <x:c r="L26" s="11" t="n">
        <x:v>5</x:v>
      </x:c>
      <x:c r="M26" s="13" t="str">
        <x:v>既知47場</x:v>
      </x:c>
      <x:c r="N26" s="12" t="n">
        <x:v>71.05</x:v>
      </x:c>
      <x:c r="O26" s="12" t="n">
        <x:v>86.6</x:v>
      </x:c>
    </x:row>
    <x:row r="27" ht="22" customHeight="1">
      <x:c r="A27" s="2" t="str">
        <x:v>S36</x:v>
      </x:c>
      <x:c r="B27" s="7" t="d">
        <x:v>2026-10-05T08:45:00.000Z</x:v>
      </x:c>
      <x:c r="C27" s="2" t="str">
        <x:v>デイ</x:v>
      </x:c>
      <x:c r="D27" s="25" t="n">
        <x:v>62852</x:v>
      </x:c>
      <x:c r="E27" s="25" t="n">
        <x:v>223996</x:v>
      </x:c>
      <x:c r="F27" s="25" t="n">
        <x:f>D27-E27</x:f>
        <x:v>-161144</x:v>
      </x:c>
      <x:c r="G27" s="25" t="n">
        <x:f>SUMIFS($F$7:$F$56,$A$7:$A$56,A27,$B$7:$B$56,"&lt;="&amp;B27)</x:f>
        <x:v>1008376</x:v>
      </x:c>
      <x:c r="H27" s="25" t="n">
        <x:v>3144</x:v>
      </x:c>
      <x:c r="I27" s="25" t="n">
        <x:v>-158000</x:v>
      </x:c>
      <x:c r="J27" s="11" t="n">
        <x:v>17</x:v>
      </x:c>
      <x:c r="K27" s="11" t="n">
        <x:v>41</x:v>
      </x:c>
      <x:c r="L27" s="11" t="n">
        <x:v>10</x:v>
      </x:c>
      <x:c r="M27" s="13" t="str">
        <x:v>既知47場</x:v>
      </x:c>
      <x:c r="N27" s="12" t="n">
        <x:v>83.51666666666667</x:v>
      </x:c>
      <x:c r="O27" s="12" t="n">
        <x:v>264.75</x:v>
      </x:c>
    </x:row>
    <x:row r="28" ht="22" customHeight="1">
      <x:c r="A28" s="2" t="str">
        <x:v>S36</x:v>
      </x:c>
      <x:c r="B28" s="7" t="d">
        <x:v>2026-10-05T17:00:00.000Z</x:v>
      </x:c>
      <x:c r="C28" s="2" t="str">
        <x:v>ナイト</x:v>
      </x:c>
      <x:c r="D28" s="25" t="n">
        <x:v>126234</x:v>
      </x:c>
      <x:c r="E28" s="25" t="n">
        <x:v>20384</x:v>
      </x:c>
      <x:c r="F28" s="25" t="n">
        <x:f>D28-E28</x:f>
        <x:v>105850</x:v>
      </x:c>
      <x:c r="G28" s="25" t="n">
        <x:f>SUMIFS($F$7:$F$56,$A$7:$A$56,A28,$B$7:$B$56,"&lt;="&amp;B28)</x:f>
        <x:v>1114226</x:v>
      </x:c>
      <x:c r="H28" s="25" t="n">
        <x:v>1150</x:v>
      </x:c>
      <x:c r="I28" s="25" t="n">
        <x:v>107000</x:v>
      </x:c>
      <x:c r="J28" s="11" t="n">
        <x:v>6</x:v>
      </x:c>
      <x:c r="K28" s="11" t="n">
        <x:v>15</x:v>
      </x:c>
      <x:c r="L28" s="11" t="n">
        <x:v>5</x:v>
      </x:c>
      <x:c r="M28" s="13" t="str">
        <x:v>既知47場</x:v>
      </x:c>
      <x:c r="N28" s="12" t="n">
        <x:v>356.01666666666665</x:v>
      </x:c>
      <x:c r="O28" s="12" t="n">
        <x:v>55.38333333333333</x:v>
      </x:c>
    </x:row>
    <x:row r="29" ht="22" customHeight="1">
      <x:c r="A29" s="2" t="str">
        <x:v>S36</x:v>
      </x:c>
      <x:c r="B29" s="7" t="d">
        <x:v>2026-10-06T08:45:00.000Z</x:v>
      </x:c>
      <x:c r="C29" s="2" t="str">
        <x:v>デイ</x:v>
      </x:c>
      <x:c r="D29" s="25" t="n">
        <x:v>151234</x:v>
      </x:c>
      <x:c r="E29" s="25" t="n">
        <x:v>112692</x:v>
      </x:c>
      <x:c r="F29" s="25" t="n">
        <x:f>D29-E29</x:f>
        <x:v>38542</x:v>
      </x:c>
      <x:c r="G29" s="25" t="n">
        <x:f>SUMIFS($F$7:$F$56,$A$7:$A$56,A29,$B$7:$B$56,"&lt;="&amp;B29)</x:f>
        <x:v>1152768</x:v>
      </x:c>
      <x:c r="H29" s="25" t="n">
        <x:v>1458</x:v>
      </x:c>
      <x:c r="I29" s="25" t="n">
        <x:v>40000</x:v>
      </x:c>
      <x:c r="J29" s="11" t="n">
        <x:v>8</x:v>
      </x:c>
      <x:c r="K29" s="11" t="n">
        <x:v>19</x:v>
      </x:c>
      <x:c r="L29" s="11" t="n">
        <x:v>5</x:v>
      </x:c>
      <x:c r="M29" s="13" t="str">
        <x:v>既知47場</x:v>
      </x:c>
      <x:c r="N29" s="12" t="n">
        <x:v>49.266666666666666</x:v>
      </x:c>
      <x:c r="O29" s="12" t="n">
        <x:v>257.05</x:v>
      </x:c>
    </x:row>
    <x:row r="30" ht="22" customHeight="1">
      <x:c r="A30" s="2" t="str">
        <x:v>S36</x:v>
      </x:c>
      <x:c r="B30" s="7" t="d">
        <x:v>2026-10-06T17:00:00.000Z</x:v>
      </x:c>
      <x:c r="C30" s="2" t="str">
        <x:v>ナイト</x:v>
      </x:c>
      <x:c r="D30" s="25" t="n">
        <x:v>24616</x:v>
      </x:c>
      <x:c r="E30" s="25" t="n">
        <x:v>51538</x:v>
      </x:c>
      <x:c r="F30" s="25" t="n">
        <x:f>D30-E30</x:f>
        <x:v>-26922</x:v>
      </x:c>
      <x:c r="G30" s="25" t="n">
        <x:f>SUMIFS($F$7:$F$56,$A$7:$A$56,A30,$B$7:$B$56,"&lt;="&amp;B30)</x:f>
        <x:v>1125846</x:v>
      </x:c>
      <x:c r="H30" s="25" t="n">
        <x:v>922</x:v>
      </x:c>
      <x:c r="I30" s="25" t="n">
        <x:v>-26000</x:v>
      </x:c>
      <x:c r="J30" s="11" t="n">
        <x:v>3</x:v>
      </x:c>
      <x:c r="K30" s="11" t="n">
        <x:v>12</x:v>
      </x:c>
      <x:c r="L30" s="11" t="n">
        <x:v>5</x:v>
      </x:c>
      <x:c r="M30" s="13" t="str">
        <x:v>既知47場</x:v>
      </x:c>
      <x:c r="N30" s="12" t="n">
        <x:v>349.78333333333336</x:v>
      </x:c>
      <x:c r="O30" s="12" t="n">
        <x:v>16.633333333333333</x:v>
      </x:c>
    </x:row>
    <x:row r="31" ht="22" customHeight="1">
      <x:c r="A31" s="2" t="str">
        <x:v>S36</x:v>
      </x:c>
      <x:c r="B31" s="7" t="d">
        <x:v>2026-10-07T08:45:00.000Z</x:v>
      </x:c>
      <x:c r="C31" s="2" t="str">
        <x:v>デイ</x:v>
      </x:c>
      <x:c r="D31" s="25" t="n">
        <x:v>151086</x:v>
      </x:c>
      <x:c r="E31" s="25" t="n">
        <x:v>34308</x:v>
      </x:c>
      <x:c r="F31" s="25" t="n">
        <x:f>D31-E31</x:f>
        <x:v>116778</x:v>
      </x:c>
      <x:c r="G31" s="25" t="n">
        <x:f>SUMIFS($F$7:$F$56,$A$7:$A$56,A31,$B$7:$B$56,"&lt;="&amp;B31)</x:f>
        <x:v>1242624</x:v>
      </x:c>
      <x:c r="H31" s="25" t="n">
        <x:v>2222</x:v>
      </x:c>
      <x:c r="I31" s="25" t="n">
        <x:v>119000</x:v>
      </x:c>
      <x:c r="J31" s="11" t="n">
        <x:v>16</x:v>
      </x:c>
      <x:c r="K31" s="11" t="n">
        <x:v>29</x:v>
      </x:c>
      <x:c r="L31" s="11" t="n">
        <x:v>10</x:v>
      </x:c>
      <x:c r="M31" s="13" t="str">
        <x:v>既知47場</x:v>
      </x:c>
      <x:c r="N31" s="12" t="n">
        <x:v>47.516666666666666</x:v>
      </x:c>
      <x:c r="O31" s="12" t="n">
        <x:v>101.81666666666666</x:v>
      </x:c>
    </x:row>
    <x:row r="32" ht="22" customHeight="1">
      <x:c r="A32" s="2" t="str">
        <x:v>S36</x:v>
      </x:c>
      <x:c r="B32" s="7" t="d">
        <x:v>2026-10-07T17:00:00.000Z</x:v>
      </x:c>
      <x:c r="C32" s="2" t="str">
        <x:v>ナイト</x:v>
      </x:c>
      <x:c r="D32" s="25" t="n">
        <x:v>24232</x:v>
      </x:c>
      <x:c r="E32" s="25" t="n">
        <x:v>29230</x:v>
      </x:c>
      <x:c r="F32" s="25" t="n">
        <x:f>D32-E32</x:f>
        <x:v>-4998</x:v>
      </x:c>
      <x:c r="G32" s="25" t="n">
        <x:f>SUMIFS($F$7:$F$56,$A$7:$A$56,A32,$B$7:$B$56,"&lt;="&amp;B32)</x:f>
        <x:v>1237626</x:v>
      </x:c>
      <x:c r="H32" s="25" t="n">
        <x:v>998</x:v>
      </x:c>
      <x:c r="I32" s="25" t="n">
        <x:v>-4000</x:v>
      </x:c>
      <x:c r="J32" s="11" t="n">
        <x:v>4</x:v>
      </x:c>
      <x:c r="K32" s="11" t="n">
        <x:v>13</x:v>
      </x:c>
      <x:c r="L32" s="11" t="n">
        <x:v>5</x:v>
      </x:c>
      <x:c r="M32" s="13" t="str">
        <x:v>既知47場</x:v>
      </x:c>
      <x:c r="N32" s="12" t="n">
        <x:v>235.05</x:v>
      </x:c>
      <x:c r="O32" s="12" t="n">
        <x:v>33.666666666666664</x:v>
      </x:c>
    </x:row>
    <x:row r="33" ht="22" customHeight="1">
      <x:c r="A33" s="2" t="str">
        <x:v>S36</x:v>
      </x:c>
      <x:c r="B33" s="7" t="d">
        <x:v>2026-10-08T08:45:00.000Z</x:v>
      </x:c>
      <x:c r="C33" s="2" t="str">
        <x:v>デイ</x:v>
      </x:c>
      <x:c r="D33" s="25" t="n">
        <x:v>238852</x:v>
      </x:c>
      <x:c r="E33" s="25" t="n">
        <x:v>177690</x:v>
      </x:c>
      <x:c r="F33" s="25" t="n">
        <x:f>D33-E33</x:f>
        <x:v>61162</x:v>
      </x:c>
      <x:c r="G33" s="25" t="n">
        <x:f>SUMIFS($F$7:$F$56,$A$7:$A$56,A33,$B$7:$B$56,"&lt;="&amp;B33)</x:f>
        <x:v>1298788</x:v>
      </x:c>
      <x:c r="H33" s="25" t="n">
        <x:v>2838</x:v>
      </x:c>
      <x:c r="I33" s="25" t="n">
        <x:v>64000</x:v>
      </x:c>
      <x:c r="J33" s="11" t="n">
        <x:v>14</x:v>
      </x:c>
      <x:c r="K33" s="11" t="n">
        <x:v>37</x:v>
      </x:c>
      <x:c r="L33" s="11" t="n">
        <x:v>7</x:v>
      </x:c>
      <x:c r="M33" s="13" t="str">
        <x:v>既知47場</x:v>
      </x:c>
      <x:c r="N33" s="12" t="n">
        <x:v>70.23333333333333</x:v>
      </x:c>
      <x:c r="O33" s="12" t="n">
        <x:v>159.35</x:v>
      </x:c>
    </x:row>
    <x:row r="34" ht="22" customHeight="1">
      <x:c r="A34" s="2" t="str">
        <x:v>S36</x:v>
      </x:c>
      <x:c r="B34" s="7" t="d">
        <x:v>2026-10-08T17:00:00.000Z</x:v>
      </x:c>
      <x:c r="C34" s="2" t="str">
        <x:v>ナイト</x:v>
      </x:c>
      <x:c r="D34" s="25" t="n">
        <x:v>174468</x:v>
      </x:c>
      <x:c r="E34" s="25" t="n">
        <x:v>0</x:v>
      </x:c>
      <x:c r="F34" s="25" t="n">
        <x:f>D34-E34</x:f>
        <x:v>174468</x:v>
      </x:c>
      <x:c r="G34" s="25" t="n">
        <x:f>SUMIFS($F$7:$F$56,$A$7:$A$56,A34,$B$7:$B$56,"&lt;="&amp;B34)</x:f>
        <x:v>1473256</x:v>
      </x:c>
      <x:c r="H34" s="25" t="n">
        <x:v>1532</x:v>
      </x:c>
      <x:c r="I34" s="25" t="n">
        <x:v>176000</x:v>
      </x:c>
      <x:c r="J34" s="11" t="n">
        <x:v>10</x:v>
      </x:c>
      <x:c r="K34" s="11" t="n">
        <x:v>20</x:v>
      </x:c>
      <x:c r="L34" s="11" t="n">
        <x:v>7</x:v>
      </x:c>
      <x:c r="M34" s="13" t="str">
        <x:v>既知47場</x:v>
      </x:c>
      <x:c r="N34" s="12" t="n">
        <x:v>103.98333333333333</x:v>
      </x:c>
      <x:c r="O34" s="12" t="n">
        <x:v>96.76666666666667</x:v>
      </x:c>
    </x:row>
    <x:row r="35" ht="22" customHeight="1">
      <x:c r="A35" s="2" t="str">
        <x:v>S36</x:v>
      </x:c>
      <x:c r="B35" s="7" t="d">
        <x:v>2026-10-09T08:45:00.000Z</x:v>
      </x:c>
      <x:c r="C35" s="2" t="str">
        <x:v>デイ</x:v>
      </x:c>
      <x:c r="D35" s="25" t="n">
        <x:v>76310</x:v>
      </x:c>
      <x:c r="E35" s="25" t="n">
        <x:v>75538</x:v>
      </x:c>
      <x:c r="F35" s="25" t="n">
        <x:f>D35-E35</x:f>
        <x:v>772</x:v>
      </x:c>
      <x:c r="G35" s="25" t="n">
        <x:f>SUMIFS($F$7:$F$56,$A$7:$A$56,A35,$B$7:$B$56,"&lt;="&amp;B35)</x:f>
        <x:v>1474028</x:v>
      </x:c>
      <x:c r="H35" s="25" t="n">
        <x:v>1228</x:v>
      </x:c>
      <x:c r="I35" s="25" t="n">
        <x:v>2000</x:v>
      </x:c>
      <x:c r="J35" s="11" t="n">
        <x:v>8</x:v>
      </x:c>
      <x:c r="K35" s="11" t="n">
        <x:v>16</x:v>
      </x:c>
      <x:c r="L35" s="11" t="n">
        <x:v>5</x:v>
      </x:c>
      <x:c r="M35" s="13" t="str">
        <x:v>既知47場</x:v>
      </x:c>
      <x:c r="N35" s="12" t="n">
        <x:v>54.45</x:v>
      </x:c>
      <x:c r="O35" s="12" t="n">
        <x:v>93.9</x:v>
      </x:c>
    </x:row>
    <x:row r="36" ht="22" customHeight="1">
      <x:c r="A36" s="2" t="str">
        <x:v>S36</x:v>
      </x:c>
      <x:c r="B36" s="7" t="d">
        <x:v>2026-10-09T17:00:00.000Z</x:v>
      </x:c>
      <x:c r="C36" s="2" t="str">
        <x:v>ナイト</x:v>
      </x:c>
      <x:c r="D36" s="25" t="n">
        <x:v>19616</x:v>
      </x:c>
      <x:c r="E36" s="25" t="n">
        <x:v>0</x:v>
      </x:c>
      <x:c r="F36" s="25" t="n">
        <x:f>D36-E36</x:f>
        <x:v>19616</x:v>
      </x:c>
      <x:c r="G36" s="25" t="n">
        <x:f>SUMIFS($F$7:$F$56,$A$7:$A$56,A36,$B$7:$B$56,"&lt;="&amp;B36)</x:f>
        <x:v>1493644</x:v>
      </x:c>
      <x:c r="H36" s="25" t="n">
        <x:v>384</x:v>
      </x:c>
      <x:c r="I36" s="25" t="n">
        <x:v>20000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360.06666666666666</x:v>
      </x:c>
      <x:c r="O36" s="12" t="n">
        <x:v>11.916666666666666</x:v>
      </x:c>
    </x:row>
    <x:row r="37" ht="22" customHeight="1">
      <x:c r="A37" s="2" t="str">
        <x:v>S36</x:v>
      </x:c>
      <x:c r="B37" s="7" t="d">
        <x:v>2026-10-12T08:45:00.000Z</x:v>
      </x:c>
      <x:c r="C37" s="2" t="str">
        <x:v>デイ</x:v>
      </x:c>
      <x:c r="D37" s="25" t="n">
        <x:v>32616</x:v>
      </x:c>
      <x:c r="E37" s="25" t="n">
        <x:v>25384</x:v>
      </x:c>
      <x:c r="F37" s="25" t="n">
        <x:f>D37-E37</x:f>
        <x:v>7232</x:v>
      </x:c>
      <x:c r="G37" s="25" t="n">
        <x:f>SUMIFS($F$7:$F$56,$A$7:$A$56,A37,$B$7:$B$56,"&lt;="&amp;B37)</x:f>
        <x:v>1500876</x:v>
      </x:c>
      <x:c r="H37" s="25" t="n">
        <x:v>768</x:v>
      </x:c>
      <x:c r="I37" s="25" t="n">
        <x:v>8000</x:v>
      </x:c>
      <x:c r="J37" s="11" t="n">
        <x:v>2</x:v>
      </x:c>
      <x:c r="K37" s="11" t="n">
        <x:v>10</x:v>
      </x:c>
      <x:c r="L37" s="11" t="n">
        <x:v>5</x:v>
      </x:c>
      <x:c r="M37" s="13" t="str">
        <x:v>既知47場</x:v>
      </x:c>
      <x:c r="N37" s="12" t="n">
        <x:v>122.76666666666667</x:v>
      </x:c>
      <x:c r="O37" s="12" t="n">
        <x:v>265.15</x:v>
      </x:c>
    </x:row>
    <x:row r="38" ht="22" customHeight="1">
      <x:c r="A38" s="2" t="str">
        <x:v>S36</x:v>
      </x:c>
      <x:c r="B38" s="7" t="d">
        <x:v>2026-10-12T17:00:00.000Z</x:v>
      </x:c>
      <x:c r="C38" s="2" t="str">
        <x:v>ナイト</x:v>
      </x:c>
      <x:c r="D38" s="25" t="n">
        <x:v>94616</x:v>
      </x:c>
      <x:c r="E38" s="25" t="n">
        <x:v>0</x:v>
      </x:c>
      <x:c r="F38" s="25" t="n">
        <x:f>D38-E38</x:f>
        <x:v>94616</x:v>
      </x:c>
      <x:c r="G38" s="25" t="n">
        <x:f>SUMIFS($F$7:$F$56,$A$7:$A$56,A38,$B$7:$B$56,"&lt;="&amp;B38)</x:f>
        <x:v>1595492</x:v>
      </x:c>
      <x:c r="H38" s="25" t="n">
        <x:v>384</x:v>
      </x:c>
      <x:c r="I38" s="25" t="n">
        <x:v>95000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360.21666666666664</x:v>
      </x:c>
      <x:c r="O38" s="12" t="n">
        <x:v>10.65</x:v>
      </x:c>
    </x:row>
    <x:row r="39" ht="22" customHeight="1">
      <x:c r="A39" s="2" t="str">
        <x:v>S36</x:v>
      </x:c>
      <x:c r="B39" s="7" t="d">
        <x:v>2026-10-13T08:45:00.000Z</x:v>
      </x:c>
      <x:c r="C39" s="2" t="str">
        <x:v>デイ</x:v>
      </x:c>
      <x:c r="D39" s="25" t="n">
        <x:v>111850</x:v>
      </x:c>
      <x:c r="E39" s="25" t="n">
        <x:v>207230</x:v>
      </x:c>
      <x:c r="F39" s="25" t="n">
        <x:f>D39-E39</x:f>
        <x:v>-95380</x:v>
      </x:c>
      <x:c r="G39" s="25" t="n">
        <x:f>SUMIFS($F$7:$F$56,$A$7:$A$56,A39,$B$7:$B$56,"&lt;="&amp;B39)</x:f>
        <x:v>1500112</x:v>
      </x:c>
      <x:c r="H39" s="25" t="n">
        <x:v>2380</x:v>
      </x:c>
      <x:c r="I39" s="25" t="n">
        <x:v>-93000</x:v>
      </x:c>
      <x:c r="J39" s="11" t="n">
        <x:v>13</x:v>
      </x:c>
      <x:c r="K39" s="11" t="n">
        <x:v>31</x:v>
      </x:c>
      <x:c r="L39" s="11" t="n">
        <x:v>10</x:v>
      </x:c>
      <x:c r="M39" s="13" t="str">
        <x:v>既知47場</x:v>
      </x:c>
      <x:c r="N39" s="12" t="n">
        <x:v>63.8</x:v>
      </x:c>
      <x:c r="O39" s="12" t="n">
        <x:v>326.65</x:v>
      </x:c>
    </x:row>
    <x:row r="40" ht="22" customHeight="1">
      <x:c r="A40" s="2" t="str">
        <x:v>S36</x:v>
      </x:c>
      <x:c r="B40" s="7" t="d">
        <x:v>2026-10-13T17:00:00.000Z</x:v>
      </x:c>
      <x:c r="C40" s="2" t="str">
        <x:v>ナイト</x:v>
      </x:c>
      <x:c r="D40" s="25" t="n">
        <x:v>0</x:v>
      </x:c>
      <x:c r="E40" s="25" t="n">
        <x:v>96922</x:v>
      </x:c>
      <x:c r="F40" s="25" t="n">
        <x:f>D40-E40</x:f>
        <x:v>-96922</x:v>
      </x:c>
      <x:c r="G40" s="25" t="n">
        <x:f>SUMIFS($F$7:$F$56,$A$7:$A$56,A40,$B$7:$B$56,"&lt;="&amp;B40)</x:f>
        <x:v>1403190</x:v>
      </x:c>
      <x:c r="H40" s="25" t="n">
        <x:v>922</x:v>
      </x:c>
      <x:c r="I40" s="25" t="n">
        <x:v>-96000</x:v>
      </x:c>
      <x:c r="J40" s="11" t="n">
        <x:v>3</x:v>
      </x:c>
      <x:c r="K40" s="11" t="n">
        <x:v>12</x:v>
      </x:c>
      <x:c r="L40" s="11" t="n">
        <x:v>5</x:v>
      </x:c>
      <x:c r="M40" s="13" t="str">
        <x:v>既知47場</x:v>
      </x:c>
      <x:c r="N40" s="12" t="n">
        <x:v>360.23333333333335</x:v>
      </x:c>
      <x:c r="O40" s="12" t="n">
        <x:v>10.466666666666667</x:v>
      </x:c>
    </x:row>
    <x:row r="41" ht="22" customHeight="1">
      <x:c r="A41" s="2" t="str">
        <x:v>S36</x:v>
      </x:c>
      <x:c r="B41" s="7" t="d">
        <x:v>2026-10-14T08:45:00.000Z</x:v>
      </x:c>
      <x:c r="C41" s="2" t="str">
        <x:v>デイ</x:v>
      </x:c>
      <x:c r="D41" s="25" t="n">
        <x:v>172232</x:v>
      </x:c>
      <x:c r="E41" s="25" t="n">
        <x:v>115076</x:v>
      </x:c>
      <x:c r="F41" s="25" t="n">
        <x:f>D41-E41</x:f>
        <x:v>57156</x:v>
      </x:c>
      <x:c r="G41" s="25" t="n">
        <x:f>SUMIFS($F$7:$F$56,$A$7:$A$56,A41,$B$7:$B$56,"&lt;="&amp;B41)</x:f>
        <x:v>1460346</x:v>
      </x:c>
      <x:c r="H41" s="25" t="n">
        <x:v>1844</x:v>
      </x:c>
      <x:c r="I41" s="25" t="n">
        <x:v>59000</x:v>
      </x:c>
      <x:c r="J41" s="11" t="n">
        <x:v>8</x:v>
      </x:c>
      <x:c r="K41" s="11" t="n">
        <x:v>24</x:v>
      </x:c>
      <x:c r="L41" s="11" t="n">
        <x:v>5</x:v>
      </x:c>
      <x:c r="M41" s="13" t="str">
        <x:v>既知47場</x:v>
      </x:c>
      <x:c r="N41" s="12" t="n">
        <x:v>97.45</x:v>
      </x:c>
      <x:c r="O41" s="12" t="n">
        <x:v>122.26666666666667</x:v>
      </x:c>
    </x:row>
    <x:row r="42" ht="22" customHeight="1">
      <x:c r="A42" s="2" t="str">
        <x:v>S36</x:v>
      </x:c>
      <x:c r="B42" s="7" t="d">
        <x:v>2026-10-14T17:00:00.000Z</x:v>
      </x:c>
      <x:c r="C42" s="2" t="str">
        <x:v>ナイト</x:v>
      </x:c>
      <x:c r="D42" s="25" t="n">
        <x:v>221850</x:v>
      </x:c>
      <x:c r="E42" s="25" t="n">
        <x:v>46154</x:v>
      </x:c>
      <x:c r="F42" s="25" t="n">
        <x:f>D42-E42</x:f>
        <x:v>175696</x:v>
      </x:c>
      <x:c r="G42" s="25" t="n">
        <x:f>SUMIFS($F$7:$F$56,$A$7:$A$56,A42,$B$7:$B$56,"&lt;="&amp;B42)</x:f>
        <x:v>1636042</x:v>
      </x:c>
      <x:c r="H42" s="25" t="n">
        <x:v>1304</x:v>
      </x:c>
      <x:c r="I42" s="25" t="n">
        <x:v>177000</x:v>
      </x:c>
      <x:c r="J42" s="11" t="n">
        <x:v>7</x:v>
      </x:c>
      <x:c r="K42" s="11" t="n">
        <x:v>17</x:v>
      </x:c>
      <x:c r="L42" s="11" t="n">
        <x:v>5</x:v>
      </x:c>
      <x:c r="M42" s="13" t="str">
        <x:v>既知47場</x:v>
      </x:c>
      <x:c r="N42" s="12" t="n">
        <x:v>360</x:v>
      </x:c>
      <x:c r="O42" s="12" t="n">
        <x:v>163.76666666666668</x:v>
      </x:c>
    </x:row>
    <x:row r="43" ht="22" customHeight="1">
      <x:c r="A43" s="2" t="str">
        <x:v>S36</x:v>
      </x:c>
      <x:c r="B43" s="7" t="d">
        <x:v>2026-10-15T08:45:00.000Z</x:v>
      </x:c>
      <x:c r="C43" s="2" t="str">
        <x:v>デイ</x:v>
      </x:c>
      <x:c r="D43" s="25" t="n">
        <x:v>461620</x:v>
      </x:c>
      <x:c r="E43" s="25" t="n">
        <x:v>124462</x:v>
      </x:c>
      <x:c r="F43" s="25" t="n">
        <x:f>D43-E43</x:f>
        <x:v>337158</x:v>
      </x:c>
      <x:c r="G43" s="25" t="n">
        <x:f>SUMIFS($F$7:$F$56,$A$7:$A$56,A43,$B$7:$B$56,"&lt;="&amp;B43)</x:f>
        <x:v>1973200</x:v>
      </x:c>
      <x:c r="H43" s="25" t="n">
        <x:v>1842</x:v>
      </x:c>
      <x:c r="I43" s="25" t="n">
        <x:v>339000</x:v>
      </x:c>
      <x:c r="J43" s="11" t="n">
        <x:v>11</x:v>
      </x:c>
      <x:c r="K43" s="11" t="n">
        <x:v>24</x:v>
      </x:c>
      <x:c r="L43" s="11" t="n">
        <x:v>5</x:v>
      </x:c>
      <x:c r="M43" s="13" t="str">
        <x:v>既知47場</x:v>
      </x:c>
      <x:c r="N43" s="12" t="n">
        <x:v>50.583333333333336</x:v>
      </x:c>
      <x:c r="O43" s="12" t="n">
        <x:v>232.11666666666667</x:v>
      </x:c>
    </x:row>
    <x:row r="44" ht="22" customHeight="1">
      <x:c r="A44" s="2" t="str">
        <x:v>S36</x:v>
      </x:c>
      <x:c r="B44" s="7" t="d">
        <x:v>2026-10-15T17:00:00.000Z</x:v>
      </x:c>
      <x:c r="C44" s="2" t="str">
        <x:v>ナイト</x:v>
      </x:c>
      <x:c r="D44" s="25" t="n">
        <x:v>0</x:v>
      </x:c>
      <x:c r="E44" s="25" t="n">
        <x:v>148462</x:v>
      </x:c>
      <x:c r="F44" s="25" t="n">
        <x:f>D44-E44</x:f>
        <x:v>-148462</x:v>
      </x:c>
      <x:c r="G44" s="25" t="n">
        <x:f>SUMIFS($F$7:$F$56,$A$7:$A$56,A44,$B$7:$B$56,"&lt;="&amp;B44)</x:f>
        <x:v>1824738</x:v>
      </x:c>
      <x:c r="H44" s="25" t="n">
        <x:v>462</x:v>
      </x:c>
      <x:c r="I44" s="25" t="n">
        <x:v>-148000</x:v>
      </x:c>
      <x:c r="J44" s="11" t="n">
        <x:v>3</x:v>
      </x:c>
      <x:c r="K44" s="11" t="n">
        <x:v>6</x:v>
      </x:c>
      <x:c r="L44" s="11" t="n">
        <x:v>2</x:v>
      </x:c>
      <x:c r="M44" s="13" t="str">
        <x:v>既知47場</x:v>
      </x:c>
      <x:c r="N44" s="12" t="n">
        <x:v>360</x:v>
      </x:c>
      <x:c r="O44" s="12" t="n">
        <x:v>47.46666666666667</x:v>
      </x:c>
    </x:row>
    <x:row r="45" ht="22" customHeight="1">
      <x:c r="A45" s="2" t="str">
        <x:v>S36</x:v>
      </x:c>
      <x:c r="B45" s="7" t="d">
        <x:v>2026-10-16T08:45:00.000Z</x:v>
      </x:c>
      <x:c r="C45" s="2" t="str">
        <x:v>デイ</x:v>
      </x:c>
      <x:c r="D45" s="25" t="n">
        <x:v>72926</x:v>
      </x:c>
      <x:c r="E45" s="25" t="n">
        <x:v>258074</x:v>
      </x:c>
      <x:c r="F45" s="25" t="n">
        <x:f>D45-E45</x:f>
        <x:v>-185148</x:v>
      </x:c>
      <x:c r="G45" s="25" t="n">
        <x:f>SUMIFS($F$7:$F$56,$A$7:$A$56,A45,$B$7:$B$56,"&lt;="&amp;B45)</x:f>
        <x:v>1639590</x:v>
      </x:c>
      <x:c r="H45" s="25" t="n">
        <x:v>3148</x:v>
      </x:c>
      <x:c r="I45" s="25" t="n">
        <x:v>-182000</x:v>
      </x:c>
      <x:c r="J45" s="11" t="n">
        <x:v>13</x:v>
      </x:c>
      <x:c r="K45" s="11" t="n">
        <x:v>41</x:v>
      </x:c>
      <x:c r="L45" s="11" t="n">
        <x:v>5</x:v>
      </x:c>
      <x:c r="M45" s="13" t="str">
        <x:v>既知47場</x:v>
      </x:c>
      <x:c r="N45" s="12" t="n">
        <x:v>66.9</x:v>
      </x:c>
      <x:c r="O45" s="12" t="n">
        <x:v>216.66666666666666</x:v>
      </x:c>
    </x:row>
    <x:row r="46" ht="22" customHeight="1">
      <x:c r="A46" s="2" t="str">
        <x:v>S36</x:v>
      </x:c>
      <x:c r="B46" s="7" t="d">
        <x:v>2026-10-16T17:00:00.000Z</x:v>
      </x:c>
      <x:c r="C46" s="2" t="str">
        <x:v>ナイト</x:v>
      </x:c>
      <x:c r="D46" s="25" t="n">
        <x:v>114314</x:v>
      </x:c>
      <x:c r="E46" s="25" t="n">
        <x:v>74308</x:v>
      </x:c>
      <x:c r="F46" s="25" t="n">
        <x:f>D46-E46</x:f>
        <x:v>40006</x:v>
      </x:c>
      <x:c r="G46" s="25" t="n">
        <x:f>SUMIFS($F$7:$F$56,$A$7:$A$56,A46,$B$7:$B$56,"&lt;="&amp;B46)</x:f>
        <x:v>1679596</x:v>
      </x:c>
      <x:c r="H46" s="25" t="n">
        <x:v>1994</x:v>
      </x:c>
      <x:c r="I46" s="25" t="n">
        <x:v>42000</x:v>
      </x:c>
      <x:c r="J46" s="11" t="n">
        <x:v>12</x:v>
      </x:c>
      <x:c r="K46" s="11" t="n">
        <x:v>26</x:v>
      </x:c>
      <x:c r="L46" s="11" t="n">
        <x:v>5</x:v>
      </x:c>
      <x:c r="M46" s="13" t="str">
        <x:v>既知47場</x:v>
      </x:c>
      <x:c r="N46" s="12" t="n">
        <x:v>45.46666666666667</x:v>
      </x:c>
      <x:c r="O46" s="12" t="n">
        <x:v>122.7</x:v>
      </x:c>
    </x:row>
    <x:row r="47" ht="22" customHeight="1">
      <x:c r="A47" s="2" t="str">
        <x:v>S36</x:v>
      </x:c>
      <x:c r="B47" s="7" t="d">
        <x:v>2026-10-19T08:45:00.000Z</x:v>
      </x:c>
      <x:c r="C47" s="2" t="str">
        <x:v>デイ</x:v>
      </x:c>
      <x:c r="D47" s="25" t="n">
        <x:v>295470</x:v>
      </x:c>
      <x:c r="E47" s="25" t="n">
        <x:v>22460</x:v>
      </x:c>
      <x:c r="F47" s="25" t="n">
        <x:f>D47-E47</x:f>
        <x:v>273010</x:v>
      </x:c>
      <x:c r="G47" s="25" t="n">
        <x:f>SUMIFS($F$7:$F$56,$A$7:$A$56,A47,$B$7:$B$56,"&lt;="&amp;B47)</x:f>
        <x:v>1952606</x:v>
      </x:c>
      <x:c r="H47" s="25" t="n">
        <x:v>1990</x:v>
      </x:c>
      <x:c r="I47" s="25" t="n">
        <x:v>275000</x:v>
      </x:c>
      <x:c r="J47" s="11" t="n">
        <x:v>17</x:v>
      </x:c>
      <x:c r="K47" s="11" t="n">
        <x:v>26</x:v>
      </x:c>
      <x:c r="L47" s="11" t="n">
        <x:v>10</x:v>
      </x:c>
      <x:c r="M47" s="13" t="str">
        <x:v>既知47場</x:v>
      </x:c>
      <x:c r="N47" s="12" t="n">
        <x:v>46.733333333333334</x:v>
      </x:c>
      <x:c r="O47" s="12" t="n">
        <x:v>363.26666666666665</x:v>
      </x:c>
    </x:row>
    <x:row r="48" ht="22" customHeight="1">
      <x:c r="A48" s="2" t="str">
        <x:v>S36</x:v>
      </x:c>
      <x:c r="B48" s="7" t="d">
        <x:v>2026-10-19T17:00:00.000Z</x:v>
      </x:c>
      <x:c r="C48" s="2" t="str">
        <x:v>ナイト</x:v>
      </x:c>
      <x:c r="D48" s="25" t="n">
        <x:v>79234</x:v>
      </x:c>
      <x:c r="E48" s="25" t="n">
        <x:v>103768</x:v>
      </x:c>
      <x:c r="F48" s="25" t="n">
        <x:f>D48-E48</x:f>
        <x:v>-24534</x:v>
      </x:c>
      <x:c r="G48" s="25" t="n">
        <x:f>SUMIFS($F$7:$F$56,$A$7:$A$56,A48,$B$7:$B$56,"&lt;="&amp;B48)</x:f>
        <x:v>1928072</x:v>
      </x:c>
      <x:c r="H48" s="25" t="n">
        <x:v>1534</x:v>
      </x:c>
      <x:c r="I48" s="25" t="n">
        <x:v>-23000</x:v>
      </x:c>
      <x:c r="J48" s="11" t="n">
        <x:v>9</x:v>
      </x:c>
      <x:c r="K48" s="11" t="n">
        <x:v>20</x:v>
      </x:c>
      <x:c r="L48" s="11" t="n">
        <x:v>8</x:v>
      </x:c>
      <x:c r="M48" s="13" t="str">
        <x:v>既知47場</x:v>
      </x:c>
      <x:c r="N48" s="12" t="n">
        <x:v>349.46666666666664</x:v>
      </x:c>
      <x:c r="O48" s="12" t="n">
        <x:v>72.33333333333333</x:v>
      </x:c>
    </x:row>
    <x:row r="49" ht="22" customHeight="1">
      <x:c r="A49" s="2" t="str">
        <x:v>S36</x:v>
      </x:c>
      <x:c r="B49" s="7" t="d">
        <x:v>2026-10-20T08:45:00.000Z</x:v>
      </x:c>
      <x:c r="C49" s="2" t="str">
        <x:v>デイ</x:v>
      </x:c>
      <x:c r="D49" s="25" t="n">
        <x:v>148160</x:v>
      </x:c>
      <x:c r="E49" s="25" t="n">
        <x:v>109846</x:v>
      </x:c>
      <x:c r="F49" s="25" t="n">
        <x:f>D49-E49</x:f>
        <x:v>38314</x:v>
      </x:c>
      <x:c r="G49" s="25" t="n">
        <x:f>SUMIFS($F$7:$F$56,$A$7:$A$56,A49,$B$7:$B$56,"&lt;="&amp;B49)</x:f>
        <x:v>1966386</x:v>
      </x:c>
      <x:c r="H49" s="25" t="n">
        <x:v>2686</x:v>
      </x:c>
      <x:c r="I49" s="25" t="n">
        <x:v>41000</x:v>
      </x:c>
      <x:c r="J49" s="11" t="n">
        <x:v>14</x:v>
      </x:c>
      <x:c r="K49" s="11" t="n">
        <x:v>35</x:v>
      </x:c>
      <x:c r="L49" s="11" t="n">
        <x:v>10</x:v>
      </x:c>
      <x:c r="M49" s="13" t="str">
        <x:v>既知47場</x:v>
      </x:c>
      <x:c r="N49" s="12" t="n">
        <x:v>79.45</x:v>
      </x:c>
      <x:c r="O49" s="12" t="n">
        <x:v>224.9</x:v>
      </x:c>
    </x:row>
    <x:row r="50" ht="22" customHeight="1">
      <x:c r="A50" s="2" t="str">
        <x:v>S36</x:v>
      </x:c>
      <x:c r="B50" s="7" t="d">
        <x:v>2026-10-20T17:00:00.000Z</x:v>
      </x:c>
      <x:c r="C50" s="2" t="str">
        <x:v>ナイト</x:v>
      </x:c>
      <x:c r="D50" s="25" t="n">
        <x:v>450776</x:v>
      </x:c>
      <x:c r="E50" s="25" t="n">
        <x:v>70384</x:v>
      </x:c>
      <x:c r="F50" s="25" t="n">
        <x:f>D50-E50</x:f>
        <x:v>380392</x:v>
      </x:c>
      <x:c r="G50" s="25" t="n">
        <x:f>SUMIFS($F$7:$F$56,$A$7:$A$56,A50,$B$7:$B$56,"&lt;="&amp;B50)</x:f>
        <x:v>2346778</x:v>
      </x:c>
      <x:c r="H50" s="25" t="n">
        <x:v>1608</x:v>
      </x:c>
      <x:c r="I50" s="25" t="n">
        <x:v>382000</x:v>
      </x:c>
      <x:c r="J50" s="11" t="n">
        <x:v>13</x:v>
      </x:c>
      <x:c r="K50" s="11" t="n">
        <x:v>21</x:v>
      </x:c>
      <x:c r="L50" s="11" t="n">
        <x:v>7</x:v>
      </x:c>
      <x:c r="M50" s="13" t="str">
        <x:v>既知47場</x:v>
      </x:c>
      <x:c r="N50" s="12" t="n">
        <x:v>272.3333333333333</x:v>
      </x:c>
      <x:c r="O50" s="12" t="n">
        <x:v>82.45</x:v>
      </x:c>
    </x:row>
    <x:row r="51" ht="22" customHeight="1">
      <x:c r="A51" s="2" t="str">
        <x:v>S36</x:v>
      </x:c>
      <x:c r="B51" s="7" t="d">
        <x:v>2026-10-21T08:45:00.000Z</x:v>
      </x:c>
      <x:c r="C51" s="2" t="str">
        <x:v>デイ</x:v>
      </x:c>
      <x:c r="D51" s="25" t="n">
        <x:v>222928</x:v>
      </x:c>
      <x:c r="E51" s="25" t="n">
        <x:v>308150</x:v>
      </x:c>
      <x:c r="F51" s="25" t="n">
        <x:f>D51-E51</x:f>
        <x:v>-85222</x:v>
      </x:c>
      <x:c r="G51" s="25" t="n">
        <x:f>SUMIFS($F$7:$F$56,$A$7:$A$56,A51,$B$7:$B$56,"&lt;="&amp;B51)</x:f>
        <x:v>2261556</x:v>
      </x:c>
      <x:c r="H51" s="25" t="n">
        <x:v>3222</x:v>
      </x:c>
      <x:c r="I51" s="25" t="n">
        <x:v>-82000</x:v>
      </x:c>
      <x:c r="J51" s="11" t="n">
        <x:v>15</x:v>
      </x:c>
      <x:c r="K51" s="11" t="n">
        <x:v>42</x:v>
      </x:c>
      <x:c r="L51" s="11" t="n">
        <x:v>8</x:v>
      </x:c>
      <x:c r="M51" s="13" t="str">
        <x:v>既知47場</x:v>
      </x:c>
      <x:c r="N51" s="12" t="n">
        <x:v>45.4</x:v>
      </x:c>
      <x:c r="O51" s="12" t="n">
        <x:v>239.06666666666666</x:v>
      </x:c>
    </x:row>
    <x:row r="52" ht="22" customHeight="1">
      <x:c r="A52" s="2" t="str">
        <x:v>S36</x:v>
      </x:c>
      <x:c r="B52" s="7" t="d">
        <x:v>2026-10-21T17:00:00.000Z</x:v>
      </x:c>
      <x:c r="C52" s="2" t="str">
        <x:v>ナイト</x:v>
      </x:c>
      <x:c r="D52" s="25" t="n">
        <x:v>44616</x:v>
      </x:c>
      <x:c r="E52" s="25" t="n">
        <x:v>85768</x:v>
      </x:c>
      <x:c r="F52" s="25" t="n">
        <x:f>D52-E52</x:f>
        <x:v>-41152</x:v>
      </x:c>
      <x:c r="G52" s="25" t="n">
        <x:f>SUMIFS($F$7:$F$56,$A$7:$A$56,A52,$B$7:$B$56,"&lt;="&amp;B52)</x:f>
        <x:v>2220404</x:v>
      </x:c>
      <x:c r="H52" s="25" t="n">
        <x:v>1152</x:v>
      </x:c>
      <x:c r="I52" s="25" t="n">
        <x:v>-40000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360</x:v>
      </x:c>
      <x:c r="O52" s="12" t="n">
        <x:v>93.56666666666666</x:v>
      </x:c>
    </x:row>
    <x:row r="53" ht="22" customHeight="1">
      <x:c r="A53" s="2" t="str">
        <x:v>S36</x:v>
      </x:c>
      <x:c r="B53" s="7" t="d">
        <x:v>2026-10-22T08:45:00.000Z</x:v>
      </x:c>
      <x:c r="C53" s="2" t="str">
        <x:v>デイ</x:v>
      </x:c>
      <x:c r="D53" s="25" t="n">
        <x:v>389234</x:v>
      </x:c>
      <x:c r="E53" s="25" t="n">
        <x:v>94462</x:v>
      </x:c>
      <x:c r="F53" s="25" t="n">
        <x:f>D53-E53</x:f>
        <x:v>294772</x:v>
      </x:c>
      <x:c r="G53" s="25" t="n">
        <x:f>SUMIFS($F$7:$F$56,$A$7:$A$56,A53,$B$7:$B$56,"&lt;="&amp;B53)</x:f>
        <x:v>2515176</x:v>
      </x:c>
      <x:c r="H53" s="25" t="n">
        <x:v>1228</x:v>
      </x:c>
      <x:c r="I53" s="25" t="n">
        <x:v>296000</x:v>
      </x:c>
      <x:c r="J53" s="11" t="n">
        <x:v>8</x:v>
      </x:c>
      <x:c r="K53" s="11" t="n">
        <x:v>16</x:v>
      </x:c>
      <x:c r="L53" s="11" t="n">
        <x:v>5</x:v>
      </x:c>
      <x:c r="M53" s="13" t="str">
        <x:v>既知47場</x:v>
      </x:c>
      <x:c r="N53" s="12" t="n">
        <x:v>79.91666666666667</x:v>
      </x:c>
      <x:c r="O53" s="12" t="n">
        <x:v>253.23333333333332</x:v>
      </x:c>
    </x:row>
    <x:row r="54" ht="22" customHeight="1">
      <x:c r="A54" s="2" t="str">
        <x:v>S36</x:v>
      </x:c>
      <x:c r="B54" s="7" t="d">
        <x:v>2026-10-22T17:00:00.000Z</x:v>
      </x:c>
      <x:c r="C54" s="2" t="str">
        <x:v>ナイト</x:v>
      </x:c>
      <x:c r="D54" s="25" t="n">
        <x:v>104616</x:v>
      </x:c>
      <x:c r="E54" s="25" t="n">
        <x:v>142844</x:v>
      </x:c>
      <x:c r="F54" s="25" t="n">
        <x:f>D54-E54</x:f>
        <x:v>-38228</x:v>
      </x:c>
      <x:c r="G54" s="25" t="n">
        <x:f>SUMIFS($F$7:$F$56,$A$7:$A$56,A54,$B$7:$B$56,"&lt;="&amp;B54)</x:f>
        <x:v>2476948</x:v>
      </x:c>
      <x:c r="H54" s="25" t="n">
        <x:v>1228</x:v>
      </x:c>
      <x:c r="I54" s="25" t="n">
        <x:v>-37000</x:v>
      </x:c>
      <x:c r="J54" s="11" t="n">
        <x:v>6</x:v>
      </x:c>
      <x:c r="K54" s="11" t="n">
        <x:v>16</x:v>
      </x:c>
      <x:c r="L54" s="11" t="n">
        <x:v>5</x:v>
      </x:c>
      <x:c r="M54" s="13" t="str">
        <x:v>追加3場</x:v>
      </x:c>
      <x:c r="N54" s="12" t="n">
        <x:v>360.06666666666666</x:v>
      </x:c>
      <x:c r="O54" s="12" t="n">
        <x:v>40.516666666666666</x:v>
      </x:c>
    </x:row>
    <x:row r="55" ht="22" customHeight="1">
      <x:c r="A55" s="2" t="str">
        <x:v>S36</x:v>
      </x:c>
      <x:c r="B55" s="7" t="d">
        <x:v>2026-10-23T08:45:00.000Z</x:v>
      </x:c>
      <x:c r="C55" s="2" t="str">
        <x:v>デイ</x:v>
      </x:c>
      <x:c r="D55" s="25" t="n">
        <x:v>76618</x:v>
      </x:c>
      <x:c r="E55" s="25" t="n">
        <x:v>118768</x:v>
      </x:c>
      <x:c r="F55" s="25" t="n">
        <x:f>D55-E55</x:f>
        <x:v>-42150</x:v>
      </x:c>
      <x:c r="G55" s="25" t="n">
        <x:f>SUMIFS($F$7:$F$56,$A$7:$A$56,A55,$B$7:$B$56,"&lt;="&amp;B55)</x:f>
        <x:v>2434798</x:v>
      </x:c>
      <x:c r="H55" s="25" t="n">
        <x:v>1150</x:v>
      </x:c>
      <x:c r="I55" s="25" t="n">
        <x:v>-41000</x:v>
      </x:c>
      <x:c r="J55" s="11" t="n">
        <x:v>8</x:v>
      </x:c>
      <x:c r="K55" s="11" t="n">
        <x:v>15</x:v>
      </x:c>
      <x:c r="L55" s="11" t="n">
        <x:v>5</x:v>
      </x:c>
      <x:c r="M55" s="13" t="str">
        <x:v>追加3場</x:v>
      </x:c>
      <x:c r="N55" s="12" t="n">
        <x:v>95.1</x:v>
      </x:c>
      <x:c r="O55" s="12" t="n">
        <x:v>228.95</x:v>
      </x:c>
    </x:row>
    <x:row r="56" ht="22" customHeight="1">
      <x:c r="A56" s="2" t="str">
        <x:v>S36</x:v>
      </x:c>
      <x:c r="B56" s="7" t="d">
        <x:v>2026-10-23T17:00:00.000Z</x:v>
      </x:c>
      <x:c r="C56" s="2" t="str">
        <x:v>ナイト</x:v>
      </x:c>
      <x:c r="D56" s="25" t="n">
        <x:v>11846</x:v>
      </x:c>
      <x:c r="E56" s="25" t="n">
        <x:v>55384</x:v>
      </x:c>
      <x:c r="F56" s="25" t="n">
        <x:f>D56-E56</x:f>
        <x:v>-43538</x:v>
      </x:c>
      <x:c r="G56" s="25" t="n">
        <x:f>SUMIFS($F$7:$F$56,$A$7:$A$56,A56,$B$7:$B$56,"&lt;="&amp;B56)</x:f>
        <x:v>2391260</x:v>
      </x:c>
      <x:c r="H56" s="25" t="n">
        <x:v>538</x:v>
      </x:c>
      <x:c r="I56" s="25" t="n">
        <x:v>-43000</x:v>
      </x:c>
      <x:c r="J56" s="11" t="n">
        <x:v>2</x:v>
      </x:c>
      <x:c r="K56" s="11" t="n">
        <x:v>7</x:v>
      </x:c>
      <x:c r="L56" s="11" t="n">
        <x:v>5</x:v>
      </x:c>
      <x:c r="M56" s="13" t="str">
        <x:v>追加3場</x:v>
      </x:c>
      <x:c r="N56" s="12" t="n">
        <x:v>360.03333333333336</x:v>
      </x:c>
      <x:c r="O56" s="12" t="n">
        <x:v>366.3</x:v>
      </x:c>
    </x:row>
  </x:sheetData>
  <x:conditionalFormatting sqref="D7:I56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115d3926184ea3"/>
  </x:tableParts>
</x:worksheet>
</file>

<file path=xl/worksheets/sheet5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R02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昼基準：T06／夜基準：U06。既知47場：9/21～10/22デイ。追加3場：10/22ナイト～10/23ナイト。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利確後の再参加条件のみ変更。昼夜別の基準手法で運用。累計は日時順。出典：00140保存会計。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R02</x:v>
      </x:c>
      <x:c r="B7" s="7" t="d">
        <x:v>2026-09-21T08:45:00.000Z</x:v>
      </x:c>
      <x:c r="C7" s="2" t="str">
        <x:v>デイ</x:v>
      </x:c>
      <x:c r="D7" s="25" t="n">
        <x:v>85616</x:v>
      </x:c>
      <x:c r="E7" s="25" t="n">
        <x:v>10154</x:v>
      </x:c>
      <x:c r="F7" s="25" t="n">
        <x:f>D7-E7</x:f>
        <x:v>75462</x:v>
      </x:c>
      <x:c r="G7" s="25" t="n">
        <x:f>SUMIFS($F$7:$F$56,$A$7:$A$56,A7,$B$7:$B$56,"&lt;="&amp;B7)</x:f>
        <x:v>75462</x:v>
      </x:c>
      <x:c r="H7" s="25" t="n">
        <x:v>538</x:v>
      </x:c>
      <x:c r="I7" s="25" t="n">
        <x:v>76000</x:v>
      </x:c>
      <x:c r="J7" s="11" t="n">
        <x:v>2</x:v>
      </x:c>
      <x:c r="K7" s="11" t="n">
        <x:v>7</x:v>
      </x:c>
      <x:c r="L7" s="11" t="n">
        <x:v>5</x:v>
      </x:c>
      <x:c r="M7" s="13" t="str">
        <x:v>既知47場</x:v>
      </x:c>
      <x:c r="N7" s="12" t="n">
        <x:v>190.06666666666666</x:v>
      </x:c>
      <x:c r="O7" s="12" t="n">
        <x:v>172.28333333333333</x:v>
      </x:c>
    </x:row>
    <x:row r="8" ht="22" customHeight="1">
      <x:c r="A8" s="2" t="str">
        <x:v>R02</x:v>
      </x:c>
      <x:c r="B8" s="7" t="d">
        <x:v>2026-09-21T17:00:00.000Z</x:v>
      </x:c>
      <x:c r="C8" s="2" t="str">
        <x:v>ナイト</x:v>
      </x:c>
      <x:c r="D8" s="25" t="n">
        <x:v>0</x:v>
      </x:c>
      <x:c r="E8" s="25" t="n">
        <x:v>45384</x:v>
      </x:c>
      <x:c r="F8" s="25" t="n">
        <x:f>D8-E8</x:f>
        <x:v>-45384</x:v>
      </x:c>
      <x:c r="G8" s="25" t="n">
        <x:f>SUMIFS($F$7:$F$56,$A$7:$A$56,A8,$B$7:$B$56,"&lt;="&amp;B8)</x:f>
        <x:v>30078</x:v>
      </x:c>
      <x:c r="H8" s="25" t="n">
        <x:v>384</x:v>
      </x:c>
      <x:c r="I8" s="25" t="n">
        <x:v>-45000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360.01666666666665</x:v>
      </x:c>
      <x:c r="O8" s="12" t="n">
        <x:v>5.666666666666667</x:v>
      </x:c>
    </x:row>
    <x:row r="9" ht="22" customHeight="1">
      <x:c r="A9" s="2" t="str">
        <x:v>R02</x:v>
      </x:c>
      <x:c r="B9" s="7" t="d">
        <x:v>2026-09-22T08:45:00.000Z</x:v>
      </x:c>
      <x:c r="C9" s="2" t="str">
        <x:v>デイ</x:v>
      </x:c>
      <x:c r="D9" s="25" t="n">
        <x:v>0</x:v>
      </x:c>
      <x:c r="E9" s="25" t="n">
        <x:v>106152</x:v>
      </x:c>
      <x:c r="F9" s="25" t="n">
        <x:f>D9-E9</x:f>
        <x:v>-106152</x:v>
      </x:c>
      <x:c r="G9" s="25" t="n">
        <x:f>SUMIFS($F$7:$F$56,$A$7:$A$56,A9,$B$7:$B$56,"&lt;="&amp;B9)</x:f>
        <x:v>-76074</x:v>
      </x:c>
      <x:c r="H9" s="25" t="n">
        <x:v>1152</x:v>
      </x:c>
      <x:c r="I9" s="25" t="n">
        <x:v>-105000</x:v>
      </x:c>
      <x:c r="J9" s="11" t="n">
        <x:v>3</x:v>
      </x:c>
      <x:c r="K9" s="11" t="n">
        <x:v>15</x:v>
      </x:c>
      <x:c r="L9" s="11" t="n">
        <x:v>5</x:v>
      </x:c>
      <x:c r="M9" s="13" t="str">
        <x:v>既知47場</x:v>
      </x:c>
      <x:c r="N9" s="12" t="n">
        <x:v>242.78333333333333</x:v>
      </x:c>
      <x:c r="O9" s="12" t="n">
        <x:v>28.166666666666668</x:v>
      </x:c>
    </x:row>
    <x:row r="10" ht="22" customHeight="1">
      <x:c r="A10" s="2" t="str">
        <x:v>R02</x:v>
      </x:c>
      <x:c r="B10" s="7" t="d">
        <x:v>2026-09-22T17:00:00.000Z</x:v>
      </x:c>
      <x:c r="C10" s="2" t="str">
        <x:v>ナイト</x:v>
      </x:c>
      <x:c r="D10" s="25" t="n">
        <x:v>39616</x:v>
      </x:c>
      <x:c r="E10" s="25" t="n">
        <x:v>0</x:v>
      </x:c>
      <x:c r="F10" s="25" t="n">
        <x:f>D10-E10</x:f>
        <x:v>39616</x:v>
      </x:c>
      <x:c r="G10" s="25" t="n">
        <x:f>SUMIFS($F$7:$F$56,$A$7:$A$56,A10,$B$7:$B$56,"&lt;="&amp;B10)</x:f>
        <x:v>-36458</x:v>
      </x:c>
      <x:c r="H10" s="25" t="n">
        <x:v>384</x:v>
      </x:c>
      <x:c r="I10" s="25" t="n">
        <x:v>40000</x:v>
      </x:c>
      <x:c r="J10" s="11" t="n">
        <x:v>1</x:v>
      </x:c>
      <x:c r="K10" s="11" t="n">
        <x:v>5</x:v>
      </x:c>
      <x:c r="L10" s="11" t="n">
        <x:v>5</x:v>
      </x:c>
      <x:c r="M10" s="13" t="str">
        <x:v>既知47場</x:v>
      </x:c>
      <x:c r="N10" s="12" t="n">
        <x:v>360.1</x:v>
      </x:c>
      <x:c r="O10" s="12" t="n">
        <x:v>13.583333333333334</x:v>
      </x:c>
    </x:row>
    <x:row r="11" ht="22" customHeight="1">
      <x:c r="A11" s="2" t="str">
        <x:v>R02</x:v>
      </x:c>
      <x:c r="B11" s="7" t="d">
        <x:v>2026-09-23T08:45:00.000Z</x:v>
      </x:c>
      <x:c r="C11" s="2" t="str">
        <x:v>デイ</x:v>
      </x:c>
      <x:c r="D11" s="25" t="n">
        <x:v>0</x:v>
      </x:c>
      <x:c r="E11" s="25" t="n">
        <x:v>4384</x:v>
      </x:c>
      <x:c r="F11" s="25" t="n">
        <x:f>D11-E11</x:f>
        <x:v>-4384</x:v>
      </x:c>
      <x:c r="G11" s="25" t="n">
        <x:f>SUMIFS($F$7:$F$56,$A$7:$A$56,A11,$B$7:$B$56,"&lt;="&amp;B11)</x:f>
        <x:v>-40842</x:v>
      </x:c>
      <x:c r="H11" s="25" t="n">
        <x:v>384</x:v>
      </x:c>
      <x:c r="I11" s="25" t="n">
        <x:v>-4000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68.15</x:v>
      </x:c>
      <x:c r="O11" s="12" t="n">
        <x:v>313.75</x:v>
      </x:c>
    </x:row>
    <x:row r="12" ht="22" customHeight="1">
      <x:c r="A12" s="2" t="str">
        <x:v>R02</x:v>
      </x:c>
      <x:c r="B12" s="7" t="d">
        <x:v>2026-09-23T17:00:00.000Z</x:v>
      </x:c>
      <x:c r="C12" s="2" t="str">
        <x:v>ナイト</x:v>
      </x:c>
      <x:c r="D12" s="25" t="n">
        <x:v>0</x:v>
      </x:c>
      <x:c r="E12" s="25" t="n">
        <x:v>40384</x:v>
      </x:c>
      <x:c r="F12" s="25" t="n">
        <x:f>D12-E12</x:f>
        <x:v>-40384</x:v>
      </x:c>
      <x:c r="G12" s="25" t="n">
        <x:f>SUMIFS($F$7:$F$56,$A$7:$A$56,A12,$B$7:$B$56,"&lt;="&amp;B12)</x:f>
        <x:v>-81226</x:v>
      </x:c>
      <x:c r="H12" s="25" t="n">
        <x:v>384</x:v>
      </x:c>
      <x:c r="I12" s="25" t="n">
        <x:v>-40000</x:v>
      </x:c>
      <x:c r="J12" s="11" t="n">
        <x:v>1</x:v>
      </x:c>
      <x:c r="K12" s="11" t="n">
        <x:v>5</x:v>
      </x:c>
      <x:c r="L12" s="11" t="n">
        <x:v>5</x:v>
      </x:c>
      <x:c r="M12" s="13" t="str">
        <x:v>既知47場</x:v>
      </x:c>
      <x:c r="N12" s="12" t="n">
        <x:v>358.03333333333336</x:v>
      </x:c>
      <x:c r="O12" s="12" t="n">
        <x:v>2.15</x:v>
      </x:c>
    </x:row>
    <x:row r="13" ht="22" customHeight="1">
      <x:c r="A13" s="2" t="str">
        <x:v>R02</x:v>
      </x:c>
      <x:c r="B13" s="7" t="d">
        <x:v>2026-09-24T08:45:00.000Z</x:v>
      </x:c>
      <x:c r="C13" s="2" t="str">
        <x:v>デイ</x:v>
      </x:c>
      <x:c r="D13" s="25" t="n">
        <x:v>60616</x:v>
      </x:c>
      <x:c r="E13" s="25" t="n">
        <x:v>99922</x:v>
      </x:c>
      <x:c r="F13" s="25" t="n">
        <x:f>D13-E13</x:f>
        <x:v>-39306</x:v>
      </x:c>
      <x:c r="G13" s="25" t="n">
        <x:f>SUMIFS($F$7:$F$56,$A$7:$A$56,A13,$B$7:$B$56,"&lt;="&amp;B13)</x:f>
        <x:v>-120532</x:v>
      </x:c>
      <x:c r="H13" s="25" t="n">
        <x:v>1306</x:v>
      </x:c>
      <x:c r="I13" s="25" t="n">
        <x:v>-38000</x:v>
      </x:c>
      <x:c r="J13" s="11" t="n">
        <x:v>4</x:v>
      </x:c>
      <x:c r="K13" s="11" t="n">
        <x:v>17</x:v>
      </x:c>
      <x:c r="L13" s="11" t="n">
        <x:v>5</x:v>
      </x:c>
      <x:c r="M13" s="13" t="str">
        <x:v>既知47場</x:v>
      </x:c>
      <x:c r="N13" s="12" t="n">
        <x:v>149.83333333333334</x:v>
      </x:c>
      <x:c r="O13" s="12" t="n">
        <x:v>108.7</x:v>
      </x:c>
    </x:row>
    <x:row r="14" ht="22" customHeight="1">
      <x:c r="A14" s="2" t="str">
        <x:v>R02</x:v>
      </x:c>
      <x:c r="B14" s="7" t="d">
        <x:v>2026-09-24T17:00:00.000Z</x:v>
      </x:c>
      <x:c r="C14" s="2" t="str">
        <x:v>ナイト</x:v>
      </x:c>
      <x:c r="D14" s="25" t="n">
        <x:v>44616</x:v>
      </x:c>
      <x:c r="E14" s="25" t="n">
        <x:v>58538</x:v>
      </x:c>
      <x:c r="F14" s="25" t="n">
        <x:f>D14-E14</x:f>
        <x:v>-13922</x:v>
      </x:c>
      <x:c r="G14" s="25" t="n">
        <x:f>SUMIFS($F$7:$F$56,$A$7:$A$56,A14,$B$7:$B$56,"&lt;="&amp;B14)</x:f>
        <x:v>-134454</x:v>
      </x:c>
      <x:c r="H14" s="25" t="n">
        <x:v>922</x:v>
      </x:c>
      <x:c r="I14" s="25" t="n">
        <x:v>-13000</x:v>
      </x:c>
      <x:c r="J14" s="11" t="n">
        <x:v>3</x:v>
      </x:c>
      <x:c r="K14" s="11" t="n">
        <x:v>12</x:v>
      </x:c>
      <x:c r="L14" s="11" t="n">
        <x:v>5</x:v>
      </x:c>
      <x:c r="M14" s="13" t="str">
        <x:v>既知47場</x:v>
      </x:c>
      <x:c r="N14" s="12" t="n">
        <x:v>360.3333333333333</x:v>
      </x:c>
      <x:c r="O14" s="12" t="n">
        <x:v>20.433333333333334</x:v>
      </x:c>
    </x:row>
    <x:row r="15" ht="22" customHeight="1">
      <x:c r="A15" s="2" t="str">
        <x:v>R02</x:v>
      </x:c>
      <x:c r="B15" s="7" t="d">
        <x:v>2026-09-25T08:45:00.000Z</x:v>
      </x:c>
      <x:c r="C15" s="2" t="str">
        <x:v>デイ</x:v>
      </x:c>
      <x:c r="D15" s="25" t="n">
        <x:v>145616</x:v>
      </x:c>
      <x:c r="E15" s="25" t="n">
        <x:v>0</x:v>
      </x:c>
      <x:c r="F15" s="25" t="n">
        <x:f>D15-E15</x:f>
        <x:v>145616</x:v>
      </x:c>
      <x:c r="G15" s="25" t="n">
        <x:f>SUMIFS($F$7:$F$56,$A$7:$A$56,A15,$B$7:$B$56,"&lt;="&amp;B15)</x:f>
        <x:v>11162</x:v>
      </x:c>
      <x:c r="H15" s="25" t="n">
        <x:v>384</x:v>
      </x:c>
      <x:c r="I15" s="25" t="n">
        <x:v>146000</x:v>
      </x:c>
      <x:c r="J15" s="11" t="n">
        <x:v>1</x:v>
      </x:c>
      <x:c r="K15" s="11" t="n">
        <x:v>5</x:v>
      </x:c>
      <x:c r="L15" s="11" t="n">
        <x:v>5</x:v>
      </x:c>
      <x:c r="M15" s="13" t="str">
        <x:v>既知47場</x:v>
      </x:c>
      <x:c r="N15" s="12" t="n">
        <x:v>86.55</x:v>
      </x:c>
      <x:c r="O15" s="12" t="n">
        <x:v>323.45</x:v>
      </x:c>
    </x:row>
    <x:row r="16" ht="22" customHeight="1">
      <x:c r="A16" s="2" t="str">
        <x:v>R02</x:v>
      </x:c>
      <x:c r="B16" s="7" t="d">
        <x:v>2026-09-25T17:00:00.000Z</x:v>
      </x:c>
      <x:c r="C16" s="2" t="str">
        <x:v>ナイト</x:v>
      </x:c>
      <x:c r="D16" s="25" t="n">
        <x:v>14616</x:v>
      </x:c>
      <x:c r="E16" s="25" t="n">
        <x:v>0</x:v>
      </x:c>
      <x:c r="F16" s="25" t="n">
        <x:f>D16-E16</x:f>
        <x:v>14616</x:v>
      </x:c>
      <x:c r="G16" s="25" t="n">
        <x:f>SUMIFS($F$7:$F$56,$A$7:$A$56,A16,$B$7:$B$56,"&lt;="&amp;B16)</x:f>
        <x:v>25778</x:v>
      </x:c>
      <x:c r="H16" s="25" t="n">
        <x:v>384</x:v>
      </x:c>
      <x:c r="I16" s="25" t="n">
        <x:v>15000</x:v>
      </x:c>
      <x:c r="J16" s="11" t="n">
        <x:v>1</x:v>
      </x:c>
      <x:c r="K16" s="11" t="n">
        <x:v>5</x:v>
      </x:c>
      <x:c r="L16" s="11" t="n">
        <x:v>5</x:v>
      </x:c>
      <x:c r="M16" s="13" t="str">
        <x:v>既知47場</x:v>
      </x:c>
      <x:c r="N16" s="12" t="n">
        <x:v>360</x:v>
      </x:c>
      <x:c r="O16" s="12" t="n">
        <x:v>2.433333333333333</x:v>
      </x:c>
    </x:row>
    <x:row r="17" ht="22" customHeight="1">
      <x:c r="A17" s="2" t="str">
        <x:v>R02</x:v>
      </x:c>
      <x:c r="B17" s="7" t="d">
        <x:v>2026-09-28T08:45:00.000Z</x:v>
      </x:c>
      <x:c r="C17" s="2" t="str">
        <x:v>デイ</x:v>
      </x:c>
      <x:c r="D17" s="25" t="n">
        <x:v>261616</x:v>
      </x:c>
      <x:c r="E17" s="25" t="n">
        <x:v>75384</x:v>
      </x:c>
      <x:c r="F17" s="25" t="n">
        <x:f>D17-E17</x:f>
        <x:v>186232</x:v>
      </x:c>
      <x:c r="G17" s="25" t="n">
        <x:f>SUMIFS($F$7:$F$56,$A$7:$A$56,A17,$B$7:$B$56,"&lt;="&amp;B17)</x:f>
        <x:v>212010</x:v>
      </x:c>
      <x:c r="H17" s="25" t="n">
        <x:v>768</x:v>
      </x:c>
      <x:c r="I17" s="25" t="n">
        <x:v>187000</x:v>
      </x:c>
      <x:c r="J17" s="11" t="n">
        <x:v>2</x:v>
      </x:c>
      <x:c r="K17" s="11" t="n">
        <x:v>10</x:v>
      </x:c>
      <x:c r="L17" s="11" t="n">
        <x:v>5</x:v>
      </x:c>
      <x:c r="M17" s="13" t="str">
        <x:v>既知47場</x:v>
      </x:c>
      <x:c r="N17" s="12" t="n">
        <x:v>66.3</x:v>
      </x:c>
      <x:c r="O17" s="12" t="n">
        <x:v>331.28333333333336</x:v>
      </x:c>
    </x:row>
    <x:row r="18" ht="22" customHeight="1">
      <x:c r="A18" s="2" t="str">
        <x:v>R02</x:v>
      </x:c>
      <x:c r="B18" s="7" t="d">
        <x:v>2026-09-28T17:00:00.000Z</x:v>
      </x:c>
      <x:c r="C18" s="2" t="str">
        <x:v>ナイト</x:v>
      </x:c>
      <x:c r="D18" s="25" t="n">
        <x:v>59616</x:v>
      </x:c>
      <x:c r="E18" s="25" t="n">
        <x:v>0</x:v>
      </x:c>
      <x:c r="F18" s="25" t="n">
        <x:f>D18-E18</x:f>
        <x:v>59616</x:v>
      </x:c>
      <x:c r="G18" s="25" t="n">
        <x:f>SUMIFS($F$7:$F$56,$A$7:$A$56,A18,$B$7:$B$56,"&lt;="&amp;B18)</x:f>
        <x:v>271626</x:v>
      </x:c>
      <x:c r="H18" s="25" t="n">
        <x:v>384</x:v>
      </x:c>
      <x:c r="I18" s="25" t="n">
        <x:v>60000</x:v>
      </x:c>
      <x:c r="J18" s="11" t="n">
        <x:v>1</x:v>
      </x:c>
      <x:c r="K18" s="11" t="n">
        <x:v>5</x:v>
      </x:c>
      <x:c r="L18" s="11" t="n">
        <x:v>5</x:v>
      </x:c>
      <x:c r="M18" s="13" t="str">
        <x:v>既知47場</x:v>
      </x:c>
      <x:c r="N18" s="12" t="n">
        <x:v>360</x:v>
      </x:c>
      <x:c r="O18" s="12" t="n">
        <x:v>6.433333333333334</x:v>
      </x:c>
    </x:row>
    <x:row r="19" ht="22" customHeight="1">
      <x:c r="A19" s="2" t="str">
        <x:v>R02</x:v>
      </x:c>
      <x:c r="B19" s="7" t="d">
        <x:v>2026-09-29T08:45:00.000Z</x:v>
      </x:c>
      <x:c r="C19" s="2" t="str">
        <x:v>デイ</x:v>
      </x:c>
      <x:c r="D19" s="25" t="n">
        <x:v>282232</x:v>
      </x:c>
      <x:c r="E19" s="25" t="n">
        <x:v>16154</x:v>
      </x:c>
      <x:c r="F19" s="25" t="n">
        <x:f>D19-E19</x:f>
        <x:v>266078</x:v>
      </x:c>
      <x:c r="G19" s="25" t="n">
        <x:f>SUMIFS($F$7:$F$56,$A$7:$A$56,A19,$B$7:$B$56,"&lt;="&amp;B19)</x:f>
        <x:v>537704</x:v>
      </x:c>
      <x:c r="H19" s="25" t="n">
        <x:v>922</x:v>
      </x:c>
      <x:c r="I19" s="25" t="n">
        <x:v>267000</x:v>
      </x:c>
      <x:c r="J19" s="11" t="n">
        <x:v>3</x:v>
      </x:c>
      <x:c r="K19" s="11" t="n">
        <x:v>12</x:v>
      </x:c>
      <x:c r="L19" s="11" t="n">
        <x:v>5</x:v>
      </x:c>
      <x:c r="M19" s="13" t="str">
        <x:v>既知47場</x:v>
      </x:c>
      <x:c r="N19" s="12" t="n">
        <x:v>66.68333333333334</x:v>
      </x:c>
      <x:c r="O19" s="12" t="n">
        <x:v>300.3833333333333</x:v>
      </x:c>
    </x:row>
    <x:row r="20" ht="22" customHeight="1">
      <x:c r="A20" s="2" t="str">
        <x:v>R02</x:v>
      </x:c>
      <x:c r="B20" s="7" t="d">
        <x:v>2026-09-29T17:00:00.000Z</x:v>
      </x:c>
      <x:c r="C20" s="2" t="str">
        <x:v>ナイト</x:v>
      </x:c>
      <x:c r="D20" s="25" t="n">
        <x:v>168848</x:v>
      </x:c>
      <x:c r="E20" s="25" t="n">
        <x:v>72538</x:v>
      </x:c>
      <x:c r="F20" s="25" t="n">
        <x:f>D20-E20</x:f>
        <x:v>96310</x:v>
      </x:c>
      <x:c r="G20" s="25" t="n">
        <x:f>SUMIFS($F$7:$F$56,$A$7:$A$56,A20,$B$7:$B$56,"&lt;="&amp;B20)</x:f>
        <x:v>634014</x:v>
      </x:c>
      <x:c r="H20" s="25" t="n">
        <x:v>1690</x:v>
      </x:c>
      <x:c r="I20" s="25" t="n">
        <x:v>98000</x:v>
      </x:c>
      <x:c r="J20" s="11" t="n">
        <x:v>5</x:v>
      </x:c>
      <x:c r="K20" s="11" t="n">
        <x:v>22</x:v>
      </x:c>
      <x:c r="L20" s="11" t="n">
        <x:v>5</x:v>
      </x:c>
      <x:c r="M20" s="13" t="str">
        <x:v>既知47場</x:v>
      </x:c>
      <x:c r="N20" s="12" t="n">
        <x:v>360.01666666666665</x:v>
      </x:c>
      <x:c r="O20" s="12" t="n">
        <x:v>47.4</x:v>
      </x:c>
    </x:row>
    <x:row r="21" ht="22" customHeight="1">
      <x:c r="A21" s="2" t="str">
        <x:v>R02</x:v>
      </x:c>
      <x:c r="B21" s="7" t="d">
        <x:v>2026-09-30T08:45:00.000Z</x:v>
      </x:c>
      <x:c r="C21" s="2" t="str">
        <x:v>デイ</x:v>
      </x:c>
      <x:c r="D21" s="25" t="n">
        <x:v>170616</x:v>
      </x:c>
      <x:c r="E21" s="25" t="n">
        <x:v>71538</x:v>
      </x:c>
      <x:c r="F21" s="25" t="n">
        <x:f>D21-E21</x:f>
        <x:v>99078</x:v>
      </x:c>
      <x:c r="G21" s="25" t="n">
        <x:f>SUMIFS($F$7:$F$56,$A$7:$A$56,A21,$B$7:$B$56,"&lt;="&amp;B21)</x:f>
        <x:v>733092</x:v>
      </x:c>
      <x:c r="H21" s="25" t="n">
        <x:v>922</x:v>
      </x:c>
      <x:c r="I21" s="25" t="n">
        <x:v>100000</x:v>
      </x:c>
      <x:c r="J21" s="11" t="n">
        <x:v>3</x:v>
      </x:c>
      <x:c r="K21" s="11" t="n">
        <x:v>12</x:v>
      </x:c>
      <x:c r="L21" s="11" t="n">
        <x:v>5</x:v>
      </x:c>
      <x:c r="M21" s="13" t="str">
        <x:v>既知47場</x:v>
      </x:c>
      <x:c r="N21" s="12" t="n">
        <x:v>161.31666666666666</x:v>
      </x:c>
      <x:c r="O21" s="12" t="n">
        <x:v>133.01666666666668</x:v>
      </x:c>
    </x:row>
    <x:row r="22" ht="22" customHeight="1">
      <x:c r="A22" s="2" t="str">
        <x:v>R02</x:v>
      </x:c>
      <x:c r="B22" s="7" t="d">
        <x:v>2026-09-30T17:00:00.000Z</x:v>
      </x:c>
      <x:c r="C22" s="2" t="str">
        <x:v>ナイト</x:v>
      </x:c>
      <x:c r="D22" s="25" t="n">
        <x:v>59232</x:v>
      </x:c>
      <x:c r="E22" s="25" t="n">
        <x:v>24154</x:v>
      </x:c>
      <x:c r="F22" s="25" t="n">
        <x:f>D22-E22</x:f>
        <x:v>35078</x:v>
      </x:c>
      <x:c r="G22" s="25" t="n">
        <x:f>SUMIFS($F$7:$F$56,$A$7:$A$56,A22,$B$7:$B$56,"&lt;="&amp;B22)</x:f>
        <x:v>768170</x:v>
      </x:c>
      <x:c r="H22" s="25" t="n">
        <x:v>922</x:v>
      </x:c>
      <x:c r="I22" s="25" t="n">
        <x:v>36000</x:v>
      </x:c>
      <x:c r="J22" s="11" t="n">
        <x:v>3</x:v>
      </x:c>
      <x:c r="K22" s="11" t="n">
        <x:v>12</x:v>
      </x:c>
      <x:c r="L22" s="11" t="n">
        <x:v>5</x:v>
      </x:c>
      <x:c r="M22" s="13" t="str">
        <x:v>既知47場</x:v>
      </x:c>
      <x:c r="N22" s="12" t="n">
        <x:v>360</x:v>
      </x:c>
      <x:c r="O22" s="12" t="n">
        <x:v>25.233333333333334</x:v>
      </x:c>
    </x:row>
    <x:row r="23" ht="22" customHeight="1">
      <x:c r="A23" s="2" t="str">
        <x:v>R02</x:v>
      </x:c>
      <x:c r="B23" s="7" t="d">
        <x:v>2026-10-01T08:45:00.000Z</x:v>
      </x:c>
      <x:c r="C23" s="2" t="str">
        <x:v>デイ</x:v>
      </x:c>
      <x:c r="D23" s="25" t="n">
        <x:v>183616</x:v>
      </x:c>
      <x:c r="E23" s="25" t="n">
        <x:v>76538</x:v>
      </x:c>
      <x:c r="F23" s="25" t="n">
        <x:f>D23-E23</x:f>
        <x:v>107078</x:v>
      </x:c>
      <x:c r="G23" s="25" t="n">
        <x:f>SUMIFS($F$7:$F$56,$A$7:$A$56,A23,$B$7:$B$56,"&lt;="&amp;B23)</x:f>
        <x:v>875248</x:v>
      </x:c>
      <x:c r="H23" s="25" t="n">
        <x:v>922</x:v>
      </x:c>
      <x:c r="I23" s="25" t="n">
        <x:v>108000</x:v>
      </x:c>
      <x:c r="J23" s="11" t="n">
        <x:v>3</x:v>
      </x:c>
      <x:c r="K23" s="11" t="n">
        <x:v>12</x:v>
      </x:c>
      <x:c r="L23" s="11" t="n">
        <x:v>5</x:v>
      </x:c>
      <x:c r="M23" s="13" t="str">
        <x:v>既知47場</x:v>
      </x:c>
      <x:c r="N23" s="12" t="n">
        <x:v>88.93333333333334</x:v>
      </x:c>
      <x:c r="O23" s="12" t="n">
        <x:v>132.6</x:v>
      </x:c>
    </x:row>
    <x:row r="24" ht="22" customHeight="1">
      <x:c r="A24" s="2" t="str">
        <x:v>R02</x:v>
      </x:c>
      <x:c r="B24" s="7" t="d">
        <x:v>2026-10-01T17:00:00.000Z</x:v>
      </x:c>
      <x:c r="C24" s="2" t="str">
        <x:v>ナイト</x:v>
      </x:c>
      <x:c r="D24" s="25" t="n">
        <x:v>55692</x:v>
      </x:c>
      <x:c r="E24" s="25" t="n">
        <x:v>0</x:v>
      </x:c>
      <x:c r="F24" s="25" t="n">
        <x:f>D24-E24</x:f>
        <x:v>55692</x:v>
      </x:c>
      <x:c r="G24" s="25" t="n">
        <x:f>SUMIFS($F$7:$F$56,$A$7:$A$56,A24,$B$7:$B$56,"&lt;="&amp;B24)</x:f>
        <x:v>930940</x:v>
      </x:c>
      <x:c r="H24" s="25" t="n">
        <x:v>308</x:v>
      </x:c>
      <x:c r="I24" s="25" t="n">
        <x:v>56000</x:v>
      </x:c>
      <x:c r="J24" s="11" t="n">
        <x:v>1</x:v>
      </x:c>
      <x:c r="K24" s="11" t="n">
        <x:v>4</x:v>
      </x:c>
      <x:c r="L24" s="11" t="n">
        <x:v>4</x:v>
      </x:c>
      <x:c r="M24" s="13" t="str">
        <x:v>既知47場</x:v>
      </x:c>
      <x:c r="N24" s="12" t="n">
        <x:v>360</x:v>
      </x:c>
      <x:c r="O24" s="12" t="n">
        <x:v>2.75</x:v>
      </x:c>
    </x:row>
    <x:row r="25" ht="22" customHeight="1">
      <x:c r="A25" s="2" t="str">
        <x:v>R02</x:v>
      </x:c>
      <x:c r="B25" s="7" t="d">
        <x:v>2026-10-02T08:45:00.000Z</x:v>
      </x:c>
      <x:c r="C25" s="2" t="str">
        <x:v>デイ</x:v>
      </x:c>
      <x:c r="D25" s="25" t="n">
        <x:v>0</x:v>
      </x:c>
      <x:c r="E25" s="25" t="n">
        <x:v>65384</x:v>
      </x:c>
      <x:c r="F25" s="25" t="n">
        <x:f>D25-E25</x:f>
        <x:v>-65384</x:v>
      </x:c>
      <x:c r="G25" s="25" t="n">
        <x:f>SUMIFS($F$7:$F$56,$A$7:$A$56,A25,$B$7:$B$56,"&lt;="&amp;B25)</x:f>
        <x:v>865556</x:v>
      </x:c>
      <x:c r="H25" s="25" t="n">
        <x:v>384</x:v>
      </x:c>
      <x:c r="I25" s="25" t="n">
        <x:v>-65000</x:v>
      </x:c>
      <x:c r="J25" s="11" t="n">
        <x:v>1</x:v>
      </x:c>
      <x:c r="K25" s="11" t="n">
        <x:v>5</x:v>
      </x:c>
      <x:c r="L25" s="11" t="n">
        <x:v>5</x:v>
      </x:c>
      <x:c r="M25" s="13" t="str">
        <x:v>既知47場</x:v>
      </x:c>
      <x:c r="N25" s="12" t="n">
        <x:v>100.65</x:v>
      </x:c>
      <x:c r="O25" s="12" t="n">
        <x:v>33.65</x:v>
      </x:c>
    </x:row>
    <x:row r="26" ht="22" customHeight="1">
      <x:c r="A26" s="2" t="str">
        <x:v>R02</x:v>
      </x:c>
      <x:c r="B26" s="7" t="d">
        <x:v>2026-10-02T17:00:00.000Z</x:v>
      </x:c>
      <x:c r="C26" s="2" t="str">
        <x:v>ナイト</x:v>
      </x:c>
      <x:c r="D26" s="25" t="n">
        <x:v>119232</x:v>
      </x:c>
      <x:c r="E26" s="25" t="n">
        <x:v>55384</x:v>
      </x:c>
      <x:c r="F26" s="25" t="n">
        <x:f>D26-E26</x:f>
        <x:v>63848</x:v>
      </x:c>
      <x:c r="G26" s="25" t="n">
        <x:f>SUMIFS($F$7:$F$56,$A$7:$A$56,A26,$B$7:$B$56,"&lt;="&amp;B26)</x:f>
        <x:v>929404</x:v>
      </x:c>
      <x:c r="H26" s="25" t="n">
        <x:v>1152</x:v>
      </x:c>
      <x:c r="I26" s="25" t="n">
        <x:v>65000</x:v>
      </x:c>
      <x:c r="J26" s="11" t="n">
        <x:v>3</x:v>
      </x:c>
      <x:c r="K26" s="11" t="n">
        <x:v>15</x:v>
      </x:c>
      <x:c r="L26" s="11" t="n">
        <x:v>5</x:v>
      </x:c>
      <x:c r="M26" s="13" t="str">
        <x:v>既知47場</x:v>
      </x:c>
      <x:c r="N26" s="12" t="n">
        <x:v>360</x:v>
      </x:c>
      <x:c r="O26" s="12" t="n">
        <x:v>17.783333333333335</x:v>
      </x:c>
    </x:row>
    <x:row r="27" ht="22" customHeight="1">
      <x:c r="A27" s="2" t="str">
        <x:v>R02</x:v>
      </x:c>
      <x:c r="B27" s="7" t="d">
        <x:v>2026-10-05T08:45:00.000Z</x:v>
      </x:c>
      <x:c r="C27" s="2" t="str">
        <x:v>デイ</x:v>
      </x:c>
      <x:c r="D27" s="25" t="n">
        <x:v>4616</x:v>
      </x:c>
      <x:c r="E27" s="25" t="n">
        <x:v>126536</x:v>
      </x:c>
      <x:c r="F27" s="25" t="n">
        <x:f>D27-E27</x:f>
        <x:v>-121920</x:v>
      </x:c>
      <x:c r="G27" s="25" t="n">
        <x:f>SUMIFS($F$7:$F$56,$A$7:$A$56,A27,$B$7:$B$56,"&lt;="&amp;B27)</x:f>
        <x:v>807484</x:v>
      </x:c>
      <x:c r="H27" s="25" t="n">
        <x:v>1920</x:v>
      </x:c>
      <x:c r="I27" s="25" t="n">
        <x:v>-120000</x:v>
      </x:c>
      <x:c r="J27" s="11" t="n">
        <x:v>5</x:v>
      </x:c>
      <x:c r="K27" s="11" t="n">
        <x:v>25</x:v>
      </x:c>
      <x:c r="L27" s="11" t="n">
        <x:v>5</x:v>
      </x:c>
      <x:c r="M27" s="13" t="str">
        <x:v>既知47場</x:v>
      </x:c>
      <x:c r="N27" s="12" t="n">
        <x:v>106</x:v>
      </x:c>
      <x:c r="O27" s="12" t="n">
        <x:v>117.81666666666666</x:v>
      </x:c>
    </x:row>
    <x:row r="28" ht="22" customHeight="1">
      <x:c r="A28" s="2" t="str">
        <x:v>R02</x:v>
      </x:c>
      <x:c r="B28" s="7" t="d">
        <x:v>2026-10-05T17:00:00.000Z</x:v>
      </x:c>
      <x:c r="C28" s="2" t="str">
        <x:v>ナイト</x:v>
      </x:c>
      <x:c r="D28" s="25" t="n">
        <x:v>24616</x:v>
      </x:c>
      <x:c r="E28" s="25" t="n">
        <x:v>20384</x:v>
      </x:c>
      <x:c r="F28" s="25" t="n">
        <x:f>D28-E28</x:f>
        <x:v>4232</x:v>
      </x:c>
      <x:c r="G28" s="25" t="n">
        <x:f>SUMIFS($F$7:$F$56,$A$7:$A$56,A28,$B$7:$B$56,"&lt;="&amp;B28)</x:f>
        <x:v>811716</x:v>
      </x:c>
      <x:c r="H28" s="25" t="n">
        <x:v>768</x:v>
      </x:c>
      <x:c r="I28" s="25" t="n">
        <x:v>5000</x:v>
      </x:c>
      <x:c r="J28" s="11" t="n">
        <x:v>2</x:v>
      </x:c>
      <x:c r="K28" s="11" t="n">
        <x:v>10</x:v>
      </x:c>
      <x:c r="L28" s="11" t="n">
        <x:v>5</x:v>
      </x:c>
      <x:c r="M28" s="13" t="str">
        <x:v>既知47場</x:v>
      </x:c>
      <x:c r="N28" s="12" t="n">
        <x:v>360.01666666666665</x:v>
      </x:c>
      <x:c r="O28" s="12" t="n">
        <x:v>28.866666666666667</x:v>
      </x:c>
    </x:row>
    <x:row r="29" ht="22" customHeight="1">
      <x:c r="A29" s="2" t="str">
        <x:v>R02</x:v>
      </x:c>
      <x:c r="B29" s="7" t="d">
        <x:v>2026-10-06T08:45:00.000Z</x:v>
      </x:c>
      <x:c r="C29" s="2" t="str">
        <x:v>デイ</x:v>
      </x:c>
      <x:c r="D29" s="25" t="n">
        <x:v>100463</x:v>
      </x:c>
      <x:c r="E29" s="25" t="n">
        <x:v>50384</x:v>
      </x:c>
      <x:c r="F29" s="25" t="n">
        <x:f>D29-E29</x:f>
        <x:v>50079</x:v>
      </x:c>
      <x:c r="G29" s="25" t="n">
        <x:f>SUMIFS($F$7:$F$56,$A$7:$A$56,A29,$B$7:$B$56,"&lt;="&amp;B29)</x:f>
        <x:v>861795</x:v>
      </x:c>
      <x:c r="H29" s="25" t="n">
        <x:v>921</x:v>
      </x:c>
      <x:c r="I29" s="25" t="n">
        <x:v>51000</x:v>
      </x:c>
      <x:c r="J29" s="11" t="n">
        <x:v>3</x:v>
      </x:c>
      <x:c r="K29" s="11" t="n">
        <x:v>12</x:v>
      </x:c>
      <x:c r="L29" s="11" t="n">
        <x:v>5</x:v>
      </x:c>
      <x:c r="M29" s="13" t="str">
        <x:v>既知47場</x:v>
      </x:c>
      <x:c r="N29" s="12" t="n">
        <x:v>81.4</x:v>
      </x:c>
      <x:c r="O29" s="12" t="n">
        <x:v>64.48333333333333</x:v>
      </x:c>
    </x:row>
    <x:row r="30" ht="22" customHeight="1">
      <x:c r="A30" s="2" t="str">
        <x:v>R02</x:v>
      </x:c>
      <x:c r="B30" s="7" t="d">
        <x:v>2026-10-06T17:00:00.000Z</x:v>
      </x:c>
      <x:c r="C30" s="2" t="str">
        <x:v>ナイト</x:v>
      </x:c>
      <x:c r="D30" s="25" t="n">
        <x:v>24616</x:v>
      </x:c>
      <x:c r="E30" s="25" t="n">
        <x:v>35384</x:v>
      </x:c>
      <x:c r="F30" s="25" t="n">
        <x:f>D30-E30</x:f>
        <x:v>-10768</x:v>
      </x:c>
      <x:c r="G30" s="25" t="n">
        <x:f>SUMIFS($F$7:$F$56,$A$7:$A$56,A30,$B$7:$B$56,"&lt;="&amp;B30)</x:f>
        <x:v>851027</x:v>
      </x:c>
      <x:c r="H30" s="25" t="n">
        <x:v>768</x:v>
      </x:c>
      <x:c r="I30" s="25" t="n">
        <x:v>-10000</x:v>
      </x:c>
      <x:c r="J30" s="11" t="n">
        <x:v>2</x:v>
      </x:c>
      <x:c r="K30" s="11" t="n">
        <x:v>10</x:v>
      </x:c>
      <x:c r="L30" s="11" t="n">
        <x:v>5</x:v>
      </x:c>
      <x:c r="M30" s="13" t="str">
        <x:v>既知47場</x:v>
      </x:c>
      <x:c r="N30" s="12" t="n">
        <x:v>360.06666666666666</x:v>
      </x:c>
      <x:c r="O30" s="12" t="n">
        <x:v>13.533333333333333</x:v>
      </x:c>
    </x:row>
    <x:row r="31" ht="22" customHeight="1">
      <x:c r="A31" s="2" t="str">
        <x:v>R02</x:v>
      </x:c>
      <x:c r="B31" s="7" t="d">
        <x:v>2026-10-07T08:45:00.000Z</x:v>
      </x:c>
      <x:c r="C31" s="2" t="str">
        <x:v>デイ</x:v>
      </x:c>
      <x:c r="D31" s="25" t="n">
        <x:v>70232</x:v>
      </x:c>
      <x:c r="E31" s="25" t="n">
        <x:v>0</x:v>
      </x:c>
      <x:c r="F31" s="25" t="n">
        <x:f>D31-E31</x:f>
        <x:v>70232</x:v>
      </x:c>
      <x:c r="G31" s="25" t="n">
        <x:f>SUMIFS($F$7:$F$56,$A$7:$A$56,A31,$B$7:$B$56,"&lt;="&amp;B31)</x:f>
        <x:v>921259</x:v>
      </x:c>
      <x:c r="H31" s="25" t="n">
        <x:v>768</x:v>
      </x:c>
      <x:c r="I31" s="25" t="n">
        <x:v>71000</x:v>
      </x:c>
      <x:c r="J31" s="11" t="n">
        <x:v>2</x:v>
      </x:c>
      <x:c r="K31" s="11" t="n">
        <x:v>10</x:v>
      </x:c>
      <x:c r="L31" s="11" t="n">
        <x:v>5</x:v>
      </x:c>
      <x:c r="M31" s="13" t="str">
        <x:v>既知47場</x:v>
      </x:c>
      <x:c r="N31" s="12" t="n">
        <x:v>225</x:v>
      </x:c>
      <x:c r="O31" s="12" t="n">
        <x:v>31.6</x:v>
      </x:c>
    </x:row>
    <x:row r="32" ht="22" customHeight="1">
      <x:c r="A32" s="2" t="str">
        <x:v>R02</x:v>
      </x:c>
      <x:c r="B32" s="7" t="d">
        <x:v>2026-10-07T17:00:00.000Z</x:v>
      </x:c>
      <x:c r="C32" s="2" t="str">
        <x:v>ナイト</x:v>
      </x:c>
      <x:c r="D32" s="25" t="n">
        <x:v>24232</x:v>
      </x:c>
      <x:c r="E32" s="25" t="n">
        <x:v>14154</x:v>
      </x:c>
      <x:c r="F32" s="25" t="n">
        <x:f>D32-E32</x:f>
        <x:v>10078</x:v>
      </x:c>
      <x:c r="G32" s="25" t="n">
        <x:f>SUMIFS($F$7:$F$56,$A$7:$A$56,A32,$B$7:$B$56,"&lt;="&amp;B32)</x:f>
        <x:v>931337</x:v>
      </x:c>
      <x:c r="H32" s="25" t="n">
        <x:v>922</x:v>
      </x:c>
      <x:c r="I32" s="25" t="n">
        <x:v>11000</x:v>
      </x:c>
      <x:c r="J32" s="11" t="n">
        <x:v>3</x:v>
      </x:c>
      <x:c r="K32" s="11" t="n">
        <x:v>12</x:v>
      </x:c>
      <x:c r="L32" s="11" t="n">
        <x:v>5</x:v>
      </x:c>
      <x:c r="M32" s="13" t="str">
        <x:v>既知47場</x:v>
      </x:c>
      <x:c r="N32" s="12" t="n">
        <x:v>360</x:v>
      </x:c>
      <x:c r="O32" s="12" t="n">
        <x:v>31.516666666666666</x:v>
      </x:c>
    </x:row>
    <x:row r="33" ht="22" customHeight="1">
      <x:c r="A33" s="2" t="str">
        <x:v>R02</x:v>
      </x:c>
      <x:c r="B33" s="7" t="d">
        <x:v>2026-10-08T08:45:00.000Z</x:v>
      </x:c>
      <x:c r="C33" s="2" t="str">
        <x:v>デイ</x:v>
      </x:c>
      <x:c r="D33" s="25" t="n">
        <x:v>94616</x:v>
      </x:c>
      <x:c r="E33" s="25" t="n">
        <x:v>151536</x:v>
      </x:c>
      <x:c r="F33" s="25" t="n">
        <x:f>D33-E33</x:f>
        <x:v>-56920</x:v>
      </x:c>
      <x:c r="G33" s="25" t="n">
        <x:f>SUMIFS($F$7:$F$56,$A$7:$A$56,A33,$B$7:$B$56,"&lt;="&amp;B33)</x:f>
        <x:v>874417</x:v>
      </x:c>
      <x:c r="H33" s="25" t="n">
        <x:v>1920</x:v>
      </x:c>
      <x:c r="I33" s="25" t="n">
        <x:v>-55000</x:v>
      </x:c>
      <x:c r="J33" s="11" t="n">
        <x:v>5</x:v>
      </x:c>
      <x:c r="K33" s="11" t="n">
        <x:v>25</x:v>
      </x:c>
      <x:c r="L33" s="11" t="n">
        <x:v>5</x:v>
      </x:c>
      <x:c r="M33" s="13" t="str">
        <x:v>既知47場</x:v>
      </x:c>
      <x:c r="N33" s="12" t="n">
        <x:v>70.23333333333333</x:v>
      </x:c>
      <x:c r="O33" s="12" t="n">
        <x:v>73.46666666666667</x:v>
      </x:c>
    </x:row>
    <x:row r="34" ht="22" customHeight="1">
      <x:c r="A34" s="2" t="str">
        <x:v>R02</x:v>
      </x:c>
      <x:c r="B34" s="7" t="d">
        <x:v>2026-10-08T17:00:00.000Z</x:v>
      </x:c>
      <x:c r="C34" s="2" t="str">
        <x:v>ナイト</x:v>
      </x:c>
      <x:c r="D34" s="25" t="n">
        <x:v>78079</x:v>
      </x:c>
      <x:c r="E34" s="25" t="n">
        <x:v>0</x:v>
      </x:c>
      <x:c r="F34" s="25" t="n">
        <x:f>D34-E34</x:f>
        <x:v>78079</x:v>
      </x:c>
      <x:c r="G34" s="25" t="n">
        <x:f>SUMIFS($F$7:$F$56,$A$7:$A$56,A34,$B$7:$B$56,"&lt;="&amp;B34)</x:f>
        <x:v>952496</x:v>
      </x:c>
      <x:c r="H34" s="25" t="n">
        <x:v>921</x:v>
      </x:c>
      <x:c r="I34" s="25" t="n">
        <x:v>79000</x:v>
      </x:c>
      <x:c r="J34" s="11" t="n">
        <x:v>3</x:v>
      </x:c>
      <x:c r="K34" s="11" t="n">
        <x:v>12</x:v>
      </x:c>
      <x:c r="L34" s="11" t="n">
        <x:v>5</x:v>
      </x:c>
      <x:c r="M34" s="13" t="str">
        <x:v>既知47場</x:v>
      </x:c>
      <x:c r="N34" s="12" t="n">
        <x:v>360</x:v>
      </x:c>
      <x:c r="O34" s="12" t="n">
        <x:v>56.96666666666667</x:v>
      </x:c>
    </x:row>
    <x:row r="35" ht="22" customHeight="1">
      <x:c r="A35" s="2" t="str">
        <x:v>R02</x:v>
      </x:c>
      <x:c r="B35" s="7" t="d">
        <x:v>2026-10-09T08:45:00.000Z</x:v>
      </x:c>
      <x:c r="C35" s="2" t="str">
        <x:v>デイ</x:v>
      </x:c>
      <x:c r="D35" s="25" t="n">
        <x:v>59616</x:v>
      </x:c>
      <x:c r="E35" s="25" t="n">
        <x:v>0</x:v>
      </x:c>
      <x:c r="F35" s="25" t="n">
        <x:f>D35-E35</x:f>
        <x:v>59616</x:v>
      </x:c>
      <x:c r="G35" s="25" t="n">
        <x:f>SUMIFS($F$7:$F$56,$A$7:$A$56,A35,$B$7:$B$56,"&lt;="&amp;B35)</x:f>
        <x:v>1012112</x:v>
      </x:c>
      <x:c r="H35" s="25" t="n">
        <x:v>384</x:v>
      </x:c>
      <x:c r="I35" s="25" t="n">
        <x:v>60000</x:v>
      </x:c>
      <x:c r="J35" s="11" t="n">
        <x:v>1</x:v>
      </x:c>
      <x:c r="K35" s="11" t="n">
        <x:v>5</x:v>
      </x:c>
      <x:c r="L35" s="11" t="n">
        <x:v>5</x:v>
      </x:c>
      <x:c r="M35" s="13" t="str">
        <x:v>既知47場</x:v>
      </x:c>
      <x:c r="N35" s="12" t="n">
        <x:v>225</x:v>
      </x:c>
      <x:c r="O35" s="12" t="n">
        <x:v>14.433333333333334</x:v>
      </x:c>
    </x:row>
    <x:row r="36" ht="22" customHeight="1">
      <x:c r="A36" s="2" t="str">
        <x:v>R02</x:v>
      </x:c>
      <x:c r="B36" s="7" t="d">
        <x:v>2026-10-09T17:00:00.000Z</x:v>
      </x:c>
      <x:c r="C36" s="2" t="str">
        <x:v>ナイト</x:v>
      </x:c>
      <x:c r="D36" s="25" t="n">
        <x:v>19616</x:v>
      </x:c>
      <x:c r="E36" s="25" t="n">
        <x:v>0</x:v>
      </x:c>
      <x:c r="F36" s="25" t="n">
        <x:f>D36-E36</x:f>
        <x:v>19616</x:v>
      </x:c>
      <x:c r="G36" s="25" t="n">
        <x:f>SUMIFS($F$7:$F$56,$A$7:$A$56,A36,$B$7:$B$56,"&lt;="&amp;B36)</x:f>
        <x:v>1031728</x:v>
      </x:c>
      <x:c r="H36" s="25" t="n">
        <x:v>384</x:v>
      </x:c>
      <x:c r="I36" s="25" t="n">
        <x:v>20000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360.06666666666666</x:v>
      </x:c>
      <x:c r="O36" s="12" t="n">
        <x:v>11.916666666666666</x:v>
      </x:c>
    </x:row>
    <x:row r="37" ht="22" customHeight="1">
      <x:c r="A37" s="2" t="str">
        <x:v>R02</x:v>
      </x:c>
      <x:c r="B37" s="7" t="d">
        <x:v>2026-10-12T08:45:00.000Z</x:v>
      </x:c>
      <x:c r="C37" s="2" t="str">
        <x:v>デイ</x:v>
      </x:c>
      <x:c r="D37" s="25" t="n">
        <x:v>34462</x:v>
      </x:c>
      <x:c r="E37" s="25" t="n">
        <x:v>0</x:v>
      </x:c>
      <x:c r="F37" s="25" t="n">
        <x:f>D37-E37</x:f>
        <x:v>34462</x:v>
      </x:c>
      <x:c r="G37" s="25" t="n">
        <x:f>SUMIFS($F$7:$F$56,$A$7:$A$56,A37,$B$7:$B$56,"&lt;="&amp;B37)</x:f>
        <x:v>1066190</x:v>
      </x:c>
      <x:c r="H37" s="25" t="n">
        <x:v>538</x:v>
      </x:c>
      <x:c r="I37" s="25" t="n">
        <x:v>35000</x:v>
      </x:c>
      <x:c r="J37" s="11" t="n">
        <x:v>2</x:v>
      </x:c>
      <x:c r="K37" s="11" t="n">
        <x:v>7</x:v>
      </x:c>
      <x:c r="L37" s="11" t="n">
        <x:v>5</x:v>
      </x:c>
      <x:c r="M37" s="13" t="str">
        <x:v>既知47場</x:v>
      </x:c>
      <x:c r="N37" s="12" t="n">
        <x:v>122.76666666666667</x:v>
      </x:c>
      <x:c r="O37" s="12" t="n">
        <x:v>286.2</x:v>
      </x:c>
    </x:row>
    <x:row r="38" ht="22" customHeight="1">
      <x:c r="A38" s="2" t="str">
        <x:v>R02</x:v>
      </x:c>
      <x:c r="B38" s="7" t="d">
        <x:v>2026-10-12T17:00:00.000Z</x:v>
      </x:c>
      <x:c r="C38" s="2" t="str">
        <x:v>ナイト</x:v>
      </x:c>
      <x:c r="D38" s="25" t="n">
        <x:v>94616</x:v>
      </x:c>
      <x:c r="E38" s="25" t="n">
        <x:v>0</x:v>
      </x:c>
      <x:c r="F38" s="25" t="n">
        <x:f>D38-E38</x:f>
        <x:v>94616</x:v>
      </x:c>
      <x:c r="G38" s="25" t="n">
        <x:f>SUMIFS($F$7:$F$56,$A$7:$A$56,A38,$B$7:$B$56,"&lt;="&amp;B38)</x:f>
        <x:v>1160806</x:v>
      </x:c>
      <x:c r="H38" s="25" t="n">
        <x:v>384</x:v>
      </x:c>
      <x:c r="I38" s="25" t="n">
        <x:v>95000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360.21666666666664</x:v>
      </x:c>
      <x:c r="O38" s="12" t="n">
        <x:v>10.65</x:v>
      </x:c>
    </x:row>
    <x:row r="39" ht="22" customHeight="1">
      <x:c r="A39" s="2" t="str">
        <x:v>R02</x:v>
      </x:c>
      <x:c r="B39" s="7" t="d">
        <x:v>2026-10-13T08:45:00.000Z</x:v>
      </x:c>
      <x:c r="C39" s="2" t="str">
        <x:v>デイ</x:v>
      </x:c>
      <x:c r="D39" s="25" t="n">
        <x:v>87078</x:v>
      </x:c>
      <x:c r="E39" s="25" t="n">
        <x:v>0</x:v>
      </x:c>
      <x:c r="F39" s="25" t="n">
        <x:f>D39-E39</x:f>
        <x:v>87078</x:v>
      </x:c>
      <x:c r="G39" s="25" t="n">
        <x:f>SUMIFS($F$7:$F$56,$A$7:$A$56,A39,$B$7:$B$56,"&lt;="&amp;B39)</x:f>
        <x:v>1247884</x:v>
      </x:c>
      <x:c r="H39" s="25" t="n">
        <x:v>922</x:v>
      </x:c>
      <x:c r="I39" s="25" t="n">
        <x:v>88000</x:v>
      </x:c>
      <x:c r="J39" s="11" t="n">
        <x:v>3</x:v>
      </x:c>
      <x:c r="K39" s="11" t="n">
        <x:v>12</x:v>
      </x:c>
      <x:c r="L39" s="11" t="n">
        <x:v>5</x:v>
      </x:c>
      <x:c r="M39" s="13" t="str">
        <x:v>既知47場</x:v>
      </x:c>
      <x:c r="N39" s="12" t="n">
        <x:v>65.25</x:v>
      </x:c>
      <x:c r="O39" s="12" t="n">
        <x:v>327.98333333333335</x:v>
      </x:c>
    </x:row>
    <x:row r="40" ht="22" customHeight="1">
      <x:c r="A40" s="2" t="str">
        <x:v>R02</x:v>
      </x:c>
      <x:c r="B40" s="7" t="d">
        <x:v>2026-10-13T17:00:00.000Z</x:v>
      </x:c>
      <x:c r="C40" s="2" t="str">
        <x:v>ナイト</x:v>
      </x:c>
      <x:c r="D40" s="25" t="n">
        <x:v>0</x:v>
      </x:c>
      <x:c r="E40" s="25" t="n">
        <x:v>80768</x:v>
      </x:c>
      <x:c r="F40" s="25" t="n">
        <x:f>D40-E40</x:f>
        <x:v>-80768</x:v>
      </x:c>
      <x:c r="G40" s="25" t="n">
        <x:f>SUMIFS($F$7:$F$56,$A$7:$A$56,A40,$B$7:$B$56,"&lt;="&amp;B40)</x:f>
        <x:v>1167116</x:v>
      </x:c>
      <x:c r="H40" s="25" t="n">
        <x:v>768</x:v>
      </x:c>
      <x:c r="I40" s="25" t="n">
        <x:v>-80000</x:v>
      </x:c>
      <x:c r="J40" s="11" t="n">
        <x:v>2</x:v>
      </x:c>
      <x:c r="K40" s="11" t="n">
        <x:v>10</x:v>
      </x:c>
      <x:c r="L40" s="11" t="n">
        <x:v>5</x:v>
      </x:c>
      <x:c r="M40" s="13" t="str">
        <x:v>既知47場</x:v>
      </x:c>
      <x:c r="N40" s="12" t="n">
        <x:v>360.23333333333335</x:v>
      </x:c>
      <x:c r="O40" s="12" t="n">
        <x:v>7.716666666666667</x:v>
      </x:c>
    </x:row>
    <x:row r="41" ht="22" customHeight="1">
      <x:c r="A41" s="2" t="str">
        <x:v>R02</x:v>
      </x:c>
      <x:c r="B41" s="7" t="d">
        <x:v>2026-10-14T08:45:00.000Z</x:v>
      </x:c>
      <x:c r="C41" s="2" t="str">
        <x:v>デイ</x:v>
      </x:c>
      <x:c r="D41" s="25" t="n">
        <x:v>194078</x:v>
      </x:c>
      <x:c r="E41" s="25" t="n">
        <x:v>15384</x:v>
      </x:c>
      <x:c r="F41" s="25" t="n">
        <x:f>D41-E41</x:f>
        <x:v>178694</x:v>
      </x:c>
      <x:c r="G41" s="25" t="n">
        <x:f>SUMIFS($F$7:$F$56,$A$7:$A$56,A41,$B$7:$B$56,"&lt;="&amp;B41)</x:f>
        <x:v>1345810</x:v>
      </x:c>
      <x:c r="H41" s="25" t="n">
        <x:v>1306</x:v>
      </x:c>
      <x:c r="I41" s="25" t="n">
        <x:v>180000</x:v>
      </x:c>
      <x:c r="J41" s="11" t="n">
        <x:v>4</x:v>
      </x:c>
      <x:c r="K41" s="11" t="n">
        <x:v>17</x:v>
      </x:c>
      <x:c r="L41" s="11" t="n">
        <x:v>5</x:v>
      </x:c>
      <x:c r="M41" s="13" t="str">
        <x:v>既知47場</x:v>
      </x:c>
      <x:c r="N41" s="12" t="n">
        <x:v>225</x:v>
      </x:c>
      <x:c r="O41" s="12" t="n">
        <x:v>73.15</x:v>
      </x:c>
    </x:row>
    <x:row r="42" ht="22" customHeight="1">
      <x:c r="A42" s="2" t="str">
        <x:v>R02</x:v>
      </x:c>
      <x:c r="B42" s="7" t="d">
        <x:v>2026-10-14T17:00:00.000Z</x:v>
      </x:c>
      <x:c r="C42" s="2" t="str">
        <x:v>ナイト</x:v>
      </x:c>
      <x:c r="D42" s="25" t="n">
        <x:v>223463</x:v>
      </x:c>
      <x:c r="E42" s="25" t="n">
        <x:v>46154</x:v>
      </x:c>
      <x:c r="F42" s="25" t="n">
        <x:f>D42-E42</x:f>
        <x:v>177309</x:v>
      </x:c>
      <x:c r="G42" s="25" t="n">
        <x:f>SUMIFS($F$7:$F$56,$A$7:$A$56,A42,$B$7:$B$56,"&lt;="&amp;B42)</x:f>
        <x:v>1523119</x:v>
      </x:c>
      <x:c r="H42" s="25" t="n">
        <x:v>691</x:v>
      </x:c>
      <x:c r="I42" s="25" t="n">
        <x:v>178000</x:v>
      </x:c>
      <x:c r="J42" s="11" t="n">
        <x:v>3</x:v>
      </x:c>
      <x:c r="K42" s="11" t="n">
        <x:v>9</x:v>
      </x:c>
      <x:c r="L42" s="11" t="n">
        <x:v>5</x:v>
      </x:c>
      <x:c r="M42" s="13" t="str">
        <x:v>既知47場</x:v>
      </x:c>
      <x:c r="N42" s="12" t="n">
        <x:v>360</x:v>
      </x:c>
      <x:c r="O42" s="12" t="n">
        <x:v>199.51666666666668</x:v>
      </x:c>
    </x:row>
    <x:row r="43" ht="22" customHeight="1">
      <x:c r="A43" s="2" t="str">
        <x:v>R02</x:v>
      </x:c>
      <x:c r="B43" s="7" t="d">
        <x:v>2026-10-15T08:45:00.000Z</x:v>
      </x:c>
      <x:c r="C43" s="2" t="str">
        <x:v>デイ</x:v>
      </x:c>
      <x:c r="D43" s="25" t="n">
        <x:v>464924</x:v>
      </x:c>
      <x:c r="E43" s="25" t="n">
        <x:v>0</x:v>
      </x:c>
      <x:c r="F43" s="25" t="n">
        <x:f>D43-E43</x:f>
        <x:v>464924</x:v>
      </x:c>
      <x:c r="G43" s="25" t="n">
        <x:f>SUMIFS($F$7:$F$56,$A$7:$A$56,A43,$B$7:$B$56,"&lt;="&amp;B43)</x:f>
        <x:v>1988043</x:v>
      </x:c>
      <x:c r="H43" s="25" t="n">
        <x:v>1076</x:v>
      </x:c>
      <x:c r="I43" s="25" t="n">
        <x:v>466000</x:v>
      </x:c>
      <x:c r="J43" s="11" t="n">
        <x:v>4</x:v>
      </x:c>
      <x:c r="K43" s="11" t="n">
        <x:v>14</x:v>
      </x:c>
      <x:c r="L43" s="11" t="n">
        <x:v>5</x:v>
      </x:c>
      <x:c r="M43" s="13" t="str">
        <x:v>既知47場</x:v>
      </x:c>
      <x:c r="N43" s="12" t="n">
        <x:v>68.51666666666667</x:v>
      </x:c>
      <x:c r="O43" s="12" t="n">
        <x:v>231.75</x:v>
      </x:c>
    </x:row>
    <x:row r="44" ht="22" customHeight="1">
      <x:c r="A44" s="2" t="str">
        <x:v>R02</x:v>
      </x:c>
      <x:c r="B44" s="7" t="d">
        <x:v>2026-10-15T17:00:00.000Z</x:v>
      </x:c>
      <x:c r="C44" s="2" t="str">
        <x:v>ナイト</x:v>
      </x:c>
      <x:c r="D44" s="25" t="n">
        <x:v>0</x:v>
      </x:c>
      <x:c r="E44" s="25" t="n">
        <x:v>56154</x:v>
      </x:c>
      <x:c r="F44" s="25" t="n">
        <x:f>D44-E44</x:f>
        <x:v>-56154</x:v>
      </x:c>
      <x:c r="G44" s="25" t="n">
        <x:f>SUMIFS($F$7:$F$56,$A$7:$A$56,A44,$B$7:$B$56,"&lt;="&amp;B44)</x:f>
        <x:v>1931889</x:v>
      </x:c>
      <x:c r="H44" s="25" t="n">
        <x:v>154</x:v>
      </x:c>
      <x:c r="I44" s="25" t="n">
        <x:v>-56000</x:v>
      </x:c>
      <x:c r="J44" s="11" t="n">
        <x:v>1</x:v>
      </x:c>
      <x:c r="K44" s="11" t="n">
        <x:v>2</x:v>
      </x:c>
      <x:c r="L44" s="11" t="n">
        <x:v>2</x:v>
      </x:c>
      <x:c r="M44" s="13" t="str">
        <x:v>既知47場</x:v>
      </x:c>
      <x:c r="N44" s="12" t="n">
        <x:v>360</x:v>
      </x:c>
      <x:c r="O44" s="12" t="n">
        <x:v>4.133333333333334</x:v>
      </x:c>
    </x:row>
    <x:row r="45" ht="22" customHeight="1">
      <x:c r="A45" s="2" t="str">
        <x:v>R02</x:v>
      </x:c>
      <x:c r="B45" s="7" t="d">
        <x:v>2026-10-16T08:45:00.000Z</x:v>
      </x:c>
      <x:c r="C45" s="2" t="str">
        <x:v>デイ</x:v>
      </x:c>
      <x:c r="D45" s="25" t="n">
        <x:v>66232</x:v>
      </x:c>
      <x:c r="E45" s="25" t="n">
        <x:v>191690</x:v>
      </x:c>
      <x:c r="F45" s="25" t="n">
        <x:f>D45-E45</x:f>
        <x:v>-125458</x:v>
      </x:c>
      <x:c r="G45" s="25" t="n">
        <x:f>SUMIFS($F$7:$F$56,$A$7:$A$56,A45,$B$7:$B$56,"&lt;="&amp;B45)</x:f>
        <x:v>1806431</x:v>
      </x:c>
      <x:c r="H45" s="25" t="n">
        <x:v>2458</x:v>
      </x:c>
      <x:c r="I45" s="25" t="n">
        <x:v>-123000</x:v>
      </x:c>
      <x:c r="J45" s="11" t="n">
        <x:v>7</x:v>
      </x:c>
      <x:c r="K45" s="11" t="n">
        <x:v>32</x:v>
      </x:c>
      <x:c r="L45" s="11" t="n">
        <x:v>5</x:v>
      </x:c>
      <x:c r="M45" s="13" t="str">
        <x:v>既知47場</x:v>
      </x:c>
      <x:c r="N45" s="12" t="n">
        <x:v>66.9</x:v>
      </x:c>
      <x:c r="O45" s="12" t="n">
        <x:v>100.31666666666666</x:v>
      </x:c>
    </x:row>
    <x:row r="46" ht="22" customHeight="1">
      <x:c r="A46" s="2" t="str">
        <x:v>R02</x:v>
      </x:c>
      <x:c r="B46" s="7" t="d">
        <x:v>2026-10-16T17:00:00.000Z</x:v>
      </x:c>
      <x:c r="C46" s="2" t="str">
        <x:v>ナイト</x:v>
      </x:c>
      <x:c r="D46" s="25" t="n">
        <x:v>122849</x:v>
      </x:c>
      <x:c r="E46" s="25" t="n">
        <x:v>22154</x:v>
      </x:c>
      <x:c r="F46" s="25" t="n">
        <x:f>D46-E46</x:f>
        <x:v>100695</x:v>
      </x:c>
      <x:c r="G46" s="25" t="n">
        <x:f>SUMIFS($F$7:$F$56,$A$7:$A$56,A46,$B$7:$B$56,"&lt;="&amp;B46)</x:f>
        <x:v>1907126</x:v>
      </x:c>
      <x:c r="H46" s="25" t="n">
        <x:v>1305</x:v>
      </x:c>
      <x:c r="I46" s="25" t="n">
        <x:v>102000</x:v>
      </x:c>
      <x:c r="J46" s="11" t="n">
        <x:v>5</x:v>
      </x:c>
      <x:c r="K46" s="11" t="n">
        <x:v>17</x:v>
      </x:c>
      <x:c r="L46" s="11" t="n">
        <x:v>5</x:v>
      </x:c>
      <x:c r="M46" s="13" t="str">
        <x:v>既知47場</x:v>
      </x:c>
      <x:c r="N46" s="12" t="n">
        <x:v>360</x:v>
      </x:c>
      <x:c r="O46" s="12" t="n">
        <x:v>66.93333333333334</x:v>
      </x:c>
    </x:row>
    <x:row r="47" ht="22" customHeight="1">
      <x:c r="A47" s="2" t="str">
        <x:v>R02</x:v>
      </x:c>
      <x:c r="B47" s="7" t="d">
        <x:v>2026-10-19T08:45:00.000Z</x:v>
      </x:c>
      <x:c r="C47" s="2" t="str">
        <x:v>デイ</x:v>
      </x:c>
      <x:c r="D47" s="25" t="n">
        <x:v>182616</x:v>
      </x:c>
      <x:c r="E47" s="25" t="n">
        <x:v>0</x:v>
      </x:c>
      <x:c r="F47" s="25" t="n">
        <x:f>D47-E47</x:f>
        <x:v>182616</x:v>
      </x:c>
      <x:c r="G47" s="25" t="n">
        <x:f>SUMIFS($F$7:$F$56,$A$7:$A$56,A47,$B$7:$B$56,"&lt;="&amp;B47)</x:f>
        <x:v>2089742</x:v>
      </x:c>
      <x:c r="H47" s="25" t="n">
        <x:v>384</x:v>
      </x:c>
      <x:c r="I47" s="25" t="n">
        <x:v>183000</x:v>
      </x:c>
      <x:c r="J47" s="11" t="n">
        <x:v>1</x:v>
      </x:c>
      <x:c r="K47" s="11" t="n">
        <x:v>5</x:v>
      </x:c>
      <x:c r="L47" s="11" t="n">
        <x:v>5</x:v>
      </x:c>
      <x:c r="M47" s="13" t="str">
        <x:v>既知47場</x:v>
      </x:c>
      <x:c r="N47" s="12" t="n">
        <x:v>85.6</x:v>
      </x:c>
      <x:c r="O47" s="12" t="n">
        <x:v>324.4</x:v>
      </x:c>
    </x:row>
    <x:row r="48" ht="22" customHeight="1">
      <x:c r="A48" s="2" t="str">
        <x:v>R02</x:v>
      </x:c>
      <x:c r="B48" s="7" t="d">
        <x:v>2026-10-19T17:00:00.000Z</x:v>
      </x:c>
      <x:c r="C48" s="2" t="str">
        <x:v>ナイト</x:v>
      </x:c>
      <x:c r="D48" s="25" t="n">
        <x:v>56463</x:v>
      </x:c>
      <x:c r="E48" s="25" t="n">
        <x:v>50384</x:v>
      </x:c>
      <x:c r="F48" s="25" t="n">
        <x:f>D48-E48</x:f>
        <x:v>6079</x:v>
      </x:c>
      <x:c r="G48" s="25" t="n">
        <x:f>SUMIFS($F$7:$F$56,$A$7:$A$56,A48,$B$7:$B$56,"&lt;="&amp;B48)</x:f>
        <x:v>2095821</x:v>
      </x:c>
      <x:c r="H48" s="25" t="n">
        <x:v>921</x:v>
      </x:c>
      <x:c r="I48" s="25" t="n">
        <x:v>7000</x:v>
      </x:c>
      <x:c r="J48" s="11" t="n">
        <x:v>3</x:v>
      </x:c>
      <x:c r="K48" s="11" t="n">
        <x:v>12</x:v>
      </x:c>
      <x:c r="L48" s="11" t="n">
        <x:v>5</x:v>
      </x:c>
      <x:c r="M48" s="13" t="str">
        <x:v>既知47場</x:v>
      </x:c>
      <x:c r="N48" s="12" t="n">
        <x:v>360</x:v>
      </x:c>
      <x:c r="O48" s="12" t="n">
        <x:v>59.583333333333336</x:v>
      </x:c>
    </x:row>
    <x:row r="49" ht="22" customHeight="1">
      <x:c r="A49" s="2" t="str">
        <x:v>R02</x:v>
      </x:c>
      <x:c r="B49" s="7" t="d">
        <x:v>2026-10-20T08:45:00.000Z</x:v>
      </x:c>
      <x:c r="C49" s="2" t="str">
        <x:v>デイ</x:v>
      </x:c>
      <x:c r="D49" s="25" t="n">
        <x:v>135695</x:v>
      </x:c>
      <x:c r="E49" s="25" t="n">
        <x:v>56308</x:v>
      </x:c>
      <x:c r="F49" s="25" t="n">
        <x:f>D49-E49</x:f>
        <x:v>79387</x:v>
      </x:c>
      <x:c r="G49" s="25" t="n">
        <x:f>SUMIFS($F$7:$F$56,$A$7:$A$56,A49,$B$7:$B$56,"&lt;="&amp;B49)</x:f>
        <x:v>2175208</x:v>
      </x:c>
      <x:c r="H49" s="25" t="n">
        <x:v>1613</x:v>
      </x:c>
      <x:c r="I49" s="25" t="n">
        <x:v>81000</x:v>
      </x:c>
      <x:c r="J49" s="11" t="n">
        <x:v>6</x:v>
      </x:c>
      <x:c r="K49" s="11" t="n">
        <x:v>21</x:v>
      </x:c>
      <x:c r="L49" s="11" t="n">
        <x:v>5</x:v>
      </x:c>
      <x:c r="M49" s="13" t="str">
        <x:v>既知47場</x:v>
      </x:c>
      <x:c r="N49" s="12" t="n">
        <x:v>82.2</x:v>
      </x:c>
      <x:c r="O49" s="12" t="n">
        <x:v>271.3333333333333</x:v>
      </x:c>
    </x:row>
    <x:row r="50" ht="22" customHeight="1">
      <x:c r="A50" s="2" t="str">
        <x:v>R02</x:v>
      </x:c>
      <x:c r="B50" s="7" t="d">
        <x:v>2026-10-20T17:00:00.000Z</x:v>
      </x:c>
      <x:c r="C50" s="2" t="str">
        <x:v>ナイト</x:v>
      </x:c>
      <x:c r="D50" s="25" t="n">
        <x:v>19846</x:v>
      </x:c>
      <x:c r="E50" s="25" t="n">
        <x:v>70384</x:v>
      </x:c>
      <x:c r="F50" s="25" t="n">
        <x:f>D50-E50</x:f>
        <x:v>-50538</x:v>
      </x:c>
      <x:c r="G50" s="25" t="n">
        <x:f>SUMIFS($F$7:$F$56,$A$7:$A$56,A50,$B$7:$B$56,"&lt;="&amp;B50)</x:f>
        <x:v>2124670</x:v>
      </x:c>
      <x:c r="H50" s="25" t="n">
        <x:v>538</x:v>
      </x:c>
      <x:c r="I50" s="25" t="n">
        <x:v>-50000</x:v>
      </x:c>
      <x:c r="J50" s="11" t="n">
        <x:v>2</x:v>
      </x:c>
      <x:c r="K50" s="11" t="n">
        <x:v>7</x:v>
      </x:c>
      <x:c r="L50" s="11" t="n">
        <x:v>5</x:v>
      </x:c>
      <x:c r="M50" s="13" t="str">
        <x:v>既知47場</x:v>
      </x:c>
      <x:c r="N50" s="12" t="n">
        <x:v>360.01666666666665</x:v>
      </x:c>
      <x:c r="O50" s="12" t="n">
        <x:v>37.266666666666666</x:v>
      </x:c>
    </x:row>
    <x:row r="51" ht="22" customHeight="1">
      <x:c r="A51" s="2" t="str">
        <x:v>R02</x:v>
      </x:c>
      <x:c r="B51" s="7" t="d">
        <x:v>2026-10-21T08:45:00.000Z</x:v>
      </x:c>
      <x:c r="C51" s="2" t="str">
        <x:v>デイ</x:v>
      </x:c>
      <x:c r="D51" s="25" t="n">
        <x:v>93616</x:v>
      </x:c>
      <x:c r="E51" s="25" t="n">
        <x:v>265074</x:v>
      </x:c>
      <x:c r="F51" s="25" t="n">
        <x:f>D51-E51</x:f>
        <x:v>-171458</x:v>
      </x:c>
      <x:c r="G51" s="25" t="n">
        <x:f>SUMIFS($F$7:$F$56,$A$7:$A$56,A51,$B$7:$B$56,"&lt;="&amp;B51)</x:f>
        <x:v>1953212</x:v>
      </x:c>
      <x:c r="H51" s="25" t="n">
        <x:v>2458</x:v>
      </x:c>
      <x:c r="I51" s="25" t="n">
        <x:v>-169000</x:v>
      </x:c>
      <x:c r="J51" s="11" t="n">
        <x:v>7</x:v>
      </x:c>
      <x:c r="K51" s="11" t="n">
        <x:v>32</x:v>
      </x:c>
      <x:c r="L51" s="11" t="n">
        <x:v>5</x:v>
      </x:c>
      <x:c r="M51" s="13" t="str">
        <x:v>既知47場</x:v>
      </x:c>
      <x:c r="N51" s="12" t="n">
        <x:v>94.45</x:v>
      </x:c>
      <x:c r="O51" s="12" t="n">
        <x:v>145.46666666666667</x:v>
      </x:c>
    </x:row>
    <x:row r="52" ht="22" customHeight="1">
      <x:c r="A52" s="2" t="str">
        <x:v>R02</x:v>
      </x:c>
      <x:c r="B52" s="7" t="d">
        <x:v>2026-10-21T17:00:00.000Z</x:v>
      </x:c>
      <x:c r="C52" s="2" t="str">
        <x:v>ナイト</x:v>
      </x:c>
      <x:c r="D52" s="25" t="n">
        <x:v>44616</x:v>
      </x:c>
      <x:c r="E52" s="25" t="n">
        <x:v>85768</x:v>
      </x:c>
      <x:c r="F52" s="25" t="n">
        <x:f>D52-E52</x:f>
        <x:v>-41152</x:v>
      </x:c>
      <x:c r="G52" s="25" t="n">
        <x:f>SUMIFS($F$7:$F$56,$A$7:$A$56,A52,$B$7:$B$56,"&lt;="&amp;B52)</x:f>
        <x:v>1912060</x:v>
      </x:c>
      <x:c r="H52" s="25" t="n">
        <x:v>1152</x:v>
      </x:c>
      <x:c r="I52" s="25" t="n">
        <x:v>-40000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360</x:v>
      </x:c>
      <x:c r="O52" s="12" t="n">
        <x:v>93.56666666666666</x:v>
      </x:c>
    </x:row>
    <x:row r="53" ht="22" customHeight="1">
      <x:c r="A53" s="2" t="str">
        <x:v>R02</x:v>
      </x:c>
      <x:c r="B53" s="7" t="d">
        <x:v>2026-10-22T08:45:00.000Z</x:v>
      </x:c>
      <x:c r="C53" s="2" t="str">
        <x:v>デイ</x:v>
      </x:c>
      <x:c r="D53" s="25" t="n">
        <x:v>364463</x:v>
      </x:c>
      <x:c r="E53" s="25" t="n">
        <x:v>0</x:v>
      </x:c>
      <x:c r="F53" s="25" t="n">
        <x:f>D53-E53</x:f>
        <x:v>364463</x:v>
      </x:c>
      <x:c r="G53" s="25" t="n">
        <x:f>SUMIFS($F$7:$F$56,$A$7:$A$56,A53,$B$7:$B$56,"&lt;="&amp;B53)</x:f>
        <x:v>2276523</x:v>
      </x:c>
      <x:c r="H53" s="25" t="n">
        <x:v>537</x:v>
      </x:c>
      <x:c r="I53" s="25" t="n">
        <x:v>365000</x:v>
      </x:c>
      <x:c r="J53" s="11" t="n">
        <x:v>2</x:v>
      </x:c>
      <x:c r="K53" s="11" t="n">
        <x:v>7</x:v>
      </x:c>
      <x:c r="L53" s="11" t="n">
        <x:v>5</x:v>
      </x:c>
      <x:c r="M53" s="13" t="str">
        <x:v>既知47場</x:v>
      </x:c>
      <x:c r="N53" s="12" t="n">
        <x:v>79.91666666666667</x:v>
      </x:c>
      <x:c r="O53" s="12" t="n">
        <x:v>259.68333333333334</x:v>
      </x:c>
    </x:row>
    <x:row r="54" ht="22" customHeight="1">
      <x:c r="A54" s="2" t="str">
        <x:v>R02</x:v>
      </x:c>
      <x:c r="B54" s="7" t="d">
        <x:v>2026-10-22T17:00:00.000Z</x:v>
      </x:c>
      <x:c r="C54" s="2" t="str">
        <x:v>ナイト</x:v>
      </x:c>
      <x:c r="D54" s="25" t="n">
        <x:v>104616</x:v>
      </x:c>
      <x:c r="E54" s="25" t="n">
        <x:v>77538</x:v>
      </x:c>
      <x:c r="F54" s="25" t="n">
        <x:f>D54-E54</x:f>
        <x:v>27078</x:v>
      </x:c>
      <x:c r="G54" s="25" t="n">
        <x:f>SUMIFS($F$7:$F$56,$A$7:$A$56,A54,$B$7:$B$56,"&lt;="&amp;B54)</x:f>
        <x:v>2303601</x:v>
      </x:c>
      <x:c r="H54" s="25" t="n">
        <x:v>922</x:v>
      </x:c>
      <x:c r="I54" s="25" t="n">
        <x:v>28000</x:v>
      </x:c>
      <x:c r="J54" s="11" t="n">
        <x:v>3</x:v>
      </x:c>
      <x:c r="K54" s="11" t="n">
        <x:v>12</x:v>
      </x:c>
      <x:c r="L54" s="11" t="n">
        <x:v>5</x:v>
      </x:c>
      <x:c r="M54" s="13" t="str">
        <x:v>追加3場</x:v>
      </x:c>
      <x:c r="N54" s="12" t="n">
        <x:v>360.06666666666666</x:v>
      </x:c>
      <x:c r="O54" s="12" t="n">
        <x:v>40.55</x:v>
      </x:c>
    </x:row>
    <x:row r="55" ht="22" customHeight="1">
      <x:c r="A55" s="2" t="str">
        <x:v>R02</x:v>
      </x:c>
      <x:c r="B55" s="7" t="d">
        <x:v>2026-10-23T08:45:00.000Z</x:v>
      </x:c>
      <x:c r="C55" s="2" t="str">
        <x:v>デイ</x:v>
      </x:c>
      <x:c r="D55" s="25" t="n">
        <x:v>0</x:v>
      </x:c>
      <x:c r="E55" s="25" t="n">
        <x:v>45384</x:v>
      </x:c>
      <x:c r="F55" s="25" t="n">
        <x:f>D55-E55</x:f>
        <x:v>-45384</x:v>
      </x:c>
      <x:c r="G55" s="25" t="n">
        <x:f>SUMIFS($F$7:$F$56,$A$7:$A$56,A55,$B$7:$B$56,"&lt;="&amp;B55)</x:f>
        <x:v>2258217</x:v>
      </x:c>
      <x:c r="H55" s="25" t="n">
        <x:v>384</x:v>
      </x:c>
      <x:c r="I55" s="25" t="n">
        <x:v>-45000</x:v>
      </x:c>
      <x:c r="J55" s="11" t="n">
        <x:v>1</x:v>
      </x:c>
      <x:c r="K55" s="11" t="n">
        <x:v>5</x:v>
      </x:c>
      <x:c r="L55" s="11" t="n">
        <x:v>5</x:v>
      </x:c>
      <x:c r="M55" s="13" t="str">
        <x:v>追加3場</x:v>
      </x:c>
      <x:c r="N55" s="12" t="n">
        <x:v>138.36666666666667</x:v>
      </x:c>
      <x:c r="O55" s="12" t="n">
        <x:v>4.233333333333333</x:v>
      </x:c>
    </x:row>
    <x:row r="56" ht="22" customHeight="1">
      <x:c r="A56" s="2" t="str">
        <x:v>R02</x:v>
      </x:c>
      <x:c r="B56" s="7" t="d">
        <x:v>2026-10-23T17:00:00.000Z</x:v>
      </x:c>
      <x:c r="C56" s="2" t="str">
        <x:v>ナイト</x:v>
      </x:c>
      <x:c r="D56" s="25" t="n">
        <x:v>0</x:v>
      </x:c>
      <x:c r="E56" s="25" t="n">
        <x:v>55384</x:v>
      </x:c>
      <x:c r="F56" s="25" t="n">
        <x:f>D56-E56</x:f>
        <x:v>-55384</x:v>
      </x:c>
      <x:c r="G56" s="25" t="n">
        <x:f>SUMIFS($F$7:$F$56,$A$7:$A$56,A56,$B$7:$B$56,"&lt;="&amp;B56)</x:f>
        <x:v>2202833</x:v>
      </x:c>
      <x:c r="H56" s="25" t="n">
        <x:v>384</x:v>
      </x:c>
      <x:c r="I56" s="25" t="n">
        <x:v>-55000</x:v>
      </x:c>
      <x:c r="J56" s="11" t="n">
        <x:v>1</x:v>
      </x:c>
      <x:c r="K56" s="11" t="n">
        <x:v>5</x:v>
      </x:c>
      <x:c r="L56" s="11" t="n">
        <x:v>5</x:v>
      </x:c>
      <x:c r="M56" s="13" t="str">
        <x:v>追加3場</x:v>
      </x:c>
      <x:c r="N56" s="12" t="n">
        <x:v>360.03333333333336</x:v>
      </x:c>
      <x:c r="O56" s="12" t="n">
        <x:v>1.5666666666666667</x:v>
      </x:c>
    </x:row>
  </x:sheetData>
  <x:conditionalFormatting sqref="D7:I56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3b43c6ab494ae8"/>
  </x:tableParts>
</x:worksheet>
</file>

<file path=xl/worksheets/sheet6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C36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昼基準：T06／夜基準：U06。既知47場：9/21～10/22デイ。追加3場：10/22ナイト～10/23ナイト。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追加入口は昼夜共通の比較。夜のみ米国開始前後15分は静観。累計は日時順。出典：00140保存会計。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C36</x:v>
      </x:c>
      <x:c r="B7" s="7" t="d">
        <x:v>2026-09-21T08:45:00.000Z</x:v>
      </x:c>
      <x:c r="C7" s="2" t="str">
        <x:v>デイ</x:v>
      </x:c>
      <x:c r="D7" s="25" t="n">
        <x:v>85616</x:v>
      </x:c>
      <x:c r="E7" s="25" t="n">
        <x:v>0</x:v>
      </x:c>
      <x:c r="F7" s="25" t="n">
        <x:f>D7-E7</x:f>
        <x:v>85616</x:v>
      </x:c>
      <x:c r="G7" s="25" t="n">
        <x:f>SUMIFS($F$7:$F$56,$A$7:$A$56,A7,$B$7:$B$56,"&lt;="&amp;B7)</x:f>
        <x:v>85616</x:v>
      </x:c>
      <x:c r="H7" s="25" t="n">
        <x:v>384</x:v>
      </x:c>
      <x:c r="I7" s="25" t="n">
        <x:v>86000</x:v>
      </x:c>
      <x:c r="J7" s="11" t="n">
        <x:v>1</x:v>
      </x:c>
      <x:c r="K7" s="11" t="n">
        <x:v>5</x:v>
      </x:c>
      <x:c r="L7" s="11" t="n">
        <x:v>5</x:v>
      </x:c>
      <x:c r="M7" s="13" t="str">
        <x:v>既知47場</x:v>
      </x:c>
      <x:c r="N7" s="12" t="n">
        <x:v>190.06666666666666</x:v>
      </x:c>
      <x:c r="O7" s="12" t="n">
        <x:v>167.2</x:v>
      </x:c>
    </x:row>
    <x:row r="8" ht="22" customHeight="1">
      <x:c r="A8" s="2" t="str">
        <x:v>C36</x:v>
      </x:c>
      <x:c r="B8" s="7" t="d">
        <x:v>2026-09-21T17:00:00.000Z</x:v>
      </x:c>
      <x:c r="C8" s="2" t="str">
        <x:v>ナイト</x:v>
      </x:c>
      <x:c r="D8" s="25" t="n">
        <x:v>0</x:v>
      </x:c>
      <x:c r="E8" s="25" t="n">
        <x:v>45384</x:v>
      </x:c>
      <x:c r="F8" s="25" t="n">
        <x:f>D8-E8</x:f>
        <x:v>-45384</x:v>
      </x:c>
      <x:c r="G8" s="25" t="n">
        <x:f>SUMIFS($F$7:$F$56,$A$7:$A$56,A8,$B$7:$B$56,"&lt;="&amp;B8)</x:f>
        <x:v>40232</x:v>
      </x:c>
      <x:c r="H8" s="25" t="n">
        <x:v>384</x:v>
      </x:c>
      <x:c r="I8" s="25" t="n">
        <x:v>-45000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360.01666666666665</x:v>
      </x:c>
      <x:c r="O8" s="12" t="n">
        <x:v>5.666666666666667</x:v>
      </x:c>
    </x:row>
    <x:row r="9" ht="22" customHeight="1">
      <x:c r="A9" s="2" t="str">
        <x:v>C36</x:v>
      </x:c>
      <x:c r="B9" s="7" t="d">
        <x:v>2026-09-22T08:45:00.000Z</x:v>
      </x:c>
      <x:c r="C9" s="2" t="str">
        <x:v>デイ</x:v>
      </x:c>
      <x:c r="D9" s="25" t="n">
        <x:v>0</x:v>
      </x:c>
      <x:c r="E9" s="25" t="n">
        <x:v>106152</x:v>
      </x:c>
      <x:c r="F9" s="25" t="n">
        <x:f>D9-E9</x:f>
        <x:v>-106152</x:v>
      </x:c>
      <x:c r="G9" s="25" t="n">
        <x:f>SUMIFS($F$7:$F$56,$A$7:$A$56,A9,$B$7:$B$56,"&lt;="&amp;B9)</x:f>
        <x:v>-65920</x:v>
      </x:c>
      <x:c r="H9" s="25" t="n">
        <x:v>1152</x:v>
      </x:c>
      <x:c r="I9" s="25" t="n">
        <x:v>-105000</x:v>
      </x:c>
      <x:c r="J9" s="11" t="n">
        <x:v>3</x:v>
      </x:c>
      <x:c r="K9" s="11" t="n">
        <x:v>15</x:v>
      </x:c>
      <x:c r="L9" s="11" t="n">
        <x:v>5</x:v>
      </x:c>
      <x:c r="M9" s="13" t="str">
        <x:v>既知47場</x:v>
      </x:c>
      <x:c r="N9" s="12" t="n">
        <x:v>242.78333333333333</x:v>
      </x:c>
      <x:c r="O9" s="12" t="n">
        <x:v>28.166666666666668</x:v>
      </x:c>
    </x:row>
    <x:row r="10" ht="22" customHeight="1">
      <x:c r="A10" s="2" t="str">
        <x:v>C36</x:v>
      </x:c>
      <x:c r="B10" s="7" t="d">
        <x:v>2026-09-22T17:00:00.000Z</x:v>
      </x:c>
      <x:c r="C10" s="2" t="str">
        <x:v>ナイト</x:v>
      </x:c>
      <x:c r="D10" s="25" t="n">
        <x:v>39616</x:v>
      </x:c>
      <x:c r="E10" s="25" t="n">
        <x:v>0</x:v>
      </x:c>
      <x:c r="F10" s="25" t="n">
        <x:f>D10-E10</x:f>
        <x:v>39616</x:v>
      </x:c>
      <x:c r="G10" s="25" t="n">
        <x:f>SUMIFS($F$7:$F$56,$A$7:$A$56,A10,$B$7:$B$56,"&lt;="&amp;B10)</x:f>
        <x:v>-26304</x:v>
      </x:c>
      <x:c r="H10" s="25" t="n">
        <x:v>384</x:v>
      </x:c>
      <x:c r="I10" s="25" t="n">
        <x:v>40000</x:v>
      </x:c>
      <x:c r="J10" s="11" t="n">
        <x:v>1</x:v>
      </x:c>
      <x:c r="K10" s="11" t="n">
        <x:v>5</x:v>
      </x:c>
      <x:c r="L10" s="11" t="n">
        <x:v>5</x:v>
      </x:c>
      <x:c r="M10" s="13" t="str">
        <x:v>既知47場</x:v>
      </x:c>
      <x:c r="N10" s="12" t="n">
        <x:v>360.1</x:v>
      </x:c>
      <x:c r="O10" s="12" t="n">
        <x:v>13.583333333333334</x:v>
      </x:c>
    </x:row>
    <x:row r="11" ht="22" customHeight="1">
      <x:c r="A11" s="2" t="str">
        <x:v>C36</x:v>
      </x:c>
      <x:c r="B11" s="7" t="d">
        <x:v>2026-09-23T08:45:00.000Z</x:v>
      </x:c>
      <x:c r="C11" s="2" t="str">
        <x:v>デイ</x:v>
      </x:c>
      <x:c r="D11" s="25" t="n">
        <x:v>0</x:v>
      </x:c>
      <x:c r="E11" s="25" t="n">
        <x:v>4384</x:v>
      </x:c>
      <x:c r="F11" s="25" t="n">
        <x:f>D11-E11</x:f>
        <x:v>-4384</x:v>
      </x:c>
      <x:c r="G11" s="25" t="n">
        <x:f>SUMIFS($F$7:$F$56,$A$7:$A$56,A11,$B$7:$B$56,"&lt;="&amp;B11)</x:f>
        <x:v>-30688</x:v>
      </x:c>
      <x:c r="H11" s="25" t="n">
        <x:v>384</x:v>
      </x:c>
      <x:c r="I11" s="25" t="n">
        <x:v>-4000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68.15</x:v>
      </x:c>
      <x:c r="O11" s="12" t="n">
        <x:v>313.75</x:v>
      </x:c>
    </x:row>
    <x:row r="12" ht="22" customHeight="1">
      <x:c r="A12" s="2" t="str">
        <x:v>C36</x:v>
      </x:c>
      <x:c r="B12" s="7" t="d">
        <x:v>2026-09-23T17:00:00.000Z</x:v>
      </x:c>
      <x:c r="C12" s="2" t="str">
        <x:v>ナイト</x:v>
      </x:c>
      <x:c r="D12" s="25" t="n">
        <x:v>2694</x:v>
      </x:c>
      <x:c r="E12" s="25" t="n">
        <x:v>40384</x:v>
      </x:c>
      <x:c r="F12" s="25" t="n">
        <x:f>D12-E12</x:f>
        <x:v>-37690</x:v>
      </x:c>
      <x:c r="G12" s="25" t="n">
        <x:f>SUMIFS($F$7:$F$56,$A$7:$A$56,A12,$B$7:$B$56,"&lt;="&amp;B12)</x:f>
        <x:v>-68378</x:v>
      </x:c>
      <x:c r="H12" s="25" t="n">
        <x:v>690</x:v>
      </x:c>
      <x:c r="I12" s="25" t="n">
        <x:v>-37000</x:v>
      </x:c>
      <x:c r="J12" s="11" t="n">
        <x:v>4</x:v>
      </x:c>
      <x:c r="K12" s="11" t="n">
        <x:v>9</x:v>
      </x:c>
      <x:c r="L12" s="11" t="n">
        <x:v>5</x:v>
      </x:c>
      <x:c r="M12" s="13" t="str">
        <x:v>既知47場</x:v>
      </x:c>
      <x:c r="N12" s="12" t="n">
        <x:v>358.03333333333336</x:v>
      </x:c>
      <x:c r="O12" s="12" t="n">
        <x:v>5.3</x:v>
      </x:c>
    </x:row>
    <x:row r="13" ht="22" customHeight="1">
      <x:c r="A13" s="2" t="str">
        <x:v>C36</x:v>
      </x:c>
      <x:c r="B13" s="7" t="d">
        <x:v>2026-09-24T08:45:00.000Z</x:v>
      </x:c>
      <x:c r="C13" s="2" t="str">
        <x:v>デイ</x:v>
      </x:c>
      <x:c r="D13" s="25" t="n">
        <x:v>110234</x:v>
      </x:c>
      <x:c r="E13" s="25" t="n">
        <x:v>25384</x:v>
      </x:c>
      <x:c r="F13" s="25" t="n">
        <x:f>D13-E13</x:f>
        <x:v>84850</x:v>
      </x:c>
      <x:c r="G13" s="25" t="n">
        <x:f>SUMIFS($F$7:$F$56,$A$7:$A$56,A13,$B$7:$B$56,"&lt;="&amp;B13)</x:f>
        <x:v>16472</x:v>
      </x:c>
      <x:c r="H13" s="25" t="n">
        <x:v>1150</x:v>
      </x:c>
      <x:c r="I13" s="25" t="n">
        <x:v>86000</x:v>
      </x:c>
      <x:c r="J13" s="11" t="n">
        <x:v>6</x:v>
      </x:c>
      <x:c r="K13" s="11" t="n">
        <x:v>15</x:v>
      </x:c>
      <x:c r="L13" s="11" t="n">
        <x:v>5</x:v>
      </x:c>
      <x:c r="M13" s="13" t="str">
        <x:v>既知47場</x:v>
      </x:c>
      <x:c r="N13" s="12" t="n">
        <x:v>50.733333333333334</x:v>
      </x:c>
      <x:c r="O13" s="12" t="n">
        <x:v>310.8333333333333</x:v>
      </x:c>
    </x:row>
    <x:row r="14" ht="22" customHeight="1">
      <x:c r="A14" s="2" t="str">
        <x:v>C36</x:v>
      </x:c>
      <x:c r="B14" s="7" t="d">
        <x:v>2026-09-24T17:00:00.000Z</x:v>
      </x:c>
      <x:c r="C14" s="2" t="str">
        <x:v>ナイト</x:v>
      </x:c>
      <x:c r="D14" s="25" t="n">
        <x:v>74234</x:v>
      </x:c>
      <x:c r="E14" s="25" t="n">
        <x:v>40384</x:v>
      </x:c>
      <x:c r="F14" s="25" t="n">
        <x:f>D14-E14</x:f>
        <x:v>33850</x:v>
      </x:c>
      <x:c r="G14" s="25" t="n">
        <x:f>SUMIFS($F$7:$F$56,$A$7:$A$56,A14,$B$7:$B$56,"&lt;="&amp;B14)</x:f>
        <x:v>50322</x:v>
      </x:c>
      <x:c r="H14" s="25" t="n">
        <x:v>1150</x:v>
      </x:c>
      <x:c r="I14" s="25" t="n">
        <x:v>35000</x:v>
      </x:c>
      <x:c r="J14" s="11" t="n">
        <x:v>6</x:v>
      </x:c>
      <x:c r="K14" s="11" t="n">
        <x:v>15</x:v>
      </x:c>
      <x:c r="L14" s="11" t="n">
        <x:v>5</x:v>
      </x:c>
      <x:c r="M14" s="13" t="str">
        <x:v>既知47場</x:v>
      </x:c>
      <x:c r="N14" s="12" t="n">
        <x:v>360.3333333333333</x:v>
      </x:c>
      <x:c r="O14" s="12" t="n">
        <x:v>25.5</x:v>
      </x:c>
    </x:row>
    <x:row r="15" ht="22" customHeight="1">
      <x:c r="A15" s="2" t="str">
        <x:v>C36</x:v>
      </x:c>
      <x:c r="B15" s="7" t="d">
        <x:v>2026-09-25T08:45:00.000Z</x:v>
      </x:c>
      <x:c r="C15" s="2" t="str">
        <x:v>デイ</x:v>
      </x:c>
      <x:c r="D15" s="25" t="n">
        <x:v>145616</x:v>
      </x:c>
      <x:c r="E15" s="25" t="n">
        <x:v>30154</x:v>
      </x:c>
      <x:c r="F15" s="25" t="n">
        <x:f>D15-E15</x:f>
        <x:v>115462</x:v>
      </x:c>
      <x:c r="G15" s="25" t="n">
        <x:f>SUMIFS($F$7:$F$56,$A$7:$A$56,A15,$B$7:$B$56,"&lt;="&amp;B15)</x:f>
        <x:v>165784</x:v>
      </x:c>
      <x:c r="H15" s="25" t="n">
        <x:v>538</x:v>
      </x:c>
      <x:c r="I15" s="25" t="n">
        <x:v>116000</x:v>
      </x:c>
      <x:c r="J15" s="11" t="n">
        <x:v>2</x:v>
      </x:c>
      <x:c r="K15" s="11" t="n">
        <x:v>7</x:v>
      </x:c>
      <x:c r="L15" s="11" t="n">
        <x:v>5</x:v>
      </x:c>
      <x:c r="M15" s="13" t="str">
        <x:v>既知47場</x:v>
      </x:c>
      <x:c r="N15" s="12" t="n">
        <x:v>62.81666666666667</x:v>
      </x:c>
      <x:c r="O15" s="12" t="n">
        <x:v>343.81666666666666</x:v>
      </x:c>
    </x:row>
    <x:row r="16" ht="22" customHeight="1">
      <x:c r="A16" s="2" t="str">
        <x:v>C36</x:v>
      </x:c>
      <x:c r="B16" s="7" t="d">
        <x:v>2026-09-25T17:00:00.000Z</x:v>
      </x:c>
      <x:c r="C16" s="2" t="str">
        <x:v>ナイト</x:v>
      </x:c>
      <x:c r="D16" s="25" t="n">
        <x:v>14616</x:v>
      </x:c>
      <x:c r="E16" s="25" t="n">
        <x:v>0</x:v>
      </x:c>
      <x:c r="F16" s="25" t="n">
        <x:f>D16-E16</x:f>
        <x:v>14616</x:v>
      </x:c>
      <x:c r="G16" s="25" t="n">
        <x:f>SUMIFS($F$7:$F$56,$A$7:$A$56,A16,$B$7:$B$56,"&lt;="&amp;B16)</x:f>
        <x:v>180400</x:v>
      </x:c>
      <x:c r="H16" s="25" t="n">
        <x:v>384</x:v>
      </x:c>
      <x:c r="I16" s="25" t="n">
        <x:v>15000</x:v>
      </x:c>
      <x:c r="J16" s="11" t="n">
        <x:v>1</x:v>
      </x:c>
      <x:c r="K16" s="11" t="n">
        <x:v>5</x:v>
      </x:c>
      <x:c r="L16" s="11" t="n">
        <x:v>5</x:v>
      </x:c>
      <x:c r="M16" s="13" t="str">
        <x:v>既知47場</x:v>
      </x:c>
      <x:c r="N16" s="12" t="n">
        <x:v>360</x:v>
      </x:c>
      <x:c r="O16" s="12" t="n">
        <x:v>2.433333333333333</x:v>
      </x:c>
    </x:row>
    <x:row r="17" ht="22" customHeight="1">
      <x:c r="A17" s="2" t="str">
        <x:v>C36</x:v>
      </x:c>
      <x:c r="B17" s="7" t="d">
        <x:v>2026-09-28T08:45:00.000Z</x:v>
      </x:c>
      <x:c r="C17" s="2" t="str">
        <x:v>デイ</x:v>
      </x:c>
      <x:c r="D17" s="25" t="n">
        <x:v>261616</x:v>
      </x:c>
      <x:c r="E17" s="25" t="n">
        <x:v>75384</x:v>
      </x:c>
      <x:c r="F17" s="25" t="n">
        <x:f>D17-E17</x:f>
        <x:v>186232</x:v>
      </x:c>
      <x:c r="G17" s="25" t="n">
        <x:f>SUMIFS($F$7:$F$56,$A$7:$A$56,A17,$B$7:$B$56,"&lt;="&amp;B17)</x:f>
        <x:v>366632</x:v>
      </x:c>
      <x:c r="H17" s="25" t="n">
        <x:v>768</x:v>
      </x:c>
      <x:c r="I17" s="25" t="n">
        <x:v>187000</x:v>
      </x:c>
      <x:c r="J17" s="11" t="n">
        <x:v>2</x:v>
      </x:c>
      <x:c r="K17" s="11" t="n">
        <x:v>10</x:v>
      </x:c>
      <x:c r="L17" s="11" t="n">
        <x:v>5</x:v>
      </x:c>
      <x:c r="M17" s="13" t="str">
        <x:v>既知47場</x:v>
      </x:c>
      <x:c r="N17" s="12" t="n">
        <x:v>66.3</x:v>
      </x:c>
      <x:c r="O17" s="12" t="n">
        <x:v>331.28333333333336</x:v>
      </x:c>
    </x:row>
    <x:row r="18" ht="22" customHeight="1">
      <x:c r="A18" s="2" t="str">
        <x:v>C36</x:v>
      </x:c>
      <x:c r="B18" s="7" t="d">
        <x:v>2026-09-28T17:00:00.000Z</x:v>
      </x:c>
      <x:c r="C18" s="2" t="str">
        <x:v>ナイト</x:v>
      </x:c>
      <x:c r="D18" s="25" t="n">
        <x:v>77462</x:v>
      </x:c>
      <x:c r="E18" s="25" t="n">
        <x:v>20154</x:v>
      </x:c>
      <x:c r="F18" s="25" t="n">
        <x:f>D18-E18</x:f>
        <x:v>57308</x:v>
      </x:c>
      <x:c r="G18" s="25" t="n">
        <x:f>SUMIFS($F$7:$F$56,$A$7:$A$56,A18,$B$7:$B$56,"&lt;="&amp;B18)</x:f>
        <x:v>423940</x:v>
      </x:c>
      <x:c r="H18" s="25" t="n">
        <x:v>692</x:v>
      </x:c>
      <x:c r="I18" s="25" t="n">
        <x:v>58000</x:v>
      </x:c>
      <x:c r="J18" s="11" t="n">
        <x:v>3</x:v>
      </x:c>
      <x:c r="K18" s="11" t="n">
        <x:v>9</x:v>
      </x:c>
      <x:c r="L18" s="11" t="n">
        <x:v>5</x:v>
      </x:c>
      <x:c r="M18" s="13" t="str">
        <x:v>既知47場</x:v>
      </x:c>
      <x:c r="N18" s="12" t="n">
        <x:v>135.46666666666667</x:v>
      </x:c>
      <x:c r="O18" s="12" t="n">
        <x:v>47.65</x:v>
      </x:c>
    </x:row>
    <x:row r="19" ht="22" customHeight="1">
      <x:c r="A19" s="2" t="str">
        <x:v>C36</x:v>
      </x:c>
      <x:c r="B19" s="7" t="d">
        <x:v>2026-09-29T08:45:00.000Z</x:v>
      </x:c>
      <x:c r="C19" s="2" t="str">
        <x:v>デイ</x:v>
      </x:c>
      <x:c r="D19" s="25" t="n">
        <x:v>161852</x:v>
      </x:c>
      <x:c r="E19" s="25" t="n">
        <x:v>90460</x:v>
      </x:c>
      <x:c r="F19" s="25" t="n">
        <x:f>D19-E19</x:f>
        <x:v>71392</x:v>
      </x:c>
      <x:c r="G19" s="25" t="n">
        <x:f>SUMIFS($F$7:$F$56,$A$7:$A$56,A19,$B$7:$B$56,"&lt;="&amp;B19)</x:f>
        <x:v>495332</x:v>
      </x:c>
      <x:c r="H19" s="25" t="n">
        <x:v>1608</x:v>
      </x:c>
      <x:c r="I19" s="25" t="n">
        <x:v>73000</x:v>
      </x:c>
      <x:c r="J19" s="11" t="n">
        <x:v>13</x:v>
      </x:c>
      <x:c r="K19" s="11" t="n">
        <x:v>21</x:v>
      </x:c>
      <x:c r="L19" s="11" t="n">
        <x:v>5</x:v>
      </x:c>
      <x:c r="M19" s="13" t="str">
        <x:v>既知47場</x:v>
      </x:c>
      <x:c r="N19" s="12" t="n">
        <x:v>45.583333333333336</x:v>
      </x:c>
      <x:c r="O19" s="12" t="n">
        <x:v>200.91666666666666</x:v>
      </x:c>
    </x:row>
    <x:row r="20" ht="22" customHeight="1">
      <x:c r="A20" s="2" t="str">
        <x:v>C36</x:v>
      </x:c>
      <x:c r="B20" s="7" t="d">
        <x:v>2026-09-29T17:00:00.000Z</x:v>
      </x:c>
      <x:c r="C20" s="2" t="str">
        <x:v>ナイト</x:v>
      </x:c>
      <x:c r="D20" s="25" t="n">
        <x:v>116002</x:v>
      </x:c>
      <x:c r="E20" s="25" t="n">
        <x:v>66538</x:v>
      </x:c>
      <x:c r="F20" s="25" t="n">
        <x:f>D20-E20</x:f>
        <x:v>49464</x:v>
      </x:c>
      <x:c r="G20" s="25" t="n">
        <x:f>SUMIFS($F$7:$F$56,$A$7:$A$56,A20,$B$7:$B$56,"&lt;="&amp;B20)</x:f>
        <x:v>544796</x:v>
      </x:c>
      <x:c r="H20" s="25" t="n">
        <x:v>1536</x:v>
      </x:c>
      <x:c r="I20" s="25" t="n">
        <x:v>51000</x:v>
      </x:c>
      <x:c r="J20" s="11" t="n">
        <x:v>6</x:v>
      </x:c>
      <x:c r="K20" s="11" t="n">
        <x:v>20</x:v>
      </x:c>
      <x:c r="L20" s="11" t="n">
        <x:v>5</x:v>
      </x:c>
      <x:c r="M20" s="13" t="str">
        <x:v>既知47場</x:v>
      </x:c>
      <x:c r="N20" s="12" t="n">
        <x:v>359.71666666666664</x:v>
      </x:c>
      <x:c r="O20" s="12" t="n">
        <x:v>105.35</x:v>
      </x:c>
    </x:row>
    <x:row r="21" ht="22" customHeight="1">
      <x:c r="A21" s="2" t="str">
        <x:v>C36</x:v>
      </x:c>
      <x:c r="B21" s="7" t="d">
        <x:v>2026-09-30T08:45:00.000Z</x:v>
      </x:c>
      <x:c r="C21" s="2" t="str">
        <x:v>デイ</x:v>
      </x:c>
      <x:c r="D21" s="25" t="n">
        <x:v>212234</x:v>
      </x:c>
      <x:c r="E21" s="25" t="n">
        <x:v>88768</x:v>
      </x:c>
      <x:c r="F21" s="25" t="n">
        <x:f>D21-E21</x:f>
        <x:v>123466</x:v>
      </x:c>
      <x:c r="G21" s="25" t="n">
        <x:f>SUMIFS($F$7:$F$56,$A$7:$A$56,A21,$B$7:$B$56,"&lt;="&amp;B21)</x:f>
        <x:v>668262</x:v>
      </x:c>
      <x:c r="H21" s="25" t="n">
        <x:v>1534</x:v>
      </x:c>
      <x:c r="I21" s="25" t="n">
        <x:v>125000</x:v>
      </x:c>
      <x:c r="J21" s="11" t="n">
        <x:v>9</x:v>
      </x:c>
      <x:c r="K21" s="11" t="n">
        <x:v>20</x:v>
      </x:c>
      <x:c r="L21" s="11" t="n">
        <x:v>5</x:v>
      </x:c>
      <x:c r="M21" s="13" t="str">
        <x:v>既知47場</x:v>
      </x:c>
      <x:c r="N21" s="12" t="n">
        <x:v>46.15</x:v>
      </x:c>
      <x:c r="O21" s="12" t="n">
        <x:v>192.45</x:v>
      </x:c>
    </x:row>
    <x:row r="22" ht="22" customHeight="1">
      <x:c r="A22" s="2" t="str">
        <x:v>C36</x:v>
      </x:c>
      <x:c r="B22" s="7" t="d">
        <x:v>2026-09-30T17:00:00.000Z</x:v>
      </x:c>
      <x:c r="C22" s="2" t="str">
        <x:v>ナイト</x:v>
      </x:c>
      <x:c r="D22" s="25" t="n">
        <x:v>59232</x:v>
      </x:c>
      <x:c r="E22" s="25" t="n">
        <x:v>0</x:v>
      </x:c>
      <x:c r="F22" s="25" t="n">
        <x:f>D22-E22</x:f>
        <x:v>59232</x:v>
      </x:c>
      <x:c r="G22" s="25" t="n">
        <x:f>SUMIFS($F$7:$F$56,$A$7:$A$56,A22,$B$7:$B$56,"&lt;="&amp;B22)</x:f>
        <x:v>727494</x:v>
      </x:c>
      <x:c r="H22" s="25" t="n">
        <x:v>768</x:v>
      </x:c>
      <x:c r="I22" s="25" t="n">
        <x:v>60000</x:v>
      </x:c>
      <x:c r="J22" s="11" t="n">
        <x:v>2</x:v>
      </x:c>
      <x:c r="K22" s="11" t="n">
        <x:v>10</x:v>
      </x:c>
      <x:c r="L22" s="11" t="n">
        <x:v>5</x:v>
      </x:c>
      <x:c r="M22" s="13" t="str">
        <x:v>既知47場</x:v>
      </x:c>
      <x:c r="N22" s="12" t="n">
        <x:v>360</x:v>
      </x:c>
      <x:c r="O22" s="12" t="n">
        <x:v>19.883333333333333</x:v>
      </x:c>
    </x:row>
    <x:row r="23" ht="22" customHeight="1">
      <x:c r="A23" s="2" t="str">
        <x:v>C36</x:v>
      </x:c>
      <x:c r="B23" s="7" t="d">
        <x:v>2026-10-01T08:45:00.000Z</x:v>
      </x:c>
      <x:c r="C23" s="2" t="str">
        <x:v>デイ</x:v>
      </x:c>
      <x:c r="D23" s="25" t="n">
        <x:v>323618</x:v>
      </x:c>
      <x:c r="E23" s="25" t="n">
        <x:v>60384</x:v>
      </x:c>
      <x:c r="F23" s="25" t="n">
        <x:f>D23-E23</x:f>
        <x:v>263234</x:v>
      </x:c>
      <x:c r="G23" s="25" t="n">
        <x:f>SUMIFS($F$7:$F$56,$A$7:$A$56,A23,$B$7:$B$56,"&lt;="&amp;B23)</x:f>
        <x:v>990728</x:v>
      </x:c>
      <x:c r="H23" s="25" t="n">
        <x:v>766</x:v>
      </x:c>
      <x:c r="I23" s="25" t="n">
        <x:v>264000</x:v>
      </x:c>
      <x:c r="J23" s="11" t="n">
        <x:v>5</x:v>
      </x:c>
      <x:c r="K23" s="11" t="n">
        <x:v>10</x:v>
      </x:c>
      <x:c r="L23" s="11" t="n">
        <x:v>5</x:v>
      </x:c>
      <x:c r="M23" s="13" t="str">
        <x:v>既知47場</x:v>
      </x:c>
      <x:c r="N23" s="12" t="n">
        <x:v>88.93333333333334</x:v>
      </x:c>
      <x:c r="O23" s="12" t="n">
        <x:v>317.35</x:v>
      </x:c>
    </x:row>
    <x:row r="24" ht="22" customHeight="1">
      <x:c r="A24" s="2" t="str">
        <x:v>C36</x:v>
      </x:c>
      <x:c r="B24" s="7" t="d">
        <x:v>2026-10-01T17:00:00.000Z</x:v>
      </x:c>
      <x:c r="C24" s="2" t="str">
        <x:v>ナイト</x:v>
      </x:c>
      <x:c r="D24" s="25" t="n">
        <x:v>43618</x:v>
      </x:c>
      <x:c r="E24" s="25" t="n">
        <x:v>103538</x:v>
      </x:c>
      <x:c r="F24" s="25" t="n">
        <x:f>D24-E24</x:f>
        <x:v>-59920</x:v>
      </x:c>
      <x:c r="G24" s="25" t="n">
        <x:f>SUMIFS($F$7:$F$56,$A$7:$A$56,A24,$B$7:$B$56,"&lt;="&amp;B24)</x:f>
        <x:v>930808</x:v>
      </x:c>
      <x:c r="H24" s="25" t="n">
        <x:v>920</x:v>
      </x:c>
      <x:c r="I24" s="25" t="n">
        <x:v>-59000</x:v>
      </x:c>
      <x:c r="J24" s="11" t="n">
        <x:v>8</x:v>
      </x:c>
      <x:c r="K24" s="11" t="n">
        <x:v>12</x:v>
      </x:c>
      <x:c r="L24" s="11" t="n">
        <x:v>5</x:v>
      </x:c>
      <x:c r="M24" s="13" t="str">
        <x:v>既知47場</x:v>
      </x:c>
      <x:c r="N24" s="12" t="n">
        <x:v>109.66666666666667</x:v>
      </x:c>
      <x:c r="O24" s="12" t="n">
        <x:v>41.016666666666666</x:v>
      </x:c>
    </x:row>
    <x:row r="25" ht="22" customHeight="1">
      <x:c r="A25" s="2" t="str">
        <x:v>C36</x:v>
      </x:c>
      <x:c r="B25" s="7" t="d">
        <x:v>2026-10-02T08:45:00.000Z</x:v>
      </x:c>
      <x:c r="C25" s="2" t="str">
        <x:v>デイ</x:v>
      </x:c>
      <x:c r="D25" s="25" t="n">
        <x:v>17846</x:v>
      </x:c>
      <x:c r="E25" s="25" t="n">
        <x:v>165998</x:v>
      </x:c>
      <x:c r="F25" s="25" t="n">
        <x:f>D25-E25</x:f>
        <x:v>-148152</x:v>
      </x:c>
      <x:c r="G25" s="25" t="n">
        <x:f>SUMIFS($F$7:$F$56,$A$7:$A$56,A25,$B$7:$B$56,"&lt;="&amp;B25)</x:f>
        <x:v>782656</x:v>
      </x:c>
      <x:c r="H25" s="25" t="n">
        <x:v>1152</x:v>
      </x:c>
      <x:c r="I25" s="25" t="n">
        <x:v>-147000</x:v>
      </x:c>
      <x:c r="J25" s="11" t="n">
        <x:v>7</x:v>
      </x:c>
      <x:c r="K25" s="11" t="n">
        <x:v>15</x:v>
      </x:c>
      <x:c r="L25" s="11" t="n">
        <x:v>5</x:v>
      </x:c>
      <x:c r="M25" s="13" t="str">
        <x:v>既知47場</x:v>
      </x:c>
      <x:c r="N25" s="12" t="n">
        <x:v>92.78333333333333</x:v>
      </x:c>
      <x:c r="O25" s="12" t="n">
        <x:v>141.28333333333333</x:v>
      </x:c>
    </x:row>
    <x:row r="26" ht="22" customHeight="1">
      <x:c r="A26" s="2" t="str">
        <x:v>C36</x:v>
      </x:c>
      <x:c r="B26" s="7" t="d">
        <x:v>2026-10-02T17:00:00.000Z</x:v>
      </x:c>
      <x:c r="C26" s="2" t="str">
        <x:v>ナイト</x:v>
      </x:c>
      <x:c r="D26" s="25" t="n">
        <x:v>178162</x:v>
      </x:c>
      <x:c r="E26" s="25" t="n">
        <x:v>55384</x:v>
      </x:c>
      <x:c r="F26" s="25" t="n">
        <x:f>D26-E26</x:f>
        <x:v>122778</x:v>
      </x:c>
      <x:c r="G26" s="25" t="n">
        <x:f>SUMIFS($F$7:$F$56,$A$7:$A$56,A26,$B$7:$B$56,"&lt;="&amp;B26)</x:f>
        <x:v>905434</x:v>
      </x:c>
      <x:c r="H26" s="25" t="n">
        <x:v>2222</x:v>
      </x:c>
      <x:c r="I26" s="25" t="n">
        <x:v>125000</x:v>
      </x:c>
      <x:c r="J26" s="11" t="n">
        <x:v>14</x:v>
      </x:c>
      <x:c r="K26" s="11" t="n">
        <x:v>29</x:v>
      </x:c>
      <x:c r="L26" s="11" t="n">
        <x:v>5</x:v>
      </x:c>
      <x:c r="M26" s="13" t="str">
        <x:v>既知47場</x:v>
      </x:c>
      <x:c r="N26" s="12" t="n">
        <x:v>71.05</x:v>
      </x:c>
      <x:c r="O26" s="12" t="n">
        <x:v>86.6</x:v>
      </x:c>
    </x:row>
    <x:row r="27" ht="22" customHeight="1">
      <x:c r="A27" s="2" t="str">
        <x:v>C36</x:v>
      </x:c>
      <x:c r="B27" s="7" t="d">
        <x:v>2026-10-05T08:45:00.000Z</x:v>
      </x:c>
      <x:c r="C27" s="2" t="str">
        <x:v>デイ</x:v>
      </x:c>
      <x:c r="D27" s="25" t="n">
        <x:v>16234</x:v>
      </x:c>
      <x:c r="E27" s="25" t="n">
        <x:v>188612</x:v>
      </x:c>
      <x:c r="F27" s="25" t="n">
        <x:f>D27-E27</x:f>
        <x:v>-172378</x:v>
      </x:c>
      <x:c r="G27" s="25" t="n">
        <x:f>SUMIFS($F$7:$F$56,$A$7:$A$56,A27,$B$7:$B$56,"&lt;="&amp;B27)</x:f>
        <x:v>733056</x:v>
      </x:c>
      <x:c r="H27" s="25" t="n">
        <x:v>2378</x:v>
      </x:c>
      <x:c r="I27" s="25" t="n">
        <x:v>-170000</x:v>
      </x:c>
      <x:c r="J27" s="11" t="n">
        <x:v>12</x:v>
      </x:c>
      <x:c r="K27" s="11" t="n">
        <x:v>31</x:v>
      </x:c>
      <x:c r="L27" s="11" t="n">
        <x:v>5</x:v>
      </x:c>
      <x:c r="M27" s="13" t="str">
        <x:v>既知47場</x:v>
      </x:c>
      <x:c r="N27" s="12" t="n">
        <x:v>83.51666666666667</x:v>
      </x:c>
      <x:c r="O27" s="12" t="n">
        <x:v>181.8</x:v>
      </x:c>
    </x:row>
    <x:row r="28" ht="22" customHeight="1">
      <x:c r="A28" s="2" t="str">
        <x:v>C36</x:v>
      </x:c>
      <x:c r="B28" s="7" t="d">
        <x:v>2026-10-05T17:00:00.000Z</x:v>
      </x:c>
      <x:c r="C28" s="2" t="str">
        <x:v>ナイト</x:v>
      </x:c>
      <x:c r="D28" s="25" t="n">
        <x:v>101618</x:v>
      </x:c>
      <x:c r="E28" s="25" t="n">
        <x:v>20384</x:v>
      </x:c>
      <x:c r="F28" s="25" t="n">
        <x:f>D28-E28</x:f>
        <x:v>81234</x:v>
      </x:c>
      <x:c r="G28" s="25" t="n">
        <x:f>SUMIFS($F$7:$F$56,$A$7:$A$56,A28,$B$7:$B$56,"&lt;="&amp;B28)</x:f>
        <x:v>814290</x:v>
      </x:c>
      <x:c r="H28" s="25" t="n">
        <x:v>766</x:v>
      </x:c>
      <x:c r="I28" s="25" t="n">
        <x:v>82000</x:v>
      </x:c>
      <x:c r="J28" s="11" t="n">
        <x:v>5</x:v>
      </x:c>
      <x:c r="K28" s="11" t="n">
        <x:v>10</x:v>
      </x:c>
      <x:c r="L28" s="11" t="n">
        <x:v>5</x:v>
      </x:c>
      <x:c r="M28" s="13" t="str">
        <x:v>既知47場</x:v>
      </x:c>
      <x:c r="N28" s="12" t="n">
        <x:v>356.01666666666665</x:v>
      </x:c>
      <x:c r="O28" s="12" t="n">
        <x:v>55.38333333333333</x:v>
      </x:c>
    </x:row>
    <x:row r="29" ht="22" customHeight="1">
      <x:c r="A29" s="2" t="str">
        <x:v>C36</x:v>
      </x:c>
      <x:c r="B29" s="7" t="d">
        <x:v>2026-10-06T08:45:00.000Z</x:v>
      </x:c>
      <x:c r="C29" s="2" t="str">
        <x:v>デイ</x:v>
      </x:c>
      <x:c r="D29" s="25" t="n">
        <x:v>77618</x:v>
      </x:c>
      <x:c r="E29" s="25" t="n">
        <x:v>62308</x:v>
      </x:c>
      <x:c r="F29" s="25" t="n">
        <x:f>D29-E29</x:f>
        <x:v>15310</x:v>
      </x:c>
      <x:c r="G29" s="25" t="n">
        <x:f>SUMIFS($F$7:$F$56,$A$7:$A$56,A29,$B$7:$B$56,"&lt;="&amp;B29)</x:f>
        <x:v>829600</x:v>
      </x:c>
      <x:c r="H29" s="25" t="n">
        <x:v>690</x:v>
      </x:c>
      <x:c r="I29" s="25" t="n">
        <x:v>16000</x:v>
      </x:c>
      <x:c r="J29" s="11" t="n">
        <x:v>6</x:v>
      </x:c>
      <x:c r="K29" s="11" t="n">
        <x:v>9</x:v>
      </x:c>
      <x:c r="L29" s="11" t="n">
        <x:v>5</x:v>
      </x:c>
      <x:c r="M29" s="13" t="str">
        <x:v>既知47場</x:v>
      </x:c>
      <x:c r="N29" s="12" t="n">
        <x:v>49.266666666666666</x:v>
      </x:c>
      <x:c r="O29" s="12" t="n">
        <x:v>257.05</x:v>
      </x:c>
    </x:row>
    <x:row r="30" ht="22" customHeight="1">
      <x:c r="A30" s="2" t="str">
        <x:v>C36</x:v>
      </x:c>
      <x:c r="B30" s="7" t="d">
        <x:v>2026-10-06T17:00:00.000Z</x:v>
      </x:c>
      <x:c r="C30" s="2" t="str">
        <x:v>ナイト</x:v>
      </x:c>
      <x:c r="D30" s="25" t="n">
        <x:v>24616</x:v>
      </x:c>
      <x:c r="E30" s="25" t="n">
        <x:v>51538</x:v>
      </x:c>
      <x:c r="F30" s="25" t="n">
        <x:f>D30-E30</x:f>
        <x:v>-26922</x:v>
      </x:c>
      <x:c r="G30" s="25" t="n">
        <x:f>SUMIFS($F$7:$F$56,$A$7:$A$56,A30,$B$7:$B$56,"&lt;="&amp;B30)</x:f>
        <x:v>802678</x:v>
      </x:c>
      <x:c r="H30" s="25" t="n">
        <x:v>922</x:v>
      </x:c>
      <x:c r="I30" s="25" t="n">
        <x:v>-26000</x:v>
      </x:c>
      <x:c r="J30" s="11" t="n">
        <x:v>3</x:v>
      </x:c>
      <x:c r="K30" s="11" t="n">
        <x:v>12</x:v>
      </x:c>
      <x:c r="L30" s="11" t="n">
        <x:v>5</x:v>
      </x:c>
      <x:c r="M30" s="13" t="str">
        <x:v>既知47場</x:v>
      </x:c>
      <x:c r="N30" s="12" t="n">
        <x:v>349.78333333333336</x:v>
      </x:c>
      <x:c r="O30" s="12" t="n">
        <x:v>16.633333333333333</x:v>
      </x:c>
    </x:row>
    <x:row r="31" ht="22" customHeight="1">
      <x:c r="A31" s="2" t="str">
        <x:v>C36</x:v>
      </x:c>
      <x:c r="B31" s="7" t="d">
        <x:v>2026-10-07T08:45:00.000Z</x:v>
      </x:c>
      <x:c r="C31" s="2" t="str">
        <x:v>デイ</x:v>
      </x:c>
      <x:c r="D31" s="25" t="n">
        <x:v>138468</x:v>
      </x:c>
      <x:c r="E31" s="25" t="n">
        <x:v>34308</x:v>
      </x:c>
      <x:c r="F31" s="25" t="n">
        <x:f>D31-E31</x:f>
        <x:v>104160</x:v>
      </x:c>
      <x:c r="G31" s="25" t="n">
        <x:f>SUMIFS($F$7:$F$56,$A$7:$A$56,A31,$B$7:$B$56,"&lt;="&amp;B31)</x:f>
        <x:v>906838</x:v>
      </x:c>
      <x:c r="H31" s="25" t="n">
        <x:v>1840</x:v>
      </x:c>
      <x:c r="I31" s="25" t="n">
        <x:v>106000</x:v>
      </x:c>
      <x:c r="J31" s="11" t="n">
        <x:v>12</x:v>
      </x:c>
      <x:c r="K31" s="11" t="n">
        <x:v>24</x:v>
      </x:c>
      <x:c r="L31" s="11" t="n">
        <x:v>5</x:v>
      </x:c>
      <x:c r="M31" s="13" t="str">
        <x:v>既知47場</x:v>
      </x:c>
      <x:c r="N31" s="12" t="n">
        <x:v>47.516666666666666</x:v>
      </x:c>
      <x:c r="O31" s="12" t="n">
        <x:v>99.13333333333334</x:v>
      </x:c>
    </x:row>
    <x:row r="32" ht="22" customHeight="1">
      <x:c r="A32" s="2" t="str">
        <x:v>C36</x:v>
      </x:c>
      <x:c r="B32" s="7" t="d">
        <x:v>2026-10-07T17:00:00.000Z</x:v>
      </x:c>
      <x:c r="C32" s="2" t="str">
        <x:v>ナイト</x:v>
      </x:c>
      <x:c r="D32" s="25" t="n">
        <x:v>24232</x:v>
      </x:c>
      <x:c r="E32" s="25" t="n">
        <x:v>29230</x:v>
      </x:c>
      <x:c r="F32" s="25" t="n">
        <x:f>D32-E32</x:f>
        <x:v>-4998</x:v>
      </x:c>
      <x:c r="G32" s="25" t="n">
        <x:f>SUMIFS($F$7:$F$56,$A$7:$A$56,A32,$B$7:$B$56,"&lt;="&amp;B32)</x:f>
        <x:v>901840</x:v>
      </x:c>
      <x:c r="H32" s="25" t="n">
        <x:v>998</x:v>
      </x:c>
      <x:c r="I32" s="25" t="n">
        <x:v>-4000</x:v>
      </x:c>
      <x:c r="J32" s="11" t="n">
        <x:v>4</x:v>
      </x:c>
      <x:c r="K32" s="11" t="n">
        <x:v>13</x:v>
      </x:c>
      <x:c r="L32" s="11" t="n">
        <x:v>5</x:v>
      </x:c>
      <x:c r="M32" s="13" t="str">
        <x:v>既知47場</x:v>
      </x:c>
      <x:c r="N32" s="12" t="n">
        <x:v>235.05</x:v>
      </x:c>
      <x:c r="O32" s="12" t="n">
        <x:v>33.666666666666664</x:v>
      </x:c>
    </x:row>
    <x:row r="33" ht="22" customHeight="1">
      <x:c r="A33" s="2" t="str">
        <x:v>C36</x:v>
      </x:c>
      <x:c r="B33" s="7" t="d">
        <x:v>2026-10-08T08:45:00.000Z</x:v>
      </x:c>
      <x:c r="C33" s="2" t="str">
        <x:v>デイ</x:v>
      </x:c>
      <x:c r="D33" s="25" t="n">
        <x:v>187234</x:v>
      </x:c>
      <x:c r="E33" s="25" t="n">
        <x:v>151536</x:v>
      </x:c>
      <x:c r="F33" s="25" t="n">
        <x:f>D33-E33</x:f>
        <x:v>35698</x:v>
      </x:c>
      <x:c r="G33" s="25" t="n">
        <x:f>SUMIFS($F$7:$F$56,$A$7:$A$56,A33,$B$7:$B$56,"&lt;="&amp;B33)</x:f>
        <x:v>937538</x:v>
      </x:c>
      <x:c r="H33" s="25" t="n">
        <x:v>2302</x:v>
      </x:c>
      <x:c r="I33" s="25" t="n">
        <x:v>38000</x:v>
      </x:c>
      <x:c r="J33" s="11" t="n">
        <x:v>9</x:v>
      </x:c>
      <x:c r="K33" s="11" t="n">
        <x:v>30</x:v>
      </x:c>
      <x:c r="L33" s="11" t="n">
        <x:v>5</x:v>
      </x:c>
      <x:c r="M33" s="13" t="str">
        <x:v>既知47場</x:v>
      </x:c>
      <x:c r="N33" s="12" t="n">
        <x:v>70.23333333333333</x:v>
      </x:c>
      <x:c r="O33" s="12" t="n">
        <x:v>95.31666666666666</x:v>
      </x:c>
    </x:row>
    <x:row r="34" ht="22" customHeight="1">
      <x:c r="A34" s="2" t="str">
        <x:v>C36</x:v>
      </x:c>
      <x:c r="B34" s="7" t="d">
        <x:v>2026-10-08T17:00:00.000Z</x:v>
      </x:c>
      <x:c r="C34" s="2" t="str">
        <x:v>ナイト</x:v>
      </x:c>
      <x:c r="D34" s="25" t="n">
        <x:v>144852</x:v>
      </x:c>
      <x:c r="E34" s="25" t="n">
        <x:v>0</x:v>
      </x:c>
      <x:c r="F34" s="25" t="n">
        <x:f>D34-E34</x:f>
        <x:v>144852</x:v>
      </x:c>
      <x:c r="G34" s="25" t="n">
        <x:f>SUMIFS($F$7:$F$56,$A$7:$A$56,A34,$B$7:$B$56,"&lt;="&amp;B34)</x:f>
        <x:v>1082390</x:v>
      </x:c>
      <x:c r="H34" s="25" t="n">
        <x:v>1148</x:v>
      </x:c>
      <x:c r="I34" s="25" t="n">
        <x:v>146000</x:v>
      </x:c>
      <x:c r="J34" s="11" t="n">
        <x:v>9</x:v>
      </x:c>
      <x:c r="K34" s="11" t="n">
        <x:v>15</x:v>
      </x:c>
      <x:c r="L34" s="11" t="n">
        <x:v>5</x:v>
      </x:c>
      <x:c r="M34" s="13" t="str">
        <x:v>既知47場</x:v>
      </x:c>
      <x:c r="N34" s="12" t="n">
        <x:v>103.98333333333333</x:v>
      </x:c>
      <x:c r="O34" s="12" t="n">
        <x:v>96.76666666666667</x:v>
      </x:c>
    </x:row>
    <x:row r="35" ht="22" customHeight="1">
      <x:c r="A35" s="2" t="str">
        <x:v>C36</x:v>
      </x:c>
      <x:c r="B35" s="7" t="d">
        <x:v>2026-10-09T08:45:00.000Z</x:v>
      </x:c>
      <x:c r="C35" s="2" t="str">
        <x:v>デイ</x:v>
      </x:c>
      <x:c r="D35" s="25" t="n">
        <x:v>76310</x:v>
      </x:c>
      <x:c r="E35" s="25" t="n">
        <x:v>75538</x:v>
      </x:c>
      <x:c r="F35" s="25" t="n">
        <x:f>D35-E35</x:f>
        <x:v>772</x:v>
      </x:c>
      <x:c r="G35" s="25" t="n">
        <x:f>SUMIFS($F$7:$F$56,$A$7:$A$56,A35,$B$7:$B$56,"&lt;="&amp;B35)</x:f>
        <x:v>1083162</x:v>
      </x:c>
      <x:c r="H35" s="25" t="n">
        <x:v>1228</x:v>
      </x:c>
      <x:c r="I35" s="25" t="n">
        <x:v>2000</x:v>
      </x:c>
      <x:c r="J35" s="11" t="n">
        <x:v>8</x:v>
      </x:c>
      <x:c r="K35" s="11" t="n">
        <x:v>16</x:v>
      </x:c>
      <x:c r="L35" s="11" t="n">
        <x:v>5</x:v>
      </x:c>
      <x:c r="M35" s="13" t="str">
        <x:v>既知47場</x:v>
      </x:c>
      <x:c r="N35" s="12" t="n">
        <x:v>54.45</x:v>
      </x:c>
      <x:c r="O35" s="12" t="n">
        <x:v>93.9</x:v>
      </x:c>
    </x:row>
    <x:row r="36" ht="22" customHeight="1">
      <x:c r="A36" s="2" t="str">
        <x:v>C36</x:v>
      </x:c>
      <x:c r="B36" s="7" t="d">
        <x:v>2026-10-09T17:00:00.000Z</x:v>
      </x:c>
      <x:c r="C36" s="2" t="str">
        <x:v>ナイト</x:v>
      </x:c>
      <x:c r="D36" s="25" t="n">
        <x:v>19616</x:v>
      </x:c>
      <x:c r="E36" s="25" t="n">
        <x:v>0</x:v>
      </x:c>
      <x:c r="F36" s="25" t="n">
        <x:f>D36-E36</x:f>
        <x:v>19616</x:v>
      </x:c>
      <x:c r="G36" s="25" t="n">
        <x:f>SUMIFS($F$7:$F$56,$A$7:$A$56,A36,$B$7:$B$56,"&lt;="&amp;B36)</x:f>
        <x:v>1102778</x:v>
      </x:c>
      <x:c r="H36" s="25" t="n">
        <x:v>384</x:v>
      </x:c>
      <x:c r="I36" s="25" t="n">
        <x:v>20000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360.06666666666666</x:v>
      </x:c>
      <x:c r="O36" s="12" t="n">
        <x:v>11.916666666666666</x:v>
      </x:c>
    </x:row>
    <x:row r="37" ht="22" customHeight="1">
      <x:c r="A37" s="2" t="str">
        <x:v>C36</x:v>
      </x:c>
      <x:c r="B37" s="7" t="d">
        <x:v>2026-10-12T08:45:00.000Z</x:v>
      </x:c>
      <x:c r="C37" s="2" t="str">
        <x:v>デイ</x:v>
      </x:c>
      <x:c r="D37" s="25" t="n">
        <x:v>32616</x:v>
      </x:c>
      <x:c r="E37" s="25" t="n">
        <x:v>25384</x:v>
      </x:c>
      <x:c r="F37" s="25" t="n">
        <x:f>D37-E37</x:f>
        <x:v>7232</x:v>
      </x:c>
      <x:c r="G37" s="25" t="n">
        <x:f>SUMIFS($F$7:$F$56,$A$7:$A$56,A37,$B$7:$B$56,"&lt;="&amp;B37)</x:f>
        <x:v>1110010</x:v>
      </x:c>
      <x:c r="H37" s="25" t="n">
        <x:v>768</x:v>
      </x:c>
      <x:c r="I37" s="25" t="n">
        <x:v>8000</x:v>
      </x:c>
      <x:c r="J37" s="11" t="n">
        <x:v>2</x:v>
      </x:c>
      <x:c r="K37" s="11" t="n">
        <x:v>10</x:v>
      </x:c>
      <x:c r="L37" s="11" t="n">
        <x:v>5</x:v>
      </x:c>
      <x:c r="M37" s="13" t="str">
        <x:v>既知47場</x:v>
      </x:c>
      <x:c r="N37" s="12" t="n">
        <x:v>122.76666666666667</x:v>
      </x:c>
      <x:c r="O37" s="12" t="n">
        <x:v>265.15</x:v>
      </x:c>
    </x:row>
    <x:row r="38" ht="22" customHeight="1">
      <x:c r="A38" s="2" t="str">
        <x:v>C36</x:v>
      </x:c>
      <x:c r="B38" s="7" t="d">
        <x:v>2026-10-12T17:00:00.000Z</x:v>
      </x:c>
      <x:c r="C38" s="2" t="str">
        <x:v>ナイト</x:v>
      </x:c>
      <x:c r="D38" s="25" t="n">
        <x:v>94616</x:v>
      </x:c>
      <x:c r="E38" s="25" t="n">
        <x:v>0</x:v>
      </x:c>
      <x:c r="F38" s="25" t="n">
        <x:f>D38-E38</x:f>
        <x:v>94616</x:v>
      </x:c>
      <x:c r="G38" s="25" t="n">
        <x:f>SUMIFS($F$7:$F$56,$A$7:$A$56,A38,$B$7:$B$56,"&lt;="&amp;B38)</x:f>
        <x:v>1204626</x:v>
      </x:c>
      <x:c r="H38" s="25" t="n">
        <x:v>384</x:v>
      </x:c>
      <x:c r="I38" s="25" t="n">
        <x:v>95000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360.21666666666664</x:v>
      </x:c>
      <x:c r="O38" s="12" t="n">
        <x:v>10.65</x:v>
      </x:c>
    </x:row>
    <x:row r="39" ht="22" customHeight="1">
      <x:c r="A39" s="2" t="str">
        <x:v>C36</x:v>
      </x:c>
      <x:c r="B39" s="7" t="d">
        <x:v>2026-10-13T08:45:00.000Z</x:v>
      </x:c>
      <x:c r="C39" s="2" t="str">
        <x:v>デイ</x:v>
      </x:c>
      <x:c r="D39" s="25" t="n">
        <x:v>42618</x:v>
      </x:c>
      <x:c r="E39" s="25" t="n">
        <x:v>207230</x:v>
      </x:c>
      <x:c r="F39" s="25" t="n">
        <x:f>D39-E39</x:f>
        <x:v>-164612</x:v>
      </x:c>
      <x:c r="G39" s="25" t="n">
        <x:f>SUMIFS($F$7:$F$56,$A$7:$A$56,A39,$B$7:$B$56,"&lt;="&amp;B39)</x:f>
        <x:v>1040014</x:v>
      </x:c>
      <x:c r="H39" s="25" t="n">
        <x:v>1612</x:v>
      </x:c>
      <x:c r="I39" s="25" t="n">
        <x:v>-163000</x:v>
      </x:c>
      <x:c r="J39" s="11" t="n">
        <x:v>11</x:v>
      </x:c>
      <x:c r="K39" s="11" t="n">
        <x:v>21</x:v>
      </x:c>
      <x:c r="L39" s="11" t="n">
        <x:v>5</x:v>
      </x:c>
      <x:c r="M39" s="13" t="str">
        <x:v>既知47場</x:v>
      </x:c>
      <x:c r="N39" s="12" t="n">
        <x:v>63.8</x:v>
      </x:c>
      <x:c r="O39" s="12" t="n">
        <x:v>162.13333333333333</x:v>
      </x:c>
    </x:row>
    <x:row r="40" ht="22" customHeight="1">
      <x:c r="A40" s="2" t="str">
        <x:v>C36</x:v>
      </x:c>
      <x:c r="B40" s="7" t="d">
        <x:v>2026-10-13T17:00:00.000Z</x:v>
      </x:c>
      <x:c r="C40" s="2" t="str">
        <x:v>ナイト</x:v>
      </x:c>
      <x:c r="D40" s="25" t="n">
        <x:v>0</x:v>
      </x:c>
      <x:c r="E40" s="25" t="n">
        <x:v>96922</x:v>
      </x:c>
      <x:c r="F40" s="25" t="n">
        <x:f>D40-E40</x:f>
        <x:v>-96922</x:v>
      </x:c>
      <x:c r="G40" s="25" t="n">
        <x:f>SUMIFS($F$7:$F$56,$A$7:$A$56,A40,$B$7:$B$56,"&lt;="&amp;B40)</x:f>
        <x:v>943092</x:v>
      </x:c>
      <x:c r="H40" s="25" t="n">
        <x:v>922</x:v>
      </x:c>
      <x:c r="I40" s="25" t="n">
        <x:v>-96000</x:v>
      </x:c>
      <x:c r="J40" s="11" t="n">
        <x:v>3</x:v>
      </x:c>
      <x:c r="K40" s="11" t="n">
        <x:v>12</x:v>
      </x:c>
      <x:c r="L40" s="11" t="n">
        <x:v>5</x:v>
      </x:c>
      <x:c r="M40" s="13" t="str">
        <x:v>既知47場</x:v>
      </x:c>
      <x:c r="N40" s="12" t="n">
        <x:v>360.23333333333335</x:v>
      </x:c>
      <x:c r="O40" s="12" t="n">
        <x:v>10.466666666666667</x:v>
      </x:c>
    </x:row>
    <x:row r="41" ht="22" customHeight="1">
      <x:c r="A41" s="2" t="str">
        <x:v>C36</x:v>
      </x:c>
      <x:c r="B41" s="7" t="d">
        <x:v>2026-10-14T08:45:00.000Z</x:v>
      </x:c>
      <x:c r="C41" s="2" t="str">
        <x:v>デイ</x:v>
      </x:c>
      <x:c r="D41" s="25" t="n">
        <x:v>172232</x:v>
      </x:c>
      <x:c r="E41" s="25" t="n">
        <x:v>115076</x:v>
      </x:c>
      <x:c r="F41" s="25" t="n">
        <x:f>D41-E41</x:f>
        <x:v>57156</x:v>
      </x:c>
      <x:c r="G41" s="25" t="n">
        <x:f>SUMIFS($F$7:$F$56,$A$7:$A$56,A41,$B$7:$B$56,"&lt;="&amp;B41)</x:f>
        <x:v>1000248</x:v>
      </x:c>
      <x:c r="H41" s="25" t="n">
        <x:v>1844</x:v>
      </x:c>
      <x:c r="I41" s="25" t="n">
        <x:v>59000</x:v>
      </x:c>
      <x:c r="J41" s="11" t="n">
        <x:v>8</x:v>
      </x:c>
      <x:c r="K41" s="11" t="n">
        <x:v>24</x:v>
      </x:c>
      <x:c r="L41" s="11" t="n">
        <x:v>5</x:v>
      </x:c>
      <x:c r="M41" s="13" t="str">
        <x:v>既知47場</x:v>
      </x:c>
      <x:c r="N41" s="12" t="n">
        <x:v>97.45</x:v>
      </x:c>
      <x:c r="O41" s="12" t="n">
        <x:v>122.26666666666667</x:v>
      </x:c>
    </x:row>
    <x:row r="42" ht="22" customHeight="1">
      <x:c r="A42" s="2" t="str">
        <x:v>C36</x:v>
      </x:c>
      <x:c r="B42" s="7" t="d">
        <x:v>2026-10-14T17:00:00.000Z</x:v>
      </x:c>
      <x:c r="C42" s="2" t="str">
        <x:v>ナイト</x:v>
      </x:c>
      <x:c r="D42" s="25" t="n">
        <x:v>221850</x:v>
      </x:c>
      <x:c r="E42" s="25" t="n">
        <x:v>46154</x:v>
      </x:c>
      <x:c r="F42" s="25" t="n">
        <x:f>D42-E42</x:f>
        <x:v>175696</x:v>
      </x:c>
      <x:c r="G42" s="25" t="n">
        <x:f>SUMIFS($F$7:$F$56,$A$7:$A$56,A42,$B$7:$B$56,"&lt;="&amp;B42)</x:f>
        <x:v>1175944</x:v>
      </x:c>
      <x:c r="H42" s="25" t="n">
        <x:v>1304</x:v>
      </x:c>
      <x:c r="I42" s="25" t="n">
        <x:v>177000</x:v>
      </x:c>
      <x:c r="J42" s="11" t="n">
        <x:v>7</x:v>
      </x:c>
      <x:c r="K42" s="11" t="n">
        <x:v>17</x:v>
      </x:c>
      <x:c r="L42" s="11" t="n">
        <x:v>5</x:v>
      </x:c>
      <x:c r="M42" s="13" t="str">
        <x:v>既知47場</x:v>
      </x:c>
      <x:c r="N42" s="12" t="n">
        <x:v>360</x:v>
      </x:c>
      <x:c r="O42" s="12" t="n">
        <x:v>163.76666666666668</x:v>
      </x:c>
    </x:row>
    <x:row r="43" ht="22" customHeight="1">
      <x:c r="A43" s="2" t="str">
        <x:v>C36</x:v>
      </x:c>
      <x:c r="B43" s="7" t="d">
        <x:v>2026-10-15T08:45:00.000Z</x:v>
      </x:c>
      <x:c r="C43" s="2" t="str">
        <x:v>デイ</x:v>
      </x:c>
      <x:c r="D43" s="25" t="n">
        <x:v>461620</x:v>
      </x:c>
      <x:c r="E43" s="25" t="n">
        <x:v>90308</x:v>
      </x:c>
      <x:c r="F43" s="25" t="n">
        <x:f>D43-E43</x:f>
        <x:v>371312</x:v>
      </x:c>
      <x:c r="G43" s="25" t="n">
        <x:f>SUMIFS($F$7:$F$56,$A$7:$A$56,A43,$B$7:$B$56,"&lt;="&amp;B43)</x:f>
        <x:v>1547256</x:v>
      </x:c>
      <x:c r="H43" s="25" t="n">
        <x:v>1688</x:v>
      </x:c>
      <x:c r="I43" s="25" t="n">
        <x:v>373000</x:v>
      </x:c>
      <x:c r="J43" s="11" t="n">
        <x:v>10</x:v>
      </x:c>
      <x:c r="K43" s="11" t="n">
        <x:v>22</x:v>
      </x:c>
      <x:c r="L43" s="11" t="n">
        <x:v>5</x:v>
      </x:c>
      <x:c r="M43" s="13" t="str">
        <x:v>既知47場</x:v>
      </x:c>
      <x:c r="N43" s="12" t="n">
        <x:v>50.583333333333336</x:v>
      </x:c>
      <x:c r="O43" s="12" t="n">
        <x:v>232.11666666666667</x:v>
      </x:c>
    </x:row>
    <x:row r="44" ht="22" customHeight="1">
      <x:c r="A44" s="2" t="str">
        <x:v>C36</x:v>
      </x:c>
      <x:c r="B44" s="7" t="d">
        <x:v>2026-10-15T17:00:00.000Z</x:v>
      </x:c>
      <x:c r="C44" s="2" t="str">
        <x:v>ナイト</x:v>
      </x:c>
      <x:c r="D44" s="25" t="n">
        <x:v>0</x:v>
      </x:c>
      <x:c r="E44" s="25" t="n">
        <x:v>148462</x:v>
      </x:c>
      <x:c r="F44" s="25" t="n">
        <x:f>D44-E44</x:f>
        <x:v>-148462</x:v>
      </x:c>
      <x:c r="G44" s="25" t="n">
        <x:f>SUMIFS($F$7:$F$56,$A$7:$A$56,A44,$B$7:$B$56,"&lt;="&amp;B44)</x:f>
        <x:v>1398794</x:v>
      </x:c>
      <x:c r="H44" s="25" t="n">
        <x:v>462</x:v>
      </x:c>
      <x:c r="I44" s="25" t="n">
        <x:v>-148000</x:v>
      </x:c>
      <x:c r="J44" s="11" t="n">
        <x:v>3</x:v>
      </x:c>
      <x:c r="K44" s="11" t="n">
        <x:v>6</x:v>
      </x:c>
      <x:c r="L44" s="11" t="n">
        <x:v>2</x:v>
      </x:c>
      <x:c r="M44" s="13" t="str">
        <x:v>既知47場</x:v>
      </x:c>
      <x:c r="N44" s="12" t="n">
        <x:v>360</x:v>
      </x:c>
      <x:c r="O44" s="12" t="n">
        <x:v>47.46666666666667</x:v>
      </x:c>
    </x:row>
    <x:row r="45" ht="22" customHeight="1">
      <x:c r="A45" s="2" t="str">
        <x:v>C36</x:v>
      </x:c>
      <x:c r="B45" s="7" t="d">
        <x:v>2026-10-16T08:45:00.000Z</x:v>
      </x:c>
      <x:c r="C45" s="2" t="str">
        <x:v>デイ</x:v>
      </x:c>
      <x:c r="D45" s="25" t="n">
        <x:v>72926</x:v>
      </x:c>
      <x:c r="E45" s="25" t="n">
        <x:v>182306</x:v>
      </x:c>
      <x:c r="F45" s="25" t="n">
        <x:f>D45-E45</x:f>
        <x:v>-109380</x:v>
      </x:c>
      <x:c r="G45" s="25" t="n">
        <x:f>SUMIFS($F$7:$F$56,$A$7:$A$56,A45,$B$7:$B$56,"&lt;="&amp;B45)</x:f>
        <x:v>1289414</x:v>
      </x:c>
      <x:c r="H45" s="25" t="n">
        <x:v>2380</x:v>
      </x:c>
      <x:c r="I45" s="25" t="n">
        <x:v>-107000</x:v>
      </x:c>
      <x:c r="J45" s="11" t="n">
        <x:v>11</x:v>
      </x:c>
      <x:c r="K45" s="11" t="n">
        <x:v>31</x:v>
      </x:c>
      <x:c r="L45" s="11" t="n">
        <x:v>5</x:v>
      </x:c>
      <x:c r="M45" s="13" t="str">
        <x:v>既知47場</x:v>
      </x:c>
      <x:c r="N45" s="12" t="n">
        <x:v>66.9</x:v>
      </x:c>
      <x:c r="O45" s="12" t="n">
        <x:v>216.66666666666666</x:v>
      </x:c>
    </x:row>
    <x:row r="46" ht="22" customHeight="1">
      <x:c r="A46" s="2" t="str">
        <x:v>C36</x:v>
      </x:c>
      <x:c r="B46" s="7" t="d">
        <x:v>2026-10-16T17:00:00.000Z</x:v>
      </x:c>
      <x:c r="C46" s="2" t="str">
        <x:v>ナイト</x:v>
      </x:c>
      <x:c r="D46" s="25" t="n">
        <x:v>114314</x:v>
      </x:c>
      <x:c r="E46" s="25" t="n">
        <x:v>74308</x:v>
      </x:c>
      <x:c r="F46" s="25" t="n">
        <x:f>D46-E46</x:f>
        <x:v>40006</x:v>
      </x:c>
      <x:c r="G46" s="25" t="n">
        <x:f>SUMIFS($F$7:$F$56,$A$7:$A$56,A46,$B$7:$B$56,"&lt;="&amp;B46)</x:f>
        <x:v>1329420</x:v>
      </x:c>
      <x:c r="H46" s="25" t="n">
        <x:v>1994</x:v>
      </x:c>
      <x:c r="I46" s="25" t="n">
        <x:v>42000</x:v>
      </x:c>
      <x:c r="J46" s="11" t="n">
        <x:v>12</x:v>
      </x:c>
      <x:c r="K46" s="11" t="n">
        <x:v>26</x:v>
      </x:c>
      <x:c r="L46" s="11" t="n">
        <x:v>5</x:v>
      </x:c>
      <x:c r="M46" s="13" t="str">
        <x:v>既知47場</x:v>
      </x:c>
      <x:c r="N46" s="12" t="n">
        <x:v>45.46666666666667</x:v>
      </x:c>
      <x:c r="O46" s="12" t="n">
        <x:v>122.7</x:v>
      </x:c>
    </x:row>
    <x:row r="47" ht="22" customHeight="1">
      <x:c r="A47" s="2" t="str">
        <x:v>C36</x:v>
      </x:c>
      <x:c r="B47" s="7" t="d">
        <x:v>2026-10-19T08:45:00.000Z</x:v>
      </x:c>
      <x:c r="C47" s="2" t="str">
        <x:v>デイ</x:v>
      </x:c>
      <x:c r="D47" s="25" t="n">
        <x:v>112854</x:v>
      </x:c>
      <x:c r="E47" s="25" t="n">
        <x:v>22460</x:v>
      </x:c>
      <x:c r="F47" s="25" t="n">
        <x:f>D47-E47</x:f>
        <x:v>90394</x:v>
      </x:c>
      <x:c r="G47" s="25" t="n">
        <x:f>SUMIFS($F$7:$F$56,$A$7:$A$56,A47,$B$7:$B$56,"&lt;="&amp;B47)</x:f>
        <x:v>1419814</x:v>
      </x:c>
      <x:c r="H47" s="25" t="n">
        <x:v>1606</x:v>
      </x:c>
      <x:c r="I47" s="25" t="n">
        <x:v>92000</x:v>
      </x:c>
      <x:c r="J47" s="11" t="n">
        <x:v>16</x:v>
      </x:c>
      <x:c r="K47" s="11" t="n">
        <x:v>21</x:v>
      </x:c>
      <x:c r="L47" s="11" t="n">
        <x:v>5</x:v>
      </x:c>
      <x:c r="M47" s="13" t="str">
        <x:v>既知47場</x:v>
      </x:c>
      <x:c r="N47" s="12" t="n">
        <x:v>46.733333333333334</x:v>
      </x:c>
      <x:c r="O47" s="12" t="n">
        <x:v>290.96666666666664</x:v>
      </x:c>
    </x:row>
    <x:row r="48" ht="22" customHeight="1">
      <x:c r="A48" s="2" t="str">
        <x:v>C36</x:v>
      </x:c>
      <x:c r="B48" s="7" t="d">
        <x:v>2026-10-19T17:00:00.000Z</x:v>
      </x:c>
      <x:c r="C48" s="2" t="str">
        <x:v>ナイト</x:v>
      </x:c>
      <x:c r="D48" s="25" t="n">
        <x:v>79234</x:v>
      </x:c>
      <x:c r="E48" s="25" t="n">
        <x:v>53384</x:v>
      </x:c>
      <x:c r="F48" s="25" t="n">
        <x:f>D48-E48</x:f>
        <x:v>25850</x:v>
      </x:c>
      <x:c r="G48" s="25" t="n">
        <x:f>SUMIFS($F$7:$F$56,$A$7:$A$56,A48,$B$7:$B$56,"&lt;="&amp;B48)</x:f>
        <x:v>1445664</x:v>
      </x:c>
      <x:c r="H48" s="25" t="n">
        <x:v>1150</x:v>
      </x:c>
      <x:c r="I48" s="25" t="n">
        <x:v>27000</x:v>
      </x:c>
      <x:c r="J48" s="11" t="n">
        <x:v>8</x:v>
      </x:c>
      <x:c r="K48" s="11" t="n">
        <x:v>15</x:v>
      </x:c>
      <x:c r="L48" s="11" t="n">
        <x:v>5</x:v>
      </x:c>
      <x:c r="M48" s="13" t="str">
        <x:v>既知47場</x:v>
      </x:c>
      <x:c r="N48" s="12" t="n">
        <x:v>349.46666666666664</x:v>
      </x:c>
      <x:c r="O48" s="12" t="n">
        <x:v>72.33333333333333</x:v>
      </x:c>
    </x:row>
    <x:row r="49" ht="22" customHeight="1">
      <x:c r="A49" s="2" t="str">
        <x:v>C36</x:v>
      </x:c>
      <x:c r="B49" s="7" t="d">
        <x:v>2026-10-20T08:45:00.000Z</x:v>
      </x:c>
      <x:c r="C49" s="2" t="str">
        <x:v>デイ</x:v>
      </x:c>
      <x:c r="D49" s="25" t="n">
        <x:v>132850</x:v>
      </x:c>
      <x:c r="E49" s="25" t="n">
        <x:v>79692</x:v>
      </x:c>
      <x:c r="F49" s="25" t="n">
        <x:f>D49-E49</x:f>
        <x:v>53158</x:v>
      </x:c>
      <x:c r="G49" s="25" t="n">
        <x:f>SUMIFS($F$7:$F$56,$A$7:$A$56,A49,$B$7:$B$56,"&lt;="&amp;B49)</x:f>
        <x:v>1498822</x:v>
      </x:c>
      <x:c r="H49" s="25" t="n">
        <x:v>1842</x:v>
      </x:c>
      <x:c r="I49" s="25" t="n">
        <x:v>55000</x:v>
      </x:c>
      <x:c r="J49" s="11" t="n">
        <x:v>9</x:v>
      </x:c>
      <x:c r="K49" s="11" t="n">
        <x:v>24</x:v>
      </x:c>
      <x:c r="L49" s="11" t="n">
        <x:v>5</x:v>
      </x:c>
      <x:c r="M49" s="13" t="str">
        <x:v>既知47場</x:v>
      </x:c>
      <x:c r="N49" s="12" t="n">
        <x:v>79.45</x:v>
      </x:c>
      <x:c r="O49" s="12" t="n">
        <x:v>215.2</x:v>
      </x:c>
    </x:row>
    <x:row r="50" ht="22" customHeight="1">
      <x:c r="A50" s="2" t="str">
        <x:v>C36</x:v>
      </x:c>
      <x:c r="B50" s="7" t="d">
        <x:v>2026-10-20T17:00:00.000Z</x:v>
      </x:c>
      <x:c r="C50" s="2" t="str">
        <x:v>ナイト</x:v>
      </x:c>
      <x:c r="D50" s="25" t="n">
        <x:v>430930</x:v>
      </x:c>
      <x:c r="E50" s="25" t="n">
        <x:v>70384</x:v>
      </x:c>
      <x:c r="F50" s="25" t="n">
        <x:f>D50-E50</x:f>
        <x:v>360546</x:v>
      </x:c>
      <x:c r="G50" s="25" t="n">
        <x:f>SUMIFS($F$7:$F$56,$A$7:$A$56,A50,$B$7:$B$56,"&lt;="&amp;B50)</x:f>
        <x:v>1859368</x:v>
      </x:c>
      <x:c r="H50" s="25" t="n">
        <x:v>1454</x:v>
      </x:c>
      <x:c r="I50" s="25" t="n">
        <x:v>362000</x:v>
      </x:c>
      <x:c r="J50" s="11" t="n">
        <x:v>12</x:v>
      </x:c>
      <x:c r="K50" s="11" t="n">
        <x:v>19</x:v>
      </x:c>
      <x:c r="L50" s="11" t="n">
        <x:v>5</x:v>
      </x:c>
      <x:c r="M50" s="13" t="str">
        <x:v>既知47場</x:v>
      </x:c>
      <x:c r="N50" s="12" t="n">
        <x:v>272.3333333333333</x:v>
      </x:c>
      <x:c r="O50" s="12" t="n">
        <x:v>82.45</x:v>
      </x:c>
    </x:row>
    <x:row r="51" ht="22" customHeight="1">
      <x:c r="A51" s="2" t="str">
        <x:v>C36</x:v>
      </x:c>
      <x:c r="B51" s="7" t="d">
        <x:v>2026-10-21T08:45:00.000Z</x:v>
      </x:c>
      <x:c r="C51" s="2" t="str">
        <x:v>デイ</x:v>
      </x:c>
      <x:c r="D51" s="25" t="n">
        <x:v>129312</x:v>
      </x:c>
      <x:c r="E51" s="25" t="n">
        <x:v>262766</x:v>
      </x:c>
      <x:c r="F51" s="25" t="n">
        <x:f>D51-E51</x:f>
        <x:v>-133454</x:v>
      </x:c>
      <x:c r="G51" s="25" t="n">
        <x:f>SUMIFS($F$7:$F$56,$A$7:$A$56,A51,$B$7:$B$56,"&lt;="&amp;B51)</x:f>
        <x:v>1725914</x:v>
      </x:c>
      <x:c r="H51" s="25" t="n">
        <x:v>2454</x:v>
      </x:c>
      <x:c r="I51" s="25" t="n">
        <x:v>-131000</x:v>
      </x:c>
      <x:c r="J51" s="11" t="n">
        <x:v>13</x:v>
      </x:c>
      <x:c r="K51" s="11" t="n">
        <x:v>32</x:v>
      </x:c>
      <x:c r="L51" s="11" t="n">
        <x:v>5</x:v>
      </x:c>
      <x:c r="M51" s="13" t="str">
        <x:v>既知47場</x:v>
      </x:c>
      <x:c r="N51" s="12" t="n">
        <x:v>45.4</x:v>
      </x:c>
      <x:c r="O51" s="12" t="n">
        <x:v>216.65</x:v>
      </x:c>
    </x:row>
    <x:row r="52" ht="22" customHeight="1">
      <x:c r="A52" s="2" t="str">
        <x:v>C36</x:v>
      </x:c>
      <x:c r="B52" s="7" t="d">
        <x:v>2026-10-21T17:00:00.000Z</x:v>
      </x:c>
      <x:c r="C52" s="2" t="str">
        <x:v>ナイト</x:v>
      </x:c>
      <x:c r="D52" s="25" t="n">
        <x:v>44616</x:v>
      </x:c>
      <x:c r="E52" s="25" t="n">
        <x:v>85768</x:v>
      </x:c>
      <x:c r="F52" s="25" t="n">
        <x:f>D52-E52</x:f>
        <x:v>-41152</x:v>
      </x:c>
      <x:c r="G52" s="25" t="n">
        <x:f>SUMIFS($F$7:$F$56,$A$7:$A$56,A52,$B$7:$B$56,"&lt;="&amp;B52)</x:f>
        <x:v>1684762</x:v>
      </x:c>
      <x:c r="H52" s="25" t="n">
        <x:v>1152</x:v>
      </x:c>
      <x:c r="I52" s="25" t="n">
        <x:v>-40000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360</x:v>
      </x:c>
      <x:c r="O52" s="12" t="n">
        <x:v>93.56666666666666</x:v>
      </x:c>
    </x:row>
    <x:row r="53" ht="22" customHeight="1">
      <x:c r="A53" s="2" t="str">
        <x:v>C36</x:v>
      </x:c>
      <x:c r="B53" s="7" t="d">
        <x:v>2026-10-22T08:45:00.000Z</x:v>
      </x:c>
      <x:c r="C53" s="2" t="str">
        <x:v>デイ</x:v>
      </x:c>
      <x:c r="D53" s="25" t="n">
        <x:v>389234</x:v>
      </x:c>
      <x:c r="E53" s="25" t="n">
        <x:v>0</x:v>
      </x:c>
      <x:c r="F53" s="25" t="n">
        <x:f>D53-E53</x:f>
        <x:v>389234</x:v>
      </x:c>
      <x:c r="G53" s="25" t="n">
        <x:f>SUMIFS($F$7:$F$56,$A$7:$A$56,A53,$B$7:$B$56,"&lt;="&amp;B53)</x:f>
        <x:v>2073996</x:v>
      </x:c>
      <x:c r="H53" s="25" t="n">
        <x:v>766</x:v>
      </x:c>
      <x:c r="I53" s="25" t="n">
        <x:v>390000</x:v>
      </x:c>
      <x:c r="J53" s="11" t="n">
        <x:v>5</x:v>
      </x:c>
      <x:c r="K53" s="11" t="n">
        <x:v>10</x:v>
      </x:c>
      <x:c r="L53" s="11" t="n">
        <x:v>5</x:v>
      </x:c>
      <x:c r="M53" s="13" t="str">
        <x:v>既知47場</x:v>
      </x:c>
      <x:c r="N53" s="12" t="n">
        <x:v>79.91666666666667</x:v>
      </x:c>
      <x:c r="O53" s="12" t="n">
        <x:v>253.23333333333332</x:v>
      </x:c>
    </x:row>
    <x:row r="54" ht="22" customHeight="1">
      <x:c r="A54" s="2" t="str">
        <x:v>C36</x:v>
      </x:c>
      <x:c r="B54" s="7" t="d">
        <x:v>2026-10-22T17:00:00.000Z</x:v>
      </x:c>
      <x:c r="C54" s="2" t="str">
        <x:v>ナイト</x:v>
      </x:c>
      <x:c r="D54" s="25" t="n">
        <x:v>104616</x:v>
      </x:c>
      <x:c r="E54" s="25" t="n">
        <x:v>142844</x:v>
      </x:c>
      <x:c r="F54" s="25" t="n">
        <x:f>D54-E54</x:f>
        <x:v>-38228</x:v>
      </x:c>
      <x:c r="G54" s="25" t="n">
        <x:f>SUMIFS($F$7:$F$56,$A$7:$A$56,A54,$B$7:$B$56,"&lt;="&amp;B54)</x:f>
        <x:v>2035768</x:v>
      </x:c>
      <x:c r="H54" s="25" t="n">
        <x:v>1228</x:v>
      </x:c>
      <x:c r="I54" s="25" t="n">
        <x:v>-37000</x:v>
      </x:c>
      <x:c r="J54" s="11" t="n">
        <x:v>6</x:v>
      </x:c>
      <x:c r="K54" s="11" t="n">
        <x:v>16</x:v>
      </x:c>
      <x:c r="L54" s="11" t="n">
        <x:v>5</x:v>
      </x:c>
      <x:c r="M54" s="13" t="str">
        <x:v>追加3場</x:v>
      </x:c>
      <x:c r="N54" s="12" t="n">
        <x:v>360.06666666666666</x:v>
      </x:c>
      <x:c r="O54" s="12" t="n">
        <x:v>40.516666666666666</x:v>
      </x:c>
    </x:row>
    <x:row r="55" ht="22" customHeight="1">
      <x:c r="A55" s="2" t="str">
        <x:v>C36</x:v>
      </x:c>
      <x:c r="B55" s="7" t="d">
        <x:v>2026-10-23T08:45:00.000Z</x:v>
      </x:c>
      <x:c r="C55" s="2" t="str">
        <x:v>デイ</x:v>
      </x:c>
      <x:c r="D55" s="25" t="n">
        <x:v>76618</x:v>
      </x:c>
      <x:c r="E55" s="25" t="n">
        <x:v>73384</x:v>
      </x:c>
      <x:c r="F55" s="25" t="n">
        <x:f>D55-E55</x:f>
        <x:v>3234</x:v>
      </x:c>
      <x:c r="G55" s="25" t="n">
        <x:f>SUMIFS($F$7:$F$56,$A$7:$A$56,A55,$B$7:$B$56,"&lt;="&amp;B55)</x:f>
        <x:v>2039002</x:v>
      </x:c>
      <x:c r="H55" s="25" t="n">
        <x:v>766</x:v>
      </x:c>
      <x:c r="I55" s="25" t="n">
        <x:v>4000</x:v>
      </x:c>
      <x:c r="J55" s="11" t="n">
        <x:v>7</x:v>
      </x:c>
      <x:c r="K55" s="11" t="n">
        <x:v>10</x:v>
      </x:c>
      <x:c r="L55" s="11" t="n">
        <x:v>5</x:v>
      </x:c>
      <x:c r="M55" s="13" t="str">
        <x:v>追加3場</x:v>
      </x:c>
      <x:c r="N55" s="12" t="n">
        <x:v>95.1</x:v>
      </x:c>
      <x:c r="O55" s="12" t="n">
        <x:v>228.95</x:v>
      </x:c>
    </x:row>
    <x:row r="56" ht="22" customHeight="1">
      <x:c r="A56" s="2" t="str">
        <x:v>C36</x:v>
      </x:c>
      <x:c r="B56" s="7" t="d">
        <x:v>2026-10-23T17:00:00.000Z</x:v>
      </x:c>
      <x:c r="C56" s="2" t="str">
        <x:v>ナイト</x:v>
      </x:c>
      <x:c r="D56" s="25" t="n">
        <x:v>11846</x:v>
      </x:c>
      <x:c r="E56" s="25" t="n">
        <x:v>55384</x:v>
      </x:c>
      <x:c r="F56" s="25" t="n">
        <x:f>D56-E56</x:f>
        <x:v>-43538</x:v>
      </x:c>
      <x:c r="G56" s="25" t="n">
        <x:f>SUMIFS($F$7:$F$56,$A$7:$A$56,A56,$B$7:$B$56,"&lt;="&amp;B56)</x:f>
        <x:v>1995464</x:v>
      </x:c>
      <x:c r="H56" s="25" t="n">
        <x:v>538</x:v>
      </x:c>
      <x:c r="I56" s="25" t="n">
        <x:v>-43000</x:v>
      </x:c>
      <x:c r="J56" s="11" t="n">
        <x:v>2</x:v>
      </x:c>
      <x:c r="K56" s="11" t="n">
        <x:v>7</x:v>
      </x:c>
      <x:c r="L56" s="11" t="n">
        <x:v>5</x:v>
      </x:c>
      <x:c r="M56" s="13" t="str">
        <x:v>追加3場</x:v>
      </x:c>
      <x:c r="N56" s="12" t="n">
        <x:v>360.03333333333336</x:v>
      </x:c>
      <x:c r="O56" s="12" t="n">
        <x:v>366.3</x:v>
      </x:c>
    </x:row>
  </x:sheetData>
  <x:conditionalFormatting sqref="D7:I56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61456cad4b4af5"/>
  </x:tableParts>
</x:worksheet>
</file>

<file path=xl/worksheets/sheet7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B5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昼基準：T06／夜基準：T04。既知47場：9/21～10/22デイ。追加3場：10/22ナイト～10/23ナイト。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追加なし。昼夜別の基準手法で運用。累計は日時順。出典：00140保存会計。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B5</x:v>
      </x:c>
      <x:c r="B7" s="7" t="d">
        <x:v>2026-09-21T08:45:00.000Z</x:v>
      </x:c>
      <x:c r="C7" s="2" t="str">
        <x:v>デイ</x:v>
      </x:c>
      <x:c r="D7" s="25" t="n">
        <x:v>0</x:v>
      </x:c>
      <x:c r="E7" s="25" t="n">
        <x:v>20418</x:v>
      </x:c>
      <x:c r="F7" s="25" t="n">
        <x:f>D7-E7</x:f>
        <x:v>-20418</x:v>
      </x:c>
      <x:c r="G7" s="25" t="n">
        <x:f>SUMIFS($F$7:$F$56,$A$7:$A$56,A7,$B$7:$B$56,"&lt;="&amp;B7)</x:f>
        <x:v>-20418</x:v>
      </x:c>
      <x:c r="H7" s="25" t="n">
        <x:v>418</x:v>
      </x:c>
      <x:c r="I7" s="25" t="n">
        <x:v>-20000</x:v>
      </x:c>
      <x:c r="J7" s="11" t="n">
        <x:v>1</x:v>
      </x:c>
      <x:c r="K7" s="11" t="n">
        <x:v>5</x:v>
      </x:c>
      <x:c r="L7" s="11" t="n">
        <x:v>5</x:v>
      </x:c>
      <x:c r="M7" s="13" t="str">
        <x:v>既知47場</x:v>
      </x:c>
      <x:c r="N7" s="12" t="n">
        <x:v>363.18333333333334</x:v>
      </x:c>
      <x:c r="O7" s="12" t="n">
        <x:v>9.033333333333333</x:v>
      </x:c>
    </x:row>
    <x:row r="8" ht="22" customHeight="1">
      <x:c r="A8" s="2" t="str">
        <x:v>B5</x:v>
      </x:c>
      <x:c r="B8" s="7" t="d">
        <x:v>2026-09-21T17:00:00.000Z</x:v>
      </x:c>
      <x:c r="C8" s="2" t="str">
        <x:v>ナイト</x:v>
      </x:c>
      <x:c r="D8" s="25" t="n">
        <x:v>7082</x:v>
      </x:c>
      <x:c r="E8" s="25" t="n">
        <x:v>0</x:v>
      </x:c>
      <x:c r="F8" s="25" t="n">
        <x:f>D8-E8</x:f>
        <x:v>7082</x:v>
      </x:c>
      <x:c r="G8" s="25" t="n">
        <x:f>SUMIFS($F$7:$F$56,$A$7:$A$56,A8,$B$7:$B$56,"&lt;="&amp;B8)</x:f>
        <x:v>-13336</x:v>
      </x:c>
      <x:c r="H8" s="25" t="n">
        <x:v>418</x:v>
      </x:c>
      <x:c r="I8" s="25" t="n">
        <x:v>7500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385.95</x:v>
      </x:c>
      <x:c r="O8" s="12" t="n">
        <x:v>8.5</x:v>
      </x:c>
    </x:row>
    <x:row r="9" ht="22" customHeight="1">
      <x:c r="A9" s="2" t="str">
        <x:v>B5</x:v>
      </x:c>
      <x:c r="B9" s="7" t="d">
        <x:v>2026-09-22T08:45:00.000Z</x:v>
      </x:c>
      <x:c r="C9" s="2" t="str">
        <x:v>デイ</x:v>
      </x:c>
      <x:c r="D9" s="25" t="n">
        <x:v>20584</x:v>
      </x:c>
      <x:c r="E9" s="25" t="n">
        <x:v>20418</x:v>
      </x:c>
      <x:c r="F9" s="25" t="n">
        <x:f>D9-E9</x:f>
        <x:v>166</x:v>
      </x:c>
      <x:c r="G9" s="25" t="n">
        <x:f>SUMIFS($F$7:$F$56,$A$7:$A$56,A9,$B$7:$B$56,"&lt;="&amp;B9)</x:f>
        <x:v>-13170</x:v>
      </x:c>
      <x:c r="H9" s="25" t="n">
        <x:v>834</x:v>
      </x:c>
      <x:c r="I9" s="25" t="n">
        <x:v>1000</x:v>
      </x:c>
      <x:c r="J9" s="11" t="n">
        <x:v>2</x:v>
      </x:c>
      <x:c r="K9" s="11" t="n">
        <x:v>10</x:v>
      </x:c>
      <x:c r="L9" s="11" t="n">
        <x:v>5</x:v>
      </x:c>
      <x:c r="M9" s="13" t="str">
        <x:v>既知47場</x:v>
      </x:c>
      <x:c r="N9" s="12" t="n">
        <x:v>100.41666666666667</x:v>
      </x:c>
      <x:c r="O9" s="12" t="n">
        <x:v>18.416666666666668</x:v>
      </x:c>
    </x:row>
    <x:row r="10" ht="22" customHeight="1">
      <x:c r="A10" s="2" t="str">
        <x:v>B5</x:v>
      </x:c>
      <x:c r="B10" s="7" t="d">
        <x:v>2026-09-22T17:00:00.000Z</x:v>
      </x:c>
      <x:c r="C10" s="2" t="str">
        <x:v>ナイト</x:v>
      </x:c>
      <x:c r="D10" s="25" t="n">
        <x:v>0</x:v>
      </x:c>
      <x:c r="E10" s="25" t="n">
        <x:v>53754</x:v>
      </x:c>
      <x:c r="F10" s="25" t="n">
        <x:f>D10-E10</x:f>
        <x:v>-53754</x:v>
      </x:c>
      <x:c r="G10" s="25" t="n">
        <x:f>SUMIFS($F$7:$F$56,$A$7:$A$56,A10,$B$7:$B$56,"&lt;="&amp;B10)</x:f>
        <x:v>-66924</x:v>
      </x:c>
      <x:c r="H10" s="25" t="n">
        <x:v>1254</x:v>
      </x:c>
      <x:c r="I10" s="25" t="n">
        <x:v>-52500</x:v>
      </x:c>
      <x:c r="J10" s="11" t="n">
        <x:v>3</x:v>
      </x:c>
      <x:c r="K10" s="11" t="n">
        <x:v>15</x:v>
      </x:c>
      <x:c r="L10" s="11" t="n">
        <x:v>5</x:v>
      </x:c>
      <x:c r="M10" s="13" t="str">
        <x:v>既知47場</x:v>
      </x:c>
      <x:c r="N10" s="12" t="n">
        <x:v>366.26666666666665</x:v>
      </x:c>
      <x:c r="O10" s="12" t="n">
        <x:v>35.95</x:v>
      </x:c>
    </x:row>
    <x:row r="11" ht="22" customHeight="1">
      <x:c r="A11" s="2" t="str">
        <x:v>B5</x:v>
      </x:c>
      <x:c r="B11" s="7" t="d">
        <x:v>2026-09-23T08:45:00.000Z</x:v>
      </x:c>
      <x:c r="C11" s="2" t="str">
        <x:v>デイ</x:v>
      </x:c>
      <x:c r="D11" s="25" t="n">
        <x:v>77584</x:v>
      </x:c>
      <x:c r="E11" s="25" t="n">
        <x:v>0</x:v>
      </x:c>
      <x:c r="F11" s="25" t="n">
        <x:f>D11-E11</x:f>
        <x:v>77584</x:v>
      </x:c>
      <x:c r="G11" s="25" t="n">
        <x:f>SUMIFS($F$7:$F$56,$A$7:$A$56,A11,$B$7:$B$56,"&lt;="&amp;B11)</x:f>
        <x:v>10660</x:v>
      </x:c>
      <x:c r="H11" s="25" t="n">
        <x:v>416</x:v>
      </x:c>
      <x:c r="I11" s="25" t="n">
        <x:v>78000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68.45</x:v>
      </x:c>
      <x:c r="O11" s="12" t="n">
        <x:v>158.21666666666667</x:v>
      </x:c>
    </x:row>
    <x:row r="12" ht="22" customHeight="1">
      <x:c r="A12" s="2" t="str">
        <x:v>B5</x:v>
      </x:c>
      <x:c r="B12" s="7" t="d">
        <x:v>2026-09-23T17:00:00.000Z</x:v>
      </x:c>
      <x:c r="C12" s="2" t="str">
        <x:v>ナイト</x:v>
      </x:c>
      <x:c r="D12" s="25" t="n">
        <x:v>29164</x:v>
      </x:c>
      <x:c r="E12" s="25" t="n">
        <x:v>0</x:v>
      </x:c>
      <x:c r="F12" s="25" t="n">
        <x:f>D12-E12</x:f>
        <x:v>29164</x:v>
      </x:c>
      <x:c r="G12" s="25" t="n">
        <x:f>SUMIFS($F$7:$F$56,$A$7:$A$56,A12,$B$7:$B$56,"&lt;="&amp;B12)</x:f>
        <x:v>39824</x:v>
      </x:c>
      <x:c r="H12" s="25" t="n">
        <x:v>836</x:v>
      </x:c>
      <x:c r="I12" s="25" t="n">
        <x:v>30000</x:v>
      </x:c>
      <x:c r="J12" s="11" t="n">
        <x:v>2</x:v>
      </x:c>
      <x:c r="K12" s="11" t="n">
        <x:v>10</x:v>
      </x:c>
      <x:c r="L12" s="11" t="n">
        <x:v>5</x:v>
      </x:c>
      <x:c r="M12" s="13" t="str">
        <x:v>既知47場</x:v>
      </x:c>
      <x:c r="N12" s="12" t="n">
        <x:v>450.01666666666665</x:v>
      </x:c>
      <x:c r="O12" s="12" t="n">
        <x:v>52.3</x:v>
      </x:c>
    </x:row>
    <x:row r="13" ht="22" customHeight="1">
      <x:c r="A13" s="2" t="str">
        <x:v>B5</x:v>
      </x:c>
      <x:c r="B13" s="7" t="d">
        <x:v>2026-09-24T08:45:00.000Z</x:v>
      </x:c>
      <x:c r="C13" s="2" t="str">
        <x:v>デイ</x:v>
      </x:c>
      <x:c r="D13" s="25" t="n">
        <x:v>79583</x:v>
      </x:c>
      <x:c r="E13" s="25" t="n">
        <x:v>0</x:v>
      </x:c>
      <x:c r="F13" s="25" t="n">
        <x:f>D13-E13</x:f>
        <x:v>79583</x:v>
      </x:c>
      <x:c r="G13" s="25" t="n">
        <x:f>SUMIFS($F$7:$F$56,$A$7:$A$56,A13,$B$7:$B$56,"&lt;="&amp;B13)</x:f>
        <x:v>119407</x:v>
      </x:c>
      <x:c r="H13" s="25" t="n">
        <x:v>417</x:v>
      </x:c>
      <x:c r="I13" s="25" t="n">
        <x:v>80000</x:v>
      </x:c>
      <x:c r="J13" s="11" t="n">
        <x:v>1</x:v>
      </x:c>
      <x:c r="K13" s="11" t="n">
        <x:v>5</x:v>
      </x:c>
      <x:c r="L13" s="11" t="n">
        <x:v>5</x:v>
      </x:c>
      <x:c r="M13" s="13" t="str">
        <x:v>既知47場</x:v>
      </x:c>
      <x:c r="N13" s="12" t="n">
        <x:v>149.83333333333334</x:v>
      </x:c>
      <x:c r="O13" s="12" t="n">
        <x:v>256.46666666666664</x:v>
      </x:c>
    </x:row>
    <x:row r="14" ht="22" customHeight="1">
      <x:c r="A14" s="2" t="str">
        <x:v>B5</x:v>
      </x:c>
      <x:c r="B14" s="7" t="d">
        <x:v>2026-09-24T17:00:00.000Z</x:v>
      </x:c>
      <x:c r="C14" s="2" t="str">
        <x:v>ナイト</x:v>
      </x:c>
      <x:c r="D14" s="25" t="n">
        <x:v>32082</x:v>
      </x:c>
      <x:c r="E14" s="25" t="n">
        <x:v>0</x:v>
      </x:c>
      <x:c r="F14" s="25" t="n">
        <x:f>D14-E14</x:f>
        <x:v>32082</x:v>
      </x:c>
      <x:c r="G14" s="25" t="n">
        <x:f>SUMIFS($F$7:$F$56,$A$7:$A$56,A14,$B$7:$B$56,"&lt;="&amp;B14)</x:f>
        <x:v>151489</x:v>
      </x:c>
      <x:c r="H14" s="25" t="n">
        <x:v>418</x:v>
      </x:c>
      <x:c r="I14" s="25" t="n">
        <x:v>32500</x:v>
      </x:c>
      <x:c r="J14" s="11" t="n">
        <x:v>1</x:v>
      </x:c>
      <x:c r="K14" s="11" t="n">
        <x:v>5</x:v>
      </x:c>
      <x:c r="L14" s="11" t="n">
        <x:v>5</x:v>
      </x:c>
      <x:c r="M14" s="13" t="str">
        <x:v>既知47場</x:v>
      </x:c>
      <x:c r="N14" s="12" t="n">
        <x:v>417.46666666666664</x:v>
      </x:c>
      <x:c r="O14" s="12" t="n">
        <x:v>40.983333333333334</x:v>
      </x:c>
    </x:row>
    <x:row r="15" ht="22" customHeight="1">
      <x:c r="A15" s="2" t="str">
        <x:v>B5</x:v>
      </x:c>
      <x:c r="B15" s="7" t="d">
        <x:v>2026-09-25T08:45:00.000Z</x:v>
      </x:c>
      <x:c r="C15" s="2" t="str">
        <x:v>デイ</x:v>
      </x:c>
      <x:c r="D15" s="25" t="n">
        <x:v>80583</x:v>
      </x:c>
      <x:c r="E15" s="25" t="n">
        <x:v>0</x:v>
      </x:c>
      <x:c r="F15" s="25" t="n">
        <x:f>D15-E15</x:f>
        <x:v>80583</x:v>
      </x:c>
      <x:c r="G15" s="25" t="n">
        <x:f>SUMIFS($F$7:$F$56,$A$7:$A$56,A15,$B$7:$B$56,"&lt;="&amp;B15)</x:f>
        <x:v>232072</x:v>
      </x:c>
      <x:c r="H15" s="25" t="n">
        <x:v>417</x:v>
      </x:c>
      <x:c r="I15" s="25" t="n">
        <x:v>81000</x:v>
      </x:c>
      <x:c r="J15" s="11" t="n">
        <x:v>1</x:v>
      </x:c>
      <x:c r="K15" s="11" t="n">
        <x:v>5</x:v>
      </x:c>
      <x:c r="L15" s="11" t="n">
        <x:v>5</x:v>
      </x:c>
      <x:c r="M15" s="13" t="str">
        <x:v>既知47場</x:v>
      </x:c>
      <x:c r="N15" s="12" t="n">
        <x:v>86.21666666666667</x:v>
      </x:c>
      <x:c r="O15" s="12" t="n">
        <x:v>323.8</x:v>
      </x:c>
    </x:row>
    <x:row r="16" ht="22" customHeight="1">
      <x:c r="A16" s="2" t="str">
        <x:v>B5</x:v>
      </x:c>
      <x:c r="B16" s="7" t="d">
        <x:v>2026-09-25T17:00:00.000Z</x:v>
      </x:c>
      <x:c r="C16" s="2" t="str">
        <x:v>ナイト</x:v>
      </x:c>
      <x:c r="D16" s="25" t="n">
        <x:v>24582</x:v>
      </x:c>
      <x:c r="E16" s="25" t="n">
        <x:v>20418</x:v>
      </x:c>
      <x:c r="F16" s="25" t="n">
        <x:f>D16-E16</x:f>
        <x:v>4164</x:v>
      </x:c>
      <x:c r="G16" s="25" t="n">
        <x:f>SUMIFS($F$7:$F$56,$A$7:$A$56,A16,$B$7:$B$56,"&lt;="&amp;B16)</x:f>
        <x:v>236236</x:v>
      </x:c>
      <x:c r="H16" s="25" t="n">
        <x:v>836</x:v>
      </x:c>
      <x:c r="I16" s="25" t="n">
        <x:v>5000</x:v>
      </x:c>
      <x:c r="J16" s="11" t="n">
        <x:v>2</x:v>
      </x:c>
      <x:c r="K16" s="11" t="n">
        <x:v>10</x:v>
      </x:c>
      <x:c r="L16" s="11" t="n">
        <x:v>5</x:v>
      </x:c>
      <x:c r="M16" s="13" t="str">
        <x:v>既知47場</x:v>
      </x:c>
      <x:c r="N16" s="12" t="n">
        <x:v>450</x:v>
      </x:c>
      <x:c r="O16" s="12" t="n">
        <x:v>8.316666666666666</x:v>
      </x:c>
    </x:row>
    <x:row r="17" ht="22" customHeight="1">
      <x:c r="A17" s="2" t="str">
        <x:v>B5</x:v>
      </x:c>
      <x:c r="B17" s="7" t="d">
        <x:v>2026-09-28T08:45:00.000Z</x:v>
      </x:c>
      <x:c r="C17" s="2" t="str">
        <x:v>デイ</x:v>
      </x:c>
      <x:c r="D17" s="25" t="n">
        <x:v>129083</x:v>
      </x:c>
      <x:c r="E17" s="25" t="n">
        <x:v>35418</x:v>
      </x:c>
      <x:c r="F17" s="25" t="n">
        <x:f>D17-E17</x:f>
        <x:v>93665</x:v>
      </x:c>
      <x:c r="G17" s="25" t="n">
        <x:f>SUMIFS($F$7:$F$56,$A$7:$A$56,A17,$B$7:$B$56,"&lt;="&amp;B17)</x:f>
        <x:v>329901</x:v>
      </x:c>
      <x:c r="H17" s="25" t="n">
        <x:v>835</x:v>
      </x:c>
      <x:c r="I17" s="25" t="n">
        <x:v>94500</x:v>
      </x:c>
      <x:c r="J17" s="11" t="n">
        <x:v>2</x:v>
      </x:c>
      <x:c r="K17" s="11" t="n">
        <x:v>10</x:v>
      </x:c>
      <x:c r="L17" s="11" t="n">
        <x:v>5</x:v>
      </x:c>
      <x:c r="M17" s="13" t="str">
        <x:v>既知47場</x:v>
      </x:c>
      <x:c r="N17" s="12" t="n">
        <x:v>66.76666666666667</x:v>
      </x:c>
      <x:c r="O17" s="12" t="n">
        <x:v>325.05</x:v>
      </x:c>
    </x:row>
    <x:row r="18" ht="22" customHeight="1">
      <x:c r="A18" s="2" t="str">
        <x:v>B5</x:v>
      </x:c>
      <x:c r="B18" s="7" t="d">
        <x:v>2026-09-28T17:00:00.000Z</x:v>
      </x:c>
      <x:c r="C18" s="2" t="str">
        <x:v>ナイト</x:v>
      </x:c>
      <x:c r="D18" s="25" t="n">
        <x:v>24582</x:v>
      </x:c>
      <x:c r="E18" s="25" t="n">
        <x:v>0</x:v>
      </x:c>
      <x:c r="F18" s="25" t="n">
        <x:f>D18-E18</x:f>
        <x:v>24582</x:v>
      </x:c>
      <x:c r="G18" s="25" t="n">
        <x:f>SUMIFS($F$7:$F$56,$A$7:$A$56,A18,$B$7:$B$56,"&lt;="&amp;B18)</x:f>
        <x:v>354483</x:v>
      </x:c>
      <x:c r="H18" s="25" t="n">
        <x:v>418</x:v>
      </x:c>
      <x:c r="I18" s="25" t="n">
        <x:v>25000</x:v>
      </x:c>
      <x:c r="J18" s="11" t="n">
        <x:v>1</x:v>
      </x:c>
      <x:c r="K18" s="11" t="n">
        <x:v>5</x:v>
      </x:c>
      <x:c r="L18" s="11" t="n">
        <x:v>5</x:v>
      </x:c>
      <x:c r="M18" s="13" t="str">
        <x:v>既知47場</x:v>
      </x:c>
      <x:c r="N18" s="12" t="n">
        <x:v>405.1333333333333</x:v>
      </x:c>
      <x:c r="O18" s="12" t="n">
        <x:v>12.033333333333333</x:v>
      </x:c>
    </x:row>
    <x:row r="19" ht="22" customHeight="1">
      <x:c r="A19" s="2" t="str">
        <x:v>B5</x:v>
      </x:c>
      <x:c r="B19" s="7" t="d">
        <x:v>2026-09-29T08:45:00.000Z</x:v>
      </x:c>
      <x:c r="C19" s="2" t="str">
        <x:v>デイ</x:v>
      </x:c>
      <x:c r="D19" s="25" t="n">
        <x:v>12583</x:v>
      </x:c>
      <x:c r="E19" s="25" t="n">
        <x:v>0</x:v>
      </x:c>
      <x:c r="F19" s="25" t="n">
        <x:f>D19-E19</x:f>
        <x:v>12583</x:v>
      </x:c>
      <x:c r="G19" s="25" t="n">
        <x:f>SUMIFS($F$7:$F$56,$A$7:$A$56,A19,$B$7:$B$56,"&lt;="&amp;B19)</x:f>
        <x:v>367066</x:v>
      </x:c>
      <x:c r="H19" s="25" t="n">
        <x:v>417</x:v>
      </x:c>
      <x:c r="I19" s="25" t="n">
        <x:v>13000</x:v>
      </x:c>
      <x:c r="J19" s="11" t="n">
        <x:v>1</x:v>
      </x:c>
      <x:c r="K19" s="11" t="n">
        <x:v>5</x:v>
      </x:c>
      <x:c r="L19" s="11" t="n">
        <x:v>5</x:v>
      </x:c>
      <x:c r="M19" s="13" t="str">
        <x:v>既知47場</x:v>
      </x:c>
      <x:c r="N19" s="12" t="n">
        <x:v>70.43333333333334</x:v>
      </x:c>
      <x:c r="O19" s="12" t="n">
        <x:v>334.48333333333335</x:v>
      </x:c>
    </x:row>
    <x:row r="20" ht="22" customHeight="1">
      <x:c r="A20" s="2" t="str">
        <x:v>B5</x:v>
      </x:c>
      <x:c r="B20" s="7" t="d">
        <x:v>2026-09-29T17:00:00.000Z</x:v>
      </x:c>
      <x:c r="C20" s="2" t="str">
        <x:v>ナイト</x:v>
      </x:c>
      <x:c r="D20" s="25" t="n">
        <x:v>19582</x:v>
      </x:c>
      <x:c r="E20" s="25" t="n">
        <x:v>0</x:v>
      </x:c>
      <x:c r="F20" s="25" t="n">
        <x:f>D20-E20</x:f>
        <x:v>19582</x:v>
      </x:c>
      <x:c r="G20" s="25" t="n">
        <x:f>SUMIFS($F$7:$F$56,$A$7:$A$56,A20,$B$7:$B$56,"&lt;="&amp;B20)</x:f>
        <x:v>386648</x:v>
      </x:c>
      <x:c r="H20" s="25" t="n">
        <x:v>418</x:v>
      </x:c>
      <x:c r="I20" s="25" t="n">
        <x:v>20000</x:v>
      </x:c>
      <x:c r="J20" s="11" t="n">
        <x:v>1</x:v>
      </x:c>
      <x:c r="K20" s="11" t="n">
        <x:v>5</x:v>
      </x:c>
      <x:c r="L20" s="11" t="n">
        <x:v>5</x:v>
      </x:c>
      <x:c r="M20" s="13" t="str">
        <x:v>既知47場</x:v>
      </x:c>
      <x:c r="N20" s="12" t="n">
        <x:v>428.1666666666667</x:v>
      </x:c>
      <x:c r="O20" s="12" t="n">
        <x:v>21.2</x:v>
      </x:c>
    </x:row>
    <x:row r="21" ht="22" customHeight="1">
      <x:c r="A21" s="2" t="str">
        <x:v>B5</x:v>
      </x:c>
      <x:c r="B21" s="7" t="d">
        <x:v>2026-09-30T08:45:00.000Z</x:v>
      </x:c>
      <x:c r="C21" s="2" t="str">
        <x:v>デイ</x:v>
      </x:c>
      <x:c r="D21" s="25" t="n">
        <x:v>79083</x:v>
      </x:c>
      <x:c r="E21" s="25" t="n">
        <x:v>65836</x:v>
      </x:c>
      <x:c r="F21" s="25" t="n">
        <x:f>D21-E21</x:f>
        <x:v>13247</x:v>
      </x:c>
      <x:c r="G21" s="25" t="n">
        <x:f>SUMIFS($F$7:$F$56,$A$7:$A$56,A21,$B$7:$B$56,"&lt;="&amp;B21)</x:f>
        <x:v>399895</x:v>
      </x:c>
      <x:c r="H21" s="25" t="n">
        <x:v>1253</x:v>
      </x:c>
      <x:c r="I21" s="25" t="n">
        <x:v>14500</x:v>
      </x:c>
      <x:c r="J21" s="11" t="n">
        <x:v>3</x:v>
      </x:c>
      <x:c r="K21" s="11" t="n">
        <x:v>15</x:v>
      </x:c>
      <x:c r="L21" s="11" t="n">
        <x:v>5</x:v>
      </x:c>
      <x:c r="M21" s="13" t="str">
        <x:v>既知47場</x:v>
      </x:c>
      <x:c r="N21" s="12" t="n">
        <x:v>70.08333333333333</x:v>
      </x:c>
      <x:c r="O21" s="12" t="n">
        <x:v>119.16666666666667</x:v>
      </x:c>
    </x:row>
    <x:row r="22" ht="22" customHeight="1">
      <x:c r="A22" s="2" t="str">
        <x:v>B5</x:v>
      </x:c>
      <x:c r="B22" s="7" t="d">
        <x:v>2026-09-30T17:00:00.000Z</x:v>
      </x:c>
      <x:c r="C22" s="2" t="str">
        <x:v>ナイト</x:v>
      </x:c>
      <x:c r="D22" s="25" t="n">
        <x:v>21664</x:v>
      </x:c>
      <x:c r="E22" s="25" t="n">
        <x:v>15418</x:v>
      </x:c>
      <x:c r="F22" s="25" t="n">
        <x:f>D22-E22</x:f>
        <x:v>6246</x:v>
      </x:c>
      <x:c r="G22" s="25" t="n">
        <x:f>SUMIFS($F$7:$F$56,$A$7:$A$56,A22,$B$7:$B$56,"&lt;="&amp;B22)</x:f>
        <x:v>406141</x:v>
      </x:c>
      <x:c r="H22" s="25" t="n">
        <x:v>1254</x:v>
      </x:c>
      <x:c r="I22" s="25" t="n">
        <x:v>7500</x:v>
      </x:c>
      <x:c r="J22" s="11" t="n">
        <x:v>3</x:v>
      </x:c>
      <x:c r="K22" s="11" t="n">
        <x:v>15</x:v>
      </x:c>
      <x:c r="L22" s="11" t="n">
        <x:v>5</x:v>
      </x:c>
      <x:c r="M22" s="13" t="str">
        <x:v>既知47場</x:v>
      </x:c>
      <x:c r="N22" s="12" t="n">
        <x:v>368.18333333333334</x:v>
      </x:c>
      <x:c r="O22" s="12" t="n">
        <x:v>56.5</x:v>
      </x:c>
    </x:row>
    <x:row r="23" ht="22" customHeight="1">
      <x:c r="A23" s="2" t="str">
        <x:v>B5</x:v>
      </x:c>
      <x:c r="B23" s="7" t="d">
        <x:v>2026-10-01T08:45:00.000Z</x:v>
      </x:c>
      <x:c r="C23" s="2" t="str">
        <x:v>デイ</x:v>
      </x:c>
      <x:c r="D23" s="25" t="n">
        <x:v>94084</x:v>
      </x:c>
      <x:c r="E23" s="25" t="n">
        <x:v>0</x:v>
      </x:c>
      <x:c r="F23" s="25" t="n">
        <x:f>D23-E23</x:f>
        <x:v>94084</x:v>
      </x:c>
      <x:c r="G23" s="25" t="n">
        <x:f>SUMIFS($F$7:$F$56,$A$7:$A$56,A23,$B$7:$B$56,"&lt;="&amp;B23)</x:f>
        <x:v>500225</x:v>
      </x:c>
      <x:c r="H23" s="25" t="n">
        <x:v>416</x:v>
      </x:c>
      <x:c r="I23" s="25" t="n">
        <x:v>94500</x:v>
      </x:c>
      <x:c r="J23" s="11" t="n">
        <x:v>1</x:v>
      </x:c>
      <x:c r="K23" s="11" t="n">
        <x:v>5</x:v>
      </x:c>
      <x:c r="L23" s="11" t="n">
        <x:v>5</x:v>
      </x:c>
      <x:c r="M23" s="13" t="str">
        <x:v>既知47場</x:v>
      </x:c>
      <x:c r="N23" s="12" t="n">
        <x:v>87.7</x:v>
      </x:c>
      <x:c r="O23" s="12" t="n">
        <x:v>211.43333333333334</x:v>
      </x:c>
    </x:row>
    <x:row r="24" ht="22" customHeight="1">
      <x:c r="A24" s="2" t="str">
        <x:v>B5</x:v>
      </x:c>
      <x:c r="B24" s="7" t="d">
        <x:v>2026-10-01T17:00:00.000Z</x:v>
      </x:c>
      <x:c r="C24" s="2" t="str">
        <x:v>ナイト</x:v>
      </x:c>
      <x:c r="D24" s="25" t="n">
        <x:v>66246</x:v>
      </x:c>
      <x:c r="E24" s="25" t="n">
        <x:v>45836</x:v>
      </x:c>
      <x:c r="F24" s="25" t="n">
        <x:f>D24-E24</x:f>
        <x:v>20410</x:v>
      </x:c>
      <x:c r="G24" s="25" t="n">
        <x:f>SUMIFS($F$7:$F$56,$A$7:$A$56,A24,$B$7:$B$56,"&lt;="&amp;B24)</x:f>
        <x:v>520635</x:v>
      </x:c>
      <x:c r="H24" s="25" t="n">
        <x:v>2090</x:v>
      </x:c>
      <x:c r="I24" s="25" t="n">
        <x:v>22500</x:v>
      </x:c>
      <x:c r="J24" s="11" t="n">
        <x:v>5</x:v>
      </x:c>
      <x:c r="K24" s="11" t="n">
        <x:v>25</x:v>
      </x:c>
      <x:c r="L24" s="11" t="n">
        <x:v>5</x:v>
      </x:c>
      <x:c r="M24" s="13" t="str">
        <x:v>既知47場</x:v>
      </x:c>
      <x:c r="N24" s="12" t="n">
        <x:v>382.01666666666665</x:v>
      </x:c>
      <x:c r="O24" s="12" t="n">
        <x:v>96.8</x:v>
      </x:c>
    </x:row>
    <x:row r="25" ht="22" customHeight="1">
      <x:c r="A25" s="2" t="str">
        <x:v>B5</x:v>
      </x:c>
      <x:c r="B25" s="7" t="d">
        <x:v>2026-10-02T08:45:00.000Z</x:v>
      </x:c>
      <x:c r="C25" s="2" t="str">
        <x:v>デイ</x:v>
      </x:c>
      <x:c r="D25" s="25" t="n">
        <x:v>0</x:v>
      </x:c>
      <x:c r="E25" s="25" t="n">
        <x:v>53336</x:v>
      </x:c>
      <x:c r="F25" s="25" t="n">
        <x:f>D25-E25</x:f>
        <x:v>-53336</x:v>
      </x:c>
      <x:c r="G25" s="25" t="n">
        <x:f>SUMIFS($F$7:$F$56,$A$7:$A$56,A25,$B$7:$B$56,"&lt;="&amp;B25)</x:f>
        <x:v>467299</x:v>
      </x:c>
      <x:c r="H25" s="25" t="n">
        <x:v>836</x:v>
      </x:c>
      <x:c r="I25" s="25" t="n">
        <x:v>-52500</x:v>
      </x:c>
      <x:c r="J25" s="11" t="n">
        <x:v>2</x:v>
      </x:c>
      <x:c r="K25" s="11" t="n">
        <x:v>10</x:v>
      </x:c>
      <x:c r="L25" s="11" t="n">
        <x:v>5</x:v>
      </x:c>
      <x:c r="M25" s="13" t="str">
        <x:v>既知47場</x:v>
      </x:c>
      <x:c r="N25" s="12" t="n">
        <x:v>72.7</x:v>
      </x:c>
      <x:c r="O25" s="12" t="n">
        <x:v>175.25</x:v>
      </x:c>
    </x:row>
    <x:row r="26" ht="22" customHeight="1">
      <x:c r="A26" s="2" t="str">
        <x:v>B5</x:v>
      </x:c>
      <x:c r="B26" s="7" t="d">
        <x:v>2026-10-02T17:00:00.000Z</x:v>
      </x:c>
      <x:c r="C26" s="2" t="str">
        <x:v>ナイト</x:v>
      </x:c>
      <x:c r="D26" s="25" t="n">
        <x:v>97082</x:v>
      </x:c>
      <x:c r="E26" s="25" t="n">
        <x:v>43336</x:v>
      </x:c>
      <x:c r="F26" s="25" t="n">
        <x:f>D26-E26</x:f>
        <x:v>53746</x:v>
      </x:c>
      <x:c r="G26" s="25" t="n">
        <x:f>SUMIFS($F$7:$F$56,$A$7:$A$56,A26,$B$7:$B$56,"&lt;="&amp;B26)</x:f>
        <x:v>521045</x:v>
      </x:c>
      <x:c r="H26" s="25" t="n">
        <x:v>1254</x:v>
      </x:c>
      <x:c r="I26" s="25" t="n">
        <x:v>55000</x:v>
      </x:c>
      <x:c r="J26" s="11" t="n">
        <x:v>3</x:v>
      </x:c>
      <x:c r="K26" s="11" t="n">
        <x:v>15</x:v>
      </x:c>
      <x:c r="L26" s="11" t="n">
        <x:v>5</x:v>
      </x:c>
      <x:c r="M26" s="13" t="str">
        <x:v>既知47場</x:v>
      </x:c>
      <x:c r="N26" s="12" t="n">
        <x:v>371.03333333333336</x:v>
      </x:c>
      <x:c r="O26" s="12" t="n">
        <x:v>60.8</x:v>
      </x:c>
    </x:row>
    <x:row r="27" ht="22" customHeight="1">
      <x:c r="A27" s="2" t="str">
        <x:v>B5</x:v>
      </x:c>
      <x:c r="B27" s="7" t="d">
        <x:v>2026-10-05T08:45:00.000Z</x:v>
      </x:c>
      <x:c r="C27" s="2" t="str">
        <x:v>デイ</x:v>
      </x:c>
      <x:c r="D27" s="25" t="n">
        <x:v>25583</x:v>
      </x:c>
      <x:c r="E27" s="25" t="n">
        <x:v>81672</x:v>
      </x:c>
      <x:c r="F27" s="25" t="n">
        <x:f>D27-E27</x:f>
        <x:v>-56089</x:v>
      </x:c>
      <x:c r="G27" s="25" t="n">
        <x:f>SUMIFS($F$7:$F$56,$A$7:$A$56,A27,$B$7:$B$56,"&lt;="&amp;B27)</x:f>
        <x:v>464956</x:v>
      </x:c>
      <x:c r="H27" s="25" t="n">
        <x:v>2089</x:v>
      </x:c>
      <x:c r="I27" s="25" t="n">
        <x:v>-54000</x:v>
      </x:c>
      <x:c r="J27" s="11" t="n">
        <x:v>5</x:v>
      </x:c>
      <x:c r="K27" s="11" t="n">
        <x:v>25</x:v>
      </x:c>
      <x:c r="L27" s="11" t="n">
        <x:v>5</x:v>
      </x:c>
      <x:c r="M27" s="13" t="str">
        <x:v>既知47場</x:v>
      </x:c>
      <x:c r="N27" s="12" t="n">
        <x:v>106</x:v>
      </x:c>
      <x:c r="O27" s="12" t="n">
        <x:v>81.85</x:v>
      </x:c>
    </x:row>
    <x:row r="28" ht="22" customHeight="1">
      <x:c r="A28" s="2" t="str">
        <x:v>B5</x:v>
      </x:c>
      <x:c r="B28" s="7" t="d">
        <x:v>2026-10-05T17:00:00.000Z</x:v>
      </x:c>
      <x:c r="C28" s="2" t="str">
        <x:v>ナイト</x:v>
      </x:c>
      <x:c r="D28" s="25" t="n">
        <x:v>0</x:v>
      </x:c>
      <x:c r="E28" s="25" t="n">
        <x:v>53754</x:v>
      </x:c>
      <x:c r="F28" s="25" t="n">
        <x:f>D28-E28</x:f>
        <x:v>-53754</x:v>
      </x:c>
      <x:c r="G28" s="25" t="n">
        <x:f>SUMIFS($F$7:$F$56,$A$7:$A$56,A28,$B$7:$B$56,"&lt;="&amp;B28)</x:f>
        <x:v>411202</x:v>
      </x:c>
      <x:c r="H28" s="25" t="n">
        <x:v>1254</x:v>
      </x:c>
      <x:c r="I28" s="25" t="n">
        <x:v>-52500</x:v>
      </x:c>
      <x:c r="J28" s="11" t="n">
        <x:v>3</x:v>
      </x:c>
      <x:c r="K28" s="11" t="n">
        <x:v>15</x:v>
      </x:c>
      <x:c r="L28" s="11" t="n">
        <x:v>5</x:v>
      </x:c>
      <x:c r="M28" s="13" t="str">
        <x:v>既知47場</x:v>
      </x:c>
      <x:c r="N28" s="12" t="n">
        <x:v>371.4</x:v>
      </x:c>
      <x:c r="O28" s="12" t="n">
        <x:v>76.26666666666667</x:v>
      </x:c>
    </x:row>
    <x:row r="29" ht="22" customHeight="1">
      <x:c r="A29" s="2" t="str">
        <x:v>B5</x:v>
      </x:c>
      <x:c r="B29" s="7" t="d">
        <x:v>2026-10-06T08:45:00.000Z</x:v>
      </x:c>
      <x:c r="C29" s="2" t="str">
        <x:v>デイ</x:v>
      </x:c>
      <x:c r="D29" s="25" t="n">
        <x:v>0</x:v>
      </x:c>
      <x:c r="E29" s="25" t="n">
        <x:v>12918</x:v>
      </x:c>
      <x:c r="F29" s="25" t="n">
        <x:f>D29-E29</x:f>
        <x:v>-12918</x:v>
      </x:c>
      <x:c r="G29" s="25" t="n">
        <x:f>SUMIFS($F$7:$F$56,$A$7:$A$56,A29,$B$7:$B$56,"&lt;="&amp;B29)</x:f>
        <x:v>398284</x:v>
      </x:c>
      <x:c r="H29" s="25" t="n">
        <x:v>418</x:v>
      </x:c>
      <x:c r="I29" s="25" t="n">
        <x:v>-12500</x:v>
      </x:c>
      <x:c r="J29" s="11" t="n">
        <x:v>1</x:v>
      </x:c>
      <x:c r="K29" s="11" t="n">
        <x:v>5</x:v>
      </x:c>
      <x:c r="L29" s="11" t="n">
        <x:v>5</x:v>
      </x:c>
      <x:c r="M29" s="13" t="str">
        <x:v>既知47場</x:v>
      </x:c>
      <x:c r="N29" s="12" t="n">
        <x:v>81.3</x:v>
      </x:c>
      <x:c r="O29" s="12" t="n">
        <x:v>15.183333333333334</x:v>
      </x:c>
    </x:row>
    <x:row r="30" ht="22" customHeight="1">
      <x:c r="A30" s="2" t="str">
        <x:v>B5</x:v>
      </x:c>
      <x:c r="B30" s="7" t="d">
        <x:v>2026-10-06T17:00:00.000Z</x:v>
      </x:c>
      <x:c r="C30" s="2" t="str">
        <x:v>ナイト</x:v>
      </x:c>
      <x:c r="D30" s="25" t="n">
        <x:v>0</x:v>
      </x:c>
      <x:c r="E30" s="25" t="n">
        <x:v>40836</x:v>
      </x:c>
      <x:c r="F30" s="25" t="n">
        <x:f>D30-E30</x:f>
        <x:v>-40836</x:v>
      </x:c>
      <x:c r="G30" s="25" t="n">
        <x:f>SUMIFS($F$7:$F$56,$A$7:$A$56,A30,$B$7:$B$56,"&lt;="&amp;B30)</x:f>
        <x:v>357448</x:v>
      </x:c>
      <x:c r="H30" s="25" t="n">
        <x:v>836</x:v>
      </x:c>
      <x:c r="I30" s="25" t="n">
        <x:v>-40000</x:v>
      </x:c>
      <x:c r="J30" s="11" t="n">
        <x:v>2</x:v>
      </x:c>
      <x:c r="K30" s="11" t="n">
        <x:v>10</x:v>
      </x:c>
      <x:c r="L30" s="11" t="n">
        <x:v>5</x:v>
      </x:c>
      <x:c r="M30" s="13" t="str">
        <x:v>既知47場</x:v>
      </x:c>
      <x:c r="N30" s="12" t="n">
        <x:v>367.5</x:v>
      </x:c>
      <x:c r="O30" s="12" t="n">
        <x:v>23.283333333333335</x:v>
      </x:c>
    </x:row>
    <x:row r="31" ht="22" customHeight="1">
      <x:c r="A31" s="2" t="str">
        <x:v>B5</x:v>
      </x:c>
      <x:c r="B31" s="7" t="d">
        <x:v>2026-10-07T08:45:00.000Z</x:v>
      </x:c>
      <x:c r="C31" s="2" t="str">
        <x:v>デイ</x:v>
      </x:c>
      <x:c r="D31" s="25" t="n">
        <x:v>70083</x:v>
      </x:c>
      <x:c r="E31" s="25" t="n">
        <x:v>0</x:v>
      </x:c>
      <x:c r="F31" s="25" t="n">
        <x:f>D31-E31</x:f>
        <x:v>70083</x:v>
      </x:c>
      <x:c r="G31" s="25" t="n">
        <x:f>SUMIFS($F$7:$F$56,$A$7:$A$56,A31,$B$7:$B$56,"&lt;="&amp;B31)</x:f>
        <x:v>427531</x:v>
      </x:c>
      <x:c r="H31" s="25" t="n">
        <x:v>417</x:v>
      </x:c>
      <x:c r="I31" s="25" t="n">
        <x:v>70500</x:v>
      </x:c>
      <x:c r="J31" s="11" t="n">
        <x:v>1</x:v>
      </x:c>
      <x:c r="K31" s="11" t="n">
        <x:v>5</x:v>
      </x:c>
      <x:c r="L31" s="11" t="n">
        <x:v>5</x:v>
      </x:c>
      <x:c r="M31" s="13" t="str">
        <x:v>既知47場</x:v>
      </x:c>
      <x:c r="N31" s="12" t="n">
        <x:v>70.5</x:v>
      </x:c>
      <x:c r="O31" s="12" t="n">
        <x:v>77.45</x:v>
      </x:c>
    </x:row>
    <x:row r="32" ht="22" customHeight="1">
      <x:c r="A32" s="2" t="str">
        <x:v>B5</x:v>
      </x:c>
      <x:c r="B32" s="7" t="d">
        <x:v>2026-10-07T17:00:00.000Z</x:v>
      </x:c>
      <x:c r="C32" s="2" t="str">
        <x:v>ナイト</x:v>
      </x:c>
      <x:c r="D32" s="25" t="n">
        <x:v>9582</x:v>
      </x:c>
      <x:c r="E32" s="25" t="n">
        <x:v>0</x:v>
      </x:c>
      <x:c r="F32" s="25" t="n">
        <x:f>D32-E32</x:f>
        <x:v>9582</x:v>
      </x:c>
      <x:c r="G32" s="25" t="n">
        <x:f>SUMIFS($F$7:$F$56,$A$7:$A$56,A32,$B$7:$B$56,"&lt;="&amp;B32)</x:f>
        <x:v>437113</x:v>
      </x:c>
      <x:c r="H32" s="25" t="n">
        <x:v>418</x:v>
      </x:c>
      <x:c r="I32" s="25" t="n">
        <x:v>10000</x:v>
      </x:c>
      <x:c r="J32" s="11" t="n">
        <x:v>1</x:v>
      </x:c>
      <x:c r="K32" s="11" t="n">
        <x:v>5</x:v>
      </x:c>
      <x:c r="L32" s="11" t="n">
        <x:v>5</x:v>
      </x:c>
      <x:c r="M32" s="13" t="str">
        <x:v>既知47場</x:v>
      </x:c>
      <x:c r="N32" s="12" t="n">
        <x:v>392.71666666666664</x:v>
      </x:c>
      <x:c r="O32" s="12" t="n">
        <x:v>27.966666666666665</x:v>
      </x:c>
    </x:row>
    <x:row r="33" ht="22" customHeight="1">
      <x:c r="A33" s="2" t="str">
        <x:v>B5</x:v>
      </x:c>
      <x:c r="B33" s="7" t="d">
        <x:v>2026-10-08T08:45:00.000Z</x:v>
      </x:c>
      <x:c r="C33" s="2" t="str">
        <x:v>デイ</x:v>
      </x:c>
      <x:c r="D33" s="25" t="n">
        <x:v>84167</x:v>
      </x:c>
      <x:c r="E33" s="25" t="n">
        <x:v>43336</x:v>
      </x:c>
      <x:c r="F33" s="25" t="n">
        <x:f>D33-E33</x:f>
        <x:v>40831</x:v>
      </x:c>
      <x:c r="G33" s="25" t="n">
        <x:f>SUMIFS($F$7:$F$56,$A$7:$A$56,A33,$B$7:$B$56,"&lt;="&amp;B33)</x:f>
        <x:v>477944</x:v>
      </x:c>
      <x:c r="H33" s="25" t="n">
        <x:v>1669</x:v>
      </x:c>
      <x:c r="I33" s="25" t="n">
        <x:v>42500</x:v>
      </x:c>
      <x:c r="J33" s="11" t="n">
        <x:v>4</x:v>
      </x:c>
      <x:c r="K33" s="11" t="n">
        <x:v>20</x:v>
      </x:c>
      <x:c r="L33" s="11" t="n">
        <x:v>5</x:v>
      </x:c>
      <x:c r="M33" s="13" t="str">
        <x:v>既知47場</x:v>
      </x:c>
      <x:c r="N33" s="12" t="n">
        <x:v>70.2</x:v>
      </x:c>
      <x:c r="O33" s="12" t="n">
        <x:v>169.25</x:v>
      </x:c>
    </x:row>
    <x:row r="34" ht="22" customHeight="1">
      <x:c r="A34" s="2" t="str">
        <x:v>B5</x:v>
      </x:c>
      <x:c r="B34" s="7" t="d">
        <x:v>2026-10-08T17:00:00.000Z</x:v>
      </x:c>
      <x:c r="C34" s="2" t="str">
        <x:v>ナイト</x:v>
      </x:c>
      <x:c r="D34" s="25" t="n">
        <x:v>59164</x:v>
      </x:c>
      <x:c r="E34" s="25" t="n">
        <x:v>17918</x:v>
      </x:c>
      <x:c r="F34" s="25" t="n">
        <x:f>D34-E34</x:f>
        <x:v>41246</x:v>
      </x:c>
      <x:c r="G34" s="25" t="n">
        <x:f>SUMIFS($F$7:$F$56,$A$7:$A$56,A34,$B$7:$B$56,"&lt;="&amp;B34)</x:f>
        <x:v>519190</x:v>
      </x:c>
      <x:c r="H34" s="25" t="n">
        <x:v>1254</x:v>
      </x:c>
      <x:c r="I34" s="25" t="n">
        <x:v>42500</x:v>
      </x:c>
      <x:c r="J34" s="11" t="n">
        <x:v>3</x:v>
      </x:c>
      <x:c r="K34" s="11" t="n">
        <x:v>15</x:v>
      </x:c>
      <x:c r="L34" s="11" t="n">
        <x:v>5</x:v>
      </x:c>
      <x:c r="M34" s="13" t="str">
        <x:v>既知47場</x:v>
      </x:c>
      <x:c r="N34" s="12" t="n">
        <x:v>413.2</x:v>
      </x:c>
      <x:c r="O34" s="12" t="n">
        <x:v>72.38333333333334</x:v>
      </x:c>
    </x:row>
    <x:row r="35" ht="22" customHeight="1">
      <x:c r="A35" s="2" t="str">
        <x:v>B5</x:v>
      </x:c>
      <x:c r="B35" s="7" t="d">
        <x:v>2026-10-09T08:45:00.000Z</x:v>
      </x:c>
      <x:c r="C35" s="2" t="str">
        <x:v>デイ</x:v>
      </x:c>
      <x:c r="D35" s="25" t="n">
        <x:v>69084</x:v>
      </x:c>
      <x:c r="E35" s="25" t="n">
        <x:v>30418</x:v>
      </x:c>
      <x:c r="F35" s="25" t="n">
        <x:f>D35-E35</x:f>
        <x:v>38666</x:v>
      </x:c>
      <x:c r="G35" s="25" t="n">
        <x:f>SUMIFS($F$7:$F$56,$A$7:$A$56,A35,$B$7:$B$56,"&lt;="&amp;B35)</x:f>
        <x:v>557856</x:v>
      </x:c>
      <x:c r="H35" s="25" t="n">
        <x:v>834</x:v>
      </x:c>
      <x:c r="I35" s="25" t="n">
        <x:v>39500</x:v>
      </x:c>
      <x:c r="J35" s="11" t="n">
        <x:v>2</x:v>
      </x:c>
      <x:c r="K35" s="11" t="n">
        <x:v>10</x:v>
      </x:c>
      <x:c r="L35" s="11" t="n">
        <x:v>5</x:v>
      </x:c>
      <x:c r="M35" s="13" t="str">
        <x:v>既知47場</x:v>
      </x:c>
      <x:c r="N35" s="12" t="n">
        <x:v>85.61666666666666</x:v>
      </x:c>
      <x:c r="O35" s="12" t="n">
        <x:v>292.01666666666665</x:v>
      </x:c>
    </x:row>
    <x:row r="36" ht="22" customHeight="1">
      <x:c r="A36" s="2" t="str">
        <x:v>B5</x:v>
      </x:c>
      <x:c r="B36" s="7" t="d">
        <x:v>2026-10-09T17:00:00.000Z</x:v>
      </x:c>
      <x:c r="C36" s="2" t="str">
        <x:v>ナイト</x:v>
      </x:c>
      <x:c r="D36" s="25" t="n">
        <x:v>14582</x:v>
      </x:c>
      <x:c r="E36" s="25" t="n">
        <x:v>0</x:v>
      </x:c>
      <x:c r="F36" s="25" t="n">
        <x:f>D36-E36</x:f>
        <x:v>14582</x:v>
      </x:c>
      <x:c r="G36" s="25" t="n">
        <x:f>SUMIFS($F$7:$F$56,$A$7:$A$56,A36,$B$7:$B$56,"&lt;="&amp;B36)</x:f>
        <x:v>572438</x:v>
      </x:c>
      <x:c r="H36" s="25" t="n">
        <x:v>418</x:v>
      </x:c>
      <x:c r="I36" s="25" t="n">
        <x:v>15000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450</x:v>
      </x:c>
      <x:c r="O36" s="12" t="n">
        <x:v>52.56666666666667</x:v>
      </x:c>
    </x:row>
    <x:row r="37" ht="22" customHeight="1">
      <x:c r="A37" s="2" t="str">
        <x:v>B5</x:v>
      </x:c>
      <x:c r="B37" s="7" t="d">
        <x:v>2026-10-12T08:45:00.000Z</x:v>
      </x:c>
      <x:c r="C37" s="2" t="str">
        <x:v>デイ</x:v>
      </x:c>
      <x:c r="D37" s="25" t="n">
        <x:v>19582</x:v>
      </x:c>
      <x:c r="E37" s="25" t="n">
        <x:v>0</x:v>
      </x:c>
      <x:c r="F37" s="25" t="n">
        <x:f>D37-E37</x:f>
        <x:v>19582</x:v>
      </x:c>
      <x:c r="G37" s="25" t="n">
        <x:f>SUMIFS($F$7:$F$56,$A$7:$A$56,A37,$B$7:$B$56,"&lt;="&amp;B37)</x:f>
        <x:v>592020</x:v>
      </x:c>
      <x:c r="H37" s="25" t="n">
        <x:v>418</x:v>
      </x:c>
      <x:c r="I37" s="25" t="n">
        <x:v>20000</x:v>
      </x:c>
      <x:c r="J37" s="11" t="n">
        <x:v>1</x:v>
      </x:c>
      <x:c r="K37" s="11" t="n">
        <x:v>5</x:v>
      </x:c>
      <x:c r="L37" s="11" t="n">
        <x:v>5</x:v>
      </x:c>
      <x:c r="M37" s="13" t="str">
        <x:v>既知47場</x:v>
      </x:c>
      <x:c r="N37" s="12" t="n">
        <x:v>256</x:v>
      </x:c>
      <x:c r="O37" s="12" t="n">
        <x:v>107</x:v>
      </x:c>
    </x:row>
    <x:row r="38" ht="22" customHeight="1">
      <x:c r="A38" s="2" t="str">
        <x:v>B5</x:v>
      </x:c>
      <x:c r="B38" s="7" t="d">
        <x:v>2026-10-12T17:00:00.000Z</x:v>
      </x:c>
      <x:c r="C38" s="2" t="str">
        <x:v>ナイト</x:v>
      </x:c>
      <x:c r="D38" s="25" t="n">
        <x:v>2082</x:v>
      </x:c>
      <x:c r="E38" s="25" t="n">
        <x:v>0</x:v>
      </x:c>
      <x:c r="F38" s="25" t="n">
        <x:f>D38-E38</x:f>
        <x:v>2082</x:v>
      </x:c>
      <x:c r="G38" s="25" t="n">
        <x:f>SUMIFS($F$7:$F$56,$A$7:$A$56,A38,$B$7:$B$56,"&lt;="&amp;B38)</x:f>
        <x:v>594102</x:v>
      </x:c>
      <x:c r="H38" s="25" t="n">
        <x:v>418</x:v>
      </x:c>
      <x:c r="I38" s="25" t="n">
        <x:v>2500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369.23333333333335</x:v>
      </x:c>
      <x:c r="O38" s="12" t="n">
        <x:v>4.55</x:v>
      </x:c>
    </x:row>
    <x:row r="39" ht="22" customHeight="1">
      <x:c r="A39" s="2" t="str">
        <x:v>B5</x:v>
      </x:c>
      <x:c r="B39" s="7" t="d">
        <x:v>2026-10-13T08:45:00.000Z</x:v>
      </x:c>
      <x:c r="C39" s="2" t="str">
        <x:v>デイ</x:v>
      </x:c>
      <x:c r="D39" s="25" t="n">
        <x:v>43084</x:v>
      </x:c>
      <x:c r="E39" s="25" t="n">
        <x:v>42918</x:v>
      </x:c>
      <x:c r="F39" s="25" t="n">
        <x:f>D39-E39</x:f>
        <x:v>166</x:v>
      </x:c>
      <x:c r="G39" s="25" t="n">
        <x:f>SUMIFS($F$7:$F$56,$A$7:$A$56,A39,$B$7:$B$56,"&lt;="&amp;B39)</x:f>
        <x:v>594268</x:v>
      </x:c>
      <x:c r="H39" s="25" t="n">
        <x:v>834</x:v>
      </x:c>
      <x:c r="I39" s="25" t="n">
        <x:v>1000</x:v>
      </x:c>
      <x:c r="J39" s="11" t="n">
        <x:v>2</x:v>
      </x:c>
      <x:c r="K39" s="11" t="n">
        <x:v>10</x:v>
      </x:c>
      <x:c r="L39" s="11" t="n">
        <x:v>5</x:v>
      </x:c>
      <x:c r="M39" s="13" t="str">
        <x:v>既知47場</x:v>
      </x:c>
      <x:c r="N39" s="12" t="n">
        <x:v>66.41666666666667</x:v>
      </x:c>
      <x:c r="O39" s="12" t="n">
        <x:v>307.93333333333334</x:v>
      </x:c>
    </x:row>
    <x:row r="40" ht="22" customHeight="1">
      <x:c r="A40" s="2" t="str">
        <x:v>B5</x:v>
      </x:c>
      <x:c r="B40" s="7" t="d">
        <x:v>2026-10-13T17:00:00.000Z</x:v>
      </x:c>
      <x:c r="C40" s="2" t="str">
        <x:v>ナイト</x:v>
      </x:c>
      <x:c r="D40" s="25" t="n">
        <x:v>4582</x:v>
      </x:c>
      <x:c r="E40" s="25" t="n">
        <x:v>0</x:v>
      </x:c>
      <x:c r="F40" s="25" t="n">
        <x:f>D40-E40</x:f>
        <x:v>4582</x:v>
      </x:c>
      <x:c r="G40" s="25" t="n">
        <x:f>SUMIFS($F$7:$F$56,$A$7:$A$56,A40,$B$7:$B$56,"&lt;="&amp;B40)</x:f>
        <x:v>598850</x:v>
      </x:c>
      <x:c r="H40" s="25" t="n">
        <x:v>418</x:v>
      </x:c>
      <x:c r="I40" s="25" t="n">
        <x:v>5000</x:v>
      </x:c>
      <x:c r="J40" s="11" t="n">
        <x:v>1</x:v>
      </x:c>
      <x:c r="K40" s="11" t="n">
        <x:v>5</x:v>
      </x:c>
      <x:c r="L40" s="11" t="n">
        <x:v>5</x:v>
      </x:c>
      <x:c r="M40" s="13" t="str">
        <x:v>既知47場</x:v>
      </x:c>
      <x:c r="N40" s="12" t="n">
        <x:v>362.95</x:v>
      </x:c>
      <x:c r="O40" s="12" t="n">
        <x:v>60.78333333333333</x:v>
      </x:c>
    </x:row>
    <x:row r="41" ht="22" customHeight="1">
      <x:c r="A41" s="2" t="str">
        <x:v>B5</x:v>
      </x:c>
      <x:c r="B41" s="7" t="d">
        <x:v>2026-10-14T08:45:00.000Z</x:v>
      </x:c>
      <x:c r="C41" s="2" t="str">
        <x:v>デイ</x:v>
      </x:c>
      <x:c r="D41" s="25" t="n">
        <x:v>1083</x:v>
      </x:c>
      <x:c r="E41" s="25" t="n">
        <x:v>20335</x:v>
      </x:c>
      <x:c r="F41" s="25" t="n">
        <x:f>D41-E41</x:f>
        <x:v>-19252</x:v>
      </x:c>
      <x:c r="G41" s="25" t="n">
        <x:f>SUMIFS($F$7:$F$56,$A$7:$A$56,A41,$B$7:$B$56,"&lt;="&amp;B41)</x:f>
        <x:v>579598</x:v>
      </x:c>
      <x:c r="H41" s="25" t="n">
        <x:v>1252</x:v>
      </x:c>
      <x:c r="I41" s="25" t="n">
        <x:v>-18000</x:v>
      </x:c>
      <x:c r="J41" s="11" t="n">
        <x:v>3</x:v>
      </x:c>
      <x:c r="K41" s="11" t="n">
        <x:v>15</x:v>
      </x:c>
      <x:c r="L41" s="11" t="n">
        <x:v>5</x:v>
      </x:c>
      <x:c r="M41" s="13" t="str">
        <x:v>既知47場</x:v>
      </x:c>
      <x:c r="N41" s="12" t="n">
        <x:v>132.93333333333334</x:v>
      </x:c>
      <x:c r="O41" s="12" t="n">
        <x:v>260.25</x:v>
      </x:c>
    </x:row>
    <x:row r="42" ht="22" customHeight="1">
      <x:c r="A42" s="2" t="str">
        <x:v>B5</x:v>
      </x:c>
      <x:c r="B42" s="7" t="d">
        <x:v>2026-10-14T17:00:00.000Z</x:v>
      </x:c>
      <x:c r="C42" s="2" t="str">
        <x:v>ナイト</x:v>
      </x:c>
      <x:c r="D42" s="25" t="n">
        <x:v>64164</x:v>
      </x:c>
      <x:c r="E42" s="25" t="n">
        <x:v>63754</x:v>
      </x:c>
      <x:c r="F42" s="25" t="n">
        <x:f>D42-E42</x:f>
        <x:v>410</x:v>
      </x:c>
      <x:c r="G42" s="25" t="n">
        <x:f>SUMIFS($F$7:$F$56,$A$7:$A$56,A42,$B$7:$B$56,"&lt;="&amp;B42)</x:f>
        <x:v>580008</x:v>
      </x:c>
      <x:c r="H42" s="25" t="n">
        <x:v>2090</x:v>
      </x:c>
      <x:c r="I42" s="25" t="n">
        <x:v>2500</x:v>
      </x:c>
      <x:c r="J42" s="11" t="n">
        <x:v>5</x:v>
      </x:c>
      <x:c r="K42" s="11" t="n">
        <x:v>25</x:v>
      </x:c>
      <x:c r="L42" s="11" t="n">
        <x:v>5</x:v>
      </x:c>
      <x:c r="M42" s="13" t="str">
        <x:v>既知47場</x:v>
      </x:c>
      <x:c r="N42" s="12" t="n">
        <x:v>360.01666666666665</x:v>
      </x:c>
      <x:c r="O42" s="12" t="n">
        <x:v>152.31666666666666</x:v>
      </x:c>
    </x:row>
    <x:row r="43" ht="22" customHeight="1">
      <x:c r="A43" s="2" t="str">
        <x:v>B5</x:v>
      </x:c>
      <x:c r="B43" s="7" t="d">
        <x:v>2026-10-15T08:45:00.000Z</x:v>
      </x:c>
      <x:c r="C43" s="2" t="str">
        <x:v>デイ</x:v>
      </x:c>
      <x:c r="D43" s="25" t="n">
        <x:v>132083</x:v>
      </x:c>
      <x:c r="E43" s="25" t="n">
        <x:v>43336</x:v>
      </x:c>
      <x:c r="F43" s="25" t="n">
        <x:f>D43-E43</x:f>
        <x:v>88747</x:v>
      </x:c>
      <x:c r="G43" s="25" t="n">
        <x:f>SUMIFS($F$7:$F$56,$A$7:$A$56,A43,$B$7:$B$56,"&lt;="&amp;B43)</x:f>
        <x:v>668755</x:v>
      </x:c>
      <x:c r="H43" s="25" t="n">
        <x:v>1253</x:v>
      </x:c>
      <x:c r="I43" s="25" t="n">
        <x:v>90000</x:v>
      </x:c>
      <x:c r="J43" s="11" t="n">
        <x:v>3</x:v>
      </x:c>
      <x:c r="K43" s="11" t="n">
        <x:v>15</x:v>
      </x:c>
      <x:c r="L43" s="11" t="n">
        <x:v>5</x:v>
      </x:c>
      <x:c r="M43" s="13" t="str">
        <x:v>既知47場</x:v>
      </x:c>
      <x:c r="N43" s="12" t="n">
        <x:v>67.7</x:v>
      </x:c>
      <x:c r="O43" s="12" t="n">
        <x:v>210.13333333333333</x:v>
      </x:c>
    </x:row>
    <x:row r="44" ht="22" customHeight="1">
      <x:c r="A44" s="2" t="str">
        <x:v>B5</x:v>
      </x:c>
      <x:c r="B44" s="7" t="d">
        <x:v>2026-10-15T17:00:00.000Z</x:v>
      </x:c>
      <x:c r="C44" s="2" t="str">
        <x:v>ナイト</x:v>
      </x:c>
      <x:c r="D44" s="25" t="n">
        <x:v>61664</x:v>
      </x:c>
      <x:c r="E44" s="25" t="n">
        <x:v>33754</x:v>
      </x:c>
      <x:c r="F44" s="25" t="n">
        <x:f>D44-E44</x:f>
        <x:v>27910</x:v>
      </x:c>
      <x:c r="G44" s="25" t="n">
        <x:f>SUMIFS($F$7:$F$56,$A$7:$A$56,A44,$B$7:$B$56,"&lt;="&amp;B44)</x:f>
        <x:v>696665</x:v>
      </x:c>
      <x:c r="H44" s="25" t="n">
        <x:v>2090</x:v>
      </x:c>
      <x:c r="I44" s="25" t="n">
        <x:v>30000</x:v>
      </x:c>
      <x:c r="J44" s="11" t="n">
        <x:v>5</x:v>
      </x:c>
      <x:c r="K44" s="11" t="n">
        <x:v>25</x:v>
      </x:c>
      <x:c r="L44" s="11" t="n">
        <x:v>5</x:v>
      </x:c>
      <x:c r="M44" s="13" t="str">
        <x:v>既知47場</x:v>
      </x:c>
      <x:c r="N44" s="12" t="n">
        <x:v>400.05</x:v>
      </x:c>
      <x:c r="O44" s="12" t="n">
        <x:v>80.65</x:v>
      </x:c>
    </x:row>
    <x:row r="45" ht="22" customHeight="1">
      <x:c r="A45" s="2" t="str">
        <x:v>B5</x:v>
      </x:c>
      <x:c r="B45" s="7" t="d">
        <x:v>2026-10-16T08:45:00.000Z</x:v>
      </x:c>
      <x:c r="C45" s="2" t="str">
        <x:v>デイ</x:v>
      </x:c>
      <x:c r="D45" s="25" t="n">
        <x:v>0</x:v>
      </x:c>
      <x:c r="E45" s="25" t="n">
        <x:v>79172</x:v>
      </x:c>
      <x:c r="F45" s="25" t="n">
        <x:f>D45-E45</x:f>
        <x:v>-79172</x:v>
      </x:c>
      <x:c r="G45" s="25" t="n">
        <x:f>SUMIFS($F$7:$F$56,$A$7:$A$56,A45,$B$7:$B$56,"&lt;="&amp;B45)</x:f>
        <x:v>617493</x:v>
      </x:c>
      <x:c r="H45" s="25" t="n">
        <x:v>1672</x:v>
      </x:c>
      <x:c r="I45" s="25" t="n">
        <x:v>-77500</x:v>
      </x:c>
      <x:c r="J45" s="11" t="n">
        <x:v>4</x:v>
      </x:c>
      <x:c r="K45" s="11" t="n">
        <x:v>20</x:v>
      </x:c>
      <x:c r="L45" s="11" t="n">
        <x:v>5</x:v>
      </x:c>
      <x:c r="M45" s="13" t="str">
        <x:v>既知47場</x:v>
      </x:c>
      <x:c r="N45" s="12" t="n">
        <x:v>67.33333333333333</x:v>
      </x:c>
      <x:c r="O45" s="12" t="n">
        <x:v>155.38333333333333</x:v>
      </x:c>
    </x:row>
    <x:row r="46" ht="22" customHeight="1">
      <x:c r="A46" s="2" t="str">
        <x:v>B5</x:v>
      </x:c>
      <x:c r="B46" s="7" t="d">
        <x:v>2026-10-16T17:00:00.000Z</x:v>
      </x:c>
      <x:c r="C46" s="2" t="str">
        <x:v>ナイト</x:v>
      </x:c>
      <x:c r="D46" s="25" t="n">
        <x:v>151664</x:v>
      </x:c>
      <x:c r="E46" s="25" t="n">
        <x:v>38336</x:v>
      </x:c>
      <x:c r="F46" s="25" t="n">
        <x:f>D46-E46</x:f>
        <x:v>113328</x:v>
      </x:c>
      <x:c r="G46" s="25" t="n">
        <x:f>SUMIFS($F$7:$F$56,$A$7:$A$56,A46,$B$7:$B$56,"&lt;="&amp;B46)</x:f>
        <x:v>730821</x:v>
      </x:c>
      <x:c r="H46" s="25" t="n">
        <x:v>1672</x:v>
      </x:c>
      <x:c r="I46" s="25" t="n">
        <x:v>115000</x:v>
      </x:c>
      <x:c r="J46" s="11" t="n">
        <x:v>4</x:v>
      </x:c>
      <x:c r="K46" s="11" t="n">
        <x:v>20</x:v>
      </x:c>
      <x:c r="L46" s="11" t="n">
        <x:v>5</x:v>
      </x:c>
      <x:c r="M46" s="13" t="str">
        <x:v>既知47場</x:v>
      </x:c>
      <x:c r="N46" s="12" t="n">
        <x:v>409.15</x:v>
      </x:c>
      <x:c r="O46" s="12" t="n">
        <x:v>95.31666666666666</x:v>
      </x:c>
    </x:row>
    <x:row r="47" ht="22" customHeight="1">
      <x:c r="A47" s="2" t="str">
        <x:v>B5</x:v>
      </x:c>
      <x:c r="B47" s="7" t="d">
        <x:v>2026-10-19T08:45:00.000Z</x:v>
      </x:c>
      <x:c r="C47" s="2" t="str">
        <x:v>デイ</x:v>
      </x:c>
      <x:c r="D47" s="25" t="n">
        <x:v>118083</x:v>
      </x:c>
      <x:c r="E47" s="25" t="n">
        <x:v>47918</x:v>
      </x:c>
      <x:c r="F47" s="25" t="n">
        <x:f>D47-E47</x:f>
        <x:v>70165</x:v>
      </x:c>
      <x:c r="G47" s="25" t="n">
        <x:f>SUMIFS($F$7:$F$56,$A$7:$A$56,A47,$B$7:$B$56,"&lt;="&amp;B47)</x:f>
        <x:v>800986</x:v>
      </x:c>
      <x:c r="H47" s="25" t="n">
        <x:v>835</x:v>
      </x:c>
      <x:c r="I47" s="25" t="n">
        <x:v>71000</x:v>
      </x:c>
      <x:c r="J47" s="11" t="n">
        <x:v>2</x:v>
      </x:c>
      <x:c r="K47" s="11" t="n">
        <x:v>10</x:v>
      </x:c>
      <x:c r="L47" s="11" t="n">
        <x:v>5</x:v>
      </x:c>
      <x:c r="M47" s="13" t="str">
        <x:v>既知47場</x:v>
      </x:c>
      <x:c r="N47" s="12" t="n">
        <x:v>66.71666666666667</x:v>
      </x:c>
      <x:c r="O47" s="12" t="n">
        <x:v>321.96666666666664</x:v>
      </x:c>
    </x:row>
    <x:row r="48" ht="22" customHeight="1">
      <x:c r="A48" s="2" t="str">
        <x:v>B5</x:v>
      </x:c>
      <x:c r="B48" s="7" t="d">
        <x:v>2026-10-19T17:00:00.000Z</x:v>
      </x:c>
      <x:c r="C48" s="2" t="str">
        <x:v>ナイト</x:v>
      </x:c>
      <x:c r="D48" s="25" t="n">
        <x:v>41664</x:v>
      </x:c>
      <x:c r="E48" s="25" t="n">
        <x:v>38336</x:v>
      </x:c>
      <x:c r="F48" s="25" t="n">
        <x:f>D48-E48</x:f>
        <x:v>3328</x:v>
      </x:c>
      <x:c r="G48" s="25" t="n">
        <x:f>SUMIFS($F$7:$F$56,$A$7:$A$56,A48,$B$7:$B$56,"&lt;="&amp;B48)</x:f>
        <x:v>804314</x:v>
      </x:c>
      <x:c r="H48" s="25" t="n">
        <x:v>1672</x:v>
      </x:c>
      <x:c r="I48" s="25" t="n">
        <x:v>5000</x:v>
      </x:c>
      <x:c r="J48" s="11" t="n">
        <x:v>4</x:v>
      </x:c>
      <x:c r="K48" s="11" t="n">
        <x:v>20</x:v>
      </x:c>
      <x:c r="L48" s="11" t="n">
        <x:v>5</x:v>
      </x:c>
      <x:c r="M48" s="13" t="str">
        <x:v>既知47場</x:v>
      </x:c>
      <x:c r="N48" s="12" t="n">
        <x:v>397.3333333333333</x:v>
      </x:c>
      <x:c r="O48" s="12" t="n">
        <x:v>96.4</x:v>
      </x:c>
    </x:row>
    <x:row r="49" ht="22" customHeight="1">
      <x:c r="A49" s="2" t="str">
        <x:v>B5</x:v>
      </x:c>
      <x:c r="B49" s="7" t="d">
        <x:v>2026-10-20T08:45:00.000Z</x:v>
      </x:c>
      <x:c r="C49" s="2" t="str">
        <x:v>デイ</x:v>
      </x:c>
      <x:c r="D49" s="25" t="n">
        <x:v>41583</x:v>
      </x:c>
      <x:c r="E49" s="25" t="n">
        <x:v>58336</x:v>
      </x:c>
      <x:c r="F49" s="25" t="n">
        <x:f>D49-E49</x:f>
        <x:v>-16753</x:v>
      </x:c>
      <x:c r="G49" s="25" t="n">
        <x:f>SUMIFS($F$7:$F$56,$A$7:$A$56,A49,$B$7:$B$56,"&lt;="&amp;B49)</x:f>
        <x:v>787561</x:v>
      </x:c>
      <x:c r="H49" s="25" t="n">
        <x:v>1253</x:v>
      </x:c>
      <x:c r="I49" s="25" t="n">
        <x:v>-15500</x:v>
      </x:c>
      <x:c r="J49" s="11" t="n">
        <x:v>3</x:v>
      </x:c>
      <x:c r="K49" s="11" t="n">
        <x:v>15</x:v>
      </x:c>
      <x:c r="L49" s="11" t="n">
        <x:v>5</x:v>
      </x:c>
      <x:c r="M49" s="13" t="str">
        <x:v>既知47場</x:v>
      </x:c>
      <x:c r="N49" s="12" t="n">
        <x:v>69.8</x:v>
      </x:c>
      <x:c r="O49" s="12" t="n">
        <x:v>73.86666666666666</x:v>
      </x:c>
    </x:row>
    <x:row r="50" ht="22" customHeight="1">
      <x:c r="A50" s="2" t="str">
        <x:v>B5</x:v>
      </x:c>
      <x:c r="B50" s="7" t="d">
        <x:v>2026-10-20T17:00:00.000Z</x:v>
      </x:c>
      <x:c r="C50" s="2" t="str">
        <x:v>ナイト</x:v>
      </x:c>
      <x:c r="D50" s="25" t="n">
        <x:v>84582</x:v>
      </x:c>
      <x:c r="E50" s="25" t="n">
        <x:v>53336</x:v>
      </x:c>
      <x:c r="F50" s="25" t="n">
        <x:f>D50-E50</x:f>
        <x:v>31246</x:v>
      </x:c>
      <x:c r="G50" s="25" t="n">
        <x:f>SUMIFS($F$7:$F$56,$A$7:$A$56,A50,$B$7:$B$56,"&lt;="&amp;B50)</x:f>
        <x:v>818807</x:v>
      </x:c>
      <x:c r="H50" s="25" t="n">
        <x:v>1254</x:v>
      </x:c>
      <x:c r="I50" s="25" t="n">
        <x:v>32500</x:v>
      </x:c>
      <x:c r="J50" s="11" t="n">
        <x:v>3</x:v>
      </x:c>
      <x:c r="K50" s="11" t="n">
        <x:v>15</x:v>
      </x:c>
      <x:c r="L50" s="11" t="n">
        <x:v>5</x:v>
      </x:c>
      <x:c r="M50" s="13" t="str">
        <x:v>既知47場</x:v>
      </x:c>
      <x:c r="N50" s="12" t="n">
        <x:v>367.26666666666665</x:v>
      </x:c>
      <x:c r="O50" s="12" t="n">
        <x:v>55.166666666666664</x:v>
      </x:c>
    </x:row>
    <x:row r="51" ht="22" customHeight="1">
      <x:c r="A51" s="2" t="str">
        <x:v>B5</x:v>
      </x:c>
      <x:c r="B51" s="7" t="d">
        <x:v>2026-10-21T08:45:00.000Z</x:v>
      </x:c>
      <x:c r="C51" s="2" t="str">
        <x:v>デイ</x:v>
      </x:c>
      <x:c r="D51" s="25" t="n">
        <x:v>28083</x:v>
      </x:c>
      <x:c r="E51" s="25" t="n">
        <x:v>71254</x:v>
      </x:c>
      <x:c r="F51" s="25" t="n">
        <x:f>D51-E51</x:f>
        <x:v>-43171</x:v>
      </x:c>
      <x:c r="G51" s="25" t="n">
        <x:f>SUMIFS($F$7:$F$56,$A$7:$A$56,A51,$B$7:$B$56,"&lt;="&amp;B51)</x:f>
        <x:v>775636</x:v>
      </x:c>
      <x:c r="H51" s="25" t="n">
        <x:v>1671</x:v>
      </x:c>
      <x:c r="I51" s="25" t="n">
        <x:v>-41500</x:v>
      </x:c>
      <x:c r="J51" s="11" t="n">
        <x:v>4</x:v>
      </x:c>
      <x:c r="K51" s="11" t="n">
        <x:v>20</x:v>
      </x:c>
      <x:c r="L51" s="11" t="n">
        <x:v>5</x:v>
      </x:c>
      <x:c r="M51" s="13" t="str">
        <x:v>既知47場</x:v>
      </x:c>
      <x:c r="N51" s="12" t="n">
        <x:v>133.28333333333333</x:v>
      </x:c>
      <x:c r="O51" s="12" t="n">
        <x:v>72.51666666666667</x:v>
      </x:c>
    </x:row>
    <x:row r="52" ht="22" customHeight="1">
      <x:c r="A52" s="2" t="str">
        <x:v>B5</x:v>
      </x:c>
      <x:c r="B52" s="7" t="d">
        <x:v>2026-10-21T17:00:00.000Z</x:v>
      </x:c>
      <x:c r="C52" s="2" t="str">
        <x:v>ナイト</x:v>
      </x:c>
      <x:c r="D52" s="25" t="n">
        <x:v>24164</x:v>
      </x:c>
      <x:c r="E52" s="25" t="n">
        <x:v>22918</x:v>
      </x:c>
      <x:c r="F52" s="25" t="n">
        <x:f>D52-E52</x:f>
        <x:v>1246</x:v>
      </x:c>
      <x:c r="G52" s="25" t="n">
        <x:f>SUMIFS($F$7:$F$56,$A$7:$A$56,A52,$B$7:$B$56,"&lt;="&amp;B52)</x:f>
        <x:v>776882</x:v>
      </x:c>
      <x:c r="H52" s="25" t="n">
        <x:v>1254</x:v>
      </x:c>
      <x:c r="I52" s="25" t="n">
        <x:v>2500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393.3</x:v>
      </x:c>
      <x:c r="O52" s="12" t="n">
        <x:v>121.51666666666667</x:v>
      </x:c>
    </x:row>
    <x:row r="53" ht="22" customHeight="1">
      <x:c r="A53" s="2" t="str">
        <x:v>B5</x:v>
      </x:c>
      <x:c r="B53" s="7" t="d">
        <x:v>2026-10-22T08:45:00.000Z</x:v>
      </x:c>
      <x:c r="C53" s="2" t="str">
        <x:v>デイ</x:v>
      </x:c>
      <x:c r="D53" s="25" t="n">
        <x:v>77583</x:v>
      </x:c>
      <x:c r="E53" s="25" t="n">
        <x:v>30418</x:v>
      </x:c>
      <x:c r="F53" s="25" t="n">
        <x:f>D53-E53</x:f>
        <x:v>47165</x:v>
      </x:c>
      <x:c r="G53" s="25" t="n">
        <x:f>SUMIFS($F$7:$F$56,$A$7:$A$56,A53,$B$7:$B$56,"&lt;="&amp;B53)</x:f>
        <x:v>824047</x:v>
      </x:c>
      <x:c r="H53" s="25" t="n">
        <x:v>835</x:v>
      </x:c>
      <x:c r="I53" s="25" t="n">
        <x:v>48000</x:v>
      </x:c>
      <x:c r="J53" s="11" t="n">
        <x:v>2</x:v>
      </x:c>
      <x:c r="K53" s="11" t="n">
        <x:v>10</x:v>
      </x:c>
      <x:c r="L53" s="11" t="n">
        <x:v>5</x:v>
      </x:c>
      <x:c r="M53" s="13" t="str">
        <x:v>既知47場</x:v>
      </x:c>
      <x:c r="N53" s="12" t="n">
        <x:v>79.76666666666667</x:v>
      </x:c>
      <x:c r="O53" s="12" t="n">
        <x:v>134.06666666666666</x:v>
      </x:c>
    </x:row>
    <x:row r="54" ht="22" customHeight="1">
      <x:c r="A54" s="2" t="str">
        <x:v>B5</x:v>
      </x:c>
      <x:c r="B54" s="7" t="d">
        <x:v>2026-10-22T17:00:00.000Z</x:v>
      </x:c>
      <x:c r="C54" s="2" t="str">
        <x:v>ナイト</x:v>
      </x:c>
      <x:c r="D54" s="25" t="n">
        <x:v>66246</x:v>
      </x:c>
      <x:c r="E54" s="25" t="n">
        <x:v>35836</x:v>
      </x:c>
      <x:c r="F54" s="25" t="n">
        <x:f>D54-E54</x:f>
        <x:v>30410</x:v>
      </x:c>
      <x:c r="G54" s="25" t="n">
        <x:f>SUMIFS($F$7:$F$56,$A$7:$A$56,A54,$B$7:$B$56,"&lt;="&amp;B54)</x:f>
        <x:v>854457</x:v>
      </x:c>
      <x:c r="H54" s="25" t="n">
        <x:v>2090</x:v>
      </x:c>
      <x:c r="I54" s="25" t="n">
        <x:v>32500</x:v>
      </x:c>
      <x:c r="J54" s="11" t="n">
        <x:v>5</x:v>
      </x:c>
      <x:c r="K54" s="11" t="n">
        <x:v>25</x:v>
      </x:c>
      <x:c r="L54" s="11" t="n">
        <x:v>5</x:v>
      </x:c>
      <x:c r="M54" s="13" t="str">
        <x:v>追加3場</x:v>
      </x:c>
      <x:c r="N54" s="12" t="n">
        <x:v>384.01666666666665</x:v>
      </x:c>
      <x:c r="O54" s="12" t="n">
        <x:v>44.15</x:v>
      </x:c>
    </x:row>
    <x:row r="55" ht="22" customHeight="1">
      <x:c r="A55" s="2" t="str">
        <x:v>B5</x:v>
      </x:c>
      <x:c r="B55" s="7" t="d">
        <x:v>2026-10-23T08:45:00.000Z</x:v>
      </x:c>
      <x:c r="C55" s="2" t="str">
        <x:v>デイ</x:v>
      </x:c>
      <x:c r="D55" s="25" t="n">
        <x:v>0</x:v>
      </x:c>
      <x:c r="E55" s="25" t="n">
        <x:v>131254</x:v>
      </x:c>
      <x:c r="F55" s="25" t="n">
        <x:f>D55-E55</x:f>
        <x:v>-131254</x:v>
      </x:c>
      <x:c r="G55" s="25" t="n">
        <x:f>SUMIFS($F$7:$F$56,$A$7:$A$56,A55,$B$7:$B$56,"&lt;="&amp;B55)</x:f>
        <x:v>723203</x:v>
      </x:c>
      <x:c r="H55" s="25" t="n">
        <x:v>1254</x:v>
      </x:c>
      <x:c r="I55" s="25" t="n">
        <x:v>-130000</x:v>
      </x:c>
      <x:c r="J55" s="11" t="n">
        <x:v>3</x:v>
      </x:c>
      <x:c r="K55" s="11" t="n">
        <x:v>15</x:v>
      </x:c>
      <x:c r="L55" s="11" t="n">
        <x:v>5</x:v>
      </x:c>
      <x:c r="M55" s="13" t="str">
        <x:v>追加3場</x:v>
      </x:c>
      <x:c r="N55" s="12" t="n">
        <x:v>92.38333333333334</x:v>
      </x:c>
      <x:c r="O55" s="12" t="n">
        <x:v>54</x:v>
      </x:c>
    </x:row>
    <x:row r="56" ht="22" customHeight="1">
      <x:c r="A56" s="2" t="str">
        <x:v>B5</x:v>
      </x:c>
      <x:c r="B56" s="7" t="d">
        <x:v>2026-10-23T17:00:00.000Z</x:v>
      </x:c>
      <x:c r="C56" s="2" t="str">
        <x:v>ナイト</x:v>
      </x:c>
      <x:c r="D56" s="25" t="n">
        <x:v>32082</x:v>
      </x:c>
      <x:c r="E56" s="25" t="n">
        <x:v>0</x:v>
      </x:c>
      <x:c r="F56" s="25" t="n">
        <x:f>D56-E56</x:f>
        <x:v>32082</x:v>
      </x:c>
      <x:c r="G56" s="25" t="n">
        <x:f>SUMIFS($F$7:$F$56,$A$7:$A$56,A56,$B$7:$B$56,"&lt;="&amp;B56)</x:f>
        <x:v>755285</x:v>
      </x:c>
      <x:c r="H56" s="25" t="n">
        <x:v>418</x:v>
      </x:c>
      <x:c r="I56" s="25" t="n">
        <x:v>32500</x:v>
      </x:c>
      <x:c r="J56" s="11" t="n">
        <x:v>1</x:v>
      </x:c>
      <x:c r="K56" s="11" t="n">
        <x:v>5</x:v>
      </x:c>
      <x:c r="L56" s="11" t="n">
        <x:v>5</x:v>
      </x:c>
      <x:c r="M56" s="13" t="str">
        <x:v>追加3場</x:v>
      </x:c>
      <x:c r="N56" s="12" t="n">
        <x:v>399.23333333333335</x:v>
      </x:c>
      <x:c r="O56" s="12" t="n">
        <x:v>58.11666666666667</x:v>
      </x:c>
    </x:row>
  </x:sheetData>
  <x:conditionalFormatting sqref="D7:I56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3eadef2d62428b"/>
  </x:tableParts>
</x:worksheet>
</file>

<file path=xl/worksheets/sheet8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C33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昼基準：T06／夜基準：T04。既知47場：9/21～10/22デイ。追加3場：10/22ナイト～10/23ナイト。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追加入口は昼夜共通の比較。夜のみ米国開始前後15分は静観。累計は日時順。出典：00140保存会計。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C33</x:v>
      </x:c>
      <x:c r="B7" s="7" t="d">
        <x:v>2026-09-21T08:45:00.000Z</x:v>
      </x:c>
      <x:c r="C7" s="2" t="str">
        <x:v>デイ</x:v>
      </x:c>
      <x:c r="D7" s="25" t="n">
        <x:v>0</x:v>
      </x:c>
      <x:c r="E7" s="25" t="n">
        <x:v>20418</x:v>
      </x:c>
      <x:c r="F7" s="25" t="n">
        <x:f>D7-E7</x:f>
        <x:v>-20418</x:v>
      </x:c>
      <x:c r="G7" s="25" t="n">
        <x:f>SUMIFS($F$7:$F$56,$A$7:$A$56,A7,$B$7:$B$56,"&lt;="&amp;B7)</x:f>
        <x:v>-20418</x:v>
      </x:c>
      <x:c r="H7" s="25" t="n">
        <x:v>418</x:v>
      </x:c>
      <x:c r="I7" s="25" t="n">
        <x:v>-20000</x:v>
      </x:c>
      <x:c r="J7" s="11" t="n">
        <x:v>1</x:v>
      </x:c>
      <x:c r="K7" s="11" t="n">
        <x:v>5</x:v>
      </x:c>
      <x:c r="L7" s="11" t="n">
        <x:v>5</x:v>
      </x:c>
      <x:c r="M7" s="13" t="str">
        <x:v>既知47場</x:v>
      </x:c>
      <x:c r="N7" s="12" t="n">
        <x:v>363.18333333333334</x:v>
      </x:c>
      <x:c r="O7" s="12" t="n">
        <x:v>9.033333333333333</x:v>
      </x:c>
    </x:row>
    <x:row r="8" ht="22" customHeight="1">
      <x:c r="A8" s="2" t="str">
        <x:v>C33</x:v>
      </x:c>
      <x:c r="B8" s="7" t="d">
        <x:v>2026-09-21T17:00:00.000Z</x:v>
      </x:c>
      <x:c r="C8" s="2" t="str">
        <x:v>ナイト</x:v>
      </x:c>
      <x:c r="D8" s="25" t="n">
        <x:v>7082</x:v>
      </x:c>
      <x:c r="E8" s="25" t="n">
        <x:v>0</x:v>
      </x:c>
      <x:c r="F8" s="25" t="n">
        <x:f>D8-E8</x:f>
        <x:v>7082</x:v>
      </x:c>
      <x:c r="G8" s="25" t="n">
        <x:f>SUMIFS($F$7:$F$56,$A$7:$A$56,A8,$B$7:$B$56,"&lt;="&amp;B8)</x:f>
        <x:v>-13336</x:v>
      </x:c>
      <x:c r="H8" s="25" t="n">
        <x:v>418</x:v>
      </x:c>
      <x:c r="I8" s="25" t="n">
        <x:v>7500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385.95</x:v>
      </x:c>
      <x:c r="O8" s="12" t="n">
        <x:v>8.5</x:v>
      </x:c>
    </x:row>
    <x:row r="9" ht="22" customHeight="1">
      <x:c r="A9" s="2" t="str">
        <x:v>C33</x:v>
      </x:c>
      <x:c r="B9" s="7" t="d">
        <x:v>2026-09-22T08:45:00.000Z</x:v>
      </x:c>
      <x:c r="C9" s="2" t="str">
        <x:v>デイ</x:v>
      </x:c>
      <x:c r="D9" s="25" t="n">
        <x:v>20584</x:v>
      </x:c>
      <x:c r="E9" s="25" t="n">
        <x:v>20418</x:v>
      </x:c>
      <x:c r="F9" s="25" t="n">
        <x:f>D9-E9</x:f>
        <x:v>166</x:v>
      </x:c>
      <x:c r="G9" s="25" t="n">
        <x:f>SUMIFS($F$7:$F$56,$A$7:$A$56,A9,$B$7:$B$56,"&lt;="&amp;B9)</x:f>
        <x:v>-13170</x:v>
      </x:c>
      <x:c r="H9" s="25" t="n">
        <x:v>834</x:v>
      </x:c>
      <x:c r="I9" s="25" t="n">
        <x:v>1000</x:v>
      </x:c>
      <x:c r="J9" s="11" t="n">
        <x:v>2</x:v>
      </x:c>
      <x:c r="K9" s="11" t="n">
        <x:v>10</x:v>
      </x:c>
      <x:c r="L9" s="11" t="n">
        <x:v>5</x:v>
      </x:c>
      <x:c r="M9" s="13" t="str">
        <x:v>既知47場</x:v>
      </x:c>
      <x:c r="N9" s="12" t="n">
        <x:v>100.41666666666667</x:v>
      </x:c>
      <x:c r="O9" s="12" t="n">
        <x:v>18.416666666666668</x:v>
      </x:c>
    </x:row>
    <x:row r="10" ht="22" customHeight="1">
      <x:c r="A10" s="2" t="str">
        <x:v>C33</x:v>
      </x:c>
      <x:c r="B10" s="7" t="d">
        <x:v>2026-09-22T17:00:00.000Z</x:v>
      </x:c>
      <x:c r="C10" s="2" t="str">
        <x:v>ナイト</x:v>
      </x:c>
      <x:c r="D10" s="25" t="n">
        <x:v>15668</x:v>
      </x:c>
      <x:c r="E10" s="25" t="n">
        <x:v>53754</x:v>
      </x:c>
      <x:c r="F10" s="25" t="n">
        <x:f>D10-E10</x:f>
        <x:v>-38086</x:v>
      </x:c>
      <x:c r="G10" s="25" t="n">
        <x:f>SUMIFS($F$7:$F$56,$A$7:$A$56,A10,$B$7:$B$56,"&lt;="&amp;B10)</x:f>
        <x:v>-51256</x:v>
      </x:c>
      <x:c r="H10" s="25" t="n">
        <x:v>1586</x:v>
      </x:c>
      <x:c r="I10" s="25" t="n">
        <x:v>-36500</x:v>
      </x:c>
      <x:c r="J10" s="11" t="n">
        <x:v>5</x:v>
      </x:c>
      <x:c r="K10" s="11" t="n">
        <x:v>19</x:v>
      </x:c>
      <x:c r="L10" s="11" t="n">
        <x:v>5</x:v>
      </x:c>
      <x:c r="M10" s="13" t="str">
        <x:v>既知47場</x:v>
      </x:c>
      <x:c r="N10" s="12" t="n">
        <x:v>43.5</x:v>
      </x:c>
      <x:c r="O10" s="12" t="n">
        <x:v>75.31666666666666</x:v>
      </x:c>
    </x:row>
    <x:row r="11" ht="22" customHeight="1">
      <x:c r="A11" s="2" t="str">
        <x:v>C33</x:v>
      </x:c>
      <x:c r="B11" s="7" t="d">
        <x:v>2026-09-23T08:45:00.000Z</x:v>
      </x:c>
      <x:c r="C11" s="2" t="str">
        <x:v>デイ</x:v>
      </x:c>
      <x:c r="D11" s="25" t="n">
        <x:v>77584</x:v>
      </x:c>
      <x:c r="E11" s="25" t="n">
        <x:v>0</x:v>
      </x:c>
      <x:c r="F11" s="25" t="n">
        <x:f>D11-E11</x:f>
        <x:v>77584</x:v>
      </x:c>
      <x:c r="G11" s="25" t="n">
        <x:f>SUMIFS($F$7:$F$56,$A$7:$A$56,A11,$B$7:$B$56,"&lt;="&amp;B11)</x:f>
        <x:v>26328</x:v>
      </x:c>
      <x:c r="H11" s="25" t="n">
        <x:v>416</x:v>
      </x:c>
      <x:c r="I11" s="25" t="n">
        <x:v>78000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68.45</x:v>
      </x:c>
      <x:c r="O11" s="12" t="n">
        <x:v>158.21666666666667</x:v>
      </x:c>
    </x:row>
    <x:row r="12" ht="22" customHeight="1">
      <x:c r="A12" s="2" t="str">
        <x:v>C33</x:v>
      </x:c>
      <x:c r="B12" s="7" t="d">
        <x:v>2026-09-23T17:00:00.000Z</x:v>
      </x:c>
      <x:c r="C12" s="2" t="str">
        <x:v>ナイト</x:v>
      </x:c>
      <x:c r="D12" s="25" t="n">
        <x:v>29164</x:v>
      </x:c>
      <x:c r="E12" s="25" t="n">
        <x:v>0</x:v>
      </x:c>
      <x:c r="F12" s="25" t="n">
        <x:f>D12-E12</x:f>
        <x:v>29164</x:v>
      </x:c>
      <x:c r="G12" s="25" t="n">
        <x:f>SUMIFS($F$7:$F$56,$A$7:$A$56,A12,$B$7:$B$56,"&lt;="&amp;B12)</x:f>
        <x:v>55492</x:v>
      </x:c>
      <x:c r="H12" s="25" t="n">
        <x:v>836</x:v>
      </x:c>
      <x:c r="I12" s="25" t="n">
        <x:v>30000</x:v>
      </x:c>
      <x:c r="J12" s="11" t="n">
        <x:v>2</x:v>
      </x:c>
      <x:c r="K12" s="11" t="n">
        <x:v>10</x:v>
      </x:c>
      <x:c r="L12" s="11" t="n">
        <x:v>5</x:v>
      </x:c>
      <x:c r="M12" s="13" t="str">
        <x:v>既知47場</x:v>
      </x:c>
      <x:c r="N12" s="12" t="n">
        <x:v>450.01666666666665</x:v>
      </x:c>
      <x:c r="O12" s="12" t="n">
        <x:v>52.3</x:v>
      </x:c>
    </x:row>
    <x:row r="13" ht="22" customHeight="1">
      <x:c r="A13" s="2" t="str">
        <x:v>C33</x:v>
      </x:c>
      <x:c r="B13" s="7" t="d">
        <x:v>2026-09-24T08:45:00.000Z</x:v>
      </x:c>
      <x:c r="C13" s="2" t="str">
        <x:v>デイ</x:v>
      </x:c>
      <x:c r="D13" s="25" t="n">
        <x:v>38502</x:v>
      </x:c>
      <x:c r="E13" s="25" t="n">
        <x:v>0</x:v>
      </x:c>
      <x:c r="F13" s="25" t="n">
        <x:f>D13-E13</x:f>
        <x:v>38502</x:v>
      </x:c>
      <x:c r="G13" s="25" t="n">
        <x:f>SUMIFS($F$7:$F$56,$A$7:$A$56,A13,$B$7:$B$56,"&lt;="&amp;B13)</x:f>
        <x:v>93994</x:v>
      </x:c>
      <x:c r="H13" s="25" t="n">
        <x:v>498</x:v>
      </x:c>
      <x:c r="I13" s="25" t="n">
        <x:v>39000</x:v>
      </x:c>
      <x:c r="J13" s="11" t="n">
        <x:v>3</x:v>
      </x:c>
      <x:c r="K13" s="11" t="n">
        <x:v>6</x:v>
      </x:c>
      <x:c r="L13" s="11" t="n">
        <x:v>2</x:v>
      </x:c>
      <x:c r="M13" s="13" t="str">
        <x:v>既知47場</x:v>
      </x:c>
      <x:c r="N13" s="12" t="n">
        <x:v>55.5</x:v>
      </x:c>
      <x:c r="O13" s="12" t="n">
        <x:v>253</x:v>
      </x:c>
    </x:row>
    <x:row r="14" ht="22" customHeight="1">
      <x:c r="A14" s="2" t="str">
        <x:v>C33</x:v>
      </x:c>
      <x:c r="B14" s="7" t="d">
        <x:v>2026-09-24T17:00:00.000Z</x:v>
      </x:c>
      <x:c r="C14" s="2" t="str">
        <x:v>ナイト</x:v>
      </x:c>
      <x:c r="D14" s="25" t="n">
        <x:v>32082</x:v>
      </x:c>
      <x:c r="E14" s="25" t="n">
        <x:v>0</x:v>
      </x:c>
      <x:c r="F14" s="25" t="n">
        <x:f>D14-E14</x:f>
        <x:v>32082</x:v>
      </x:c>
      <x:c r="G14" s="25" t="n">
        <x:f>SUMIFS($F$7:$F$56,$A$7:$A$56,A14,$B$7:$B$56,"&lt;="&amp;B14)</x:f>
        <x:v>126076</x:v>
      </x:c>
      <x:c r="H14" s="25" t="n">
        <x:v>418</x:v>
      </x:c>
      <x:c r="I14" s="25" t="n">
        <x:v>32500</x:v>
      </x:c>
      <x:c r="J14" s="11" t="n">
        <x:v>1</x:v>
      </x:c>
      <x:c r="K14" s="11" t="n">
        <x:v>5</x:v>
      </x:c>
      <x:c r="L14" s="11" t="n">
        <x:v>5</x:v>
      </x:c>
      <x:c r="M14" s="13" t="str">
        <x:v>既知47場</x:v>
      </x:c>
      <x:c r="N14" s="12" t="n">
        <x:v>417.46666666666664</x:v>
      </x:c>
      <x:c r="O14" s="12" t="n">
        <x:v>40.983333333333334</x:v>
      </x:c>
    </x:row>
    <x:row r="15" ht="22" customHeight="1">
      <x:c r="A15" s="2" t="str">
        <x:v>C33</x:v>
      </x:c>
      <x:c r="B15" s="7" t="d">
        <x:v>2026-09-25T08:45:00.000Z</x:v>
      </x:c>
      <x:c r="C15" s="2" t="str">
        <x:v>デイ</x:v>
      </x:c>
      <x:c r="D15" s="25" t="n">
        <x:v>80583</x:v>
      </x:c>
      <x:c r="E15" s="25" t="n">
        <x:v>0</x:v>
      </x:c>
      <x:c r="F15" s="25" t="n">
        <x:f>D15-E15</x:f>
        <x:v>80583</x:v>
      </x:c>
      <x:c r="G15" s="25" t="n">
        <x:f>SUMIFS($F$7:$F$56,$A$7:$A$56,A15,$B$7:$B$56,"&lt;="&amp;B15)</x:f>
        <x:v>206659</x:v>
      </x:c>
      <x:c r="H15" s="25" t="n">
        <x:v>417</x:v>
      </x:c>
      <x:c r="I15" s="25" t="n">
        <x:v>81000</x:v>
      </x:c>
      <x:c r="J15" s="11" t="n">
        <x:v>1</x:v>
      </x:c>
      <x:c r="K15" s="11" t="n">
        <x:v>5</x:v>
      </x:c>
      <x:c r="L15" s="11" t="n">
        <x:v>5</x:v>
      </x:c>
      <x:c r="M15" s="13" t="str">
        <x:v>既知47場</x:v>
      </x:c>
      <x:c r="N15" s="12" t="n">
        <x:v>86.21666666666667</x:v>
      </x:c>
      <x:c r="O15" s="12" t="n">
        <x:v>323.8</x:v>
      </x:c>
    </x:row>
    <x:row r="16" ht="22" customHeight="1">
      <x:c r="A16" s="2" t="str">
        <x:v>C33</x:v>
      </x:c>
      <x:c r="B16" s="7" t="d">
        <x:v>2026-09-25T17:00:00.000Z</x:v>
      </x:c>
      <x:c r="C16" s="2" t="str">
        <x:v>ナイト</x:v>
      </x:c>
      <x:c r="D16" s="25" t="n">
        <x:v>24582</x:v>
      </x:c>
      <x:c r="E16" s="25" t="n">
        <x:v>20418</x:v>
      </x:c>
      <x:c r="F16" s="25" t="n">
        <x:f>D16-E16</x:f>
        <x:v>4164</x:v>
      </x:c>
      <x:c r="G16" s="25" t="n">
        <x:f>SUMIFS($F$7:$F$56,$A$7:$A$56,A16,$B$7:$B$56,"&lt;="&amp;B16)</x:f>
        <x:v>210823</x:v>
      </x:c>
      <x:c r="H16" s="25" t="n">
        <x:v>836</x:v>
      </x:c>
      <x:c r="I16" s="25" t="n">
        <x:v>5000</x:v>
      </x:c>
      <x:c r="J16" s="11" t="n">
        <x:v>2</x:v>
      </x:c>
      <x:c r="K16" s="11" t="n">
        <x:v>10</x:v>
      </x:c>
      <x:c r="L16" s="11" t="n">
        <x:v>5</x:v>
      </x:c>
      <x:c r="M16" s="13" t="str">
        <x:v>既知47場</x:v>
      </x:c>
      <x:c r="N16" s="12" t="n">
        <x:v>450</x:v>
      </x:c>
      <x:c r="O16" s="12" t="n">
        <x:v>8.316666666666666</x:v>
      </x:c>
    </x:row>
    <x:row r="17" ht="22" customHeight="1">
      <x:c r="A17" s="2" t="str">
        <x:v>C33</x:v>
      </x:c>
      <x:c r="B17" s="7" t="d">
        <x:v>2026-09-28T08:45:00.000Z</x:v>
      </x:c>
      <x:c r="C17" s="2" t="str">
        <x:v>デイ</x:v>
      </x:c>
      <x:c r="D17" s="25" t="n">
        <x:v>138917</x:v>
      </x:c>
      <x:c r="E17" s="25" t="n">
        <x:v>0</x:v>
      </x:c>
      <x:c r="F17" s="25" t="n">
        <x:f>D17-E17</x:f>
        <x:v>138917</x:v>
      </x:c>
      <x:c r="G17" s="25" t="n">
        <x:f>SUMIFS($F$7:$F$56,$A$7:$A$56,A17,$B$7:$B$56,"&lt;="&amp;B17)</x:f>
        <x:v>349740</x:v>
      </x:c>
      <x:c r="H17" s="25" t="n">
        <x:v>583</x:v>
      </x:c>
      <x:c r="I17" s="25" t="n">
        <x:v>139500</x:v>
      </x:c>
      <x:c r="J17" s="11" t="n">
        <x:v>2</x:v>
      </x:c>
      <x:c r="K17" s="11" t="n">
        <x:v>7</x:v>
      </x:c>
      <x:c r="L17" s="11" t="n">
        <x:v>5</x:v>
      </x:c>
      <x:c r="M17" s="13" t="str">
        <x:v>既知47場</x:v>
      </x:c>
      <x:c r="N17" s="12" t="n">
        <x:v>48.45</x:v>
      </x:c>
      <x:c r="O17" s="12" t="n">
        <x:v>350.31666666666666</x:v>
      </x:c>
    </x:row>
    <x:row r="18" ht="22" customHeight="1">
      <x:c r="A18" s="2" t="str">
        <x:v>C33</x:v>
      </x:c>
      <x:c r="B18" s="7" t="d">
        <x:v>2026-09-28T17:00:00.000Z</x:v>
      </x:c>
      <x:c r="C18" s="2" t="str">
        <x:v>ナイト</x:v>
      </x:c>
      <x:c r="D18" s="25" t="n">
        <x:v>26416</x:v>
      </x:c>
      <x:c r="E18" s="25" t="n">
        <x:v>8166</x:v>
      </x:c>
      <x:c r="F18" s="25" t="n">
        <x:f>D18-E18</x:f>
        <x:v>18250</x:v>
      </x:c>
      <x:c r="G18" s="25" t="n">
        <x:f>SUMIFS($F$7:$F$56,$A$7:$A$56,A18,$B$7:$B$56,"&lt;="&amp;B18)</x:f>
        <x:v>367990</x:v>
      </x:c>
      <x:c r="H18" s="25" t="n">
        <x:v>750</x:v>
      </x:c>
      <x:c r="I18" s="25" t="n">
        <x:v>19000</x:v>
      </x:c>
      <x:c r="J18" s="11" t="n">
        <x:v>3</x:v>
      </x:c>
      <x:c r="K18" s="11" t="n">
        <x:v>9</x:v>
      </x:c>
      <x:c r="L18" s="11" t="n">
        <x:v>5</x:v>
      </x:c>
      <x:c r="M18" s="13" t="str">
        <x:v>既知47場</x:v>
      </x:c>
      <x:c r="N18" s="12" t="n">
        <x:v>135.48333333333332</x:v>
      </x:c>
      <x:c r="O18" s="12" t="n">
        <x:v>36.95</x:v>
      </x:c>
    </x:row>
    <x:row r="19" ht="22" customHeight="1">
      <x:c r="A19" s="2" t="str">
        <x:v>C33</x:v>
      </x:c>
      <x:c r="B19" s="7" t="d">
        <x:v>2026-09-29T08:45:00.000Z</x:v>
      </x:c>
      <x:c r="C19" s="2" t="str">
        <x:v>デイ</x:v>
      </x:c>
      <x:c r="D19" s="25" t="n">
        <x:v>12583</x:v>
      </x:c>
      <x:c r="E19" s="25" t="n">
        <x:v>0</x:v>
      </x:c>
      <x:c r="F19" s="25" t="n">
        <x:f>D19-E19</x:f>
        <x:v>12583</x:v>
      </x:c>
      <x:c r="G19" s="25" t="n">
        <x:f>SUMIFS($F$7:$F$56,$A$7:$A$56,A19,$B$7:$B$56,"&lt;="&amp;B19)</x:f>
        <x:v>380573</x:v>
      </x:c>
      <x:c r="H19" s="25" t="n">
        <x:v>417</x:v>
      </x:c>
      <x:c r="I19" s="25" t="n">
        <x:v>13000</x:v>
      </x:c>
      <x:c r="J19" s="11" t="n">
        <x:v>1</x:v>
      </x:c>
      <x:c r="K19" s="11" t="n">
        <x:v>5</x:v>
      </x:c>
      <x:c r="L19" s="11" t="n">
        <x:v>5</x:v>
      </x:c>
      <x:c r="M19" s="13" t="str">
        <x:v>既知47場</x:v>
      </x:c>
      <x:c r="N19" s="12" t="n">
        <x:v>70.43333333333334</x:v>
      </x:c>
      <x:c r="O19" s="12" t="n">
        <x:v>334.48333333333335</x:v>
      </x:c>
    </x:row>
    <x:row r="20" ht="22" customHeight="1">
      <x:c r="A20" s="2" t="str">
        <x:v>C33</x:v>
      </x:c>
      <x:c r="B20" s="7" t="d">
        <x:v>2026-09-29T17:00:00.000Z</x:v>
      </x:c>
      <x:c r="C20" s="2" t="str">
        <x:v>ナイト</x:v>
      </x:c>
      <x:c r="D20" s="25" t="n">
        <x:v>22834</x:v>
      </x:c>
      <x:c r="E20" s="25" t="n">
        <x:v>9166</x:v>
      </x:c>
      <x:c r="F20" s="25" t="n">
        <x:f>D20-E20</x:f>
        <x:v>13668</x:v>
      </x:c>
      <x:c r="G20" s="25" t="n">
        <x:f>SUMIFS($F$7:$F$56,$A$7:$A$56,A20,$B$7:$B$56,"&lt;="&amp;B20)</x:f>
        <x:v>394241</x:v>
      </x:c>
      <x:c r="H20" s="25" t="n">
        <x:v>332</x:v>
      </x:c>
      <x:c r="I20" s="25" t="n">
        <x:v>14000</x:v>
      </x:c>
      <x:c r="J20" s="11" t="n">
        <x:v>2</x:v>
      </x:c>
      <x:c r="K20" s="11" t="n">
        <x:v>4</x:v>
      </x:c>
      <x:c r="L20" s="11" t="n">
        <x:v>2</x:v>
      </x:c>
      <x:c r="M20" s="13" t="str">
        <x:v>既知47場</x:v>
      </x:c>
      <x:c r="N20" s="12" t="n">
        <x:v>381.1333333333333</x:v>
      </x:c>
      <x:c r="O20" s="12" t="n">
        <x:v>43.583333333333336</x:v>
      </x:c>
    </x:row>
    <x:row r="21" ht="22" customHeight="1">
      <x:c r="A21" s="2" t="str">
        <x:v>C33</x:v>
      </x:c>
      <x:c r="B21" s="7" t="d">
        <x:v>2026-09-30T08:45:00.000Z</x:v>
      </x:c>
      <x:c r="C21" s="2" t="str">
        <x:v>デイ</x:v>
      </x:c>
      <x:c r="D21" s="25" t="n">
        <x:v>80917</x:v>
      </x:c>
      <x:c r="E21" s="25" t="n">
        <x:v>78002</x:v>
      </x:c>
      <x:c r="F21" s="25" t="n">
        <x:f>D21-E21</x:f>
        <x:v>2915</x:v>
      </x:c>
      <x:c r="G21" s="25" t="n">
        <x:f>SUMIFS($F$7:$F$56,$A$7:$A$56,A21,$B$7:$B$56,"&lt;="&amp;B21)</x:f>
        <x:v>397156</x:v>
      </x:c>
      <x:c r="H21" s="25" t="n">
        <x:v>1585</x:v>
      </x:c>
      <x:c r="I21" s="25" t="n">
        <x:v>4500</x:v>
      </x:c>
      <x:c r="J21" s="11" t="n">
        <x:v>5</x:v>
      </x:c>
      <x:c r="K21" s="11" t="n">
        <x:v>19</x:v>
      </x:c>
      <x:c r="L21" s="11" t="n">
        <x:v>5</x:v>
      </x:c>
      <x:c r="M21" s="13" t="str">
        <x:v>既知47場</x:v>
      </x:c>
      <x:c r="N21" s="12" t="n">
        <x:v>70.08333333333333</x:v>
      </x:c>
      <x:c r="O21" s="12" t="n">
        <x:v>162.26666666666668</x:v>
      </x:c>
    </x:row>
    <x:row r="22" ht="22" customHeight="1">
      <x:c r="A22" s="2" t="str">
        <x:v>C33</x:v>
      </x:c>
      <x:c r="B22" s="7" t="d">
        <x:v>2026-09-30T17:00:00.000Z</x:v>
      </x:c>
      <x:c r="C22" s="2" t="str">
        <x:v>ナイト</x:v>
      </x:c>
      <x:c r="D22" s="25" t="n">
        <x:v>28498</x:v>
      </x:c>
      <x:c r="E22" s="25" t="n">
        <x:v>15418</x:v>
      </x:c>
      <x:c r="F22" s="25" t="n">
        <x:f>D22-E22</x:f>
        <x:v>13080</x:v>
      </x:c>
      <x:c r="G22" s="25" t="n">
        <x:f>SUMIFS($F$7:$F$56,$A$7:$A$56,A22,$B$7:$B$56,"&lt;="&amp;B22)</x:f>
        <x:v>410236</x:v>
      </x:c>
      <x:c r="H22" s="25" t="n">
        <x:v>1420</x:v>
      </x:c>
      <x:c r="I22" s="25" t="n">
        <x:v>14500</x:v>
      </x:c>
      <x:c r="J22" s="11" t="n">
        <x:v>4</x:v>
      </x:c>
      <x:c r="K22" s="11" t="n">
        <x:v>17</x:v>
      </x:c>
      <x:c r="L22" s="11" t="n">
        <x:v>5</x:v>
      </x:c>
      <x:c r="M22" s="13" t="str">
        <x:v>既知47場</x:v>
      </x:c>
      <x:c r="N22" s="12" t="n">
        <x:v>368.18333333333334</x:v>
      </x:c>
      <x:c r="O22" s="12" t="n">
        <x:v>120.66666666666667</x:v>
      </x:c>
    </x:row>
    <x:row r="23" ht="22" customHeight="1">
      <x:c r="A23" s="2" t="str">
        <x:v>C33</x:v>
      </x:c>
      <x:c r="B23" s="7" t="d">
        <x:v>2026-10-01T08:45:00.000Z</x:v>
      </x:c>
      <x:c r="C23" s="2" t="str">
        <x:v>デイ</x:v>
      </x:c>
      <x:c r="D23" s="25" t="n">
        <x:v>94084</x:v>
      </x:c>
      <x:c r="E23" s="25" t="n">
        <x:v>8166</x:v>
      </x:c>
      <x:c r="F23" s="25" t="n">
        <x:f>D23-E23</x:f>
        <x:v>85918</x:v>
      </x:c>
      <x:c r="G23" s="25" t="n">
        <x:f>SUMIFS($F$7:$F$56,$A$7:$A$56,A23,$B$7:$B$56,"&lt;="&amp;B23)</x:f>
        <x:v>496154</x:v>
      </x:c>
      <x:c r="H23" s="25" t="n">
        <x:v>582</x:v>
      </x:c>
      <x:c r="I23" s="25" t="n">
        <x:v>86500</x:v>
      </x:c>
      <x:c r="J23" s="11" t="n">
        <x:v>2</x:v>
      </x:c>
      <x:c r="K23" s="11" t="n">
        <x:v>7</x:v>
      </x:c>
      <x:c r="L23" s="11" t="n">
        <x:v>5</x:v>
      </x:c>
      <x:c r="M23" s="13" t="str">
        <x:v>既知47場</x:v>
      </x:c>
      <x:c r="N23" s="12" t="n">
        <x:v>87.7</x:v>
      </x:c>
      <x:c r="O23" s="12" t="n">
        <x:v>216.85</x:v>
      </x:c>
    </x:row>
    <x:row r="24" ht="22" customHeight="1">
      <x:c r="A24" s="2" t="str">
        <x:v>C33</x:v>
      </x:c>
      <x:c r="B24" s="7" t="d">
        <x:v>2026-10-01T17:00:00.000Z</x:v>
      </x:c>
      <x:c r="C24" s="2" t="str">
        <x:v>ナイト</x:v>
      </x:c>
      <x:c r="D24" s="25" t="n">
        <x:v>69080</x:v>
      </x:c>
      <x:c r="E24" s="25" t="n">
        <x:v>45836</x:v>
      </x:c>
      <x:c r="F24" s="25" t="n">
        <x:f>D24-E24</x:f>
        <x:v>23244</x:v>
      </x:c>
      <x:c r="G24" s="25" t="n">
        <x:f>SUMIFS($F$7:$F$56,$A$7:$A$56,A24,$B$7:$B$56,"&lt;="&amp;B24)</x:f>
        <x:v>519398</x:v>
      </x:c>
      <x:c r="H24" s="25" t="n">
        <x:v>2256</x:v>
      </x:c>
      <x:c r="I24" s="25" t="n">
        <x:v>25500</x:v>
      </x:c>
      <x:c r="J24" s="11" t="n">
        <x:v>6</x:v>
      </x:c>
      <x:c r="K24" s="11" t="n">
        <x:v>27</x:v>
      </x:c>
      <x:c r="L24" s="11" t="n">
        <x:v>5</x:v>
      </x:c>
      <x:c r="M24" s="13" t="str">
        <x:v>既知47場</x:v>
      </x:c>
      <x:c r="N24" s="12" t="n">
        <x:v>127.45</x:v>
      </x:c>
      <x:c r="O24" s="12" t="n">
        <x:v>105.16666666666667</x:v>
      </x:c>
    </x:row>
    <x:row r="25" ht="22" customHeight="1">
      <x:c r="A25" s="2" t="str">
        <x:v>C33</x:v>
      </x:c>
      <x:c r="B25" s="7" t="d">
        <x:v>2026-10-02T08:45:00.000Z</x:v>
      </x:c>
      <x:c r="C25" s="2" t="str">
        <x:v>デイ</x:v>
      </x:c>
      <x:c r="D25" s="25" t="n">
        <x:v>6834</x:v>
      </x:c>
      <x:c r="E25" s="25" t="n">
        <x:v>37084</x:v>
      </x:c>
      <x:c r="F25" s="25" t="n">
        <x:f>D25-E25</x:f>
        <x:v>-30250</x:v>
      </x:c>
      <x:c r="G25" s="25" t="n">
        <x:f>SUMIFS($F$7:$F$56,$A$7:$A$56,A25,$B$7:$B$56,"&lt;="&amp;B25)</x:f>
        <x:v>489148</x:v>
      </x:c>
      <x:c r="H25" s="25" t="n">
        <x:v>750</x:v>
      </x:c>
      <x:c r="I25" s="25" t="n">
        <x:v>-29500</x:v>
      </x:c>
      <x:c r="J25" s="11" t="n">
        <x:v>3</x:v>
      </x:c>
      <x:c r="K25" s="11" t="n">
        <x:v>9</x:v>
      </x:c>
      <x:c r="L25" s="11" t="n">
        <x:v>5</x:v>
      </x:c>
      <x:c r="M25" s="13" t="str">
        <x:v>既知47場</x:v>
      </x:c>
      <x:c r="N25" s="12" t="n">
        <x:v>68.03333333333333</x:v>
      </x:c>
      <x:c r="O25" s="12" t="n">
        <x:v>207.2</x:v>
      </x:c>
    </x:row>
    <x:row r="26" ht="22" customHeight="1">
      <x:c r="A26" s="2" t="str">
        <x:v>C33</x:v>
      </x:c>
      <x:c r="B26" s="7" t="d">
        <x:v>2026-10-02T17:00:00.000Z</x:v>
      </x:c>
      <x:c r="C26" s="2" t="str">
        <x:v>ナイト</x:v>
      </x:c>
      <x:c r="D26" s="25" t="n">
        <x:v>100916</x:v>
      </x:c>
      <x:c r="E26" s="25" t="n">
        <x:v>67668</x:v>
      </x:c>
      <x:c r="F26" s="25" t="n">
        <x:f>D26-E26</x:f>
        <x:v>33248</x:v>
      </x:c>
      <x:c r="G26" s="25" t="n">
        <x:f>SUMIFS($F$7:$F$56,$A$7:$A$56,A26,$B$7:$B$56,"&lt;="&amp;B26)</x:f>
        <x:v>522396</x:v>
      </x:c>
      <x:c r="H26" s="25" t="n">
        <x:v>1752</x:v>
      </x:c>
      <x:c r="I26" s="25" t="n">
        <x:v>35000</x:v>
      </x:c>
      <x:c r="J26" s="11" t="n">
        <x:v>6</x:v>
      </x:c>
      <x:c r="K26" s="11" t="n">
        <x:v>21</x:v>
      </x:c>
      <x:c r="L26" s="11" t="n">
        <x:v>5</x:v>
      </x:c>
      <x:c r="M26" s="13" t="str">
        <x:v>既知47場</x:v>
      </x:c>
      <x:c r="N26" s="12" t="n">
        <x:v>103.81666666666666</x:v>
      </x:c>
      <x:c r="O26" s="12" t="n">
        <x:v>76.71666666666667</x:v>
      </x:c>
    </x:row>
    <x:row r="27" ht="22" customHeight="1">
      <x:c r="A27" s="2" t="str">
        <x:v>C33</x:v>
      </x:c>
      <x:c r="B27" s="7" t="d">
        <x:v>2026-10-05T08:45:00.000Z</x:v>
      </x:c>
      <x:c r="C27" s="2" t="str">
        <x:v>デイ</x:v>
      </x:c>
      <x:c r="D27" s="25" t="n">
        <x:v>33251</x:v>
      </x:c>
      <x:c r="E27" s="25" t="n">
        <x:v>33336</x:v>
      </x:c>
      <x:c r="F27" s="25" t="n">
        <x:f>D27-E27</x:f>
        <x:v>-85</x:v>
      </x:c>
      <x:c r="G27" s="25" t="n">
        <x:f>SUMIFS($F$7:$F$56,$A$7:$A$56,A27,$B$7:$B$56,"&lt;="&amp;B27)</x:f>
        <x:v>522311</x:v>
      </x:c>
      <x:c r="H27" s="25" t="n">
        <x:v>1585</x:v>
      </x:c>
      <x:c r="I27" s="25" t="n">
        <x:v>1500</x:v>
      </x:c>
      <x:c r="J27" s="11" t="n">
        <x:v>5</x:v>
      </x:c>
      <x:c r="K27" s="11" t="n">
        <x:v>19</x:v>
      </x:c>
      <x:c r="L27" s="11" t="n">
        <x:v>5</x:v>
      </x:c>
      <x:c r="M27" s="13" t="str">
        <x:v>既知47場</x:v>
      </x:c>
      <x:c r="N27" s="12" t="n">
        <x:v>81.33333333333333</x:v>
      </x:c>
      <x:c r="O27" s="12" t="n">
        <x:v>178.61666666666667</x:v>
      </x:c>
    </x:row>
    <x:row r="28" ht="22" customHeight="1">
      <x:c r="A28" s="2" t="str">
        <x:v>C33</x:v>
      </x:c>
      <x:c r="B28" s="7" t="d">
        <x:v>2026-10-05T17:00:00.000Z</x:v>
      </x:c>
      <x:c r="C28" s="2" t="str">
        <x:v>ナイト</x:v>
      </x:c>
      <x:c r="D28" s="25" t="n">
        <x:v>9668</x:v>
      </x:c>
      <x:c r="E28" s="25" t="n">
        <x:v>53754</x:v>
      </x:c>
      <x:c r="F28" s="25" t="n">
        <x:f>D28-E28</x:f>
        <x:v>-44086</x:v>
      </x:c>
      <x:c r="G28" s="25" t="n">
        <x:f>SUMIFS($F$7:$F$56,$A$7:$A$56,A28,$B$7:$B$56,"&lt;="&amp;B28)</x:f>
        <x:v>478225</x:v>
      </x:c>
      <x:c r="H28" s="25" t="n">
        <x:v>1586</x:v>
      </x:c>
      <x:c r="I28" s="25" t="n">
        <x:v>-42500</x:v>
      </x:c>
      <x:c r="J28" s="11" t="n">
        <x:v>5</x:v>
      </x:c>
      <x:c r="K28" s="11" t="n">
        <x:v>19</x:v>
      </x:c>
      <x:c r="L28" s="11" t="n">
        <x:v>5</x:v>
      </x:c>
      <x:c r="M28" s="13" t="str">
        <x:v>既知47場</x:v>
      </x:c>
      <x:c r="N28" s="12" t="n">
        <x:v>49.28333333333333</x:v>
      </x:c>
      <x:c r="O28" s="12" t="n">
        <x:v>216.03333333333333</x:v>
      </x:c>
    </x:row>
    <x:row r="29" ht="22" customHeight="1">
      <x:c r="A29" s="2" t="str">
        <x:v>C33</x:v>
      </x:c>
      <x:c r="B29" s="7" t="d">
        <x:v>2026-10-06T08:45:00.000Z</x:v>
      </x:c>
      <x:c r="C29" s="2" t="str">
        <x:v>デイ</x:v>
      </x:c>
      <x:c r="D29" s="25" t="n">
        <x:v>12502</x:v>
      </x:c>
      <x:c r="E29" s="25" t="n">
        <x:v>53582</x:v>
      </x:c>
      <x:c r="F29" s="25" t="n">
        <x:f>D29-E29</x:f>
        <x:v>-41080</x:v>
      </x:c>
      <x:c r="G29" s="25" t="n">
        <x:f>SUMIFS($F$7:$F$56,$A$7:$A$56,A29,$B$7:$B$56,"&lt;="&amp;B29)</x:f>
        <x:v>437145</x:v>
      </x:c>
      <x:c r="H29" s="25" t="n">
        <x:v>1580</x:v>
      </x:c>
      <x:c r="I29" s="25" t="n">
        <x:v>-39500</x:v>
      </x:c>
      <x:c r="J29" s="11" t="n">
        <x:v>8</x:v>
      </x:c>
      <x:c r="K29" s="11" t="n">
        <x:v>19</x:v>
      </x:c>
      <x:c r="L29" s="11" t="n">
        <x:v>5</x:v>
      </x:c>
      <x:c r="M29" s="13" t="str">
        <x:v>既知47場</x:v>
      </x:c>
      <x:c r="N29" s="12" t="n">
        <x:v>49.166666666666664</x:v>
      </x:c>
      <x:c r="O29" s="12" t="n">
        <x:v>119.63333333333334</x:v>
      </x:c>
    </x:row>
    <x:row r="30" ht="22" customHeight="1">
      <x:c r="A30" s="2" t="str">
        <x:v>C33</x:v>
      </x:c>
      <x:c r="B30" s="7" t="d">
        <x:v>2026-10-06T17:00:00.000Z</x:v>
      </x:c>
      <x:c r="C30" s="2" t="str">
        <x:v>ナイト</x:v>
      </x:c>
      <x:c r="D30" s="25" t="n">
        <x:v>0</x:v>
      </x:c>
      <x:c r="E30" s="25" t="n">
        <x:v>40836</x:v>
      </x:c>
      <x:c r="F30" s="25" t="n">
        <x:f>D30-E30</x:f>
        <x:v>-40836</x:v>
      </x:c>
      <x:c r="G30" s="25" t="n">
        <x:f>SUMIFS($F$7:$F$56,$A$7:$A$56,A30,$B$7:$B$56,"&lt;="&amp;B30)</x:f>
        <x:v>396309</x:v>
      </x:c>
      <x:c r="H30" s="25" t="n">
        <x:v>836</x:v>
      </x:c>
      <x:c r="I30" s="25" t="n">
        <x:v>-40000</x:v>
      </x:c>
      <x:c r="J30" s="11" t="n">
        <x:v>2</x:v>
      </x:c>
      <x:c r="K30" s="11" t="n">
        <x:v>10</x:v>
      </x:c>
      <x:c r="L30" s="11" t="n">
        <x:v>5</x:v>
      </x:c>
      <x:c r="M30" s="13" t="str">
        <x:v>既知47場</x:v>
      </x:c>
      <x:c r="N30" s="12" t="n">
        <x:v>367.5</x:v>
      </x:c>
      <x:c r="O30" s="12" t="n">
        <x:v>23.283333333333335</x:v>
      </x:c>
    </x:row>
    <x:row r="31" ht="22" customHeight="1">
      <x:c r="A31" s="2" t="str">
        <x:v>C33</x:v>
      </x:c>
      <x:c r="B31" s="7" t="d">
        <x:v>2026-10-07T08:45:00.000Z</x:v>
      </x:c>
      <x:c r="C31" s="2" t="str">
        <x:v>デイ</x:v>
      </x:c>
      <x:c r="D31" s="25" t="n">
        <x:v>80751</x:v>
      </x:c>
      <x:c r="E31" s="25" t="n">
        <x:v>0</x:v>
      </x:c>
      <x:c r="F31" s="25" t="n">
        <x:f>D31-E31</x:f>
        <x:v>80751</x:v>
      </x:c>
      <x:c r="G31" s="25" t="n">
        <x:f>SUMIFS($F$7:$F$56,$A$7:$A$56,A31,$B$7:$B$56,"&lt;="&amp;B31)</x:f>
        <x:v>477060</x:v>
      </x:c>
      <x:c r="H31" s="25" t="n">
        <x:v>749</x:v>
      </x:c>
      <x:c r="I31" s="25" t="n">
        <x:v>81500</x:v>
      </x:c>
      <x:c r="J31" s="11" t="n">
        <x:v>3</x:v>
      </x:c>
      <x:c r="K31" s="11" t="n">
        <x:v>9</x:v>
      </x:c>
      <x:c r="L31" s="11" t="n">
        <x:v>5</x:v>
      </x:c>
      <x:c r="M31" s="13" t="str">
        <x:v>既知47場</x:v>
      </x:c>
      <x:c r="N31" s="12" t="n">
        <x:v>70.5</x:v>
      </x:c>
      <x:c r="O31" s="12" t="n">
        <x:v>194.3</x:v>
      </x:c>
    </x:row>
    <x:row r="32" ht="22" customHeight="1">
      <x:c r="A32" s="2" t="str">
        <x:v>C33</x:v>
      </x:c>
      <x:c r="B32" s="7" t="d">
        <x:v>2026-10-07T17:00:00.000Z</x:v>
      </x:c>
      <x:c r="C32" s="2" t="str">
        <x:v>ナイト</x:v>
      </x:c>
      <x:c r="D32" s="25" t="n">
        <x:v>23250</x:v>
      </x:c>
      <x:c r="E32" s="25" t="n">
        <x:v>22332</x:v>
      </x:c>
      <x:c r="F32" s="25" t="n">
        <x:f>D32-E32</x:f>
        <x:v>918</x:v>
      </x:c>
      <x:c r="G32" s="25" t="n">
        <x:f>SUMIFS($F$7:$F$56,$A$7:$A$56,A32,$B$7:$B$56,"&lt;="&amp;B32)</x:f>
        <x:v>477978</x:v>
      </x:c>
      <x:c r="H32" s="25" t="n">
        <x:v>1082</x:v>
      </x:c>
      <x:c r="I32" s="25" t="n">
        <x:v>2000</x:v>
      </x:c>
      <x:c r="J32" s="11" t="n">
        <x:v>5</x:v>
      </x:c>
      <x:c r="K32" s="11" t="n">
        <x:v>13</x:v>
      </x:c>
      <x:c r="L32" s="11" t="n">
        <x:v>5</x:v>
      </x:c>
      <x:c r="M32" s="13" t="str">
        <x:v>既知47場</x:v>
      </x:c>
      <x:c r="N32" s="12" t="n">
        <x:v>263.9166666666667</x:v>
      </x:c>
      <x:c r="O32" s="12" t="n">
        <x:v>68.88333333333334</x:v>
      </x:c>
    </x:row>
    <x:row r="33" ht="22" customHeight="1">
      <x:c r="A33" s="2" t="str">
        <x:v>C33</x:v>
      </x:c>
      <x:c r="B33" s="7" t="d">
        <x:v>2026-10-08T08:45:00.000Z</x:v>
      </x:c>
      <x:c r="C33" s="2" t="str">
        <x:v>デイ</x:v>
      </x:c>
      <x:c r="D33" s="25" t="n">
        <x:v>94669</x:v>
      </x:c>
      <x:c r="E33" s="25" t="n">
        <x:v>32584</x:v>
      </x:c>
      <x:c r="F33" s="25" t="n">
        <x:f>D33-E33</x:f>
        <x:v>62085</x:v>
      </x:c>
      <x:c r="G33" s="25" t="n">
        <x:f>SUMIFS($F$7:$F$56,$A$7:$A$56,A33,$B$7:$B$56,"&lt;="&amp;B33)</x:f>
        <x:v>540063</x:v>
      </x:c>
      <x:c r="H33" s="25" t="n">
        <x:v>1915</x:v>
      </x:c>
      <x:c r="I33" s="25" t="n">
        <x:v>64000</x:v>
      </x:c>
      <x:c r="J33" s="11" t="n">
        <x:v>7</x:v>
      </x:c>
      <x:c r="K33" s="11" t="n">
        <x:v>23</x:v>
      </x:c>
      <x:c r="L33" s="11" t="n">
        <x:v>5</x:v>
      </x:c>
      <x:c r="M33" s="13" t="str">
        <x:v>既知47場</x:v>
      </x:c>
      <x:c r="N33" s="12" t="n">
        <x:v>68.13333333333334</x:v>
      </x:c>
      <x:c r="O33" s="12" t="n">
        <x:v>115.66666666666667</x:v>
      </x:c>
    </x:row>
    <x:row r="34" ht="22" customHeight="1">
      <x:c r="A34" s="2" t="str">
        <x:v>C33</x:v>
      </x:c>
      <x:c r="B34" s="7" t="d">
        <x:v>2026-10-08T17:00:00.000Z</x:v>
      </x:c>
      <x:c r="C34" s="2" t="str">
        <x:v>ナイト</x:v>
      </x:c>
      <x:c r="D34" s="25" t="n">
        <x:v>41584</x:v>
      </x:c>
      <x:c r="E34" s="25" t="n">
        <x:v>17918</x:v>
      </x:c>
      <x:c r="F34" s="25" t="n">
        <x:f>D34-E34</x:f>
        <x:v>23666</x:v>
      </x:c>
      <x:c r="G34" s="25" t="n">
        <x:f>SUMIFS($F$7:$F$56,$A$7:$A$56,A34,$B$7:$B$56,"&lt;="&amp;B34)</x:f>
        <x:v>563729</x:v>
      </x:c>
      <x:c r="H34" s="25" t="n">
        <x:v>1334</x:v>
      </x:c>
      <x:c r="I34" s="25" t="n">
        <x:v>25000</x:v>
      </x:c>
      <x:c r="J34" s="11" t="n">
        <x:v>5</x:v>
      </x:c>
      <x:c r="K34" s="11" t="n">
        <x:v>16</x:v>
      </x:c>
      <x:c r="L34" s="11" t="n">
        <x:v>5</x:v>
      </x:c>
      <x:c r="M34" s="13" t="str">
        <x:v>既知47場</x:v>
      </x:c>
      <x:c r="N34" s="12" t="n">
        <x:v>288.85</x:v>
      </x:c>
      <x:c r="O34" s="12" t="n">
        <x:v>86.95</x:v>
      </x:c>
    </x:row>
    <x:row r="35" ht="22" customHeight="1">
      <x:c r="A35" s="2" t="str">
        <x:v>C33</x:v>
      </x:c>
      <x:c r="B35" s="7" t="d">
        <x:v>2026-10-09T08:45:00.000Z</x:v>
      </x:c>
      <x:c r="C35" s="2" t="str">
        <x:v>デイ</x:v>
      </x:c>
      <x:c r="D35" s="25" t="n">
        <x:v>69084</x:v>
      </x:c>
      <x:c r="E35" s="25" t="n">
        <x:v>30418</x:v>
      </x:c>
      <x:c r="F35" s="25" t="n">
        <x:f>D35-E35</x:f>
        <x:v>38666</x:v>
      </x:c>
      <x:c r="G35" s="25" t="n">
        <x:f>SUMIFS($F$7:$F$56,$A$7:$A$56,A35,$B$7:$B$56,"&lt;="&amp;B35)</x:f>
        <x:v>602395</x:v>
      </x:c>
      <x:c r="H35" s="25" t="n">
        <x:v>834</x:v>
      </x:c>
      <x:c r="I35" s="25" t="n">
        <x:v>39500</x:v>
      </x:c>
      <x:c r="J35" s="11" t="n">
        <x:v>2</x:v>
      </x:c>
      <x:c r="K35" s="11" t="n">
        <x:v>10</x:v>
      </x:c>
      <x:c r="L35" s="11" t="n">
        <x:v>5</x:v>
      </x:c>
      <x:c r="M35" s="13" t="str">
        <x:v>既知47場</x:v>
      </x:c>
      <x:c r="N35" s="12" t="n">
        <x:v>85.61666666666666</x:v>
      </x:c>
      <x:c r="O35" s="12" t="n">
        <x:v>292.01666666666665</x:v>
      </x:c>
    </x:row>
    <x:row r="36" ht="22" customHeight="1">
      <x:c r="A36" s="2" t="str">
        <x:v>C33</x:v>
      </x:c>
      <x:c r="B36" s="7" t="d">
        <x:v>2026-10-09T17:00:00.000Z</x:v>
      </x:c>
      <x:c r="C36" s="2" t="str">
        <x:v>ナイト</x:v>
      </x:c>
      <x:c r="D36" s="25" t="n">
        <x:v>14582</x:v>
      </x:c>
      <x:c r="E36" s="25" t="n">
        <x:v>0</x:v>
      </x:c>
      <x:c r="F36" s="25" t="n">
        <x:f>D36-E36</x:f>
        <x:v>14582</x:v>
      </x:c>
      <x:c r="G36" s="25" t="n">
        <x:f>SUMIFS($F$7:$F$56,$A$7:$A$56,A36,$B$7:$B$56,"&lt;="&amp;B36)</x:f>
        <x:v>616977</x:v>
      </x:c>
      <x:c r="H36" s="25" t="n">
        <x:v>418</x:v>
      </x:c>
      <x:c r="I36" s="25" t="n">
        <x:v>15000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450</x:v>
      </x:c>
      <x:c r="O36" s="12" t="n">
        <x:v>52.56666666666667</x:v>
      </x:c>
    </x:row>
    <x:row r="37" ht="22" customHeight="1">
      <x:c r="A37" s="2" t="str">
        <x:v>C33</x:v>
      </x:c>
      <x:c r="B37" s="7" t="d">
        <x:v>2026-10-12T08:45:00.000Z</x:v>
      </x:c>
      <x:c r="C37" s="2" t="str">
        <x:v>デイ</x:v>
      </x:c>
      <x:c r="D37" s="25" t="n">
        <x:v>19582</x:v>
      </x:c>
      <x:c r="E37" s="25" t="n">
        <x:v>0</x:v>
      </x:c>
      <x:c r="F37" s="25" t="n">
        <x:f>D37-E37</x:f>
        <x:v>19582</x:v>
      </x:c>
      <x:c r="G37" s="25" t="n">
        <x:f>SUMIFS($F$7:$F$56,$A$7:$A$56,A37,$B$7:$B$56,"&lt;="&amp;B37)</x:f>
        <x:v>636559</x:v>
      </x:c>
      <x:c r="H37" s="25" t="n">
        <x:v>418</x:v>
      </x:c>
      <x:c r="I37" s="25" t="n">
        <x:v>20000</x:v>
      </x:c>
      <x:c r="J37" s="11" t="n">
        <x:v>1</x:v>
      </x:c>
      <x:c r="K37" s="11" t="n">
        <x:v>5</x:v>
      </x:c>
      <x:c r="L37" s="11" t="n">
        <x:v>5</x:v>
      </x:c>
      <x:c r="M37" s="13" t="str">
        <x:v>既知47場</x:v>
      </x:c>
      <x:c r="N37" s="12" t="n">
        <x:v>256</x:v>
      </x:c>
      <x:c r="O37" s="12" t="n">
        <x:v>107</x:v>
      </x:c>
    </x:row>
    <x:row r="38" ht="22" customHeight="1">
      <x:c r="A38" s="2" t="str">
        <x:v>C33</x:v>
      </x:c>
      <x:c r="B38" s="7" t="d">
        <x:v>2026-10-12T17:00:00.000Z</x:v>
      </x:c>
      <x:c r="C38" s="2" t="str">
        <x:v>ナイト</x:v>
      </x:c>
      <x:c r="D38" s="25" t="n">
        <x:v>2082</x:v>
      </x:c>
      <x:c r="E38" s="25" t="n">
        <x:v>0</x:v>
      </x:c>
      <x:c r="F38" s="25" t="n">
        <x:f>D38-E38</x:f>
        <x:v>2082</x:v>
      </x:c>
      <x:c r="G38" s="25" t="n">
        <x:f>SUMIFS($F$7:$F$56,$A$7:$A$56,A38,$B$7:$B$56,"&lt;="&amp;B38)</x:f>
        <x:v>638641</x:v>
      </x:c>
      <x:c r="H38" s="25" t="n">
        <x:v>418</x:v>
      </x:c>
      <x:c r="I38" s="25" t="n">
        <x:v>2500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369.23333333333335</x:v>
      </x:c>
      <x:c r="O38" s="12" t="n">
        <x:v>4.55</x:v>
      </x:c>
    </x:row>
    <x:row r="39" ht="22" customHeight="1">
      <x:c r="A39" s="2" t="str">
        <x:v>C33</x:v>
      </x:c>
      <x:c r="B39" s="7" t="d">
        <x:v>2026-10-13T08:45:00.000Z</x:v>
      </x:c>
      <x:c r="C39" s="2" t="str">
        <x:v>デイ</x:v>
      </x:c>
      <x:c r="D39" s="25" t="n">
        <x:v>43084</x:v>
      </x:c>
      <x:c r="E39" s="25" t="n">
        <x:v>42918</x:v>
      </x:c>
      <x:c r="F39" s="25" t="n">
        <x:f>D39-E39</x:f>
        <x:v>166</x:v>
      </x:c>
      <x:c r="G39" s="25" t="n">
        <x:f>SUMIFS($F$7:$F$56,$A$7:$A$56,A39,$B$7:$B$56,"&lt;="&amp;B39)</x:f>
        <x:v>638807</x:v>
      </x:c>
      <x:c r="H39" s="25" t="n">
        <x:v>834</x:v>
      </x:c>
      <x:c r="I39" s="25" t="n">
        <x:v>1000</x:v>
      </x:c>
      <x:c r="J39" s="11" t="n">
        <x:v>2</x:v>
      </x:c>
      <x:c r="K39" s="11" t="n">
        <x:v>10</x:v>
      </x:c>
      <x:c r="L39" s="11" t="n">
        <x:v>5</x:v>
      </x:c>
      <x:c r="M39" s="13" t="str">
        <x:v>既知47場</x:v>
      </x:c>
      <x:c r="N39" s="12" t="n">
        <x:v>66.41666666666667</x:v>
      </x:c>
      <x:c r="O39" s="12" t="n">
        <x:v>307.93333333333334</x:v>
      </x:c>
    </x:row>
    <x:row r="40" ht="22" customHeight="1">
      <x:c r="A40" s="2" t="str">
        <x:v>C33</x:v>
      </x:c>
      <x:c r="B40" s="7" t="d">
        <x:v>2026-10-13T17:00:00.000Z</x:v>
      </x:c>
      <x:c r="C40" s="2" t="str">
        <x:v>ナイト</x:v>
      </x:c>
      <x:c r="D40" s="25" t="n">
        <x:v>4582</x:v>
      </x:c>
      <x:c r="E40" s="25" t="n">
        <x:v>0</x:v>
      </x:c>
      <x:c r="F40" s="25" t="n">
        <x:f>D40-E40</x:f>
        <x:v>4582</x:v>
      </x:c>
      <x:c r="G40" s="25" t="n">
        <x:f>SUMIFS($F$7:$F$56,$A$7:$A$56,A40,$B$7:$B$56,"&lt;="&amp;B40)</x:f>
        <x:v>643389</x:v>
      </x:c>
      <x:c r="H40" s="25" t="n">
        <x:v>418</x:v>
      </x:c>
      <x:c r="I40" s="25" t="n">
        <x:v>5000</x:v>
      </x:c>
      <x:c r="J40" s="11" t="n">
        <x:v>1</x:v>
      </x:c>
      <x:c r="K40" s="11" t="n">
        <x:v>5</x:v>
      </x:c>
      <x:c r="L40" s="11" t="n">
        <x:v>5</x:v>
      </x:c>
      <x:c r="M40" s="13" t="str">
        <x:v>既知47場</x:v>
      </x:c>
      <x:c r="N40" s="12" t="n">
        <x:v>362.95</x:v>
      </x:c>
      <x:c r="O40" s="12" t="n">
        <x:v>60.78333333333333</x:v>
      </x:c>
    </x:row>
    <x:row r="41" ht="22" customHeight="1">
      <x:c r="A41" s="2" t="str">
        <x:v>C33</x:v>
      </x:c>
      <x:c r="B41" s="7" t="d">
        <x:v>2026-10-14T08:45:00.000Z</x:v>
      </x:c>
      <x:c r="C41" s="2" t="str">
        <x:v>デイ</x:v>
      </x:c>
      <x:c r="D41" s="25" t="n">
        <x:v>18419</x:v>
      </x:c>
      <x:c r="E41" s="25" t="n">
        <x:v>17918</x:v>
      </x:c>
      <x:c r="F41" s="25" t="n">
        <x:f>D41-E41</x:f>
        <x:v>501</x:v>
      </x:c>
      <x:c r="G41" s="25" t="n">
        <x:f>SUMIFS($F$7:$F$56,$A$7:$A$56,A41,$B$7:$B$56,"&lt;="&amp;B41)</x:f>
        <x:v>643890</x:v>
      </x:c>
      <x:c r="H41" s="25" t="n">
        <x:v>1499</x:v>
      </x:c>
      <x:c r="I41" s="25" t="n">
        <x:v>2000</x:v>
      </x:c>
      <x:c r="J41" s="11" t="n">
        <x:v>6</x:v>
      </x:c>
      <x:c r="K41" s="11" t="n">
        <x:v>18</x:v>
      </x:c>
      <x:c r="L41" s="11" t="n">
        <x:v>5</x:v>
      </x:c>
      <x:c r="M41" s="13" t="str">
        <x:v>既知47場</x:v>
      </x:c>
      <x:c r="N41" s="12" t="n">
        <x:v>44.916666666666664</x:v>
      </x:c>
      <x:c r="O41" s="12" t="n">
        <x:v>285.0833333333333</x:v>
      </x:c>
    </x:row>
    <x:row r="42" ht="22" customHeight="1">
      <x:c r="A42" s="2" t="str">
        <x:v>C33</x:v>
      </x:c>
      <x:c r="B42" s="7" t="d">
        <x:v>2026-10-14T17:00:00.000Z</x:v>
      </x:c>
      <x:c r="C42" s="2" t="str">
        <x:v>ナイト</x:v>
      </x:c>
      <x:c r="D42" s="25" t="n">
        <x:v>64164</x:v>
      </x:c>
      <x:c r="E42" s="25" t="n">
        <x:v>63754</x:v>
      </x:c>
      <x:c r="F42" s="25" t="n">
        <x:f>D42-E42</x:f>
        <x:v>410</x:v>
      </x:c>
      <x:c r="G42" s="25" t="n">
        <x:f>SUMIFS($F$7:$F$56,$A$7:$A$56,A42,$B$7:$B$56,"&lt;="&amp;B42)</x:f>
        <x:v>644300</x:v>
      </x:c>
      <x:c r="H42" s="25" t="n">
        <x:v>2090</x:v>
      </x:c>
      <x:c r="I42" s="25" t="n">
        <x:v>2500</x:v>
      </x:c>
      <x:c r="J42" s="11" t="n">
        <x:v>5</x:v>
      </x:c>
      <x:c r="K42" s="11" t="n">
        <x:v>25</x:v>
      </x:c>
      <x:c r="L42" s="11" t="n">
        <x:v>5</x:v>
      </x:c>
      <x:c r="M42" s="13" t="str">
        <x:v>既知47場</x:v>
      </x:c>
      <x:c r="N42" s="12" t="n">
        <x:v>360.01666666666665</x:v>
      </x:c>
      <x:c r="O42" s="12" t="n">
        <x:v>152.31666666666666</x:v>
      </x:c>
    </x:row>
    <x:row r="43" ht="22" customHeight="1">
      <x:c r="A43" s="2" t="str">
        <x:v>C33</x:v>
      </x:c>
      <x:c r="B43" s="7" t="d">
        <x:v>2026-10-15T08:45:00.000Z</x:v>
      </x:c>
      <x:c r="C43" s="2" t="str">
        <x:v>デイ</x:v>
      </x:c>
      <x:c r="D43" s="25" t="n">
        <x:v>139917</x:v>
      </x:c>
      <x:c r="E43" s="25" t="n">
        <x:v>52502</x:v>
      </x:c>
      <x:c r="F43" s="25" t="n">
        <x:f>D43-E43</x:f>
        <x:v>87415</x:v>
      </x:c>
      <x:c r="G43" s="25" t="n">
        <x:f>SUMIFS($F$7:$F$56,$A$7:$A$56,A43,$B$7:$B$56,"&lt;="&amp;B43)</x:f>
        <x:v>731715</x:v>
      </x:c>
      <x:c r="H43" s="25" t="n">
        <x:v>1585</x:v>
      </x:c>
      <x:c r="I43" s="25" t="n">
        <x:v>89000</x:v>
      </x:c>
      <x:c r="J43" s="11" t="n">
        <x:v>5</x:v>
      </x:c>
      <x:c r="K43" s="11" t="n">
        <x:v>19</x:v>
      </x:c>
      <x:c r="L43" s="11" t="n">
        <x:v>5</x:v>
      </x:c>
      <x:c r="M43" s="13" t="str">
        <x:v>既知47場</x:v>
      </x:c>
      <x:c r="N43" s="12" t="n">
        <x:v>67.7</x:v>
      </x:c>
      <x:c r="O43" s="12" t="n">
        <x:v>234.36666666666667</x:v>
      </x:c>
    </x:row>
    <x:row r="44" ht="22" customHeight="1">
      <x:c r="A44" s="2" t="str">
        <x:v>C33</x:v>
      </x:c>
      <x:c r="B44" s="7" t="d">
        <x:v>2026-10-15T17:00:00.000Z</x:v>
      </x:c>
      <x:c r="C44" s="2" t="str">
        <x:v>ナイト</x:v>
      </x:c>
      <x:c r="D44" s="25" t="n">
        <x:v>80498</x:v>
      </x:c>
      <x:c r="E44" s="25" t="n">
        <x:v>52920</x:v>
      </x:c>
      <x:c r="F44" s="25" t="n">
        <x:f>D44-E44</x:f>
        <x:v>27578</x:v>
      </x:c>
      <x:c r="G44" s="25" t="n">
        <x:f>SUMIFS($F$7:$F$56,$A$7:$A$56,A44,$B$7:$B$56,"&lt;="&amp;B44)</x:f>
        <x:v>759293</x:v>
      </x:c>
      <x:c r="H44" s="25" t="n">
        <x:v>2422</x:v>
      </x:c>
      <x:c r="I44" s="25" t="n">
        <x:v>30000</x:v>
      </x:c>
      <x:c r="J44" s="11" t="n">
        <x:v>7</x:v>
      </x:c>
      <x:c r="K44" s="11" t="n">
        <x:v>29</x:v>
      </x:c>
      <x:c r="L44" s="11" t="n">
        <x:v>5</x:v>
      </x:c>
      <x:c r="M44" s="13" t="str">
        <x:v>既知47場</x:v>
      </x:c>
      <x:c r="N44" s="12" t="n">
        <x:v>361.3333333333333</x:v>
      </x:c>
      <x:c r="O44" s="12" t="n">
        <x:v>113.58333333333333</x:v>
      </x:c>
    </x:row>
    <x:row r="45" ht="22" customHeight="1">
      <x:c r="A45" s="2" t="str">
        <x:v>C33</x:v>
      </x:c>
      <x:c r="B45" s="7" t="d">
        <x:v>2026-10-16T08:45:00.000Z</x:v>
      </x:c>
      <x:c r="C45" s="2" t="str">
        <x:v>デイ</x:v>
      </x:c>
      <x:c r="D45" s="25" t="n">
        <x:v>0</x:v>
      </x:c>
      <x:c r="E45" s="25" t="n">
        <x:v>16166</x:v>
      </x:c>
      <x:c r="F45" s="25" t="n">
        <x:f>D45-E45</x:f>
        <x:v>-16166</x:v>
      </x:c>
      <x:c r="G45" s="25" t="n">
        <x:f>SUMIFS($F$7:$F$56,$A$7:$A$56,A45,$B$7:$B$56,"&lt;="&amp;B45)</x:f>
        <x:v>743127</x:v>
      </x:c>
      <x:c r="H45" s="25" t="n">
        <x:v>166</x:v>
      </x:c>
      <x:c r="I45" s="25" t="n">
        <x:v>-16000</x:v>
      </x:c>
      <x:c r="J45" s="11" t="n">
        <x:v>1</x:v>
      </x:c>
      <x:c r="K45" s="11" t="n">
        <x:v>2</x:v>
      </x:c>
      <x:c r="L45" s="11" t="n">
        <x:v>2</x:v>
      </x:c>
      <x:c r="M45" s="13" t="str">
        <x:v>既知47場</x:v>
      </x:c>
      <x:c r="N45" s="12" t="n">
        <x:v>55.86666666666667</x:v>
      </x:c>
      <x:c r="O45" s="12" t="n">
        <x:v>354.1333333333333</x:v>
      </x:c>
    </x:row>
    <x:row r="46" ht="22" customHeight="1">
      <x:c r="A46" s="2" t="str">
        <x:v>C33</x:v>
      </x:c>
      <x:c r="B46" s="7" t="d">
        <x:v>2026-10-16T17:00:00.000Z</x:v>
      </x:c>
      <x:c r="C46" s="2" t="str">
        <x:v>ナイト</x:v>
      </x:c>
      <x:c r="D46" s="25" t="n">
        <x:v>192834</x:v>
      </x:c>
      <x:c r="E46" s="25" t="n">
        <x:v>37084</x:v>
      </x:c>
      <x:c r="F46" s="25" t="n">
        <x:f>D46-E46</x:f>
        <x:v>155750</x:v>
      </x:c>
      <x:c r="G46" s="25" t="n">
        <x:f>SUMIFS($F$7:$F$56,$A$7:$A$56,A46,$B$7:$B$56,"&lt;="&amp;B46)</x:f>
        <x:v>898877</x:v>
      </x:c>
      <x:c r="H46" s="25" t="n">
        <x:v>2250</x:v>
      </x:c>
      <x:c r="I46" s="25" t="n">
        <x:v>158000</x:v>
      </x:c>
      <x:c r="J46" s="11" t="n">
        <x:v>9</x:v>
      </x:c>
      <x:c r="K46" s="11" t="n">
        <x:v>27</x:v>
      </x:c>
      <x:c r="L46" s="11" t="n">
        <x:v>5</x:v>
      </x:c>
      <x:c r="M46" s="13" t="str">
        <x:v>既知47場</x:v>
      </x:c>
      <x:c r="N46" s="12" t="n">
        <x:v>63.266666666666666</x:v>
      </x:c>
      <x:c r="O46" s="12" t="n">
        <x:v>219.21666666666667</x:v>
      </x:c>
    </x:row>
    <x:row r="47" ht="22" customHeight="1">
      <x:c r="A47" s="2" t="str">
        <x:v>C33</x:v>
      </x:c>
      <x:c r="B47" s="7" t="d">
        <x:v>2026-10-19T08:45:00.000Z</x:v>
      </x:c>
      <x:c r="C47" s="2" t="str">
        <x:v>デイ</x:v>
      </x:c>
      <x:c r="D47" s="25" t="n">
        <x:v>118083</x:v>
      </x:c>
      <x:c r="E47" s="25" t="n">
        <x:v>47918</x:v>
      </x:c>
      <x:c r="F47" s="25" t="n">
        <x:f>D47-E47</x:f>
        <x:v>70165</x:v>
      </x:c>
      <x:c r="G47" s="25" t="n">
        <x:f>SUMIFS($F$7:$F$56,$A$7:$A$56,A47,$B$7:$B$56,"&lt;="&amp;B47)</x:f>
        <x:v>969042</x:v>
      </x:c>
      <x:c r="H47" s="25" t="n">
        <x:v>835</x:v>
      </x:c>
      <x:c r="I47" s="25" t="n">
        <x:v>71000</x:v>
      </x:c>
      <x:c r="J47" s="11" t="n">
        <x:v>2</x:v>
      </x:c>
      <x:c r="K47" s="11" t="n">
        <x:v>10</x:v>
      </x:c>
      <x:c r="L47" s="11" t="n">
        <x:v>5</x:v>
      </x:c>
      <x:c r="M47" s="13" t="str">
        <x:v>既知47場</x:v>
      </x:c>
      <x:c r="N47" s="12" t="n">
        <x:v>66.71666666666667</x:v>
      </x:c>
      <x:c r="O47" s="12" t="n">
        <x:v>321.96666666666664</x:v>
      </x:c>
    </x:row>
    <x:row r="48" ht="22" customHeight="1">
      <x:c r="A48" s="2" t="str">
        <x:v>C33</x:v>
      </x:c>
      <x:c r="B48" s="7" t="d">
        <x:v>2026-10-19T17:00:00.000Z</x:v>
      </x:c>
      <x:c r="C48" s="2" t="str">
        <x:v>ナイト</x:v>
      </x:c>
      <x:c r="D48" s="25" t="n">
        <x:v>46498</x:v>
      </x:c>
      <x:c r="E48" s="25" t="n">
        <x:v>46502</x:v>
      </x:c>
      <x:c r="F48" s="25" t="n">
        <x:f>D48-E48</x:f>
        <x:v>-4</x:v>
      </x:c>
      <x:c r="G48" s="25" t="n">
        <x:f>SUMIFS($F$7:$F$56,$A$7:$A$56,A48,$B$7:$B$56,"&lt;="&amp;B48)</x:f>
        <x:v>969038</x:v>
      </x:c>
      <x:c r="H48" s="25" t="n">
        <x:v>2004</x:v>
      </x:c>
      <x:c r="I48" s="25" t="n">
        <x:v>2000</x:v>
      </x:c>
      <x:c r="J48" s="11" t="n">
        <x:v>6</x:v>
      </x:c>
      <x:c r="K48" s="11" t="n">
        <x:v>24</x:v>
      </x:c>
      <x:c r="L48" s="11" t="n">
        <x:v>5</x:v>
      </x:c>
      <x:c r="M48" s="13" t="str">
        <x:v>既知47場</x:v>
      </x:c>
      <x:c r="N48" s="12" t="n">
        <x:v>352.01666666666665</x:v>
      </x:c>
      <x:c r="O48" s="12" t="n">
        <x:v>111.88333333333334</x:v>
      </x:c>
    </x:row>
    <x:row r="49" ht="22" customHeight="1">
      <x:c r="A49" s="2" t="str">
        <x:v>C33</x:v>
      </x:c>
      <x:c r="B49" s="7" t="d">
        <x:v>2026-10-20T08:45:00.000Z</x:v>
      </x:c>
      <x:c r="C49" s="2" t="str">
        <x:v>デイ</x:v>
      </x:c>
      <x:c r="D49" s="25" t="n">
        <x:v>52502</x:v>
      </x:c>
      <x:c r="E49" s="25" t="n">
        <x:v>85834</x:v>
      </x:c>
      <x:c r="F49" s="25" t="n">
        <x:f>D49-E49</x:f>
        <x:v>-33332</x:v>
      </x:c>
      <x:c r="G49" s="25" t="n">
        <x:f>SUMIFS($F$7:$F$56,$A$7:$A$56,A49,$B$7:$B$56,"&lt;="&amp;B49)</x:f>
        <x:v>935706</x:v>
      </x:c>
      <x:c r="H49" s="25" t="n">
        <x:v>1832</x:v>
      </x:c>
      <x:c r="I49" s="25" t="n">
        <x:v>-31500</x:v>
      </x:c>
      <x:c r="J49" s="11" t="n">
        <x:v>8</x:v>
      </x:c>
      <x:c r="K49" s="11" t="n">
        <x:v>22</x:v>
      </x:c>
      <x:c r="L49" s="11" t="n">
        <x:v>5</x:v>
      </x:c>
      <x:c r="M49" s="13" t="str">
        <x:v>既知47場</x:v>
      </x:c>
      <x:c r="N49" s="12" t="n">
        <x:v>69.8</x:v>
      </x:c>
      <x:c r="O49" s="12" t="n">
        <x:v>167.01666666666668</x:v>
      </x:c>
    </x:row>
    <x:row r="50" ht="22" customHeight="1">
      <x:c r="A50" s="2" t="str">
        <x:v>C33</x:v>
      </x:c>
      <x:c r="B50" s="7" t="d">
        <x:v>2026-10-20T17:00:00.000Z</x:v>
      </x:c>
      <x:c r="C50" s="2" t="str">
        <x:v>ナイト</x:v>
      </x:c>
      <x:c r="D50" s="25" t="n">
        <x:v>84582</x:v>
      </x:c>
      <x:c r="E50" s="25" t="n">
        <x:v>75668</x:v>
      </x:c>
      <x:c r="F50" s="25" t="n">
        <x:f>D50-E50</x:f>
        <x:v>8914</x:v>
      </x:c>
      <x:c r="G50" s="25" t="n">
        <x:f>SUMIFS($F$7:$F$56,$A$7:$A$56,A50,$B$7:$B$56,"&lt;="&amp;B50)</x:f>
        <x:v>944620</x:v>
      </x:c>
      <x:c r="H50" s="25" t="n">
        <x:v>1586</x:v>
      </x:c>
      <x:c r="I50" s="25" t="n">
        <x:v>10500</x:v>
      </x:c>
      <x:c r="J50" s="11" t="n">
        <x:v>5</x:v>
      </x:c>
      <x:c r="K50" s="11" t="n">
        <x:v>19</x:v>
      </x:c>
      <x:c r="L50" s="11" t="n">
        <x:v>5</x:v>
      </x:c>
      <x:c r="M50" s="13" t="str">
        <x:v>既知47場</x:v>
      </x:c>
      <x:c r="N50" s="12" t="n">
        <x:v>351.26666666666665</x:v>
      </x:c>
      <x:c r="O50" s="12" t="n">
        <x:v>71.41666666666667</x:v>
      </x:c>
    </x:row>
    <x:row r="51" ht="22" customHeight="1">
      <x:c r="A51" s="2" t="str">
        <x:v>C33</x:v>
      </x:c>
      <x:c r="B51" s="7" t="d">
        <x:v>2026-10-21T08:45:00.000Z</x:v>
      </x:c>
      <x:c r="C51" s="2" t="str">
        <x:v>デイ</x:v>
      </x:c>
      <x:c r="D51" s="25" t="n">
        <x:v>54253</x:v>
      </x:c>
      <x:c r="E51" s="25" t="n">
        <x:v>46250</x:v>
      </x:c>
      <x:c r="F51" s="25" t="n">
        <x:f>D51-E51</x:f>
        <x:v>8003</x:v>
      </x:c>
      <x:c r="G51" s="25" t="n">
        <x:f>SUMIFS($F$7:$F$56,$A$7:$A$56,A51,$B$7:$B$56,"&lt;="&amp;B51)</x:f>
        <x:v>952623</x:v>
      </x:c>
      <x:c r="H51" s="25" t="n">
        <x:v>1997</x:v>
      </x:c>
      <x:c r="I51" s="25" t="n">
        <x:v>10000</x:v>
      </x:c>
      <x:c r="J51" s="11" t="n">
        <x:v>9</x:v>
      </x:c>
      <x:c r="K51" s="11" t="n">
        <x:v>24</x:v>
      </x:c>
      <x:c r="L51" s="11" t="n">
        <x:v>5</x:v>
      </x:c>
      <x:c r="M51" s="13" t="str">
        <x:v>既知47場</x:v>
      </x:c>
      <x:c r="N51" s="12" t="n">
        <x:v>50.083333333333336</x:v>
      </x:c>
      <x:c r="O51" s="12" t="n">
        <x:v>191.18333333333334</x:v>
      </x:c>
    </x:row>
    <x:row r="52" ht="22" customHeight="1">
      <x:c r="A52" s="2" t="str">
        <x:v>C33</x:v>
      </x:c>
      <x:c r="B52" s="7" t="d">
        <x:v>2026-10-21T17:00:00.000Z</x:v>
      </x:c>
      <x:c r="C52" s="2" t="str">
        <x:v>ナイト</x:v>
      </x:c>
      <x:c r="D52" s="25" t="n">
        <x:v>24164</x:v>
      </x:c>
      <x:c r="E52" s="25" t="n">
        <x:v>22918</x:v>
      </x:c>
      <x:c r="F52" s="25" t="n">
        <x:f>D52-E52</x:f>
        <x:v>1246</x:v>
      </x:c>
      <x:c r="G52" s="25" t="n">
        <x:f>SUMIFS($F$7:$F$56,$A$7:$A$56,A52,$B$7:$B$56,"&lt;="&amp;B52)</x:f>
        <x:v>953869</x:v>
      </x:c>
      <x:c r="H52" s="25" t="n">
        <x:v>1254</x:v>
      </x:c>
      <x:c r="I52" s="25" t="n">
        <x:v>2500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393.3</x:v>
      </x:c>
      <x:c r="O52" s="12" t="n">
        <x:v>121.51666666666667</x:v>
      </x:c>
    </x:row>
    <x:row r="53" ht="22" customHeight="1">
      <x:c r="A53" s="2" t="str">
        <x:v>C33</x:v>
      </x:c>
      <x:c r="B53" s="7" t="d">
        <x:v>2026-10-22T08:45:00.000Z</x:v>
      </x:c>
      <x:c r="C53" s="2" t="str">
        <x:v>デイ</x:v>
      </x:c>
      <x:c r="D53" s="25" t="n">
        <x:v>87417</x:v>
      </x:c>
      <x:c r="E53" s="25" t="n">
        <x:v>62750</x:v>
      </x:c>
      <x:c r="F53" s="25" t="n">
        <x:f>D53-E53</x:f>
        <x:v>24667</x:v>
      </x:c>
      <x:c r="G53" s="25" t="n">
        <x:f>SUMIFS($F$7:$F$56,$A$7:$A$56,A53,$B$7:$B$56,"&lt;="&amp;B53)</x:f>
        <x:v>978536</x:v>
      </x:c>
      <x:c r="H53" s="25" t="n">
        <x:v>1333</x:v>
      </x:c>
      <x:c r="I53" s="25" t="n">
        <x:v>26000</x:v>
      </x:c>
      <x:c r="J53" s="11" t="n">
        <x:v>5</x:v>
      </x:c>
      <x:c r="K53" s="11" t="n">
        <x:v>16</x:v>
      </x:c>
      <x:c r="L53" s="11" t="n">
        <x:v>5</x:v>
      </x:c>
      <x:c r="M53" s="13" t="str">
        <x:v>既知47場</x:v>
      </x:c>
      <x:c r="N53" s="12" t="n">
        <x:v>79.76666666666667</x:v>
      </x:c>
      <x:c r="O53" s="12" t="n">
        <x:v>217.73333333333332</x:v>
      </x:c>
    </x:row>
    <x:row r="54" ht="22" customHeight="1">
      <x:c r="A54" s="2" t="str">
        <x:v>C33</x:v>
      </x:c>
      <x:c r="B54" s="7" t="d">
        <x:v>2026-10-22T17:00:00.000Z</x:v>
      </x:c>
      <x:c r="C54" s="2" t="str">
        <x:v>ナイト</x:v>
      </x:c>
      <x:c r="D54" s="25" t="n">
        <x:v>88748</x:v>
      </x:c>
      <x:c r="E54" s="25" t="n">
        <x:v>35836</x:v>
      </x:c>
      <x:c r="F54" s="25" t="n">
        <x:f>D54-E54</x:f>
        <x:v>52912</x:v>
      </x:c>
      <x:c r="G54" s="25" t="n">
        <x:f>SUMIFS($F$7:$F$56,$A$7:$A$56,A54,$B$7:$B$56,"&lt;="&amp;B54)</x:f>
        <x:v>1031448</x:v>
      </x:c>
      <x:c r="H54" s="25" t="n">
        <x:v>2588</x:v>
      </x:c>
      <x:c r="I54" s="25" t="n">
        <x:v>55500</x:v>
      </x:c>
      <x:c r="J54" s="11" t="n">
        <x:v>8</x:v>
      </x:c>
      <x:c r="K54" s="11" t="n">
        <x:v>31</x:v>
      </x:c>
      <x:c r="L54" s="11" t="n">
        <x:v>5</x:v>
      </x:c>
      <x:c r="M54" s="13" t="str">
        <x:v>追加3場</x:v>
      </x:c>
      <x:c r="N54" s="12" t="n">
        <x:v>70.93333333333334</x:v>
      </x:c>
      <x:c r="O54" s="12" t="n">
        <x:v>84.23333333333333</x:v>
      </x:c>
    </x:row>
    <x:row r="55" ht="22" customHeight="1">
      <x:c r="A55" s="2" t="str">
        <x:v>C33</x:v>
      </x:c>
      <x:c r="B55" s="7" t="d">
        <x:v>2026-10-23T08:45:00.000Z</x:v>
      </x:c>
      <x:c r="C55" s="2" t="str">
        <x:v>デイ</x:v>
      </x:c>
      <x:c r="D55" s="25" t="n">
        <x:v>59336</x:v>
      </x:c>
      <x:c r="E55" s="25" t="n">
        <x:v>127664</x:v>
      </x:c>
      <x:c r="F55" s="25" t="n">
        <x:f>D55-E55</x:f>
        <x:v>-68328</x:v>
      </x:c>
      <x:c r="G55" s="25" t="n">
        <x:f>SUMIFS($F$7:$F$56,$A$7:$A$56,A55,$B$7:$B$56,"&lt;="&amp;B55)</x:f>
        <x:v>963120</x:v>
      </x:c>
      <x:c r="H55" s="25" t="n">
        <x:v>1828</x:v>
      </x:c>
      <x:c r="I55" s="25" t="n">
        <x:v>-66500</x:v>
      </x:c>
      <x:c r="J55" s="11" t="n">
        <x:v>10</x:v>
      </x:c>
      <x:c r="K55" s="11" t="n">
        <x:v>22</x:v>
      </x:c>
      <x:c r="L55" s="11" t="n">
        <x:v>5</x:v>
      </x:c>
      <x:c r="M55" s="13" t="str">
        <x:v>追加3場</x:v>
      </x:c>
      <x:c r="N55" s="12" t="n">
        <x:v>43.95</x:v>
      </x:c>
      <x:c r="O55" s="12" t="n">
        <x:v>194.26666666666668</x:v>
      </x:c>
    </x:row>
    <x:row r="56" ht="22" customHeight="1">
      <x:c r="A56" s="2" t="str">
        <x:v>C33</x:v>
      </x:c>
      <x:c r="B56" s="7" t="d">
        <x:v>2026-10-23T17:00:00.000Z</x:v>
      </x:c>
      <x:c r="C56" s="2" t="str">
        <x:v>ナイト</x:v>
      </x:c>
      <x:c r="D56" s="25" t="n">
        <x:v>40750</x:v>
      </x:c>
      <x:c r="E56" s="25" t="n">
        <x:v>18166</x:v>
      </x:c>
      <x:c r="F56" s="25" t="n">
        <x:f>D56-E56</x:f>
        <x:v>22584</x:v>
      </x:c>
      <x:c r="G56" s="25" t="n">
        <x:f>SUMIFS($F$7:$F$56,$A$7:$A$56,A56,$B$7:$B$56,"&lt;="&amp;B56)</x:f>
        <x:v>985704</x:v>
      </x:c>
      <x:c r="H56" s="25" t="n">
        <x:v>916</x:v>
      </x:c>
      <x:c r="I56" s="25" t="n">
        <x:v>23500</x:v>
      </x:c>
      <x:c r="J56" s="11" t="n">
        <x:v>4</x:v>
      </x:c>
      <x:c r="K56" s="11" t="n">
        <x:v>11</x:v>
      </x:c>
      <x:c r="L56" s="11" t="n">
        <x:v>5</x:v>
      </x:c>
      <x:c r="M56" s="13" t="str">
        <x:v>追加3場</x:v>
      </x:c>
      <x:c r="N56" s="12" t="n">
        <x:v>125.63333333333334</x:v>
      </x:c>
      <x:c r="O56" s="12" t="n">
        <x:v>75.2</x:v>
      </x:c>
    </x:row>
  </x:sheetData>
  <x:conditionalFormatting sqref="D7:I56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35045dab44469c"/>
  </x:tableParts>
</x:worksheet>
</file>

<file path=xl/worksheets/sheet9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R09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昼基準：T06／夜基準：T04。既知47場：9/21～10/22デイ。追加3場：10/22ナイト～10/23ナイト。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利確後の再参加条件のみ変更。昼夜別の基準手法で運用。累計は日時順。出典：00140保存会計。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R09</x:v>
      </x:c>
      <x:c r="B7" s="7" t="d">
        <x:v>2026-09-21T08:45:00.000Z</x:v>
      </x:c>
      <x:c r="C7" s="2" t="str">
        <x:v>デイ</x:v>
      </x:c>
      <x:c r="D7" s="25" t="n">
        <x:v>0</x:v>
      </x:c>
      <x:c r="E7" s="25" t="n">
        <x:v>20418</x:v>
      </x:c>
      <x:c r="F7" s="25" t="n">
        <x:f>D7-E7</x:f>
        <x:v>-20418</x:v>
      </x:c>
      <x:c r="G7" s="25" t="n">
        <x:f>SUMIFS($F$7:$F$56,$A$7:$A$56,A7,$B$7:$B$56,"&lt;="&amp;B7)</x:f>
        <x:v>-20418</x:v>
      </x:c>
      <x:c r="H7" s="25" t="n">
        <x:v>418</x:v>
      </x:c>
      <x:c r="I7" s="25" t="n">
        <x:v>-20000</x:v>
      </x:c>
      <x:c r="J7" s="11" t="n">
        <x:v>1</x:v>
      </x:c>
      <x:c r="K7" s="11" t="n">
        <x:v>5</x:v>
      </x:c>
      <x:c r="L7" s="11" t="n">
        <x:v>5</x:v>
      </x:c>
      <x:c r="M7" s="13" t="str">
        <x:v>既知47場</x:v>
      </x:c>
      <x:c r="N7" s="12" t="n">
        <x:v>363.18333333333334</x:v>
      </x:c>
      <x:c r="O7" s="12" t="n">
        <x:v>9.033333333333333</x:v>
      </x:c>
    </x:row>
    <x:row r="8" ht="22" customHeight="1">
      <x:c r="A8" s="2" t="str">
        <x:v>R09</x:v>
      </x:c>
      <x:c r="B8" s="7" t="d">
        <x:v>2026-09-21T17:00:00.000Z</x:v>
      </x:c>
      <x:c r="C8" s="2" t="str">
        <x:v>ナイト</x:v>
      </x:c>
      <x:c r="D8" s="25" t="n">
        <x:v>7082</x:v>
      </x:c>
      <x:c r="E8" s="25" t="n">
        <x:v>0</x:v>
      </x:c>
      <x:c r="F8" s="25" t="n">
        <x:f>D8-E8</x:f>
        <x:v>7082</x:v>
      </x:c>
      <x:c r="G8" s="25" t="n">
        <x:f>SUMIFS($F$7:$F$56,$A$7:$A$56,A8,$B$7:$B$56,"&lt;="&amp;B8)</x:f>
        <x:v>-13336</x:v>
      </x:c>
      <x:c r="H8" s="25" t="n">
        <x:v>418</x:v>
      </x:c>
      <x:c r="I8" s="25" t="n">
        <x:v>7500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385.95</x:v>
      </x:c>
      <x:c r="O8" s="12" t="n">
        <x:v>8.5</x:v>
      </x:c>
    </x:row>
    <x:row r="9" ht="22" customHeight="1">
      <x:c r="A9" s="2" t="str">
        <x:v>R09</x:v>
      </x:c>
      <x:c r="B9" s="7" t="d">
        <x:v>2026-09-22T08:45:00.000Z</x:v>
      </x:c>
      <x:c r="C9" s="2" t="str">
        <x:v>デイ</x:v>
      </x:c>
      <x:c r="D9" s="25" t="n">
        <x:v>20584</x:v>
      </x:c>
      <x:c r="E9" s="25" t="n">
        <x:v>20418</x:v>
      </x:c>
      <x:c r="F9" s="25" t="n">
        <x:f>D9-E9</x:f>
        <x:v>166</x:v>
      </x:c>
      <x:c r="G9" s="25" t="n">
        <x:f>SUMIFS($F$7:$F$56,$A$7:$A$56,A9,$B$7:$B$56,"&lt;="&amp;B9)</x:f>
        <x:v>-13170</x:v>
      </x:c>
      <x:c r="H9" s="25" t="n">
        <x:v>834</x:v>
      </x:c>
      <x:c r="I9" s="25" t="n">
        <x:v>1000</x:v>
      </x:c>
      <x:c r="J9" s="11" t="n">
        <x:v>2</x:v>
      </x:c>
      <x:c r="K9" s="11" t="n">
        <x:v>10</x:v>
      </x:c>
      <x:c r="L9" s="11" t="n">
        <x:v>5</x:v>
      </x:c>
      <x:c r="M9" s="13" t="str">
        <x:v>既知47場</x:v>
      </x:c>
      <x:c r="N9" s="12" t="n">
        <x:v>100.41666666666667</x:v>
      </x:c>
      <x:c r="O9" s="12" t="n">
        <x:v>18.416666666666668</x:v>
      </x:c>
    </x:row>
    <x:row r="10" ht="22" customHeight="1">
      <x:c r="A10" s="2" t="str">
        <x:v>R09</x:v>
      </x:c>
      <x:c r="B10" s="7" t="d">
        <x:v>2026-09-22T17:00:00.000Z</x:v>
      </x:c>
      <x:c r="C10" s="2" t="str">
        <x:v>ナイト</x:v>
      </x:c>
      <x:c r="D10" s="25" t="n">
        <x:v>0</x:v>
      </x:c>
      <x:c r="E10" s="25" t="n">
        <x:v>53754</x:v>
      </x:c>
      <x:c r="F10" s="25" t="n">
        <x:f>D10-E10</x:f>
        <x:v>-53754</x:v>
      </x:c>
      <x:c r="G10" s="25" t="n">
        <x:f>SUMIFS($F$7:$F$56,$A$7:$A$56,A10,$B$7:$B$56,"&lt;="&amp;B10)</x:f>
        <x:v>-66924</x:v>
      </x:c>
      <x:c r="H10" s="25" t="n">
        <x:v>1254</x:v>
      </x:c>
      <x:c r="I10" s="25" t="n">
        <x:v>-52500</x:v>
      </x:c>
      <x:c r="J10" s="11" t="n">
        <x:v>3</x:v>
      </x:c>
      <x:c r="K10" s="11" t="n">
        <x:v>15</x:v>
      </x:c>
      <x:c r="L10" s="11" t="n">
        <x:v>5</x:v>
      </x:c>
      <x:c r="M10" s="13" t="str">
        <x:v>既知47場</x:v>
      </x:c>
      <x:c r="N10" s="12" t="n">
        <x:v>366.26666666666665</x:v>
      </x:c>
      <x:c r="O10" s="12" t="n">
        <x:v>35.95</x:v>
      </x:c>
    </x:row>
    <x:row r="11" ht="22" customHeight="1">
      <x:c r="A11" s="2" t="str">
        <x:v>R09</x:v>
      </x:c>
      <x:c r="B11" s="7" t="d">
        <x:v>2026-09-23T08:45:00.000Z</x:v>
      </x:c>
      <x:c r="C11" s="2" t="str">
        <x:v>デイ</x:v>
      </x:c>
      <x:c r="D11" s="25" t="n">
        <x:v>77584</x:v>
      </x:c>
      <x:c r="E11" s="25" t="n">
        <x:v>0</x:v>
      </x:c>
      <x:c r="F11" s="25" t="n">
        <x:f>D11-E11</x:f>
        <x:v>77584</x:v>
      </x:c>
      <x:c r="G11" s="25" t="n">
        <x:f>SUMIFS($F$7:$F$56,$A$7:$A$56,A11,$B$7:$B$56,"&lt;="&amp;B11)</x:f>
        <x:v>10660</x:v>
      </x:c>
      <x:c r="H11" s="25" t="n">
        <x:v>416</x:v>
      </x:c>
      <x:c r="I11" s="25" t="n">
        <x:v>78000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68.45</x:v>
      </x:c>
      <x:c r="O11" s="12" t="n">
        <x:v>158.21666666666667</x:v>
      </x:c>
    </x:row>
    <x:row r="12" ht="22" customHeight="1">
      <x:c r="A12" s="2" t="str">
        <x:v>R09</x:v>
      </x:c>
      <x:c r="B12" s="7" t="d">
        <x:v>2026-09-23T17:00:00.000Z</x:v>
      </x:c>
      <x:c r="C12" s="2" t="str">
        <x:v>ナイト</x:v>
      </x:c>
      <x:c r="D12" s="25" t="n">
        <x:v>29164</x:v>
      </x:c>
      <x:c r="E12" s="25" t="n">
        <x:v>0</x:v>
      </x:c>
      <x:c r="F12" s="25" t="n">
        <x:f>D12-E12</x:f>
        <x:v>29164</x:v>
      </x:c>
      <x:c r="G12" s="25" t="n">
        <x:f>SUMIFS($F$7:$F$56,$A$7:$A$56,A12,$B$7:$B$56,"&lt;="&amp;B12)</x:f>
        <x:v>39824</x:v>
      </x:c>
      <x:c r="H12" s="25" t="n">
        <x:v>836</x:v>
      </x:c>
      <x:c r="I12" s="25" t="n">
        <x:v>30000</x:v>
      </x:c>
      <x:c r="J12" s="11" t="n">
        <x:v>2</x:v>
      </x:c>
      <x:c r="K12" s="11" t="n">
        <x:v>10</x:v>
      </x:c>
      <x:c r="L12" s="11" t="n">
        <x:v>5</x:v>
      </x:c>
      <x:c r="M12" s="13" t="str">
        <x:v>既知47場</x:v>
      </x:c>
      <x:c r="N12" s="12" t="n">
        <x:v>450.01666666666665</x:v>
      </x:c>
      <x:c r="O12" s="12" t="n">
        <x:v>52.3</x:v>
      </x:c>
    </x:row>
    <x:row r="13" ht="22" customHeight="1">
      <x:c r="A13" s="2" t="str">
        <x:v>R09</x:v>
      </x:c>
      <x:c r="B13" s="7" t="d">
        <x:v>2026-09-24T08:45:00.000Z</x:v>
      </x:c>
      <x:c r="C13" s="2" t="str">
        <x:v>デイ</x:v>
      </x:c>
      <x:c r="D13" s="25" t="n">
        <x:v>79583</x:v>
      </x:c>
      <x:c r="E13" s="25" t="n">
        <x:v>0</x:v>
      </x:c>
      <x:c r="F13" s="25" t="n">
        <x:f>D13-E13</x:f>
        <x:v>79583</x:v>
      </x:c>
      <x:c r="G13" s="25" t="n">
        <x:f>SUMIFS($F$7:$F$56,$A$7:$A$56,A13,$B$7:$B$56,"&lt;="&amp;B13)</x:f>
        <x:v>119407</x:v>
      </x:c>
      <x:c r="H13" s="25" t="n">
        <x:v>417</x:v>
      </x:c>
      <x:c r="I13" s="25" t="n">
        <x:v>80000</x:v>
      </x:c>
      <x:c r="J13" s="11" t="n">
        <x:v>1</x:v>
      </x:c>
      <x:c r="K13" s="11" t="n">
        <x:v>5</x:v>
      </x:c>
      <x:c r="L13" s="11" t="n">
        <x:v>5</x:v>
      </x:c>
      <x:c r="M13" s="13" t="str">
        <x:v>既知47場</x:v>
      </x:c>
      <x:c r="N13" s="12" t="n">
        <x:v>149.83333333333334</x:v>
      </x:c>
      <x:c r="O13" s="12" t="n">
        <x:v>256.46666666666664</x:v>
      </x:c>
    </x:row>
    <x:row r="14" ht="22" customHeight="1">
      <x:c r="A14" s="2" t="str">
        <x:v>R09</x:v>
      </x:c>
      <x:c r="B14" s="7" t="d">
        <x:v>2026-09-24T17:00:00.000Z</x:v>
      </x:c>
      <x:c r="C14" s="2" t="str">
        <x:v>ナイト</x:v>
      </x:c>
      <x:c r="D14" s="25" t="n">
        <x:v>32082</x:v>
      </x:c>
      <x:c r="E14" s="25" t="n">
        <x:v>0</x:v>
      </x:c>
      <x:c r="F14" s="25" t="n">
        <x:f>D14-E14</x:f>
        <x:v>32082</x:v>
      </x:c>
      <x:c r="G14" s="25" t="n">
        <x:f>SUMIFS($F$7:$F$56,$A$7:$A$56,A14,$B$7:$B$56,"&lt;="&amp;B14)</x:f>
        <x:v>151489</x:v>
      </x:c>
      <x:c r="H14" s="25" t="n">
        <x:v>418</x:v>
      </x:c>
      <x:c r="I14" s="25" t="n">
        <x:v>32500</x:v>
      </x:c>
      <x:c r="J14" s="11" t="n">
        <x:v>1</x:v>
      </x:c>
      <x:c r="K14" s="11" t="n">
        <x:v>5</x:v>
      </x:c>
      <x:c r="L14" s="11" t="n">
        <x:v>5</x:v>
      </x:c>
      <x:c r="M14" s="13" t="str">
        <x:v>既知47場</x:v>
      </x:c>
      <x:c r="N14" s="12" t="n">
        <x:v>417.46666666666664</x:v>
      </x:c>
      <x:c r="O14" s="12" t="n">
        <x:v>40.983333333333334</x:v>
      </x:c>
    </x:row>
    <x:row r="15" ht="22" customHeight="1">
      <x:c r="A15" s="2" t="str">
        <x:v>R09</x:v>
      </x:c>
      <x:c r="B15" s="7" t="d">
        <x:v>2026-09-25T08:45:00.000Z</x:v>
      </x:c>
      <x:c r="C15" s="2" t="str">
        <x:v>デイ</x:v>
      </x:c>
      <x:c r="D15" s="25" t="n">
        <x:v>80583</x:v>
      </x:c>
      <x:c r="E15" s="25" t="n">
        <x:v>0</x:v>
      </x:c>
      <x:c r="F15" s="25" t="n">
        <x:f>D15-E15</x:f>
        <x:v>80583</x:v>
      </x:c>
      <x:c r="G15" s="25" t="n">
        <x:f>SUMIFS($F$7:$F$56,$A$7:$A$56,A15,$B$7:$B$56,"&lt;="&amp;B15)</x:f>
        <x:v>232072</x:v>
      </x:c>
      <x:c r="H15" s="25" t="n">
        <x:v>417</x:v>
      </x:c>
      <x:c r="I15" s="25" t="n">
        <x:v>81000</x:v>
      </x:c>
      <x:c r="J15" s="11" t="n">
        <x:v>1</x:v>
      </x:c>
      <x:c r="K15" s="11" t="n">
        <x:v>5</x:v>
      </x:c>
      <x:c r="L15" s="11" t="n">
        <x:v>5</x:v>
      </x:c>
      <x:c r="M15" s="13" t="str">
        <x:v>既知47場</x:v>
      </x:c>
      <x:c r="N15" s="12" t="n">
        <x:v>86.21666666666667</x:v>
      </x:c>
      <x:c r="O15" s="12" t="n">
        <x:v>323.8</x:v>
      </x:c>
    </x:row>
    <x:row r="16" ht="22" customHeight="1">
      <x:c r="A16" s="2" t="str">
        <x:v>R09</x:v>
      </x:c>
      <x:c r="B16" s="7" t="d">
        <x:v>2026-09-25T17:00:00.000Z</x:v>
      </x:c>
      <x:c r="C16" s="2" t="str">
        <x:v>ナイト</x:v>
      </x:c>
      <x:c r="D16" s="25" t="n">
        <x:v>24582</x:v>
      </x:c>
      <x:c r="E16" s="25" t="n">
        <x:v>20418</x:v>
      </x:c>
      <x:c r="F16" s="25" t="n">
        <x:f>D16-E16</x:f>
        <x:v>4164</x:v>
      </x:c>
      <x:c r="G16" s="25" t="n">
        <x:f>SUMIFS($F$7:$F$56,$A$7:$A$56,A16,$B$7:$B$56,"&lt;="&amp;B16)</x:f>
        <x:v>236236</x:v>
      </x:c>
      <x:c r="H16" s="25" t="n">
        <x:v>836</x:v>
      </x:c>
      <x:c r="I16" s="25" t="n">
        <x:v>5000</x:v>
      </x:c>
      <x:c r="J16" s="11" t="n">
        <x:v>2</x:v>
      </x:c>
      <x:c r="K16" s="11" t="n">
        <x:v>10</x:v>
      </x:c>
      <x:c r="L16" s="11" t="n">
        <x:v>5</x:v>
      </x:c>
      <x:c r="M16" s="13" t="str">
        <x:v>既知47場</x:v>
      </x:c>
      <x:c r="N16" s="12" t="n">
        <x:v>450</x:v>
      </x:c>
      <x:c r="O16" s="12" t="n">
        <x:v>8.316666666666666</x:v>
      </x:c>
    </x:row>
    <x:row r="17" ht="22" customHeight="1">
      <x:c r="A17" s="2" t="str">
        <x:v>R09</x:v>
      </x:c>
      <x:c r="B17" s="7" t="d">
        <x:v>2026-09-28T08:45:00.000Z</x:v>
      </x:c>
      <x:c r="C17" s="2" t="str">
        <x:v>デイ</x:v>
      </x:c>
      <x:c r="D17" s="25" t="n">
        <x:v>129083</x:v>
      </x:c>
      <x:c r="E17" s="25" t="n">
        <x:v>35418</x:v>
      </x:c>
      <x:c r="F17" s="25" t="n">
        <x:f>D17-E17</x:f>
        <x:v>93665</x:v>
      </x:c>
      <x:c r="G17" s="25" t="n">
        <x:f>SUMIFS($F$7:$F$56,$A$7:$A$56,A17,$B$7:$B$56,"&lt;="&amp;B17)</x:f>
        <x:v>329901</x:v>
      </x:c>
      <x:c r="H17" s="25" t="n">
        <x:v>835</x:v>
      </x:c>
      <x:c r="I17" s="25" t="n">
        <x:v>94500</x:v>
      </x:c>
      <x:c r="J17" s="11" t="n">
        <x:v>2</x:v>
      </x:c>
      <x:c r="K17" s="11" t="n">
        <x:v>10</x:v>
      </x:c>
      <x:c r="L17" s="11" t="n">
        <x:v>5</x:v>
      </x:c>
      <x:c r="M17" s="13" t="str">
        <x:v>既知47場</x:v>
      </x:c>
      <x:c r="N17" s="12" t="n">
        <x:v>66.76666666666667</x:v>
      </x:c>
      <x:c r="O17" s="12" t="n">
        <x:v>325.05</x:v>
      </x:c>
    </x:row>
    <x:row r="18" ht="22" customHeight="1">
      <x:c r="A18" s="2" t="str">
        <x:v>R09</x:v>
      </x:c>
      <x:c r="B18" s="7" t="d">
        <x:v>2026-09-28T17:00:00.000Z</x:v>
      </x:c>
      <x:c r="C18" s="2" t="str">
        <x:v>ナイト</x:v>
      </x:c>
      <x:c r="D18" s="25" t="n">
        <x:v>24582</x:v>
      </x:c>
      <x:c r="E18" s="25" t="n">
        <x:v>0</x:v>
      </x:c>
      <x:c r="F18" s="25" t="n">
        <x:f>D18-E18</x:f>
        <x:v>24582</x:v>
      </x:c>
      <x:c r="G18" s="25" t="n">
        <x:f>SUMIFS($F$7:$F$56,$A$7:$A$56,A18,$B$7:$B$56,"&lt;="&amp;B18)</x:f>
        <x:v>354483</x:v>
      </x:c>
      <x:c r="H18" s="25" t="n">
        <x:v>418</x:v>
      </x:c>
      <x:c r="I18" s="25" t="n">
        <x:v>25000</x:v>
      </x:c>
      <x:c r="J18" s="11" t="n">
        <x:v>1</x:v>
      </x:c>
      <x:c r="K18" s="11" t="n">
        <x:v>5</x:v>
      </x:c>
      <x:c r="L18" s="11" t="n">
        <x:v>5</x:v>
      </x:c>
      <x:c r="M18" s="13" t="str">
        <x:v>既知47場</x:v>
      </x:c>
      <x:c r="N18" s="12" t="n">
        <x:v>405.1333333333333</x:v>
      </x:c>
      <x:c r="O18" s="12" t="n">
        <x:v>12.033333333333333</x:v>
      </x:c>
    </x:row>
    <x:row r="19" ht="22" customHeight="1">
      <x:c r="A19" s="2" t="str">
        <x:v>R09</x:v>
      </x:c>
      <x:c r="B19" s="7" t="d">
        <x:v>2026-09-29T08:45:00.000Z</x:v>
      </x:c>
      <x:c r="C19" s="2" t="str">
        <x:v>デイ</x:v>
      </x:c>
      <x:c r="D19" s="25" t="n">
        <x:v>12583</x:v>
      </x:c>
      <x:c r="E19" s="25" t="n">
        <x:v>0</x:v>
      </x:c>
      <x:c r="F19" s="25" t="n">
        <x:f>D19-E19</x:f>
        <x:v>12583</x:v>
      </x:c>
      <x:c r="G19" s="25" t="n">
        <x:f>SUMIFS($F$7:$F$56,$A$7:$A$56,A19,$B$7:$B$56,"&lt;="&amp;B19)</x:f>
        <x:v>367066</x:v>
      </x:c>
      <x:c r="H19" s="25" t="n">
        <x:v>417</x:v>
      </x:c>
      <x:c r="I19" s="25" t="n">
        <x:v>13000</x:v>
      </x:c>
      <x:c r="J19" s="11" t="n">
        <x:v>1</x:v>
      </x:c>
      <x:c r="K19" s="11" t="n">
        <x:v>5</x:v>
      </x:c>
      <x:c r="L19" s="11" t="n">
        <x:v>5</x:v>
      </x:c>
      <x:c r="M19" s="13" t="str">
        <x:v>既知47場</x:v>
      </x:c>
      <x:c r="N19" s="12" t="n">
        <x:v>70.43333333333334</x:v>
      </x:c>
      <x:c r="O19" s="12" t="n">
        <x:v>334.48333333333335</x:v>
      </x:c>
    </x:row>
    <x:row r="20" ht="22" customHeight="1">
      <x:c r="A20" s="2" t="str">
        <x:v>R09</x:v>
      </x:c>
      <x:c r="B20" s="7" t="d">
        <x:v>2026-09-29T17:00:00.000Z</x:v>
      </x:c>
      <x:c r="C20" s="2" t="str">
        <x:v>ナイト</x:v>
      </x:c>
      <x:c r="D20" s="25" t="n">
        <x:v>19582</x:v>
      </x:c>
      <x:c r="E20" s="25" t="n">
        <x:v>0</x:v>
      </x:c>
      <x:c r="F20" s="25" t="n">
        <x:f>D20-E20</x:f>
        <x:v>19582</x:v>
      </x:c>
      <x:c r="G20" s="25" t="n">
        <x:f>SUMIFS($F$7:$F$56,$A$7:$A$56,A20,$B$7:$B$56,"&lt;="&amp;B20)</x:f>
        <x:v>386648</x:v>
      </x:c>
      <x:c r="H20" s="25" t="n">
        <x:v>418</x:v>
      </x:c>
      <x:c r="I20" s="25" t="n">
        <x:v>20000</x:v>
      </x:c>
      <x:c r="J20" s="11" t="n">
        <x:v>1</x:v>
      </x:c>
      <x:c r="K20" s="11" t="n">
        <x:v>5</x:v>
      </x:c>
      <x:c r="L20" s="11" t="n">
        <x:v>5</x:v>
      </x:c>
      <x:c r="M20" s="13" t="str">
        <x:v>既知47場</x:v>
      </x:c>
      <x:c r="N20" s="12" t="n">
        <x:v>428.1666666666667</x:v>
      </x:c>
      <x:c r="O20" s="12" t="n">
        <x:v>21.2</x:v>
      </x:c>
    </x:row>
    <x:row r="21" ht="22" customHeight="1">
      <x:c r="A21" s="2" t="str">
        <x:v>R09</x:v>
      </x:c>
      <x:c r="B21" s="7" t="d">
        <x:v>2026-09-30T08:45:00.000Z</x:v>
      </x:c>
      <x:c r="C21" s="2" t="str">
        <x:v>デイ</x:v>
      </x:c>
      <x:c r="D21" s="25" t="n">
        <x:v>79083</x:v>
      </x:c>
      <x:c r="E21" s="25" t="n">
        <x:v>65836</x:v>
      </x:c>
      <x:c r="F21" s="25" t="n">
        <x:f>D21-E21</x:f>
        <x:v>13247</x:v>
      </x:c>
      <x:c r="G21" s="25" t="n">
        <x:f>SUMIFS($F$7:$F$56,$A$7:$A$56,A21,$B$7:$B$56,"&lt;="&amp;B21)</x:f>
        <x:v>399895</x:v>
      </x:c>
      <x:c r="H21" s="25" t="n">
        <x:v>1253</x:v>
      </x:c>
      <x:c r="I21" s="25" t="n">
        <x:v>14500</x:v>
      </x:c>
      <x:c r="J21" s="11" t="n">
        <x:v>3</x:v>
      </x:c>
      <x:c r="K21" s="11" t="n">
        <x:v>15</x:v>
      </x:c>
      <x:c r="L21" s="11" t="n">
        <x:v>5</x:v>
      </x:c>
      <x:c r="M21" s="13" t="str">
        <x:v>既知47場</x:v>
      </x:c>
      <x:c r="N21" s="12" t="n">
        <x:v>70.08333333333333</x:v>
      </x:c>
      <x:c r="O21" s="12" t="n">
        <x:v>119.16666666666667</x:v>
      </x:c>
    </x:row>
    <x:row r="22" ht="22" customHeight="1">
      <x:c r="A22" s="2" t="str">
        <x:v>R09</x:v>
      </x:c>
      <x:c r="B22" s="7" t="d">
        <x:v>2026-09-30T17:00:00.000Z</x:v>
      </x:c>
      <x:c r="C22" s="2" t="str">
        <x:v>ナイト</x:v>
      </x:c>
      <x:c r="D22" s="25" t="n">
        <x:v>21664</x:v>
      </x:c>
      <x:c r="E22" s="25" t="n">
        <x:v>20500</x:v>
      </x:c>
      <x:c r="F22" s="25" t="n">
        <x:f>D22-E22</x:f>
        <x:v>1164</x:v>
      </x:c>
      <x:c r="G22" s="25" t="n">
        <x:f>SUMIFS($F$7:$F$56,$A$7:$A$56,A22,$B$7:$B$56,"&lt;="&amp;B22)</x:f>
        <x:v>401059</x:v>
      </x:c>
      <x:c r="H22" s="25" t="n">
        <x:v>1336</x:v>
      </x:c>
      <x:c r="I22" s="25" t="n">
        <x:v>2500</x:v>
      </x:c>
      <x:c r="J22" s="11" t="n">
        <x:v>4</x:v>
      </x:c>
      <x:c r="K22" s="11" t="n">
        <x:v>16</x:v>
      </x:c>
      <x:c r="L22" s="11" t="n">
        <x:v>5</x:v>
      </x:c>
      <x:c r="M22" s="13" t="str">
        <x:v>既知47場</x:v>
      </x:c>
      <x:c r="N22" s="12" t="n">
        <x:v>368.18333333333334</x:v>
      </x:c>
      <x:c r="O22" s="12" t="n">
        <x:v>57.6</x:v>
      </x:c>
    </x:row>
    <x:row r="23" ht="22" customHeight="1">
      <x:c r="A23" s="2" t="str">
        <x:v>R09</x:v>
      </x:c>
      <x:c r="B23" s="7" t="d">
        <x:v>2026-10-01T08:45:00.000Z</x:v>
      </x:c>
      <x:c r="C23" s="2" t="str">
        <x:v>デイ</x:v>
      </x:c>
      <x:c r="D23" s="25" t="n">
        <x:v>94084</x:v>
      </x:c>
      <x:c r="E23" s="25" t="n">
        <x:v>0</x:v>
      </x:c>
      <x:c r="F23" s="25" t="n">
        <x:f>D23-E23</x:f>
        <x:v>94084</x:v>
      </x:c>
      <x:c r="G23" s="25" t="n">
        <x:f>SUMIFS($F$7:$F$56,$A$7:$A$56,A23,$B$7:$B$56,"&lt;="&amp;B23)</x:f>
        <x:v>495143</x:v>
      </x:c>
      <x:c r="H23" s="25" t="n">
        <x:v>416</x:v>
      </x:c>
      <x:c r="I23" s="25" t="n">
        <x:v>94500</x:v>
      </x:c>
      <x:c r="J23" s="11" t="n">
        <x:v>1</x:v>
      </x:c>
      <x:c r="K23" s="11" t="n">
        <x:v>5</x:v>
      </x:c>
      <x:c r="L23" s="11" t="n">
        <x:v>5</x:v>
      </x:c>
      <x:c r="M23" s="13" t="str">
        <x:v>既知47場</x:v>
      </x:c>
      <x:c r="N23" s="12" t="n">
        <x:v>87.7</x:v>
      </x:c>
      <x:c r="O23" s="12" t="n">
        <x:v>211.43333333333334</x:v>
      </x:c>
    </x:row>
    <x:row r="24" ht="22" customHeight="1">
      <x:c r="A24" s="2" t="str">
        <x:v>R09</x:v>
      </x:c>
      <x:c r="B24" s="7" t="d">
        <x:v>2026-10-01T17:00:00.000Z</x:v>
      </x:c>
      <x:c r="C24" s="2" t="str">
        <x:v>ナイト</x:v>
      </x:c>
      <x:c r="D24" s="25" t="n">
        <x:v>66246</x:v>
      </x:c>
      <x:c r="E24" s="25" t="n">
        <x:v>45836</x:v>
      </x:c>
      <x:c r="F24" s="25" t="n">
        <x:f>D24-E24</x:f>
        <x:v>20410</x:v>
      </x:c>
      <x:c r="G24" s="25" t="n">
        <x:f>SUMIFS($F$7:$F$56,$A$7:$A$56,A24,$B$7:$B$56,"&lt;="&amp;B24)</x:f>
        <x:v>515553</x:v>
      </x:c>
      <x:c r="H24" s="25" t="n">
        <x:v>2090</x:v>
      </x:c>
      <x:c r="I24" s="25" t="n">
        <x:v>22500</x:v>
      </x:c>
      <x:c r="J24" s="11" t="n">
        <x:v>5</x:v>
      </x:c>
      <x:c r="K24" s="11" t="n">
        <x:v>25</x:v>
      </x:c>
      <x:c r="L24" s="11" t="n">
        <x:v>5</x:v>
      </x:c>
      <x:c r="M24" s="13" t="str">
        <x:v>既知47場</x:v>
      </x:c>
      <x:c r="N24" s="12" t="n">
        <x:v>382.01666666666665</x:v>
      </x:c>
      <x:c r="O24" s="12" t="n">
        <x:v>96.8</x:v>
      </x:c>
    </x:row>
    <x:row r="25" ht="22" customHeight="1">
      <x:c r="A25" s="2" t="str">
        <x:v>R09</x:v>
      </x:c>
      <x:c r="B25" s="7" t="d">
        <x:v>2026-10-02T08:45:00.000Z</x:v>
      </x:c>
      <x:c r="C25" s="2" t="str">
        <x:v>デイ</x:v>
      </x:c>
      <x:c r="D25" s="25" t="n">
        <x:v>0</x:v>
      </x:c>
      <x:c r="E25" s="25" t="n">
        <x:v>53336</x:v>
      </x:c>
      <x:c r="F25" s="25" t="n">
        <x:f>D25-E25</x:f>
        <x:v>-53336</x:v>
      </x:c>
      <x:c r="G25" s="25" t="n">
        <x:f>SUMIFS($F$7:$F$56,$A$7:$A$56,A25,$B$7:$B$56,"&lt;="&amp;B25)</x:f>
        <x:v>462217</x:v>
      </x:c>
      <x:c r="H25" s="25" t="n">
        <x:v>836</x:v>
      </x:c>
      <x:c r="I25" s="25" t="n">
        <x:v>-52500</x:v>
      </x:c>
      <x:c r="J25" s="11" t="n">
        <x:v>2</x:v>
      </x:c>
      <x:c r="K25" s="11" t="n">
        <x:v>10</x:v>
      </x:c>
      <x:c r="L25" s="11" t="n">
        <x:v>5</x:v>
      </x:c>
      <x:c r="M25" s="13" t="str">
        <x:v>既知47場</x:v>
      </x:c>
      <x:c r="N25" s="12" t="n">
        <x:v>72.7</x:v>
      </x:c>
      <x:c r="O25" s="12" t="n">
        <x:v>175.25</x:v>
      </x:c>
    </x:row>
    <x:row r="26" ht="22" customHeight="1">
      <x:c r="A26" s="2" t="str">
        <x:v>R09</x:v>
      </x:c>
      <x:c r="B26" s="7" t="d">
        <x:v>2026-10-02T17:00:00.000Z</x:v>
      </x:c>
      <x:c r="C26" s="2" t="str">
        <x:v>ナイト</x:v>
      </x:c>
      <x:c r="D26" s="25" t="n">
        <x:v>97082</x:v>
      </x:c>
      <x:c r="E26" s="25" t="n">
        <x:v>43336</x:v>
      </x:c>
      <x:c r="F26" s="25" t="n">
        <x:f>D26-E26</x:f>
        <x:v>53746</x:v>
      </x:c>
      <x:c r="G26" s="25" t="n">
        <x:f>SUMIFS($F$7:$F$56,$A$7:$A$56,A26,$B$7:$B$56,"&lt;="&amp;B26)</x:f>
        <x:v>515963</x:v>
      </x:c>
      <x:c r="H26" s="25" t="n">
        <x:v>1254</x:v>
      </x:c>
      <x:c r="I26" s="25" t="n">
        <x:v>55000</x:v>
      </x:c>
      <x:c r="J26" s="11" t="n">
        <x:v>3</x:v>
      </x:c>
      <x:c r="K26" s="11" t="n">
        <x:v>15</x:v>
      </x:c>
      <x:c r="L26" s="11" t="n">
        <x:v>5</x:v>
      </x:c>
      <x:c r="M26" s="13" t="str">
        <x:v>既知47場</x:v>
      </x:c>
      <x:c r="N26" s="12" t="n">
        <x:v>371.03333333333336</x:v>
      </x:c>
      <x:c r="O26" s="12" t="n">
        <x:v>60.8</x:v>
      </x:c>
    </x:row>
    <x:row r="27" ht="22" customHeight="1">
      <x:c r="A27" s="2" t="str">
        <x:v>R09</x:v>
      </x:c>
      <x:c r="B27" s="7" t="d">
        <x:v>2026-10-05T08:45:00.000Z</x:v>
      </x:c>
      <x:c r="C27" s="2" t="str">
        <x:v>デイ</x:v>
      </x:c>
      <x:c r="D27" s="25" t="n">
        <x:v>27501</x:v>
      </x:c>
      <x:c r="E27" s="25" t="n">
        <x:v>81672</x:v>
      </x:c>
      <x:c r="F27" s="25" t="n">
        <x:f>D27-E27</x:f>
        <x:v>-54171</x:v>
      </x:c>
      <x:c r="G27" s="25" t="n">
        <x:f>SUMIFS($F$7:$F$56,$A$7:$A$56,A27,$B$7:$B$56,"&lt;="&amp;B27)</x:f>
        <x:v>461792</x:v>
      </x:c>
      <x:c r="H27" s="25" t="n">
        <x:v>2171</x:v>
      </x:c>
      <x:c r="I27" s="25" t="n">
        <x:v>-52000</x:v>
      </x:c>
      <x:c r="J27" s="11" t="n">
        <x:v>6</x:v>
      </x:c>
      <x:c r="K27" s="11" t="n">
        <x:v>26</x:v>
      </x:c>
      <x:c r="L27" s="11" t="n">
        <x:v>5</x:v>
      </x:c>
      <x:c r="M27" s="13" t="str">
        <x:v>既知47場</x:v>
      </x:c>
      <x:c r="N27" s="12" t="n">
        <x:v>106</x:v>
      </x:c>
      <x:c r="O27" s="12" t="n">
        <x:v>88.16666666666667</x:v>
      </x:c>
    </x:row>
    <x:row r="28" ht="22" customHeight="1">
      <x:c r="A28" s="2" t="str">
        <x:v>R09</x:v>
      </x:c>
      <x:c r="B28" s="7" t="d">
        <x:v>2026-10-05T17:00:00.000Z</x:v>
      </x:c>
      <x:c r="C28" s="2" t="str">
        <x:v>ナイト</x:v>
      </x:c>
      <x:c r="D28" s="25" t="n">
        <x:v>0</x:v>
      </x:c>
      <x:c r="E28" s="25" t="n">
        <x:v>53754</x:v>
      </x:c>
      <x:c r="F28" s="25" t="n">
        <x:f>D28-E28</x:f>
        <x:v>-53754</x:v>
      </x:c>
      <x:c r="G28" s="25" t="n">
        <x:f>SUMIFS($F$7:$F$56,$A$7:$A$56,A28,$B$7:$B$56,"&lt;="&amp;B28)</x:f>
        <x:v>408038</x:v>
      </x:c>
      <x:c r="H28" s="25" t="n">
        <x:v>1254</x:v>
      </x:c>
      <x:c r="I28" s="25" t="n">
        <x:v>-52500</x:v>
      </x:c>
      <x:c r="J28" s="11" t="n">
        <x:v>3</x:v>
      </x:c>
      <x:c r="K28" s="11" t="n">
        <x:v>15</x:v>
      </x:c>
      <x:c r="L28" s="11" t="n">
        <x:v>5</x:v>
      </x:c>
      <x:c r="M28" s="13" t="str">
        <x:v>既知47場</x:v>
      </x:c>
      <x:c r="N28" s="12" t="n">
        <x:v>371.4</x:v>
      </x:c>
      <x:c r="O28" s="12" t="n">
        <x:v>76.26666666666667</x:v>
      </x:c>
    </x:row>
    <x:row r="29" ht="22" customHeight="1">
      <x:c r="A29" s="2" t="str">
        <x:v>R09</x:v>
      </x:c>
      <x:c r="B29" s="7" t="d">
        <x:v>2026-10-06T08:45:00.000Z</x:v>
      </x:c>
      <x:c r="C29" s="2" t="str">
        <x:v>デイ</x:v>
      </x:c>
      <x:c r="D29" s="25" t="n">
        <x:v>0</x:v>
      </x:c>
      <x:c r="E29" s="25" t="n">
        <x:v>12918</x:v>
      </x:c>
      <x:c r="F29" s="25" t="n">
        <x:f>D29-E29</x:f>
        <x:v>-12918</x:v>
      </x:c>
      <x:c r="G29" s="25" t="n">
        <x:f>SUMIFS($F$7:$F$56,$A$7:$A$56,A29,$B$7:$B$56,"&lt;="&amp;B29)</x:f>
        <x:v>395120</x:v>
      </x:c>
      <x:c r="H29" s="25" t="n">
        <x:v>418</x:v>
      </x:c>
      <x:c r="I29" s="25" t="n">
        <x:v>-12500</x:v>
      </x:c>
      <x:c r="J29" s="11" t="n">
        <x:v>1</x:v>
      </x:c>
      <x:c r="K29" s="11" t="n">
        <x:v>5</x:v>
      </x:c>
      <x:c r="L29" s="11" t="n">
        <x:v>5</x:v>
      </x:c>
      <x:c r="M29" s="13" t="str">
        <x:v>既知47場</x:v>
      </x:c>
      <x:c r="N29" s="12" t="n">
        <x:v>81.3</x:v>
      </x:c>
      <x:c r="O29" s="12" t="n">
        <x:v>15.183333333333334</x:v>
      </x:c>
    </x:row>
    <x:row r="30" ht="22" customHeight="1">
      <x:c r="A30" s="2" t="str">
        <x:v>R09</x:v>
      </x:c>
      <x:c r="B30" s="7" t="d">
        <x:v>2026-10-06T17:00:00.000Z</x:v>
      </x:c>
      <x:c r="C30" s="2" t="str">
        <x:v>ナイト</x:v>
      </x:c>
      <x:c r="D30" s="25" t="n">
        <x:v>0</x:v>
      </x:c>
      <x:c r="E30" s="25" t="n">
        <x:v>40836</x:v>
      </x:c>
      <x:c r="F30" s="25" t="n">
        <x:f>D30-E30</x:f>
        <x:v>-40836</x:v>
      </x:c>
      <x:c r="G30" s="25" t="n">
        <x:f>SUMIFS($F$7:$F$56,$A$7:$A$56,A30,$B$7:$B$56,"&lt;="&amp;B30)</x:f>
        <x:v>354284</x:v>
      </x:c>
      <x:c r="H30" s="25" t="n">
        <x:v>836</x:v>
      </x:c>
      <x:c r="I30" s="25" t="n">
        <x:v>-40000</x:v>
      </x:c>
      <x:c r="J30" s="11" t="n">
        <x:v>2</x:v>
      </x:c>
      <x:c r="K30" s="11" t="n">
        <x:v>10</x:v>
      </x:c>
      <x:c r="L30" s="11" t="n">
        <x:v>5</x:v>
      </x:c>
      <x:c r="M30" s="13" t="str">
        <x:v>既知47場</x:v>
      </x:c>
      <x:c r="N30" s="12" t="n">
        <x:v>367.5</x:v>
      </x:c>
      <x:c r="O30" s="12" t="n">
        <x:v>23.283333333333335</x:v>
      </x:c>
    </x:row>
    <x:row r="31" ht="22" customHeight="1">
      <x:c r="A31" s="2" t="str">
        <x:v>R09</x:v>
      </x:c>
      <x:c r="B31" s="7" t="d">
        <x:v>2026-10-07T08:45:00.000Z</x:v>
      </x:c>
      <x:c r="C31" s="2" t="str">
        <x:v>デイ</x:v>
      </x:c>
      <x:c r="D31" s="25" t="n">
        <x:v>70083</x:v>
      </x:c>
      <x:c r="E31" s="25" t="n">
        <x:v>0</x:v>
      </x:c>
      <x:c r="F31" s="25" t="n">
        <x:f>D31-E31</x:f>
        <x:v>70083</x:v>
      </x:c>
      <x:c r="G31" s="25" t="n">
        <x:f>SUMIFS($F$7:$F$56,$A$7:$A$56,A31,$B$7:$B$56,"&lt;="&amp;B31)</x:f>
        <x:v>424367</x:v>
      </x:c>
      <x:c r="H31" s="25" t="n">
        <x:v>417</x:v>
      </x:c>
      <x:c r="I31" s="25" t="n">
        <x:v>70500</x:v>
      </x:c>
      <x:c r="J31" s="11" t="n">
        <x:v>1</x:v>
      </x:c>
      <x:c r="K31" s="11" t="n">
        <x:v>5</x:v>
      </x:c>
      <x:c r="L31" s="11" t="n">
        <x:v>5</x:v>
      </x:c>
      <x:c r="M31" s="13" t="str">
        <x:v>既知47場</x:v>
      </x:c>
      <x:c r="N31" s="12" t="n">
        <x:v>70.5</x:v>
      </x:c>
      <x:c r="O31" s="12" t="n">
        <x:v>77.45</x:v>
      </x:c>
    </x:row>
    <x:row r="32" ht="22" customHeight="1">
      <x:c r="A32" s="2" t="str">
        <x:v>R09</x:v>
      </x:c>
      <x:c r="B32" s="7" t="d">
        <x:v>2026-10-07T17:00:00.000Z</x:v>
      </x:c>
      <x:c r="C32" s="2" t="str">
        <x:v>ナイト</x:v>
      </x:c>
      <x:c r="D32" s="25" t="n">
        <x:v>12000</x:v>
      </x:c>
      <x:c r="E32" s="25" t="n">
        <x:v>0</x:v>
      </x:c>
      <x:c r="F32" s="25" t="n">
        <x:f>D32-E32</x:f>
        <x:v>12000</x:v>
      </x:c>
      <x:c r="G32" s="25" t="n">
        <x:f>SUMIFS($F$7:$F$56,$A$7:$A$56,A32,$B$7:$B$56,"&lt;="&amp;B32)</x:f>
        <x:v>436367</x:v>
      </x:c>
      <x:c r="H32" s="25" t="n">
        <x:v>500</x:v>
      </x:c>
      <x:c r="I32" s="25" t="n">
        <x:v>12500</x:v>
      </x:c>
      <x:c r="J32" s="11" t="n">
        <x:v>2</x:v>
      </x:c>
      <x:c r="K32" s="11" t="n">
        <x:v>6</x:v>
      </x:c>
      <x:c r="L32" s="11" t="n">
        <x:v>5</x:v>
      </x:c>
      <x:c r="M32" s="13" t="str">
        <x:v>既知47場</x:v>
      </x:c>
      <x:c r="N32" s="12" t="n">
        <x:v>392.71666666666664</x:v>
      </x:c>
      <x:c r="O32" s="12" t="n">
        <x:v>37.583333333333336</x:v>
      </x:c>
    </x:row>
    <x:row r="33" ht="22" customHeight="1">
      <x:c r="A33" s="2" t="str">
        <x:v>R09</x:v>
      </x:c>
      <x:c r="B33" s="7" t="d">
        <x:v>2026-10-08T08:45:00.000Z</x:v>
      </x:c>
      <x:c r="C33" s="2" t="str">
        <x:v>デイ</x:v>
      </x:c>
      <x:c r="D33" s="25" t="n">
        <x:v>84167</x:v>
      </x:c>
      <x:c r="E33" s="25" t="n">
        <x:v>43336</x:v>
      </x:c>
      <x:c r="F33" s="25" t="n">
        <x:f>D33-E33</x:f>
        <x:v>40831</x:v>
      </x:c>
      <x:c r="G33" s="25" t="n">
        <x:f>SUMIFS($F$7:$F$56,$A$7:$A$56,A33,$B$7:$B$56,"&lt;="&amp;B33)</x:f>
        <x:v>477198</x:v>
      </x:c>
      <x:c r="H33" s="25" t="n">
        <x:v>1669</x:v>
      </x:c>
      <x:c r="I33" s="25" t="n">
        <x:v>42500</x:v>
      </x:c>
      <x:c r="J33" s="11" t="n">
        <x:v>4</x:v>
      </x:c>
      <x:c r="K33" s="11" t="n">
        <x:v>20</x:v>
      </x:c>
      <x:c r="L33" s="11" t="n">
        <x:v>5</x:v>
      </x:c>
      <x:c r="M33" s="13" t="str">
        <x:v>既知47場</x:v>
      </x:c>
      <x:c r="N33" s="12" t="n">
        <x:v>70.2</x:v>
      </x:c>
      <x:c r="O33" s="12" t="n">
        <x:v>169.25</x:v>
      </x:c>
    </x:row>
    <x:row r="34" ht="22" customHeight="1">
      <x:c r="A34" s="2" t="str">
        <x:v>R09</x:v>
      </x:c>
      <x:c r="B34" s="7" t="d">
        <x:v>2026-10-08T17:00:00.000Z</x:v>
      </x:c>
      <x:c r="C34" s="2" t="str">
        <x:v>ナイト</x:v>
      </x:c>
      <x:c r="D34" s="25" t="n">
        <x:v>59164</x:v>
      </x:c>
      <x:c r="E34" s="25" t="n">
        <x:v>17918</x:v>
      </x:c>
      <x:c r="F34" s="25" t="n">
        <x:f>D34-E34</x:f>
        <x:v>41246</x:v>
      </x:c>
      <x:c r="G34" s="25" t="n">
        <x:f>SUMIFS($F$7:$F$56,$A$7:$A$56,A34,$B$7:$B$56,"&lt;="&amp;B34)</x:f>
        <x:v>518444</x:v>
      </x:c>
      <x:c r="H34" s="25" t="n">
        <x:v>1254</x:v>
      </x:c>
      <x:c r="I34" s="25" t="n">
        <x:v>42500</x:v>
      </x:c>
      <x:c r="J34" s="11" t="n">
        <x:v>3</x:v>
      </x:c>
      <x:c r="K34" s="11" t="n">
        <x:v>15</x:v>
      </x:c>
      <x:c r="L34" s="11" t="n">
        <x:v>5</x:v>
      </x:c>
      <x:c r="M34" s="13" t="str">
        <x:v>既知47場</x:v>
      </x:c>
      <x:c r="N34" s="12" t="n">
        <x:v>413.2</x:v>
      </x:c>
      <x:c r="O34" s="12" t="n">
        <x:v>72.38333333333334</x:v>
      </x:c>
    </x:row>
    <x:row r="35" ht="22" customHeight="1">
      <x:c r="A35" s="2" t="str">
        <x:v>R09</x:v>
      </x:c>
      <x:c r="B35" s="7" t="d">
        <x:v>2026-10-09T08:45:00.000Z</x:v>
      </x:c>
      <x:c r="C35" s="2" t="str">
        <x:v>デイ</x:v>
      </x:c>
      <x:c r="D35" s="25" t="n">
        <x:v>69084</x:v>
      </x:c>
      <x:c r="E35" s="25" t="n">
        <x:v>30418</x:v>
      </x:c>
      <x:c r="F35" s="25" t="n">
        <x:f>D35-E35</x:f>
        <x:v>38666</x:v>
      </x:c>
      <x:c r="G35" s="25" t="n">
        <x:f>SUMIFS($F$7:$F$56,$A$7:$A$56,A35,$B$7:$B$56,"&lt;="&amp;B35)</x:f>
        <x:v>557110</x:v>
      </x:c>
      <x:c r="H35" s="25" t="n">
        <x:v>834</x:v>
      </x:c>
      <x:c r="I35" s="25" t="n">
        <x:v>39500</x:v>
      </x:c>
      <x:c r="J35" s="11" t="n">
        <x:v>2</x:v>
      </x:c>
      <x:c r="K35" s="11" t="n">
        <x:v>10</x:v>
      </x:c>
      <x:c r="L35" s="11" t="n">
        <x:v>5</x:v>
      </x:c>
      <x:c r="M35" s="13" t="str">
        <x:v>既知47場</x:v>
      </x:c>
      <x:c r="N35" s="12" t="n">
        <x:v>85.61666666666666</x:v>
      </x:c>
      <x:c r="O35" s="12" t="n">
        <x:v>292.01666666666665</x:v>
      </x:c>
    </x:row>
    <x:row r="36" ht="22" customHeight="1">
      <x:c r="A36" s="2" t="str">
        <x:v>R09</x:v>
      </x:c>
      <x:c r="B36" s="7" t="d">
        <x:v>2026-10-09T17:00:00.000Z</x:v>
      </x:c>
      <x:c r="C36" s="2" t="str">
        <x:v>ナイト</x:v>
      </x:c>
      <x:c r="D36" s="25" t="n">
        <x:v>14582</x:v>
      </x:c>
      <x:c r="E36" s="25" t="n">
        <x:v>0</x:v>
      </x:c>
      <x:c r="F36" s="25" t="n">
        <x:f>D36-E36</x:f>
        <x:v>14582</x:v>
      </x:c>
      <x:c r="G36" s="25" t="n">
        <x:f>SUMIFS($F$7:$F$56,$A$7:$A$56,A36,$B$7:$B$56,"&lt;="&amp;B36)</x:f>
        <x:v>571692</x:v>
      </x:c>
      <x:c r="H36" s="25" t="n">
        <x:v>418</x:v>
      </x:c>
      <x:c r="I36" s="25" t="n">
        <x:v>15000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450</x:v>
      </x:c>
      <x:c r="O36" s="12" t="n">
        <x:v>52.56666666666667</x:v>
      </x:c>
    </x:row>
    <x:row r="37" ht="22" customHeight="1">
      <x:c r="A37" s="2" t="str">
        <x:v>R09</x:v>
      </x:c>
      <x:c r="B37" s="7" t="d">
        <x:v>2026-10-12T08:45:00.000Z</x:v>
      </x:c>
      <x:c r="C37" s="2" t="str">
        <x:v>デイ</x:v>
      </x:c>
      <x:c r="D37" s="25" t="n">
        <x:v>19582</x:v>
      </x:c>
      <x:c r="E37" s="25" t="n">
        <x:v>0</x:v>
      </x:c>
      <x:c r="F37" s="25" t="n">
        <x:f>D37-E37</x:f>
        <x:v>19582</x:v>
      </x:c>
      <x:c r="G37" s="25" t="n">
        <x:f>SUMIFS($F$7:$F$56,$A$7:$A$56,A37,$B$7:$B$56,"&lt;="&amp;B37)</x:f>
        <x:v>591274</x:v>
      </x:c>
      <x:c r="H37" s="25" t="n">
        <x:v>418</x:v>
      </x:c>
      <x:c r="I37" s="25" t="n">
        <x:v>20000</x:v>
      </x:c>
      <x:c r="J37" s="11" t="n">
        <x:v>1</x:v>
      </x:c>
      <x:c r="K37" s="11" t="n">
        <x:v>5</x:v>
      </x:c>
      <x:c r="L37" s="11" t="n">
        <x:v>5</x:v>
      </x:c>
      <x:c r="M37" s="13" t="str">
        <x:v>既知47場</x:v>
      </x:c>
      <x:c r="N37" s="12" t="n">
        <x:v>256</x:v>
      </x:c>
      <x:c r="O37" s="12" t="n">
        <x:v>107</x:v>
      </x:c>
    </x:row>
    <x:row r="38" ht="22" customHeight="1">
      <x:c r="A38" s="2" t="str">
        <x:v>R09</x:v>
      </x:c>
      <x:c r="B38" s="7" t="d">
        <x:v>2026-10-12T17:00:00.000Z</x:v>
      </x:c>
      <x:c r="C38" s="2" t="str">
        <x:v>ナイト</x:v>
      </x:c>
      <x:c r="D38" s="25" t="n">
        <x:v>2082</x:v>
      </x:c>
      <x:c r="E38" s="25" t="n">
        <x:v>0</x:v>
      </x:c>
      <x:c r="F38" s="25" t="n">
        <x:f>D38-E38</x:f>
        <x:v>2082</x:v>
      </x:c>
      <x:c r="G38" s="25" t="n">
        <x:f>SUMIFS($F$7:$F$56,$A$7:$A$56,A38,$B$7:$B$56,"&lt;="&amp;B38)</x:f>
        <x:v>593356</x:v>
      </x:c>
      <x:c r="H38" s="25" t="n">
        <x:v>418</x:v>
      </x:c>
      <x:c r="I38" s="25" t="n">
        <x:v>2500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369.23333333333335</x:v>
      </x:c>
      <x:c r="O38" s="12" t="n">
        <x:v>4.55</x:v>
      </x:c>
    </x:row>
    <x:row r="39" ht="22" customHeight="1">
      <x:c r="A39" s="2" t="str">
        <x:v>R09</x:v>
      </x:c>
      <x:c r="B39" s="7" t="d">
        <x:v>2026-10-13T08:45:00.000Z</x:v>
      </x:c>
      <x:c r="C39" s="2" t="str">
        <x:v>デイ</x:v>
      </x:c>
      <x:c r="D39" s="25" t="n">
        <x:v>43084</x:v>
      </x:c>
      <x:c r="E39" s="25" t="n">
        <x:v>42918</x:v>
      </x:c>
      <x:c r="F39" s="25" t="n">
        <x:f>D39-E39</x:f>
        <x:v>166</x:v>
      </x:c>
      <x:c r="G39" s="25" t="n">
        <x:f>SUMIFS($F$7:$F$56,$A$7:$A$56,A39,$B$7:$B$56,"&lt;="&amp;B39)</x:f>
        <x:v>593522</x:v>
      </x:c>
      <x:c r="H39" s="25" t="n">
        <x:v>834</x:v>
      </x:c>
      <x:c r="I39" s="25" t="n">
        <x:v>1000</x:v>
      </x:c>
      <x:c r="J39" s="11" t="n">
        <x:v>2</x:v>
      </x:c>
      <x:c r="K39" s="11" t="n">
        <x:v>10</x:v>
      </x:c>
      <x:c r="L39" s="11" t="n">
        <x:v>5</x:v>
      </x:c>
      <x:c r="M39" s="13" t="str">
        <x:v>既知47場</x:v>
      </x:c>
      <x:c r="N39" s="12" t="n">
        <x:v>66.41666666666667</x:v>
      </x:c>
      <x:c r="O39" s="12" t="n">
        <x:v>307.93333333333334</x:v>
      </x:c>
    </x:row>
    <x:row r="40" ht="22" customHeight="1">
      <x:c r="A40" s="2" t="str">
        <x:v>R09</x:v>
      </x:c>
      <x:c r="B40" s="7" t="d">
        <x:v>2026-10-13T17:00:00.000Z</x:v>
      </x:c>
      <x:c r="C40" s="2" t="str">
        <x:v>ナイト</x:v>
      </x:c>
      <x:c r="D40" s="25" t="n">
        <x:v>4582</x:v>
      </x:c>
      <x:c r="E40" s="25" t="n">
        <x:v>0</x:v>
      </x:c>
      <x:c r="F40" s="25" t="n">
        <x:f>D40-E40</x:f>
        <x:v>4582</x:v>
      </x:c>
      <x:c r="G40" s="25" t="n">
        <x:f>SUMIFS($F$7:$F$56,$A$7:$A$56,A40,$B$7:$B$56,"&lt;="&amp;B40)</x:f>
        <x:v>598104</x:v>
      </x:c>
      <x:c r="H40" s="25" t="n">
        <x:v>418</x:v>
      </x:c>
      <x:c r="I40" s="25" t="n">
        <x:v>5000</x:v>
      </x:c>
      <x:c r="J40" s="11" t="n">
        <x:v>1</x:v>
      </x:c>
      <x:c r="K40" s="11" t="n">
        <x:v>5</x:v>
      </x:c>
      <x:c r="L40" s="11" t="n">
        <x:v>5</x:v>
      </x:c>
      <x:c r="M40" s="13" t="str">
        <x:v>既知47場</x:v>
      </x:c>
      <x:c r="N40" s="12" t="n">
        <x:v>362.95</x:v>
      </x:c>
      <x:c r="O40" s="12" t="n">
        <x:v>60.78333333333333</x:v>
      </x:c>
    </x:row>
    <x:row r="41" ht="22" customHeight="1">
      <x:c r="A41" s="2" t="str">
        <x:v>R09</x:v>
      </x:c>
      <x:c r="B41" s="7" t="d">
        <x:v>2026-10-14T08:45:00.000Z</x:v>
      </x:c>
      <x:c r="C41" s="2" t="str">
        <x:v>デイ</x:v>
      </x:c>
      <x:c r="D41" s="25" t="n">
        <x:v>1083</x:v>
      </x:c>
      <x:c r="E41" s="25" t="n">
        <x:v>20335</x:v>
      </x:c>
      <x:c r="F41" s="25" t="n">
        <x:f>D41-E41</x:f>
        <x:v>-19252</x:v>
      </x:c>
      <x:c r="G41" s="25" t="n">
        <x:f>SUMIFS($F$7:$F$56,$A$7:$A$56,A41,$B$7:$B$56,"&lt;="&amp;B41)</x:f>
        <x:v>578852</x:v>
      </x:c>
      <x:c r="H41" s="25" t="n">
        <x:v>1252</x:v>
      </x:c>
      <x:c r="I41" s="25" t="n">
        <x:v>-18000</x:v>
      </x:c>
      <x:c r="J41" s="11" t="n">
        <x:v>3</x:v>
      </x:c>
      <x:c r="K41" s="11" t="n">
        <x:v>15</x:v>
      </x:c>
      <x:c r="L41" s="11" t="n">
        <x:v>5</x:v>
      </x:c>
      <x:c r="M41" s="13" t="str">
        <x:v>既知47場</x:v>
      </x:c>
      <x:c r="N41" s="12" t="n">
        <x:v>132.93333333333334</x:v>
      </x:c>
      <x:c r="O41" s="12" t="n">
        <x:v>260.25</x:v>
      </x:c>
    </x:row>
    <x:row r="42" ht="22" customHeight="1">
      <x:c r="A42" s="2" t="str">
        <x:v>R09</x:v>
      </x:c>
      <x:c r="B42" s="7" t="d">
        <x:v>2026-10-14T17:00:00.000Z</x:v>
      </x:c>
      <x:c r="C42" s="2" t="str">
        <x:v>ナイト</x:v>
      </x:c>
      <x:c r="D42" s="25" t="n">
        <x:v>64164</x:v>
      </x:c>
      <x:c r="E42" s="25" t="n">
        <x:v>63754</x:v>
      </x:c>
      <x:c r="F42" s="25" t="n">
        <x:f>D42-E42</x:f>
        <x:v>410</x:v>
      </x:c>
      <x:c r="G42" s="25" t="n">
        <x:f>SUMIFS($F$7:$F$56,$A$7:$A$56,A42,$B$7:$B$56,"&lt;="&amp;B42)</x:f>
        <x:v>579262</x:v>
      </x:c>
      <x:c r="H42" s="25" t="n">
        <x:v>2090</x:v>
      </x:c>
      <x:c r="I42" s="25" t="n">
        <x:v>2500</x:v>
      </x:c>
      <x:c r="J42" s="11" t="n">
        <x:v>5</x:v>
      </x:c>
      <x:c r="K42" s="11" t="n">
        <x:v>25</x:v>
      </x:c>
      <x:c r="L42" s="11" t="n">
        <x:v>5</x:v>
      </x:c>
      <x:c r="M42" s="13" t="str">
        <x:v>既知47場</x:v>
      </x:c>
      <x:c r="N42" s="12" t="n">
        <x:v>360.01666666666665</x:v>
      </x:c>
      <x:c r="O42" s="12" t="n">
        <x:v>152.31666666666666</x:v>
      </x:c>
    </x:row>
    <x:row r="43" ht="22" customHeight="1">
      <x:c r="A43" s="2" t="str">
        <x:v>R09</x:v>
      </x:c>
      <x:c r="B43" s="7" t="d">
        <x:v>2026-10-15T08:45:00.000Z</x:v>
      </x:c>
      <x:c r="C43" s="2" t="str">
        <x:v>デイ</x:v>
      </x:c>
      <x:c r="D43" s="25" t="n">
        <x:v>132083</x:v>
      </x:c>
      <x:c r="E43" s="25" t="n">
        <x:v>43336</x:v>
      </x:c>
      <x:c r="F43" s="25" t="n">
        <x:f>D43-E43</x:f>
        <x:v>88747</x:v>
      </x:c>
      <x:c r="G43" s="25" t="n">
        <x:f>SUMIFS($F$7:$F$56,$A$7:$A$56,A43,$B$7:$B$56,"&lt;="&amp;B43)</x:f>
        <x:v>668009</x:v>
      </x:c>
      <x:c r="H43" s="25" t="n">
        <x:v>1253</x:v>
      </x:c>
      <x:c r="I43" s="25" t="n">
        <x:v>90000</x:v>
      </x:c>
      <x:c r="J43" s="11" t="n">
        <x:v>3</x:v>
      </x:c>
      <x:c r="K43" s="11" t="n">
        <x:v>15</x:v>
      </x:c>
      <x:c r="L43" s="11" t="n">
        <x:v>5</x:v>
      </x:c>
      <x:c r="M43" s="13" t="str">
        <x:v>既知47場</x:v>
      </x:c>
      <x:c r="N43" s="12" t="n">
        <x:v>67.7</x:v>
      </x:c>
      <x:c r="O43" s="12" t="n">
        <x:v>210.13333333333333</x:v>
      </x:c>
    </x:row>
    <x:row r="44" ht="22" customHeight="1">
      <x:c r="A44" s="2" t="str">
        <x:v>R09</x:v>
      </x:c>
      <x:c r="B44" s="7" t="d">
        <x:v>2026-10-15T17:00:00.000Z</x:v>
      </x:c>
      <x:c r="C44" s="2" t="str">
        <x:v>ナイト</x:v>
      </x:c>
      <x:c r="D44" s="25" t="n">
        <x:v>61664</x:v>
      </x:c>
      <x:c r="E44" s="25" t="n">
        <x:v>38336</x:v>
      </x:c>
      <x:c r="F44" s="25" t="n">
        <x:f>D44-E44</x:f>
        <x:v>23328</x:v>
      </x:c>
      <x:c r="G44" s="25" t="n">
        <x:f>SUMIFS($F$7:$F$56,$A$7:$A$56,A44,$B$7:$B$56,"&lt;="&amp;B44)</x:f>
        <x:v>691337</x:v>
      </x:c>
      <x:c r="H44" s="25" t="n">
        <x:v>2172</x:v>
      </x:c>
      <x:c r="I44" s="25" t="n">
        <x:v>25500</x:v>
      </x:c>
      <x:c r="J44" s="11" t="n">
        <x:v>6</x:v>
      </x:c>
      <x:c r="K44" s="11" t="n">
        <x:v>26</x:v>
      </x:c>
      <x:c r="L44" s="11" t="n">
        <x:v>5</x:v>
      </x:c>
      <x:c r="M44" s="13" t="str">
        <x:v>既知47場</x:v>
      </x:c>
      <x:c r="N44" s="12" t="n">
        <x:v>400.05</x:v>
      </x:c>
      <x:c r="O44" s="12" t="n">
        <x:v>100.28333333333333</x:v>
      </x:c>
    </x:row>
    <x:row r="45" ht="22" customHeight="1">
      <x:c r="A45" s="2" t="str">
        <x:v>R09</x:v>
      </x:c>
      <x:c r="B45" s="7" t="d">
        <x:v>2026-10-16T08:45:00.000Z</x:v>
      </x:c>
      <x:c r="C45" s="2" t="str">
        <x:v>デイ</x:v>
      </x:c>
      <x:c r="D45" s="25" t="n">
        <x:v>0</x:v>
      </x:c>
      <x:c r="E45" s="25" t="n">
        <x:v>79172</x:v>
      </x:c>
      <x:c r="F45" s="25" t="n">
        <x:f>D45-E45</x:f>
        <x:v>-79172</x:v>
      </x:c>
      <x:c r="G45" s="25" t="n">
        <x:f>SUMIFS($F$7:$F$56,$A$7:$A$56,A45,$B$7:$B$56,"&lt;="&amp;B45)</x:f>
        <x:v>612165</x:v>
      </x:c>
      <x:c r="H45" s="25" t="n">
        <x:v>1672</x:v>
      </x:c>
      <x:c r="I45" s="25" t="n">
        <x:v>-77500</x:v>
      </x:c>
      <x:c r="J45" s="11" t="n">
        <x:v>4</x:v>
      </x:c>
      <x:c r="K45" s="11" t="n">
        <x:v>20</x:v>
      </x:c>
      <x:c r="L45" s="11" t="n">
        <x:v>5</x:v>
      </x:c>
      <x:c r="M45" s="13" t="str">
        <x:v>既知47場</x:v>
      </x:c>
      <x:c r="N45" s="12" t="n">
        <x:v>67.33333333333333</x:v>
      </x:c>
      <x:c r="O45" s="12" t="n">
        <x:v>155.38333333333333</x:v>
      </x:c>
    </x:row>
    <x:row r="46" ht="22" customHeight="1">
      <x:c r="A46" s="2" t="str">
        <x:v>R09</x:v>
      </x:c>
      <x:c r="B46" s="7" t="d">
        <x:v>2026-10-16T17:00:00.000Z</x:v>
      </x:c>
      <x:c r="C46" s="2" t="str">
        <x:v>ナイト</x:v>
      </x:c>
      <x:c r="D46" s="25" t="n">
        <x:v>151664</x:v>
      </x:c>
      <x:c r="E46" s="25" t="n">
        <x:v>38336</x:v>
      </x:c>
      <x:c r="F46" s="25" t="n">
        <x:f>D46-E46</x:f>
        <x:v>113328</x:v>
      </x:c>
      <x:c r="G46" s="25" t="n">
        <x:f>SUMIFS($F$7:$F$56,$A$7:$A$56,A46,$B$7:$B$56,"&lt;="&amp;B46)</x:f>
        <x:v>725493</x:v>
      </x:c>
      <x:c r="H46" s="25" t="n">
        <x:v>1672</x:v>
      </x:c>
      <x:c r="I46" s="25" t="n">
        <x:v>115000</x:v>
      </x:c>
      <x:c r="J46" s="11" t="n">
        <x:v>4</x:v>
      </x:c>
      <x:c r="K46" s="11" t="n">
        <x:v>20</x:v>
      </x:c>
      <x:c r="L46" s="11" t="n">
        <x:v>5</x:v>
      </x:c>
      <x:c r="M46" s="13" t="str">
        <x:v>既知47場</x:v>
      </x:c>
      <x:c r="N46" s="12" t="n">
        <x:v>409.15</x:v>
      </x:c>
      <x:c r="O46" s="12" t="n">
        <x:v>95.31666666666666</x:v>
      </x:c>
    </x:row>
    <x:row r="47" ht="22" customHeight="1">
      <x:c r="A47" s="2" t="str">
        <x:v>R09</x:v>
      </x:c>
      <x:c r="B47" s="7" t="d">
        <x:v>2026-10-19T08:45:00.000Z</x:v>
      </x:c>
      <x:c r="C47" s="2" t="str">
        <x:v>デイ</x:v>
      </x:c>
      <x:c r="D47" s="25" t="n">
        <x:v>118083</x:v>
      </x:c>
      <x:c r="E47" s="25" t="n">
        <x:v>47918</x:v>
      </x:c>
      <x:c r="F47" s="25" t="n">
        <x:f>D47-E47</x:f>
        <x:v>70165</x:v>
      </x:c>
      <x:c r="G47" s="25" t="n">
        <x:f>SUMIFS($F$7:$F$56,$A$7:$A$56,A47,$B$7:$B$56,"&lt;="&amp;B47)</x:f>
        <x:v>795658</x:v>
      </x:c>
      <x:c r="H47" s="25" t="n">
        <x:v>835</x:v>
      </x:c>
      <x:c r="I47" s="25" t="n">
        <x:v>71000</x:v>
      </x:c>
      <x:c r="J47" s="11" t="n">
        <x:v>2</x:v>
      </x:c>
      <x:c r="K47" s="11" t="n">
        <x:v>10</x:v>
      </x:c>
      <x:c r="L47" s="11" t="n">
        <x:v>5</x:v>
      </x:c>
      <x:c r="M47" s="13" t="str">
        <x:v>既知47場</x:v>
      </x:c>
      <x:c r="N47" s="12" t="n">
        <x:v>66.71666666666667</x:v>
      </x:c>
      <x:c r="O47" s="12" t="n">
        <x:v>321.96666666666664</x:v>
      </x:c>
    </x:row>
    <x:row r="48" ht="22" customHeight="1">
      <x:c r="A48" s="2" t="str">
        <x:v>R09</x:v>
      </x:c>
      <x:c r="B48" s="7" t="d">
        <x:v>2026-10-19T17:00:00.000Z</x:v>
      </x:c>
      <x:c r="C48" s="2" t="str">
        <x:v>ナイト</x:v>
      </x:c>
      <x:c r="D48" s="25" t="n">
        <x:v>41664</x:v>
      </x:c>
      <x:c r="E48" s="25" t="n">
        <x:v>38336</x:v>
      </x:c>
      <x:c r="F48" s="25" t="n">
        <x:f>D48-E48</x:f>
        <x:v>3328</x:v>
      </x:c>
      <x:c r="G48" s="25" t="n">
        <x:f>SUMIFS($F$7:$F$56,$A$7:$A$56,A48,$B$7:$B$56,"&lt;="&amp;B48)</x:f>
        <x:v>798986</x:v>
      </x:c>
      <x:c r="H48" s="25" t="n">
        <x:v>1672</x:v>
      </x:c>
      <x:c r="I48" s="25" t="n">
        <x:v>5000</x:v>
      </x:c>
      <x:c r="J48" s="11" t="n">
        <x:v>4</x:v>
      </x:c>
      <x:c r="K48" s="11" t="n">
        <x:v>20</x:v>
      </x:c>
      <x:c r="L48" s="11" t="n">
        <x:v>5</x:v>
      </x:c>
      <x:c r="M48" s="13" t="str">
        <x:v>既知47場</x:v>
      </x:c>
      <x:c r="N48" s="12" t="n">
        <x:v>397.3333333333333</x:v>
      </x:c>
      <x:c r="O48" s="12" t="n">
        <x:v>96.4</x:v>
      </x:c>
    </x:row>
    <x:row r="49" ht="22" customHeight="1">
      <x:c r="A49" s="2" t="str">
        <x:v>R09</x:v>
      </x:c>
      <x:c r="B49" s="7" t="d">
        <x:v>2026-10-20T08:45:00.000Z</x:v>
      </x:c>
      <x:c r="C49" s="2" t="str">
        <x:v>デイ</x:v>
      </x:c>
      <x:c r="D49" s="25" t="n">
        <x:v>41583</x:v>
      </x:c>
      <x:c r="E49" s="25" t="n">
        <x:v>58336</x:v>
      </x:c>
      <x:c r="F49" s="25" t="n">
        <x:f>D49-E49</x:f>
        <x:v>-16753</x:v>
      </x:c>
      <x:c r="G49" s="25" t="n">
        <x:f>SUMIFS($F$7:$F$56,$A$7:$A$56,A49,$B$7:$B$56,"&lt;="&amp;B49)</x:f>
        <x:v>782233</x:v>
      </x:c>
      <x:c r="H49" s="25" t="n">
        <x:v>1253</x:v>
      </x:c>
      <x:c r="I49" s="25" t="n">
        <x:v>-15500</x:v>
      </x:c>
      <x:c r="J49" s="11" t="n">
        <x:v>3</x:v>
      </x:c>
      <x:c r="K49" s="11" t="n">
        <x:v>15</x:v>
      </x:c>
      <x:c r="L49" s="11" t="n">
        <x:v>5</x:v>
      </x:c>
      <x:c r="M49" s="13" t="str">
        <x:v>既知47場</x:v>
      </x:c>
      <x:c r="N49" s="12" t="n">
        <x:v>69.8</x:v>
      </x:c>
      <x:c r="O49" s="12" t="n">
        <x:v>73.86666666666666</x:v>
      </x:c>
    </x:row>
    <x:row r="50" ht="22" customHeight="1">
      <x:c r="A50" s="2" t="str">
        <x:v>R09</x:v>
      </x:c>
      <x:c r="B50" s="7" t="d">
        <x:v>2026-10-20T17:00:00.000Z</x:v>
      </x:c>
      <x:c r="C50" s="2" t="str">
        <x:v>ナイト</x:v>
      </x:c>
      <x:c r="D50" s="25" t="n">
        <x:v>84582</x:v>
      </x:c>
      <x:c r="E50" s="25" t="n">
        <x:v>33500</x:v>
      </x:c>
      <x:c r="F50" s="25" t="n">
        <x:f>D50-E50</x:f>
        <x:v>51082</x:v>
      </x:c>
      <x:c r="G50" s="25" t="n">
        <x:f>SUMIFS($F$7:$F$56,$A$7:$A$56,A50,$B$7:$B$56,"&lt;="&amp;B50)</x:f>
        <x:v>833315</x:v>
      </x:c>
      <x:c r="H50" s="25" t="n">
        <x:v>918</x:v>
      </x:c>
      <x:c r="I50" s="25" t="n">
        <x:v>52000</x:v>
      </x:c>
      <x:c r="J50" s="11" t="n">
        <x:v>3</x:v>
      </x:c>
      <x:c r="K50" s="11" t="n">
        <x:v>11</x:v>
      </x:c>
      <x:c r="L50" s="11" t="n">
        <x:v>5</x:v>
      </x:c>
      <x:c r="M50" s="13" t="str">
        <x:v>既知47場</x:v>
      </x:c>
      <x:c r="N50" s="12" t="n">
        <x:v>367.26666666666665</x:v>
      </x:c>
      <x:c r="O50" s="12" t="n">
        <x:v>69.35</x:v>
      </x:c>
    </x:row>
    <x:row r="51" ht="22" customHeight="1">
      <x:c r="A51" s="2" t="str">
        <x:v>R09</x:v>
      </x:c>
      <x:c r="B51" s="7" t="d">
        <x:v>2026-10-21T08:45:00.000Z</x:v>
      </x:c>
      <x:c r="C51" s="2" t="str">
        <x:v>デイ</x:v>
      </x:c>
      <x:c r="D51" s="25" t="n">
        <x:v>28083</x:v>
      </x:c>
      <x:c r="E51" s="25" t="n">
        <x:v>71254</x:v>
      </x:c>
      <x:c r="F51" s="25" t="n">
        <x:f>D51-E51</x:f>
        <x:v>-43171</x:v>
      </x:c>
      <x:c r="G51" s="25" t="n">
        <x:f>SUMIFS($F$7:$F$56,$A$7:$A$56,A51,$B$7:$B$56,"&lt;="&amp;B51)</x:f>
        <x:v>790144</x:v>
      </x:c>
      <x:c r="H51" s="25" t="n">
        <x:v>1671</x:v>
      </x:c>
      <x:c r="I51" s="25" t="n">
        <x:v>-41500</x:v>
      </x:c>
      <x:c r="J51" s="11" t="n">
        <x:v>4</x:v>
      </x:c>
      <x:c r="K51" s="11" t="n">
        <x:v>20</x:v>
      </x:c>
      <x:c r="L51" s="11" t="n">
        <x:v>5</x:v>
      </x:c>
      <x:c r="M51" s="13" t="str">
        <x:v>既知47場</x:v>
      </x:c>
      <x:c r="N51" s="12" t="n">
        <x:v>133.28333333333333</x:v>
      </x:c>
      <x:c r="O51" s="12" t="n">
        <x:v>72.51666666666667</x:v>
      </x:c>
    </x:row>
    <x:row r="52" ht="22" customHeight="1">
      <x:c r="A52" s="2" t="str">
        <x:v>R09</x:v>
      </x:c>
      <x:c r="B52" s="7" t="d">
        <x:v>2026-10-21T17:00:00.000Z</x:v>
      </x:c>
      <x:c r="C52" s="2" t="str">
        <x:v>ナイト</x:v>
      </x:c>
      <x:c r="D52" s="25" t="n">
        <x:v>24164</x:v>
      </x:c>
      <x:c r="E52" s="25" t="n">
        <x:v>22918</x:v>
      </x:c>
      <x:c r="F52" s="25" t="n">
        <x:f>D52-E52</x:f>
        <x:v>1246</x:v>
      </x:c>
      <x:c r="G52" s="25" t="n">
        <x:f>SUMIFS($F$7:$F$56,$A$7:$A$56,A52,$B$7:$B$56,"&lt;="&amp;B52)</x:f>
        <x:v>791390</x:v>
      </x:c>
      <x:c r="H52" s="25" t="n">
        <x:v>1254</x:v>
      </x:c>
      <x:c r="I52" s="25" t="n">
        <x:v>2500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393.3</x:v>
      </x:c>
      <x:c r="O52" s="12" t="n">
        <x:v>121.51666666666667</x:v>
      </x:c>
    </x:row>
    <x:row r="53" ht="22" customHeight="1">
      <x:c r="A53" s="2" t="str">
        <x:v>R09</x:v>
      </x:c>
      <x:c r="B53" s="7" t="d">
        <x:v>2026-10-22T08:45:00.000Z</x:v>
      </x:c>
      <x:c r="C53" s="2" t="str">
        <x:v>デイ</x:v>
      </x:c>
      <x:c r="D53" s="25" t="n">
        <x:v>80501</x:v>
      </x:c>
      <x:c r="E53" s="25" t="n">
        <x:v>30418</x:v>
      </x:c>
      <x:c r="F53" s="25" t="n">
        <x:f>D53-E53</x:f>
        <x:v>50083</x:v>
      </x:c>
      <x:c r="G53" s="25" t="n">
        <x:f>SUMIFS($F$7:$F$56,$A$7:$A$56,A53,$B$7:$B$56,"&lt;="&amp;B53)</x:f>
        <x:v>841473</x:v>
      </x:c>
      <x:c r="H53" s="25" t="n">
        <x:v>917</x:v>
      </x:c>
      <x:c r="I53" s="25" t="n">
        <x:v>51000</x:v>
      </x:c>
      <x:c r="J53" s="11" t="n">
        <x:v>3</x:v>
      </x:c>
      <x:c r="K53" s="11" t="n">
        <x:v>11</x:v>
      </x:c>
      <x:c r="L53" s="11" t="n">
        <x:v>5</x:v>
      </x:c>
      <x:c r="M53" s="13" t="str">
        <x:v>既知47場</x:v>
      </x:c>
      <x:c r="N53" s="12" t="n">
        <x:v>79.76666666666667</x:v>
      </x:c>
      <x:c r="O53" s="12" t="n">
        <x:v>142.93333333333334</x:v>
      </x:c>
    </x:row>
    <x:row r="54" ht="22" customHeight="1">
      <x:c r="A54" s="2" t="str">
        <x:v>R09</x:v>
      </x:c>
      <x:c r="B54" s="7" t="d">
        <x:v>2026-10-22T17:00:00.000Z</x:v>
      </x:c>
      <x:c r="C54" s="2" t="str">
        <x:v>ナイト</x:v>
      </x:c>
      <x:c r="D54" s="25" t="n">
        <x:v>66246</x:v>
      </x:c>
      <x:c r="E54" s="25" t="n">
        <x:v>40918</x:v>
      </x:c>
      <x:c r="F54" s="25" t="n">
        <x:f>D54-E54</x:f>
        <x:v>25328</x:v>
      </x:c>
      <x:c r="G54" s="25" t="n">
        <x:f>SUMIFS($F$7:$F$56,$A$7:$A$56,A54,$B$7:$B$56,"&lt;="&amp;B54)</x:f>
        <x:v>866801</x:v>
      </x:c>
      <x:c r="H54" s="25" t="n">
        <x:v>2172</x:v>
      </x:c>
      <x:c r="I54" s="25" t="n">
        <x:v>27500</x:v>
      </x:c>
      <x:c r="J54" s="11" t="n">
        <x:v>6</x:v>
      </x:c>
      <x:c r="K54" s="11" t="n">
        <x:v>26</x:v>
      </x:c>
      <x:c r="L54" s="11" t="n">
        <x:v>5</x:v>
      </x:c>
      <x:c r="M54" s="13" t="str">
        <x:v>追加3場</x:v>
      </x:c>
      <x:c r="N54" s="12" t="n">
        <x:v>384.01666666666665</x:v>
      </x:c>
      <x:c r="O54" s="12" t="n">
        <x:v>67.51666666666667</x:v>
      </x:c>
    </x:row>
    <x:row r="55" ht="22" customHeight="1">
      <x:c r="A55" s="2" t="str">
        <x:v>R09</x:v>
      </x:c>
      <x:c r="B55" s="7" t="d">
        <x:v>2026-10-23T08:45:00.000Z</x:v>
      </x:c>
      <x:c r="C55" s="2" t="str">
        <x:v>デイ</x:v>
      </x:c>
      <x:c r="D55" s="25" t="n">
        <x:v>0</x:v>
      </x:c>
      <x:c r="E55" s="25" t="n">
        <x:v>131254</x:v>
      </x:c>
      <x:c r="F55" s="25" t="n">
        <x:f>D55-E55</x:f>
        <x:v>-131254</x:v>
      </x:c>
      <x:c r="G55" s="25" t="n">
        <x:f>SUMIFS($F$7:$F$56,$A$7:$A$56,A55,$B$7:$B$56,"&lt;="&amp;B55)</x:f>
        <x:v>735547</x:v>
      </x:c>
      <x:c r="H55" s="25" t="n">
        <x:v>1254</x:v>
      </x:c>
      <x:c r="I55" s="25" t="n">
        <x:v>-130000</x:v>
      </x:c>
      <x:c r="J55" s="11" t="n">
        <x:v>3</x:v>
      </x:c>
      <x:c r="K55" s="11" t="n">
        <x:v>15</x:v>
      </x:c>
      <x:c r="L55" s="11" t="n">
        <x:v>5</x:v>
      </x:c>
      <x:c r="M55" s="13" t="str">
        <x:v>追加3場</x:v>
      </x:c>
      <x:c r="N55" s="12" t="n">
        <x:v>92.38333333333334</x:v>
      </x:c>
      <x:c r="O55" s="12" t="n">
        <x:v>54</x:v>
      </x:c>
    </x:row>
    <x:row r="56" ht="22" customHeight="1">
      <x:c r="A56" s="2" t="str">
        <x:v>R09</x:v>
      </x:c>
      <x:c r="B56" s="7" t="d">
        <x:v>2026-10-23T17:00:00.000Z</x:v>
      </x:c>
      <x:c r="C56" s="2" t="str">
        <x:v>ナイト</x:v>
      </x:c>
      <x:c r="D56" s="25" t="n">
        <x:v>32082</x:v>
      </x:c>
      <x:c r="E56" s="25" t="n">
        <x:v>0</x:v>
      </x:c>
      <x:c r="F56" s="25" t="n">
        <x:f>D56-E56</x:f>
        <x:v>32082</x:v>
      </x:c>
      <x:c r="G56" s="25" t="n">
        <x:f>SUMIFS($F$7:$F$56,$A$7:$A$56,A56,$B$7:$B$56,"&lt;="&amp;B56)</x:f>
        <x:v>767629</x:v>
      </x:c>
      <x:c r="H56" s="25" t="n">
        <x:v>418</x:v>
      </x:c>
      <x:c r="I56" s="25" t="n">
        <x:v>32500</x:v>
      </x:c>
      <x:c r="J56" s="11" t="n">
        <x:v>1</x:v>
      </x:c>
      <x:c r="K56" s="11" t="n">
        <x:v>5</x:v>
      </x:c>
      <x:c r="L56" s="11" t="n">
        <x:v>5</x:v>
      </x:c>
      <x:c r="M56" s="13" t="str">
        <x:v>追加3場</x:v>
      </x:c>
      <x:c r="N56" s="12" t="n">
        <x:v>399.23333333333335</x:v>
      </x:c>
      <x:c r="O56" s="12" t="n">
        <x:v>58.11666666666667</x:v>
      </x:c>
    </x:row>
  </x:sheetData>
  <x:conditionalFormatting sqref="D7:I56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2f34c491134dc8"/>
  </x:tableParts>
</x:worksheet>
</file>

<file path=xl/worksheets/sheet10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S33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昼基準：T06／夜基準：T04。既知47場：9/21～10/22デイ。追加3場：10/22ナイト～10/23ナイト。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追加入口は昼夜共通の比較。夜のみ米国開始前後15分は静観。累計は日時順。出典：00140保存会計。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2" t="str">
        <x:v>手法ID</x:v>
      </x:c>
      <x:c r="B6" s="23" t="str">
        <x:v>開始日時</x:v>
      </x:c>
      <x:c r="C6" s="23" t="str">
        <x:v>セッション</x:v>
      </x:c>
      <x:c r="D6" s="23" t="str">
        <x:v>利益（円）</x:v>
      </x:c>
      <x:c r="E6" s="23" t="str">
        <x:v>損失（円）</x:v>
      </x:c>
      <x:c r="F6" s="23" t="str">
        <x:v>収支（円）</x:v>
      </x:c>
      <x:c r="G6" s="23" t="str">
        <x:v>累計（円）</x:v>
      </x:c>
      <x:c r="H6" s="23" t="str">
        <x:v>内数手数料（円）</x:v>
      </x:c>
      <x:c r="I6" s="23" t="str">
        <x:v>費用前収支（円）</x:v>
      </x:c>
      <x:c r="J6" s="23" t="str">
        <x:v>新規回数</x:v>
      </x:c>
      <x:c r="K6" s="23" t="str">
        <x:v>新規枚数</x:v>
      </x:c>
      <x:c r="L6" s="23" t="str">
        <x:v>最大片方向保有</x:v>
      </x:c>
      <x:c r="M6" s="23" t="str">
        <x:v>評価区分</x:v>
      </x:c>
      <x:c r="N6" s="23" t="str">
        <x:v>初回まで（分）</x:v>
      </x:c>
      <x:c r="O6" s="24" t="str">
        <x:v>保有（分）</x:v>
      </x:c>
    </x:row>
    <x:row r="7" ht="22" customHeight="1">
      <x:c r="A7" s="2" t="str">
        <x:v>S33</x:v>
      </x:c>
      <x:c r="B7" s="7" t="d">
        <x:v>2026-09-21T08:45:00.000Z</x:v>
      </x:c>
      <x:c r="C7" s="2" t="str">
        <x:v>デイ</x:v>
      </x:c>
      <x:c r="D7" s="25" t="n">
        <x:v>0</x:v>
      </x:c>
      <x:c r="E7" s="25" t="n">
        <x:v>20418</x:v>
      </x:c>
      <x:c r="F7" s="25" t="n">
        <x:f>D7-E7</x:f>
        <x:v>-20418</x:v>
      </x:c>
      <x:c r="G7" s="25" t="n">
        <x:f>SUMIFS($F$7:$F$56,$A$7:$A$56,A7,$B$7:$B$56,"&lt;="&amp;B7)</x:f>
        <x:v>-20418</x:v>
      </x:c>
      <x:c r="H7" s="25" t="n">
        <x:v>418</x:v>
      </x:c>
      <x:c r="I7" s="25" t="n">
        <x:v>-20000</x:v>
      </x:c>
      <x:c r="J7" s="11" t="n">
        <x:v>1</x:v>
      </x:c>
      <x:c r="K7" s="11" t="n">
        <x:v>5</x:v>
      </x:c>
      <x:c r="L7" s="11" t="n">
        <x:v>5</x:v>
      </x:c>
      <x:c r="M7" s="13" t="str">
        <x:v>既知47場</x:v>
      </x:c>
      <x:c r="N7" s="12" t="n">
        <x:v>363.18333333333334</x:v>
      </x:c>
      <x:c r="O7" s="12" t="n">
        <x:v>9.033333333333333</x:v>
      </x:c>
    </x:row>
    <x:row r="8" ht="22" customHeight="1">
      <x:c r="A8" s="2" t="str">
        <x:v>S33</x:v>
      </x:c>
      <x:c r="B8" s="7" t="d">
        <x:v>2026-09-21T17:00:00.000Z</x:v>
      </x:c>
      <x:c r="C8" s="2" t="str">
        <x:v>ナイト</x:v>
      </x:c>
      <x:c r="D8" s="25" t="n">
        <x:v>7082</x:v>
      </x:c>
      <x:c r="E8" s="25" t="n">
        <x:v>0</x:v>
      </x:c>
      <x:c r="F8" s="25" t="n">
        <x:f>D8-E8</x:f>
        <x:v>7082</x:v>
      </x:c>
      <x:c r="G8" s="25" t="n">
        <x:f>SUMIFS($F$7:$F$56,$A$7:$A$56,A8,$B$7:$B$56,"&lt;="&amp;B8)</x:f>
        <x:v>-13336</x:v>
      </x:c>
      <x:c r="H8" s="25" t="n">
        <x:v>418</x:v>
      </x:c>
      <x:c r="I8" s="25" t="n">
        <x:v>7500</x:v>
      </x:c>
      <x:c r="J8" s="11" t="n">
        <x:v>1</x:v>
      </x:c>
      <x:c r="K8" s="11" t="n">
        <x:v>5</x:v>
      </x:c>
      <x:c r="L8" s="11" t="n">
        <x:v>5</x:v>
      </x:c>
      <x:c r="M8" s="13" t="str">
        <x:v>既知47場</x:v>
      </x:c>
      <x:c r="N8" s="12" t="n">
        <x:v>385.95</x:v>
      </x:c>
      <x:c r="O8" s="12" t="n">
        <x:v>8.5</x:v>
      </x:c>
    </x:row>
    <x:row r="9" ht="22" customHeight="1">
      <x:c r="A9" s="2" t="str">
        <x:v>S33</x:v>
      </x:c>
      <x:c r="B9" s="7" t="d">
        <x:v>2026-09-22T08:45:00.000Z</x:v>
      </x:c>
      <x:c r="C9" s="2" t="str">
        <x:v>デイ</x:v>
      </x:c>
      <x:c r="D9" s="25" t="n">
        <x:v>20584</x:v>
      </x:c>
      <x:c r="E9" s="25" t="n">
        <x:v>20418</x:v>
      </x:c>
      <x:c r="F9" s="25" t="n">
        <x:f>D9-E9</x:f>
        <x:v>166</x:v>
      </x:c>
      <x:c r="G9" s="25" t="n">
        <x:f>SUMIFS($F$7:$F$56,$A$7:$A$56,A9,$B$7:$B$56,"&lt;="&amp;B9)</x:f>
        <x:v>-13170</x:v>
      </x:c>
      <x:c r="H9" s="25" t="n">
        <x:v>834</x:v>
      </x:c>
      <x:c r="I9" s="25" t="n">
        <x:v>1000</x:v>
      </x:c>
      <x:c r="J9" s="11" t="n">
        <x:v>2</x:v>
      </x:c>
      <x:c r="K9" s="11" t="n">
        <x:v>10</x:v>
      </x:c>
      <x:c r="L9" s="11" t="n">
        <x:v>5</x:v>
      </x:c>
      <x:c r="M9" s="13" t="str">
        <x:v>既知47場</x:v>
      </x:c>
      <x:c r="N9" s="12" t="n">
        <x:v>100.41666666666667</x:v>
      </x:c>
      <x:c r="O9" s="12" t="n">
        <x:v>18.416666666666668</x:v>
      </x:c>
    </x:row>
    <x:row r="10" ht="22" customHeight="1">
      <x:c r="A10" s="2" t="str">
        <x:v>S33</x:v>
      </x:c>
      <x:c r="B10" s="7" t="d">
        <x:v>2026-09-22T17:00:00.000Z</x:v>
      </x:c>
      <x:c r="C10" s="2" t="str">
        <x:v>ナイト</x:v>
      </x:c>
      <x:c r="D10" s="25" t="n">
        <x:v>15668</x:v>
      </x:c>
      <x:c r="E10" s="25" t="n">
        <x:v>53754</x:v>
      </x:c>
      <x:c r="F10" s="25" t="n">
        <x:f>D10-E10</x:f>
        <x:v>-38086</x:v>
      </x:c>
      <x:c r="G10" s="25" t="n">
        <x:f>SUMIFS($F$7:$F$56,$A$7:$A$56,A10,$B$7:$B$56,"&lt;="&amp;B10)</x:f>
        <x:v>-51256</x:v>
      </x:c>
      <x:c r="H10" s="25" t="n">
        <x:v>1586</x:v>
      </x:c>
      <x:c r="I10" s="25" t="n">
        <x:v>-36500</x:v>
      </x:c>
      <x:c r="J10" s="11" t="n">
        <x:v>5</x:v>
      </x:c>
      <x:c r="K10" s="11" t="n">
        <x:v>19</x:v>
      </x:c>
      <x:c r="L10" s="11" t="n">
        <x:v>5</x:v>
      </x:c>
      <x:c r="M10" s="13" t="str">
        <x:v>既知47場</x:v>
      </x:c>
      <x:c r="N10" s="12" t="n">
        <x:v>43.5</x:v>
      </x:c>
      <x:c r="O10" s="12" t="n">
        <x:v>75.31666666666666</x:v>
      </x:c>
    </x:row>
    <x:row r="11" ht="22" customHeight="1">
      <x:c r="A11" s="2" t="str">
        <x:v>S33</x:v>
      </x:c>
      <x:c r="B11" s="7" t="d">
        <x:v>2026-09-23T08:45:00.000Z</x:v>
      </x:c>
      <x:c r="C11" s="2" t="str">
        <x:v>デイ</x:v>
      </x:c>
      <x:c r="D11" s="25" t="n">
        <x:v>77584</x:v>
      </x:c>
      <x:c r="E11" s="25" t="n">
        <x:v>0</x:v>
      </x:c>
      <x:c r="F11" s="25" t="n">
        <x:f>D11-E11</x:f>
        <x:v>77584</x:v>
      </x:c>
      <x:c r="G11" s="25" t="n">
        <x:f>SUMIFS($F$7:$F$56,$A$7:$A$56,A11,$B$7:$B$56,"&lt;="&amp;B11)</x:f>
        <x:v>26328</x:v>
      </x:c>
      <x:c r="H11" s="25" t="n">
        <x:v>416</x:v>
      </x:c>
      <x:c r="I11" s="25" t="n">
        <x:v>78000</x:v>
      </x:c>
      <x:c r="J11" s="11" t="n">
        <x:v>1</x:v>
      </x:c>
      <x:c r="K11" s="11" t="n">
        <x:v>5</x:v>
      </x:c>
      <x:c r="L11" s="11" t="n">
        <x:v>5</x:v>
      </x:c>
      <x:c r="M11" s="13" t="str">
        <x:v>既知47場</x:v>
      </x:c>
      <x:c r="N11" s="12" t="n">
        <x:v>68.45</x:v>
      </x:c>
      <x:c r="O11" s="12" t="n">
        <x:v>158.21666666666667</x:v>
      </x:c>
    </x:row>
    <x:row r="12" ht="22" customHeight="1">
      <x:c r="A12" s="2" t="str">
        <x:v>S33</x:v>
      </x:c>
      <x:c r="B12" s="7" t="d">
        <x:v>2026-09-23T17:00:00.000Z</x:v>
      </x:c>
      <x:c r="C12" s="2" t="str">
        <x:v>ナイト</x:v>
      </x:c>
      <x:c r="D12" s="25" t="n">
        <x:v>29164</x:v>
      </x:c>
      <x:c r="E12" s="25" t="n">
        <x:v>0</x:v>
      </x:c>
      <x:c r="F12" s="25" t="n">
        <x:f>D12-E12</x:f>
        <x:v>29164</x:v>
      </x:c>
      <x:c r="G12" s="25" t="n">
        <x:f>SUMIFS($F$7:$F$56,$A$7:$A$56,A12,$B$7:$B$56,"&lt;="&amp;B12)</x:f>
        <x:v>55492</x:v>
      </x:c>
      <x:c r="H12" s="25" t="n">
        <x:v>836</x:v>
      </x:c>
      <x:c r="I12" s="25" t="n">
        <x:v>30000</x:v>
      </x:c>
      <x:c r="J12" s="11" t="n">
        <x:v>2</x:v>
      </x:c>
      <x:c r="K12" s="11" t="n">
        <x:v>10</x:v>
      </x:c>
      <x:c r="L12" s="11" t="n">
        <x:v>5</x:v>
      </x:c>
      <x:c r="M12" s="13" t="str">
        <x:v>既知47場</x:v>
      </x:c>
      <x:c r="N12" s="12" t="n">
        <x:v>450.01666666666665</x:v>
      </x:c>
      <x:c r="O12" s="12" t="n">
        <x:v>52.3</x:v>
      </x:c>
    </x:row>
    <x:row r="13" ht="22" customHeight="1">
      <x:c r="A13" s="2" t="str">
        <x:v>S33</x:v>
      </x:c>
      <x:c r="B13" s="7" t="d">
        <x:v>2026-09-24T08:45:00.000Z</x:v>
      </x:c>
      <x:c r="C13" s="2" t="str">
        <x:v>デイ</x:v>
      </x:c>
      <x:c r="D13" s="25" t="n">
        <x:v>118085</x:v>
      </x:c>
      <x:c r="E13" s="25" t="n">
        <x:v>0</x:v>
      </x:c>
      <x:c r="F13" s="25" t="n">
        <x:f>D13-E13</x:f>
        <x:v>118085</x:v>
      </x:c>
      <x:c r="G13" s="25" t="n">
        <x:f>SUMIFS($F$7:$F$56,$A$7:$A$56,A13,$B$7:$B$56,"&lt;="&amp;B13)</x:f>
        <x:v>173577</x:v>
      </x:c>
      <x:c r="H13" s="25" t="n">
        <x:v>915</x:v>
      </x:c>
      <x:c r="I13" s="25" t="n">
        <x:v>119000</x:v>
      </x:c>
      <x:c r="J13" s="11" t="n">
        <x:v>4</x:v>
      </x:c>
      <x:c r="K13" s="11" t="n">
        <x:v>11</x:v>
      </x:c>
      <x:c r="L13" s="11" t="n">
        <x:v>7</x:v>
      </x:c>
      <x:c r="M13" s="13" t="str">
        <x:v>既知47場</x:v>
      </x:c>
      <x:c r="N13" s="12" t="n">
        <x:v>55.5</x:v>
      </x:c>
      <x:c r="O13" s="12" t="n">
        <x:v>350.8</x:v>
      </x:c>
    </x:row>
    <x:row r="14" ht="22" customHeight="1">
      <x:c r="A14" s="2" t="str">
        <x:v>S33</x:v>
      </x:c>
      <x:c r="B14" s="7" t="d">
        <x:v>2026-09-24T17:00:00.000Z</x:v>
      </x:c>
      <x:c r="C14" s="2" t="str">
        <x:v>ナイト</x:v>
      </x:c>
      <x:c r="D14" s="25" t="n">
        <x:v>32082</x:v>
      </x:c>
      <x:c r="E14" s="25" t="n">
        <x:v>0</x:v>
      </x:c>
      <x:c r="F14" s="25" t="n">
        <x:f>D14-E14</x:f>
        <x:v>32082</x:v>
      </x:c>
      <x:c r="G14" s="25" t="n">
        <x:f>SUMIFS($F$7:$F$56,$A$7:$A$56,A14,$B$7:$B$56,"&lt;="&amp;B14)</x:f>
        <x:v>205659</x:v>
      </x:c>
      <x:c r="H14" s="25" t="n">
        <x:v>418</x:v>
      </x:c>
      <x:c r="I14" s="25" t="n">
        <x:v>32500</x:v>
      </x:c>
      <x:c r="J14" s="11" t="n">
        <x:v>1</x:v>
      </x:c>
      <x:c r="K14" s="11" t="n">
        <x:v>5</x:v>
      </x:c>
      <x:c r="L14" s="11" t="n">
        <x:v>5</x:v>
      </x:c>
      <x:c r="M14" s="13" t="str">
        <x:v>既知47場</x:v>
      </x:c>
      <x:c r="N14" s="12" t="n">
        <x:v>417.46666666666664</x:v>
      </x:c>
      <x:c r="O14" s="12" t="n">
        <x:v>40.983333333333334</x:v>
      </x:c>
    </x:row>
    <x:row r="15" ht="22" customHeight="1">
      <x:c r="A15" s="2" t="str">
        <x:v>S33</x:v>
      </x:c>
      <x:c r="B15" s="7" t="d">
        <x:v>2026-09-25T08:45:00.000Z</x:v>
      </x:c>
      <x:c r="C15" s="2" t="str">
        <x:v>デイ</x:v>
      </x:c>
      <x:c r="D15" s="25" t="n">
        <x:v>80583</x:v>
      </x:c>
      <x:c r="E15" s="25" t="n">
        <x:v>24166</x:v>
      </x:c>
      <x:c r="F15" s="25" t="n">
        <x:f>D15-E15</x:f>
        <x:v>56417</x:v>
      </x:c>
      <x:c r="G15" s="25" t="n">
        <x:f>SUMIFS($F$7:$F$56,$A$7:$A$56,A15,$B$7:$B$56,"&lt;="&amp;B15)</x:f>
        <x:v>262076</x:v>
      </x:c>
      <x:c r="H15" s="25" t="n">
        <x:v>583</x:v>
      </x:c>
      <x:c r="I15" s="25" t="n">
        <x:v>57000</x:v>
      </x:c>
      <x:c r="J15" s="11" t="n">
        <x:v>2</x:v>
      </x:c>
      <x:c r="K15" s="11" t="n">
        <x:v>7</x:v>
      </x:c>
      <x:c r="L15" s="11" t="n">
        <x:v>5</x:v>
      </x:c>
      <x:c r="M15" s="13" t="str">
        <x:v>既知47場</x:v>
      </x:c>
      <x:c r="N15" s="12" t="n">
        <x:v>86.21666666666667</x:v>
      </x:c>
      <x:c r="O15" s="12" t="n">
        <x:v>323.8</x:v>
      </x:c>
    </x:row>
    <x:row r="16" ht="22" customHeight="1">
      <x:c r="A16" s="2" t="str">
        <x:v>S33</x:v>
      </x:c>
      <x:c r="B16" s="7" t="d">
        <x:v>2026-09-25T17:00:00.000Z</x:v>
      </x:c>
      <x:c r="C16" s="2" t="str">
        <x:v>ナイト</x:v>
      </x:c>
      <x:c r="D16" s="25" t="n">
        <x:v>24582</x:v>
      </x:c>
      <x:c r="E16" s="25" t="n">
        <x:v>20418</x:v>
      </x:c>
      <x:c r="F16" s="25" t="n">
        <x:f>D16-E16</x:f>
        <x:v>4164</x:v>
      </x:c>
      <x:c r="G16" s="25" t="n">
        <x:f>SUMIFS($F$7:$F$56,$A$7:$A$56,A16,$B$7:$B$56,"&lt;="&amp;B16)</x:f>
        <x:v>266240</x:v>
      </x:c>
      <x:c r="H16" s="25" t="n">
        <x:v>836</x:v>
      </x:c>
      <x:c r="I16" s="25" t="n">
        <x:v>5000</x:v>
      </x:c>
      <x:c r="J16" s="11" t="n">
        <x:v>2</x:v>
      </x:c>
      <x:c r="K16" s="11" t="n">
        <x:v>10</x:v>
      </x:c>
      <x:c r="L16" s="11" t="n">
        <x:v>5</x:v>
      </x:c>
      <x:c r="M16" s="13" t="str">
        <x:v>既知47場</x:v>
      </x:c>
      <x:c r="N16" s="12" t="n">
        <x:v>450</x:v>
      </x:c>
      <x:c r="O16" s="12" t="n">
        <x:v>8.316666666666666</x:v>
      </x:c>
    </x:row>
    <x:row r="17" ht="22" customHeight="1">
      <x:c r="A17" s="2" t="str">
        <x:v>S33</x:v>
      </x:c>
      <x:c r="B17" s="7" t="d">
        <x:v>2026-09-28T08:45:00.000Z</x:v>
      </x:c>
      <x:c r="C17" s="2" t="str">
        <x:v>デイ</x:v>
      </x:c>
      <x:c r="D17" s="25" t="n">
        <x:v>158419</x:v>
      </x:c>
      <x:c r="E17" s="25" t="n">
        <x:v>78082</x:v>
      </x:c>
      <x:c r="F17" s="25" t="n">
        <x:f>D17-E17</x:f>
        <x:v>80337</x:v>
      </x:c>
      <x:c r="G17" s="25" t="n">
        <x:f>SUMIFS($F$7:$F$56,$A$7:$A$56,A17,$B$7:$B$56,"&lt;="&amp;B17)</x:f>
        <x:v>346577</x:v>
      </x:c>
      <x:c r="H17" s="25" t="n">
        <x:v>2163</x:v>
      </x:c>
      <x:c r="I17" s="25" t="n">
        <x:v>82500</x:v>
      </x:c>
      <x:c r="J17" s="11" t="n">
        <x:v>10</x:v>
      </x:c>
      <x:c r="K17" s="11" t="n">
        <x:v>26</x:v>
      </x:c>
      <x:c r="L17" s="11" t="n">
        <x:v>5</x:v>
      </x:c>
      <x:c r="M17" s="13" t="str">
        <x:v>既知47場</x:v>
      </x:c>
      <x:c r="N17" s="12" t="n">
        <x:v>48.45</x:v>
      </x:c>
      <x:c r="O17" s="12" t="n">
        <x:v>350.31666666666666</x:v>
      </x:c>
    </x:row>
    <x:row r="18" ht="22" customHeight="1">
      <x:c r="A18" s="2" t="str">
        <x:v>S33</x:v>
      </x:c>
      <x:c r="B18" s="7" t="d">
        <x:v>2026-09-28T17:00:00.000Z</x:v>
      </x:c>
      <x:c r="C18" s="2" t="str">
        <x:v>ナイト</x:v>
      </x:c>
      <x:c r="D18" s="25" t="n">
        <x:v>26416</x:v>
      </x:c>
      <x:c r="E18" s="25" t="n">
        <x:v>8166</x:v>
      </x:c>
      <x:c r="F18" s="25" t="n">
        <x:f>D18-E18</x:f>
        <x:v>18250</x:v>
      </x:c>
      <x:c r="G18" s="25" t="n">
        <x:f>SUMIFS($F$7:$F$56,$A$7:$A$56,A18,$B$7:$B$56,"&lt;="&amp;B18)</x:f>
        <x:v>364827</x:v>
      </x:c>
      <x:c r="H18" s="25" t="n">
        <x:v>750</x:v>
      </x:c>
      <x:c r="I18" s="25" t="n">
        <x:v>19000</x:v>
      </x:c>
      <x:c r="J18" s="11" t="n">
        <x:v>3</x:v>
      </x:c>
      <x:c r="K18" s="11" t="n">
        <x:v>9</x:v>
      </x:c>
      <x:c r="L18" s="11" t="n">
        <x:v>5</x:v>
      </x:c>
      <x:c r="M18" s="13" t="str">
        <x:v>既知47場</x:v>
      </x:c>
      <x:c r="N18" s="12" t="n">
        <x:v>135.48333333333332</x:v>
      </x:c>
      <x:c r="O18" s="12" t="n">
        <x:v>36.95</x:v>
      </x:c>
    </x:row>
    <x:row r="19" ht="22" customHeight="1">
      <x:c r="A19" s="2" t="str">
        <x:v>S33</x:v>
      </x:c>
      <x:c r="B19" s="7" t="d">
        <x:v>2026-09-29T08:45:00.000Z</x:v>
      </x:c>
      <x:c r="C19" s="2" t="str">
        <x:v>デイ</x:v>
      </x:c>
      <x:c r="D19" s="25" t="n">
        <x:v>64919</x:v>
      </x:c>
      <x:c r="E19" s="25" t="n">
        <x:v>32332</x:v>
      </x:c>
      <x:c r="F19" s="25" t="n">
        <x:f>D19-E19</x:f>
        <x:v>32587</x:v>
      </x:c>
      <x:c r="G19" s="25" t="n">
        <x:f>SUMIFS($F$7:$F$56,$A$7:$A$56,A19,$B$7:$B$56,"&lt;="&amp;B19)</x:f>
        <x:v>397414</x:v>
      </x:c>
      <x:c r="H19" s="25" t="n">
        <x:v>1413</x:v>
      </x:c>
      <x:c r="I19" s="25" t="n">
        <x:v>34000</x:v>
      </x:c>
      <x:c r="J19" s="11" t="n">
        <x:v>7</x:v>
      </x:c>
      <x:c r="K19" s="11" t="n">
        <x:v>17</x:v>
      </x:c>
      <x:c r="L19" s="11" t="n">
        <x:v>7</x:v>
      </x:c>
      <x:c r="M19" s="13" t="str">
        <x:v>既知47場</x:v>
      </x:c>
      <x:c r="N19" s="12" t="n">
        <x:v>70.43333333333334</x:v>
      </x:c>
      <x:c r="O19" s="12" t="n">
        <x:v>334.48333333333335</x:v>
      </x:c>
    </x:row>
    <x:row r="20" ht="22" customHeight="1">
      <x:c r="A20" s="2" t="str">
        <x:v>S33</x:v>
      </x:c>
      <x:c r="B20" s="7" t="d">
        <x:v>2026-09-29T17:00:00.000Z</x:v>
      </x:c>
      <x:c r="C20" s="2" t="str">
        <x:v>ナイト</x:v>
      </x:c>
      <x:c r="D20" s="25" t="n">
        <x:v>42416</x:v>
      </x:c>
      <x:c r="E20" s="25" t="n">
        <x:v>9166</x:v>
      </x:c>
      <x:c r="F20" s="25" t="n">
        <x:f>D20-E20</x:f>
        <x:v>33250</x:v>
      </x:c>
      <x:c r="G20" s="25" t="n">
        <x:f>SUMIFS($F$7:$F$56,$A$7:$A$56,A20,$B$7:$B$56,"&lt;="&amp;B20)</x:f>
        <x:v>430664</x:v>
      </x:c>
      <x:c r="H20" s="25" t="n">
        <x:v>750</x:v>
      </x:c>
      <x:c r="I20" s="25" t="n">
        <x:v>34000</x:v>
      </x:c>
      <x:c r="J20" s="11" t="n">
        <x:v>3</x:v>
      </x:c>
      <x:c r="K20" s="11" t="n">
        <x:v>9</x:v>
      </x:c>
      <x:c r="L20" s="11" t="n">
        <x:v>7</x:v>
      </x:c>
      <x:c r="M20" s="13" t="str">
        <x:v>既知47場</x:v>
      </x:c>
      <x:c r="N20" s="12" t="n">
        <x:v>381.1333333333333</x:v>
      </x:c>
      <x:c r="O20" s="12" t="n">
        <x:v>57.983333333333334</x:v>
      </x:c>
    </x:row>
    <x:row r="21" ht="22" customHeight="1">
      <x:c r="A21" s="2" t="str">
        <x:v>S33</x:v>
      </x:c>
      <x:c r="B21" s="7" t="d">
        <x:v>2026-09-30T08:45:00.000Z</x:v>
      </x:c>
      <x:c r="C21" s="2" t="str">
        <x:v>デイ</x:v>
      </x:c>
      <x:c r="D21" s="25" t="n">
        <x:v>86751</x:v>
      </x:c>
      <x:c r="E21" s="25" t="n">
        <x:v>78002</x:v>
      </x:c>
      <x:c r="F21" s="25" t="n">
        <x:f>D21-E21</x:f>
        <x:v>8749</x:v>
      </x:c>
      <x:c r="G21" s="25" t="n">
        <x:f>SUMIFS($F$7:$F$56,$A$7:$A$56,A21,$B$7:$B$56,"&lt;="&amp;B21)</x:f>
        <x:v>439413</x:v>
      </x:c>
      <x:c r="H21" s="25" t="n">
        <x:v>1751</x:v>
      </x:c>
      <x:c r="I21" s="25" t="n">
        <x:v>10500</x:v>
      </x:c>
      <x:c r="J21" s="11" t="n">
        <x:v>6</x:v>
      </x:c>
      <x:c r="K21" s="11" t="n">
        <x:v>21</x:v>
      </x:c>
      <x:c r="L21" s="11" t="n">
        <x:v>5</x:v>
      </x:c>
      <x:c r="M21" s="13" t="str">
        <x:v>既知47場</x:v>
      </x:c>
      <x:c r="N21" s="12" t="n">
        <x:v>70.08333333333333</x:v>
      </x:c>
      <x:c r="O21" s="12" t="n">
        <x:v>162.26666666666668</x:v>
      </x:c>
    </x:row>
    <x:row r="22" ht="22" customHeight="1">
      <x:c r="A22" s="2" t="str">
        <x:v>S33</x:v>
      </x:c>
      <x:c r="B22" s="7" t="d">
        <x:v>2026-09-30T17:00:00.000Z</x:v>
      </x:c>
      <x:c r="C22" s="2" t="str">
        <x:v>ナイト</x:v>
      </x:c>
      <x:c r="D22" s="25" t="n">
        <x:v>28498</x:v>
      </x:c>
      <x:c r="E22" s="25" t="n">
        <x:v>15418</x:v>
      </x:c>
      <x:c r="F22" s="25" t="n">
        <x:f>D22-E22</x:f>
        <x:v>13080</x:v>
      </x:c>
      <x:c r="G22" s="25" t="n">
        <x:f>SUMIFS($F$7:$F$56,$A$7:$A$56,A22,$B$7:$B$56,"&lt;="&amp;B22)</x:f>
        <x:v>452493</x:v>
      </x:c>
      <x:c r="H22" s="25" t="n">
        <x:v>1420</x:v>
      </x:c>
      <x:c r="I22" s="25" t="n">
        <x:v>14500</x:v>
      </x:c>
      <x:c r="J22" s="11" t="n">
        <x:v>4</x:v>
      </x:c>
      <x:c r="K22" s="11" t="n">
        <x:v>17</x:v>
      </x:c>
      <x:c r="L22" s="11" t="n">
        <x:v>5</x:v>
      </x:c>
      <x:c r="M22" s="13" t="str">
        <x:v>既知47場</x:v>
      </x:c>
      <x:c r="N22" s="12" t="n">
        <x:v>368.18333333333334</x:v>
      </x:c>
      <x:c r="O22" s="12" t="n">
        <x:v>120.66666666666667</x:v>
      </x:c>
    </x:row>
    <x:row r="23" ht="22" customHeight="1">
      <x:c r="A23" s="2" t="str">
        <x:v>S33</x:v>
      </x:c>
      <x:c r="B23" s="7" t="d">
        <x:v>2026-10-01T08:45:00.000Z</x:v>
      </x:c>
      <x:c r="C23" s="2" t="str">
        <x:v>デイ</x:v>
      </x:c>
      <x:c r="D23" s="25" t="n">
        <x:v>98918</x:v>
      </x:c>
      <x:c r="E23" s="25" t="n">
        <x:v>60830</x:v>
      </x:c>
      <x:c r="F23" s="25" t="n">
        <x:f>D23-E23</x:f>
        <x:v>38088</x:v>
      </x:c>
      <x:c r="G23" s="25" t="n">
        <x:f>SUMIFS($F$7:$F$56,$A$7:$A$56,A23,$B$7:$B$56,"&lt;="&amp;B23)</x:f>
        <x:v>490581</x:v>
      </x:c>
      <x:c r="H23" s="25" t="n">
        <x:v>1412</x:v>
      </x:c>
      <x:c r="I23" s="25" t="n">
        <x:v>39500</x:v>
      </x:c>
      <x:c r="J23" s="11" t="n">
        <x:v>7</x:v>
      </x:c>
      <x:c r="K23" s="11" t="n">
        <x:v>17</x:v>
      </x:c>
      <x:c r="L23" s="11" t="n">
        <x:v>5</x:v>
      </x:c>
      <x:c r="M23" s="13" t="str">
        <x:v>既知47場</x:v>
      </x:c>
      <x:c r="N23" s="12" t="n">
        <x:v>87.7</x:v>
      </x:c>
      <x:c r="O23" s="12" t="n">
        <x:v>233.23333333333332</x:v>
      </x:c>
    </x:row>
    <x:row r="24" ht="22" customHeight="1">
      <x:c r="A24" s="2" t="str">
        <x:v>S33</x:v>
      </x:c>
      <x:c r="B24" s="7" t="d">
        <x:v>2026-10-01T17:00:00.000Z</x:v>
      </x:c>
      <x:c r="C24" s="2" t="str">
        <x:v>ナイト</x:v>
      </x:c>
      <x:c r="D24" s="25" t="n">
        <x:v>69080</x:v>
      </x:c>
      <x:c r="E24" s="25" t="n">
        <x:v>65002</x:v>
      </x:c>
      <x:c r="F24" s="25" t="n">
        <x:f>D24-E24</x:f>
        <x:v>4078</x:v>
      </x:c>
      <x:c r="G24" s="25" t="n">
        <x:f>SUMIFS($F$7:$F$56,$A$7:$A$56,A24,$B$7:$B$56,"&lt;="&amp;B24)</x:f>
        <x:v>494659</x:v>
      </x:c>
      <x:c r="H24" s="25" t="n">
        <x:v>2422</x:v>
      </x:c>
      <x:c r="I24" s="25" t="n">
        <x:v>6500</x:v>
      </x:c>
      <x:c r="J24" s="11" t="n">
        <x:v>7</x:v>
      </x:c>
      <x:c r="K24" s="11" t="n">
        <x:v>29</x:v>
      </x:c>
      <x:c r="L24" s="11" t="n">
        <x:v>5</x:v>
      </x:c>
      <x:c r="M24" s="13" t="str">
        <x:v>既知47場</x:v>
      </x:c>
      <x:c r="N24" s="12" t="n">
        <x:v>127.45</x:v>
      </x:c>
      <x:c r="O24" s="12" t="n">
        <x:v>106.15</x:v>
      </x:c>
    </x:row>
    <x:row r="25" ht="22" customHeight="1">
      <x:c r="A25" s="2" t="str">
        <x:v>S33</x:v>
      </x:c>
      <x:c r="B25" s="7" t="d">
        <x:v>2026-10-02T08:45:00.000Z</x:v>
      </x:c>
      <x:c r="C25" s="2" t="str">
        <x:v>デイ</x:v>
      </x:c>
      <x:c r="D25" s="25" t="n">
        <x:v>15668</x:v>
      </x:c>
      <x:c r="E25" s="25" t="n">
        <x:v>72502</x:v>
      </x:c>
      <x:c r="F25" s="25" t="n">
        <x:f>D25-E25</x:f>
        <x:v>-56834</x:v>
      </x:c>
      <x:c r="G25" s="25" t="n">
        <x:f>SUMIFS($F$7:$F$56,$A$7:$A$56,A25,$B$7:$B$56,"&lt;="&amp;B25)</x:f>
        <x:v>437825</x:v>
      </x:c>
      <x:c r="H25" s="25" t="n">
        <x:v>1334</x:v>
      </x:c>
      <x:c r="I25" s="25" t="n">
        <x:v>-55500</x:v>
      </x:c>
      <x:c r="J25" s="11" t="n">
        <x:v>5</x:v>
      </x:c>
      <x:c r="K25" s="11" t="n">
        <x:v>16</x:v>
      </x:c>
      <x:c r="L25" s="11" t="n">
        <x:v>7</x:v>
      </x:c>
      <x:c r="M25" s="13" t="str">
        <x:v>既知47場</x:v>
      </x:c>
      <x:c r="N25" s="12" t="n">
        <x:v>68.03333333333333</x:v>
      </x:c>
      <x:c r="O25" s="12" t="n">
        <x:v>269.4</x:v>
      </x:c>
    </x:row>
    <x:row r="26" ht="22" customHeight="1">
      <x:c r="A26" s="2" t="str">
        <x:v>S33</x:v>
      </x:c>
      <x:c r="B26" s="7" t="d">
        <x:v>2026-10-02T17:00:00.000Z</x:v>
      </x:c>
      <x:c r="C26" s="2" t="str">
        <x:v>ナイト</x:v>
      </x:c>
      <x:c r="D26" s="25" t="n">
        <x:v>100916</x:v>
      </x:c>
      <x:c r="E26" s="25" t="n">
        <x:v>67668</x:v>
      </x:c>
      <x:c r="F26" s="25" t="n">
        <x:f>D26-E26</x:f>
        <x:v>33248</x:v>
      </x:c>
      <x:c r="G26" s="25" t="n">
        <x:f>SUMIFS($F$7:$F$56,$A$7:$A$56,A26,$B$7:$B$56,"&lt;="&amp;B26)</x:f>
        <x:v>471073</x:v>
      </x:c>
      <x:c r="H26" s="25" t="n">
        <x:v>1752</x:v>
      </x:c>
      <x:c r="I26" s="25" t="n">
        <x:v>35000</x:v>
      </x:c>
      <x:c r="J26" s="11" t="n">
        <x:v>6</x:v>
      </x:c>
      <x:c r="K26" s="11" t="n">
        <x:v>21</x:v>
      </x:c>
      <x:c r="L26" s="11" t="n">
        <x:v>5</x:v>
      </x:c>
      <x:c r="M26" s="13" t="str">
        <x:v>既知47場</x:v>
      </x:c>
      <x:c r="N26" s="12" t="n">
        <x:v>103.81666666666666</x:v>
      </x:c>
      <x:c r="O26" s="12" t="n">
        <x:v>76.71666666666667</x:v>
      </x:c>
    </x:row>
    <x:row r="27" ht="22" customHeight="1">
      <x:c r="A27" s="2" t="str">
        <x:v>S33</x:v>
      </x:c>
      <x:c r="B27" s="7" t="d">
        <x:v>2026-10-05T08:45:00.000Z</x:v>
      </x:c>
      <x:c r="C27" s="2" t="str">
        <x:v>デイ</x:v>
      </x:c>
      <x:c r="D27" s="25" t="n">
        <x:v>41085</x:v>
      </x:c>
      <x:c r="E27" s="25" t="n">
        <x:v>81672</x:v>
      </x:c>
      <x:c r="F27" s="25" t="n">
        <x:f>D27-E27</x:f>
        <x:v>-40587</x:v>
      </x:c>
      <x:c r="G27" s="25" t="n">
        <x:f>SUMIFS($F$7:$F$56,$A$7:$A$56,A27,$B$7:$B$56,"&lt;="&amp;B27)</x:f>
        <x:v>430486</x:v>
      </x:c>
      <x:c r="H27" s="25" t="n">
        <x:v>2587</x:v>
      </x:c>
      <x:c r="I27" s="25" t="n">
        <x:v>-38000</x:v>
      </x:c>
      <x:c r="J27" s="11" t="n">
        <x:v>8</x:v>
      </x:c>
      <x:c r="K27" s="11" t="n">
        <x:v>31</x:v>
      </x:c>
      <x:c r="L27" s="11" t="n">
        <x:v>7</x:v>
      </x:c>
      <x:c r="M27" s="13" t="str">
        <x:v>既知47場</x:v>
      </x:c>
      <x:c r="N27" s="12" t="n">
        <x:v>81.33333333333333</x:v>
      </x:c>
      <x:c r="O27" s="12" t="n">
        <x:v>189.51666666666668</x:v>
      </x:c>
    </x:row>
    <x:row r="28" ht="22" customHeight="1">
      <x:c r="A28" s="2" t="str">
        <x:v>S33</x:v>
      </x:c>
      <x:c r="B28" s="7" t="d">
        <x:v>2026-10-05T17:00:00.000Z</x:v>
      </x:c>
      <x:c r="C28" s="2" t="str">
        <x:v>ナイト</x:v>
      </x:c>
      <x:c r="D28" s="25" t="n">
        <x:v>9668</x:v>
      </x:c>
      <x:c r="E28" s="25" t="n">
        <x:v>53754</x:v>
      </x:c>
      <x:c r="F28" s="25" t="n">
        <x:f>D28-E28</x:f>
        <x:v>-44086</x:v>
      </x:c>
      <x:c r="G28" s="25" t="n">
        <x:f>SUMIFS($F$7:$F$56,$A$7:$A$56,A28,$B$7:$B$56,"&lt;="&amp;B28)</x:f>
        <x:v>386400</x:v>
      </x:c>
      <x:c r="H28" s="25" t="n">
        <x:v>1586</x:v>
      </x:c>
      <x:c r="I28" s="25" t="n">
        <x:v>-42500</x:v>
      </x:c>
      <x:c r="J28" s="11" t="n">
        <x:v>5</x:v>
      </x:c>
      <x:c r="K28" s="11" t="n">
        <x:v>19</x:v>
      </x:c>
      <x:c r="L28" s="11" t="n">
        <x:v>5</x:v>
      </x:c>
      <x:c r="M28" s="13" t="str">
        <x:v>既知47場</x:v>
      </x:c>
      <x:c r="N28" s="12" t="n">
        <x:v>49.28333333333333</x:v>
      </x:c>
      <x:c r="O28" s="12" t="n">
        <x:v>216.03333333333333</x:v>
      </x:c>
    </x:row>
    <x:row r="29" ht="22" customHeight="1">
      <x:c r="A29" s="2" t="str">
        <x:v>S33</x:v>
      </x:c>
      <x:c r="B29" s="7" t="d">
        <x:v>2026-10-06T08:45:00.000Z</x:v>
      </x:c>
      <x:c r="C29" s="2" t="str">
        <x:v>デイ</x:v>
      </x:c>
      <x:c r="D29" s="25" t="n">
        <x:v>12502</x:v>
      </x:c>
      <x:c r="E29" s="25" t="n">
        <x:v>53582</x:v>
      </x:c>
      <x:c r="F29" s="25" t="n">
        <x:f>D29-E29</x:f>
        <x:v>-41080</x:v>
      </x:c>
      <x:c r="G29" s="25" t="n">
        <x:f>SUMIFS($F$7:$F$56,$A$7:$A$56,A29,$B$7:$B$56,"&lt;="&amp;B29)</x:f>
        <x:v>345320</x:v>
      </x:c>
      <x:c r="H29" s="25" t="n">
        <x:v>1580</x:v>
      </x:c>
      <x:c r="I29" s="25" t="n">
        <x:v>-39500</x:v>
      </x:c>
      <x:c r="J29" s="11" t="n">
        <x:v>8</x:v>
      </x:c>
      <x:c r="K29" s="11" t="n">
        <x:v>19</x:v>
      </x:c>
      <x:c r="L29" s="11" t="n">
        <x:v>5</x:v>
      </x:c>
      <x:c r="M29" s="13" t="str">
        <x:v>既知47場</x:v>
      </x:c>
      <x:c r="N29" s="12" t="n">
        <x:v>49.166666666666664</x:v>
      </x:c>
      <x:c r="O29" s="12" t="n">
        <x:v>119.63333333333334</x:v>
      </x:c>
    </x:row>
    <x:row r="30" ht="22" customHeight="1">
      <x:c r="A30" s="2" t="str">
        <x:v>S33</x:v>
      </x:c>
      <x:c r="B30" s="7" t="d">
        <x:v>2026-10-06T17:00:00.000Z</x:v>
      </x:c>
      <x:c r="C30" s="2" t="str">
        <x:v>ナイト</x:v>
      </x:c>
      <x:c r="D30" s="25" t="n">
        <x:v>0</x:v>
      </x:c>
      <x:c r="E30" s="25" t="n">
        <x:v>52002</x:v>
      </x:c>
      <x:c r="F30" s="25" t="n">
        <x:f>D30-E30</x:f>
        <x:v>-52002</x:v>
      </x:c>
      <x:c r="G30" s="25" t="n">
        <x:f>SUMIFS($F$7:$F$56,$A$7:$A$56,A30,$B$7:$B$56,"&lt;="&amp;B30)</x:f>
        <x:v>293318</x:v>
      </x:c>
      <x:c r="H30" s="25" t="n">
        <x:v>1002</x:v>
      </x:c>
      <x:c r="I30" s="25" t="n">
        <x:v>-51000</x:v>
      </x:c>
      <x:c r="J30" s="11" t="n">
        <x:v>3</x:v>
      </x:c>
      <x:c r="K30" s="11" t="n">
        <x:v>12</x:v>
      </x:c>
      <x:c r="L30" s="11" t="n">
        <x:v>5</x:v>
      </x:c>
      <x:c r="M30" s="13" t="str">
        <x:v>既知47場</x:v>
      </x:c>
      <x:c r="N30" s="12" t="n">
        <x:v>367.5</x:v>
      </x:c>
      <x:c r="O30" s="12" t="n">
        <x:v>105.71666666666667</x:v>
      </x:c>
    </x:row>
    <x:row r="31" ht="22" customHeight="1">
      <x:c r="A31" s="2" t="str">
        <x:v>S33</x:v>
      </x:c>
      <x:c r="B31" s="7" t="d">
        <x:v>2026-10-07T08:45:00.000Z</x:v>
      </x:c>
      <x:c r="C31" s="2" t="str">
        <x:v>デイ</x:v>
      </x:c>
      <x:c r="D31" s="25" t="n">
        <x:v>80751</x:v>
      </x:c>
      <x:c r="E31" s="25" t="n">
        <x:v>0</x:v>
      </x:c>
      <x:c r="F31" s="25" t="n">
        <x:f>D31-E31</x:f>
        <x:v>80751</x:v>
      </x:c>
      <x:c r="G31" s="25" t="n">
        <x:f>SUMIFS($F$7:$F$56,$A$7:$A$56,A31,$B$7:$B$56,"&lt;="&amp;B31)</x:f>
        <x:v>374069</x:v>
      </x:c>
      <x:c r="H31" s="25" t="n">
        <x:v>749</x:v>
      </x:c>
      <x:c r="I31" s="25" t="n">
        <x:v>81500</x:v>
      </x:c>
      <x:c r="J31" s="11" t="n">
        <x:v>3</x:v>
      </x:c>
      <x:c r="K31" s="11" t="n">
        <x:v>9</x:v>
      </x:c>
      <x:c r="L31" s="11" t="n">
        <x:v>5</x:v>
      </x:c>
      <x:c r="M31" s="13" t="str">
        <x:v>既知47場</x:v>
      </x:c>
      <x:c r="N31" s="12" t="n">
        <x:v>70.5</x:v>
      </x:c>
      <x:c r="O31" s="12" t="n">
        <x:v>194.3</x:v>
      </x:c>
    </x:row>
    <x:row r="32" ht="22" customHeight="1">
      <x:c r="A32" s="2" t="str">
        <x:v>S33</x:v>
      </x:c>
      <x:c r="B32" s="7" t="d">
        <x:v>2026-10-07T17:00:00.000Z</x:v>
      </x:c>
      <x:c r="C32" s="2" t="str">
        <x:v>ナイト</x:v>
      </x:c>
      <x:c r="D32" s="25" t="n">
        <x:v>23250</x:v>
      </x:c>
      <x:c r="E32" s="25" t="n">
        <x:v>22332</x:v>
      </x:c>
      <x:c r="F32" s="25" t="n">
        <x:f>D32-E32</x:f>
        <x:v>918</x:v>
      </x:c>
      <x:c r="G32" s="25" t="n">
        <x:f>SUMIFS($F$7:$F$56,$A$7:$A$56,A32,$B$7:$B$56,"&lt;="&amp;B32)</x:f>
        <x:v>374987</x:v>
      </x:c>
      <x:c r="H32" s="25" t="n">
        <x:v>1082</x:v>
      </x:c>
      <x:c r="I32" s="25" t="n">
        <x:v>2000</x:v>
      </x:c>
      <x:c r="J32" s="11" t="n">
        <x:v>5</x:v>
      </x:c>
      <x:c r="K32" s="11" t="n">
        <x:v>13</x:v>
      </x:c>
      <x:c r="L32" s="11" t="n">
        <x:v>5</x:v>
      </x:c>
      <x:c r="M32" s="13" t="str">
        <x:v>既知47場</x:v>
      </x:c>
      <x:c r="N32" s="12" t="n">
        <x:v>263.9166666666667</x:v>
      </x:c>
      <x:c r="O32" s="12" t="n">
        <x:v>68.88333333333334</x:v>
      </x:c>
    </x:row>
    <x:row r="33" ht="22" customHeight="1">
      <x:c r="A33" s="2" t="str">
        <x:v>S33</x:v>
      </x:c>
      <x:c r="B33" s="7" t="d">
        <x:v>2026-10-08T08:45:00.000Z</x:v>
      </x:c>
      <x:c r="C33" s="2" t="str">
        <x:v>デイ</x:v>
      </x:c>
      <x:c r="D33" s="25" t="n">
        <x:v>115503</x:v>
      </x:c>
      <x:c r="E33" s="25" t="n">
        <x:v>71668</x:v>
      </x:c>
      <x:c r="F33" s="25" t="n">
        <x:f>D33-E33</x:f>
        <x:v>43835</x:v>
      </x:c>
      <x:c r="G33" s="25" t="n">
        <x:f>SUMIFS($F$7:$F$56,$A$7:$A$56,A33,$B$7:$B$56,"&lt;="&amp;B33)</x:f>
        <x:v>418822</x:v>
      </x:c>
      <x:c r="H33" s="25" t="n">
        <x:v>2665</x:v>
      </x:c>
      <x:c r="I33" s="25" t="n">
        <x:v>46500</x:v>
      </x:c>
      <x:c r="J33" s="11" t="n">
        <x:v>10</x:v>
      </x:c>
      <x:c r="K33" s="11" t="n">
        <x:v>32</x:v>
      </x:c>
      <x:c r="L33" s="11" t="n">
        <x:v>7</x:v>
      </x:c>
      <x:c r="M33" s="13" t="str">
        <x:v>既知47場</x:v>
      </x:c>
      <x:c r="N33" s="12" t="n">
        <x:v>68.13333333333334</x:v>
      </x:c>
      <x:c r="O33" s="12" t="n">
        <x:v>207.28333333333333</x:v>
      </x:c>
    </x:row>
    <x:row r="34" ht="22" customHeight="1">
      <x:c r="A34" s="2" t="str">
        <x:v>S33</x:v>
      </x:c>
      <x:c r="B34" s="7" t="d">
        <x:v>2026-10-08T17:00:00.000Z</x:v>
      </x:c>
      <x:c r="C34" s="2" t="str">
        <x:v>ナイト</x:v>
      </x:c>
      <x:c r="D34" s="25" t="n">
        <x:v>83666</x:v>
      </x:c>
      <x:c r="E34" s="25" t="n">
        <x:v>17918</x:v>
      </x:c>
      <x:c r="F34" s="25" t="n">
        <x:f>D34-E34</x:f>
        <x:v>65748</x:v>
      </x:c>
      <x:c r="G34" s="25" t="n">
        <x:f>SUMIFS($F$7:$F$56,$A$7:$A$56,A34,$B$7:$B$56,"&lt;="&amp;B34)</x:f>
        <x:v>484570</x:v>
      </x:c>
      <x:c r="H34" s="25" t="n">
        <x:v>1752</x:v>
      </x:c>
      <x:c r="I34" s="25" t="n">
        <x:v>67500</x:v>
      </x:c>
      <x:c r="J34" s="11" t="n">
        <x:v>6</x:v>
      </x:c>
      <x:c r="K34" s="11" t="n">
        <x:v>21</x:v>
      </x:c>
      <x:c r="L34" s="11" t="n">
        <x:v>7</x:v>
      </x:c>
      <x:c r="M34" s="13" t="str">
        <x:v>既知47場</x:v>
      </x:c>
      <x:c r="N34" s="12" t="n">
        <x:v>288.85</x:v>
      </x:c>
      <x:c r="O34" s="12" t="n">
        <x:v>118.71666666666667</x:v>
      </x:c>
    </x:row>
    <x:row r="35" ht="22" customHeight="1">
      <x:c r="A35" s="2" t="str">
        <x:v>S33</x:v>
      </x:c>
      <x:c r="B35" s="7" t="d">
        <x:v>2026-10-09T08:45:00.000Z</x:v>
      </x:c>
      <x:c r="C35" s="2" t="str">
        <x:v>デイ</x:v>
      </x:c>
      <x:c r="D35" s="25" t="n">
        <x:v>75752</x:v>
      </x:c>
      <x:c r="E35" s="25" t="n">
        <x:v>66082</x:v>
      </x:c>
      <x:c r="F35" s="25" t="n">
        <x:f>D35-E35</x:f>
        <x:v>9670</x:v>
      </x:c>
      <x:c r="G35" s="25" t="n">
        <x:f>SUMIFS($F$7:$F$56,$A$7:$A$56,A35,$B$7:$B$56,"&lt;="&amp;B35)</x:f>
        <x:v>494240</x:v>
      </x:c>
      <x:c r="H35" s="25" t="n">
        <x:v>1830</x:v>
      </x:c>
      <x:c r="I35" s="25" t="n">
        <x:v>11500</x:v>
      </x:c>
      <x:c r="J35" s="11" t="n">
        <x:v>8</x:v>
      </x:c>
      <x:c r="K35" s="11" t="n">
        <x:v>22</x:v>
      </x:c>
      <x:c r="L35" s="11" t="n">
        <x:v>7</x:v>
      </x:c>
      <x:c r="M35" s="13" t="str">
        <x:v>既知47場</x:v>
      </x:c>
      <x:c r="N35" s="12" t="n">
        <x:v>85.61666666666666</x:v>
      </x:c>
      <x:c r="O35" s="12" t="n">
        <x:v>319.21666666666664</x:v>
      </x:c>
    </x:row>
    <x:row r="36" ht="22" customHeight="1">
      <x:c r="A36" s="2" t="str">
        <x:v>S33</x:v>
      </x:c>
      <x:c r="B36" s="7" t="d">
        <x:v>2026-10-09T17:00:00.000Z</x:v>
      </x:c>
      <x:c r="C36" s="2" t="str">
        <x:v>ナイト</x:v>
      </x:c>
      <x:c r="D36" s="25" t="n">
        <x:v>14582</x:v>
      </x:c>
      <x:c r="E36" s="25" t="n">
        <x:v>0</x:v>
      </x:c>
      <x:c r="F36" s="25" t="n">
        <x:f>D36-E36</x:f>
        <x:v>14582</x:v>
      </x:c>
      <x:c r="G36" s="25" t="n">
        <x:f>SUMIFS($F$7:$F$56,$A$7:$A$56,A36,$B$7:$B$56,"&lt;="&amp;B36)</x:f>
        <x:v>508822</x:v>
      </x:c>
      <x:c r="H36" s="25" t="n">
        <x:v>418</x:v>
      </x:c>
      <x:c r="I36" s="25" t="n">
        <x:v>15000</x:v>
      </x:c>
      <x:c r="J36" s="11" t="n">
        <x:v>1</x:v>
      </x:c>
      <x:c r="K36" s="11" t="n">
        <x:v>5</x:v>
      </x:c>
      <x:c r="L36" s="11" t="n">
        <x:v>5</x:v>
      </x:c>
      <x:c r="M36" s="13" t="str">
        <x:v>既知47場</x:v>
      </x:c>
      <x:c r="N36" s="12" t="n">
        <x:v>450</x:v>
      </x:c>
      <x:c r="O36" s="12" t="n">
        <x:v>52.56666666666667</x:v>
      </x:c>
    </x:row>
    <x:row r="37" ht="22" customHeight="1">
      <x:c r="A37" s="2" t="str">
        <x:v>S33</x:v>
      </x:c>
      <x:c r="B37" s="7" t="d">
        <x:v>2026-10-12T08:45:00.000Z</x:v>
      </x:c>
      <x:c r="C37" s="2" t="str">
        <x:v>デイ</x:v>
      </x:c>
      <x:c r="D37" s="25" t="n">
        <x:v>19582</x:v>
      </x:c>
      <x:c r="E37" s="25" t="n">
        <x:v>0</x:v>
      </x:c>
      <x:c r="F37" s="25" t="n">
        <x:f>D37-E37</x:f>
        <x:v>19582</x:v>
      </x:c>
      <x:c r="G37" s="25" t="n">
        <x:f>SUMIFS($F$7:$F$56,$A$7:$A$56,A37,$B$7:$B$56,"&lt;="&amp;B37)</x:f>
        <x:v>528404</x:v>
      </x:c>
      <x:c r="H37" s="25" t="n">
        <x:v>418</x:v>
      </x:c>
      <x:c r="I37" s="25" t="n">
        <x:v>20000</x:v>
      </x:c>
      <x:c r="J37" s="11" t="n">
        <x:v>1</x:v>
      </x:c>
      <x:c r="K37" s="11" t="n">
        <x:v>5</x:v>
      </x:c>
      <x:c r="L37" s="11" t="n">
        <x:v>5</x:v>
      </x:c>
      <x:c r="M37" s="13" t="str">
        <x:v>既知47場</x:v>
      </x:c>
      <x:c r="N37" s="12" t="n">
        <x:v>256</x:v>
      </x:c>
      <x:c r="O37" s="12" t="n">
        <x:v>107</x:v>
      </x:c>
    </x:row>
    <x:row r="38" ht="22" customHeight="1">
      <x:c r="A38" s="2" t="str">
        <x:v>S33</x:v>
      </x:c>
      <x:c r="B38" s="7" t="d">
        <x:v>2026-10-12T17:00:00.000Z</x:v>
      </x:c>
      <x:c r="C38" s="2" t="str">
        <x:v>ナイト</x:v>
      </x:c>
      <x:c r="D38" s="25" t="n">
        <x:v>2082</x:v>
      </x:c>
      <x:c r="E38" s="25" t="n">
        <x:v>0</x:v>
      </x:c>
      <x:c r="F38" s="25" t="n">
        <x:f>D38-E38</x:f>
        <x:v>2082</x:v>
      </x:c>
      <x:c r="G38" s="25" t="n">
        <x:f>SUMIFS($F$7:$F$56,$A$7:$A$56,A38,$B$7:$B$56,"&lt;="&amp;B38)</x:f>
        <x:v>530486</x:v>
      </x:c>
      <x:c r="H38" s="25" t="n">
        <x:v>418</x:v>
      </x:c>
      <x:c r="I38" s="25" t="n">
        <x:v>2500</x:v>
      </x:c>
      <x:c r="J38" s="11" t="n">
        <x:v>1</x:v>
      </x:c>
      <x:c r="K38" s="11" t="n">
        <x:v>5</x:v>
      </x:c>
      <x:c r="L38" s="11" t="n">
        <x:v>5</x:v>
      </x:c>
      <x:c r="M38" s="13" t="str">
        <x:v>既知47場</x:v>
      </x:c>
      <x:c r="N38" s="12" t="n">
        <x:v>369.23333333333335</x:v>
      </x:c>
      <x:c r="O38" s="12" t="n">
        <x:v>4.55</x:v>
      </x:c>
    </x:row>
    <x:row r="39" ht="22" customHeight="1">
      <x:c r="A39" s="2" t="str">
        <x:v>S33</x:v>
      </x:c>
      <x:c r="B39" s="7" t="d">
        <x:v>2026-10-13T08:45:00.000Z</x:v>
      </x:c>
      <x:c r="C39" s="2" t="str">
        <x:v>デイ</x:v>
      </x:c>
      <x:c r="D39" s="25" t="n">
        <x:v>58586</x:v>
      </x:c>
      <x:c r="E39" s="25" t="n">
        <x:v>80416</x:v>
      </x:c>
      <x:c r="F39" s="25" t="n">
        <x:f>D39-E39</x:f>
        <x:v>-21830</x:v>
      </x:c>
      <x:c r="G39" s="25" t="n">
        <x:f>SUMIFS($F$7:$F$56,$A$7:$A$56,A39,$B$7:$B$56,"&lt;="&amp;B39)</x:f>
        <x:v>508656</x:v>
      </x:c>
      <x:c r="H39" s="25" t="n">
        <x:v>1830</x:v>
      </x:c>
      <x:c r="I39" s="25" t="n">
        <x:v>-20000</x:v>
      </x:c>
      <x:c r="J39" s="11" t="n">
        <x:v>8</x:v>
      </x:c>
      <x:c r="K39" s="11" t="n">
        <x:v>22</x:v>
      </x:c>
      <x:c r="L39" s="11" t="n">
        <x:v>7</x:v>
      </x:c>
      <x:c r="M39" s="13" t="str">
        <x:v>既知47場</x:v>
      </x:c>
      <x:c r="N39" s="12" t="n">
        <x:v>66.41666666666667</x:v>
      </x:c>
      <x:c r="O39" s="12" t="n">
        <x:v>308.01666666666665</x:v>
      </x:c>
    </x:row>
    <x:row r="40" ht="22" customHeight="1">
      <x:c r="A40" s="2" t="str">
        <x:v>S33</x:v>
      </x:c>
      <x:c r="B40" s="7" t="d">
        <x:v>2026-10-13T17:00:00.000Z</x:v>
      </x:c>
      <x:c r="C40" s="2" t="str">
        <x:v>ナイト</x:v>
      </x:c>
      <x:c r="D40" s="25" t="n">
        <x:v>4582</x:v>
      </x:c>
      <x:c r="E40" s="25" t="n">
        <x:v>0</x:v>
      </x:c>
      <x:c r="F40" s="25" t="n">
        <x:f>D40-E40</x:f>
        <x:v>4582</x:v>
      </x:c>
      <x:c r="G40" s="25" t="n">
        <x:f>SUMIFS($F$7:$F$56,$A$7:$A$56,A40,$B$7:$B$56,"&lt;="&amp;B40)</x:f>
        <x:v>513238</x:v>
      </x:c>
      <x:c r="H40" s="25" t="n">
        <x:v>418</x:v>
      </x:c>
      <x:c r="I40" s="25" t="n">
        <x:v>5000</x:v>
      </x:c>
      <x:c r="J40" s="11" t="n">
        <x:v>1</x:v>
      </x:c>
      <x:c r="K40" s="11" t="n">
        <x:v>5</x:v>
      </x:c>
      <x:c r="L40" s="11" t="n">
        <x:v>5</x:v>
      </x:c>
      <x:c r="M40" s="13" t="str">
        <x:v>既知47場</x:v>
      </x:c>
      <x:c r="N40" s="12" t="n">
        <x:v>362.95</x:v>
      </x:c>
      <x:c r="O40" s="12" t="n">
        <x:v>60.78333333333333</x:v>
      </x:c>
    </x:row>
    <x:row r="41" ht="22" customHeight="1">
      <x:c r="A41" s="2" t="str">
        <x:v>S33</x:v>
      </x:c>
      <x:c r="B41" s="7" t="d">
        <x:v>2026-10-14T08:45:00.000Z</x:v>
      </x:c>
      <x:c r="C41" s="2" t="str">
        <x:v>デイ</x:v>
      </x:c>
      <x:c r="D41" s="25" t="n">
        <x:v>30253</x:v>
      </x:c>
      <x:c r="E41" s="25" t="n">
        <x:v>20335</x:v>
      </x:c>
      <x:c r="F41" s="25" t="n">
        <x:f>D41-E41</x:f>
        <x:v>9918</x:v>
      </x:c>
      <x:c r="G41" s="25" t="n">
        <x:f>SUMIFS($F$7:$F$56,$A$7:$A$56,A41,$B$7:$B$56,"&lt;="&amp;B41)</x:f>
        <x:v>523156</x:v>
      </x:c>
      <x:c r="H41" s="25" t="n">
        <x:v>2082</x:v>
      </x:c>
      <x:c r="I41" s="25" t="n">
        <x:v>12000</x:v>
      </x:c>
      <x:c r="J41" s="11" t="n">
        <x:v>8</x:v>
      </x:c>
      <x:c r="K41" s="11" t="n">
        <x:v>25</x:v>
      </x:c>
      <x:c r="L41" s="11" t="n">
        <x:v>7</x:v>
      </x:c>
      <x:c r="M41" s="13" t="str">
        <x:v>既知47場</x:v>
      </x:c>
      <x:c r="N41" s="12" t="n">
        <x:v>44.916666666666664</x:v>
      </x:c>
      <x:c r="O41" s="12" t="n">
        <x:v>356.25</x:v>
      </x:c>
    </x:row>
    <x:row r="42" ht="22" customHeight="1">
      <x:c r="A42" s="2" t="str">
        <x:v>S33</x:v>
      </x:c>
      <x:c r="B42" s="7" t="d">
        <x:v>2026-10-14T17:00:00.000Z</x:v>
      </x:c>
      <x:c r="C42" s="2" t="str">
        <x:v>ナイト</x:v>
      </x:c>
      <x:c r="D42" s="25" t="n">
        <x:v>64164</x:v>
      </x:c>
      <x:c r="E42" s="25" t="n">
        <x:v>63754</x:v>
      </x:c>
      <x:c r="F42" s="25" t="n">
        <x:f>D42-E42</x:f>
        <x:v>410</x:v>
      </x:c>
      <x:c r="G42" s="25" t="n">
        <x:f>SUMIFS($F$7:$F$56,$A$7:$A$56,A42,$B$7:$B$56,"&lt;="&amp;B42)</x:f>
        <x:v>523566</x:v>
      </x:c>
      <x:c r="H42" s="25" t="n">
        <x:v>2090</x:v>
      </x:c>
      <x:c r="I42" s="25" t="n">
        <x:v>2500</x:v>
      </x:c>
      <x:c r="J42" s="11" t="n">
        <x:v>5</x:v>
      </x:c>
      <x:c r="K42" s="11" t="n">
        <x:v>25</x:v>
      </x:c>
      <x:c r="L42" s="11" t="n">
        <x:v>5</x:v>
      </x:c>
      <x:c r="M42" s="13" t="str">
        <x:v>既知47場</x:v>
      </x:c>
      <x:c r="N42" s="12" t="n">
        <x:v>360.01666666666665</x:v>
      </x:c>
      <x:c r="O42" s="12" t="n">
        <x:v>152.31666666666666</x:v>
      </x:c>
    </x:row>
    <x:row r="43" ht="22" customHeight="1">
      <x:c r="A43" s="2" t="str">
        <x:v>S33</x:v>
      </x:c>
      <x:c r="B43" s="7" t="d">
        <x:v>2026-10-15T08:45:00.000Z</x:v>
      </x:c>
      <x:c r="C43" s="2" t="str">
        <x:v>デイ</x:v>
      </x:c>
      <x:c r="D43" s="25" t="n">
        <x:v>139917</x:v>
      </x:c>
      <x:c r="E43" s="25" t="n">
        <x:v>101000</x:v>
      </x:c>
      <x:c r="F43" s="25" t="n">
        <x:f>D43-E43</x:f>
        <x:v>38917</x:v>
      </x:c>
      <x:c r="G43" s="25" t="n">
        <x:f>SUMIFS($F$7:$F$56,$A$7:$A$56,A43,$B$7:$B$56,"&lt;="&amp;B43)</x:f>
        <x:v>562483</x:v>
      </x:c>
      <x:c r="H43" s="25" t="n">
        <x:v>2083</x:v>
      </x:c>
      <x:c r="I43" s="25" t="n">
        <x:v>41000</x:v>
      </x:c>
      <x:c r="J43" s="11" t="n">
        <x:v>8</x:v>
      </x:c>
      <x:c r="K43" s="11" t="n">
        <x:v>25</x:v>
      </x:c>
      <x:c r="L43" s="11" t="n">
        <x:v>5</x:v>
      </x:c>
      <x:c r="M43" s="13" t="str">
        <x:v>既知47場</x:v>
      </x:c>
      <x:c r="N43" s="12" t="n">
        <x:v>67.7</x:v>
      </x:c>
      <x:c r="O43" s="12" t="n">
        <x:v>234.36666666666667</x:v>
      </x:c>
    </x:row>
    <x:row r="44" ht="22" customHeight="1">
      <x:c r="A44" s="2" t="str">
        <x:v>S33</x:v>
      </x:c>
      <x:c r="B44" s="7" t="d">
        <x:v>2026-10-15T17:00:00.000Z</x:v>
      </x:c>
      <x:c r="C44" s="2" t="str">
        <x:v>ナイト</x:v>
      </x:c>
      <x:c r="D44" s="25" t="n">
        <x:v>80498</x:v>
      </x:c>
      <x:c r="E44" s="25" t="n">
        <x:v>52920</x:v>
      </x:c>
      <x:c r="F44" s="25" t="n">
        <x:f>D44-E44</x:f>
        <x:v>27578</x:v>
      </x:c>
      <x:c r="G44" s="25" t="n">
        <x:f>SUMIFS($F$7:$F$56,$A$7:$A$56,A44,$B$7:$B$56,"&lt;="&amp;B44)</x:f>
        <x:v>590061</x:v>
      </x:c>
      <x:c r="H44" s="25" t="n">
        <x:v>2422</x:v>
      </x:c>
      <x:c r="I44" s="25" t="n">
        <x:v>30000</x:v>
      </x:c>
      <x:c r="J44" s="11" t="n">
        <x:v>7</x:v>
      </x:c>
      <x:c r="K44" s="11" t="n">
        <x:v>29</x:v>
      </x:c>
      <x:c r="L44" s="11" t="n">
        <x:v>5</x:v>
      </x:c>
      <x:c r="M44" s="13" t="str">
        <x:v>既知47場</x:v>
      </x:c>
      <x:c r="N44" s="12" t="n">
        <x:v>361.3333333333333</x:v>
      </x:c>
      <x:c r="O44" s="12" t="n">
        <x:v>113.58333333333333</x:v>
      </x:c>
    </x:row>
    <x:row r="45" ht="22" customHeight="1">
      <x:c r="A45" s="2" t="str">
        <x:v>S33</x:v>
      </x:c>
      <x:c r="B45" s="7" t="d">
        <x:v>2026-10-16T08:45:00.000Z</x:v>
      </x:c>
      <x:c r="C45" s="2" t="str">
        <x:v>デイ</x:v>
      </x:c>
      <x:c r="D45" s="25" t="n">
        <x:v>0</x:v>
      </x:c>
      <x:c r="E45" s="25" t="n">
        <x:v>95338</x:v>
      </x:c>
      <x:c r="F45" s="25" t="n">
        <x:f>D45-E45</x:f>
        <x:v>-95338</x:v>
      </x:c>
      <x:c r="G45" s="25" t="n">
        <x:f>SUMIFS($F$7:$F$56,$A$7:$A$56,A45,$B$7:$B$56,"&lt;="&amp;B45)</x:f>
        <x:v>494723</x:v>
      </x:c>
      <x:c r="H45" s="25" t="n">
        <x:v>1838</x:v>
      </x:c>
      <x:c r="I45" s="25" t="n">
        <x:v>-93500</x:v>
      </x:c>
      <x:c r="J45" s="11" t="n">
        <x:v>5</x:v>
      </x:c>
      <x:c r="K45" s="11" t="n">
        <x:v>22</x:v>
      </x:c>
      <x:c r="L45" s="11" t="n">
        <x:v>7</x:v>
      </x:c>
      <x:c r="M45" s="13" t="str">
        <x:v>既知47場</x:v>
      </x:c>
      <x:c r="N45" s="12" t="n">
        <x:v>55.86666666666667</x:v>
      </x:c>
      <x:c r="O45" s="12" t="n">
        <x:v>354.1333333333333</x:v>
      </x:c>
    </x:row>
    <x:row r="46" ht="22" customHeight="1">
      <x:c r="A46" s="2" t="str">
        <x:v>S33</x:v>
      </x:c>
      <x:c r="B46" s="7" t="d">
        <x:v>2026-10-16T17:00:00.000Z</x:v>
      </x:c>
      <x:c r="C46" s="2" t="str">
        <x:v>ナイト</x:v>
      </x:c>
      <x:c r="D46" s="25" t="n">
        <x:v>192834</x:v>
      </x:c>
      <x:c r="E46" s="25" t="n">
        <x:v>52502</x:v>
      </x:c>
      <x:c r="F46" s="25" t="n">
        <x:f>D46-E46</x:f>
        <x:v>140332</x:v>
      </x:c>
      <x:c r="G46" s="25" t="n">
        <x:f>SUMIFS($F$7:$F$56,$A$7:$A$56,A46,$B$7:$B$56,"&lt;="&amp;B46)</x:f>
        <x:v>635055</x:v>
      </x:c>
      <x:c r="H46" s="25" t="n">
        <x:v>2668</x:v>
      </x:c>
      <x:c r="I46" s="25" t="n">
        <x:v>143000</x:v>
      </x:c>
      <x:c r="J46" s="11" t="n">
        <x:v>10</x:v>
      </x:c>
      <x:c r="K46" s="11" t="n">
        <x:v>32</x:v>
      </x:c>
      <x:c r="L46" s="11" t="n">
        <x:v>7</x:v>
      </x:c>
      <x:c r="M46" s="13" t="str">
        <x:v>既知47場</x:v>
      </x:c>
      <x:c r="N46" s="12" t="n">
        <x:v>63.266666666666666</x:v>
      </x:c>
      <x:c r="O46" s="12" t="n">
        <x:v>227.91666666666666</x:v>
      </x:c>
    </x:row>
    <x:row r="47" ht="22" customHeight="1">
      <x:c r="A47" s="2" t="str">
        <x:v>S33</x:v>
      </x:c>
      <x:c r="B47" s="7" t="d">
        <x:v>2026-10-19T08:45:00.000Z</x:v>
      </x:c>
      <x:c r="C47" s="2" t="str">
        <x:v>デイ</x:v>
      </x:c>
      <x:c r="D47" s="25" t="n">
        <x:v>124585</x:v>
      </x:c>
      <x:c r="E47" s="25" t="n">
        <x:v>120582</x:v>
      </x:c>
      <x:c r="F47" s="25" t="n">
        <x:f>D47-E47</x:f>
        <x:v>4003</x:v>
      </x:c>
      <x:c r="G47" s="25" t="n">
        <x:f>SUMIFS($F$7:$F$56,$A$7:$A$56,A47,$B$7:$B$56,"&lt;="&amp;B47)</x:f>
        <x:v>639058</x:v>
      </x:c>
      <x:c r="H47" s="25" t="n">
        <x:v>1997</x:v>
      </x:c>
      <x:c r="I47" s="25" t="n">
        <x:v>6000</x:v>
      </x:c>
      <x:c r="J47" s="11" t="n">
        <x:v>9</x:v>
      </x:c>
      <x:c r="K47" s="11" t="n">
        <x:v>24</x:v>
      </x:c>
      <x:c r="L47" s="11" t="n">
        <x:v>5</x:v>
      </x:c>
      <x:c r="M47" s="13" t="str">
        <x:v>既知47場</x:v>
      </x:c>
      <x:c r="N47" s="12" t="n">
        <x:v>66.71666666666667</x:v>
      </x:c>
      <x:c r="O47" s="12" t="n">
        <x:v>333.93333333333334</x:v>
      </x:c>
    </x:row>
    <x:row r="48" ht="22" customHeight="1">
      <x:c r="A48" s="2" t="str">
        <x:v>S33</x:v>
      </x:c>
      <x:c r="B48" s="7" t="d">
        <x:v>2026-10-19T17:00:00.000Z</x:v>
      </x:c>
      <x:c r="C48" s="2" t="str">
        <x:v>ナイト</x:v>
      </x:c>
      <x:c r="D48" s="25" t="n">
        <x:v>64332</x:v>
      </x:c>
      <x:c r="E48" s="25" t="n">
        <x:v>46502</x:v>
      </x:c>
      <x:c r="F48" s="25" t="n">
        <x:f>D48-E48</x:f>
        <x:v>17830</x:v>
      </x:c>
      <x:c r="G48" s="25" t="n">
        <x:f>SUMIFS($F$7:$F$56,$A$7:$A$56,A48,$B$7:$B$56,"&lt;="&amp;B48)</x:f>
        <x:v>656888</x:v>
      </x:c>
      <x:c r="H48" s="25" t="n">
        <x:v>2170</x:v>
      </x:c>
      <x:c r="I48" s="25" t="n">
        <x:v>20000</x:v>
      </x:c>
      <x:c r="J48" s="11" t="n">
        <x:v>7</x:v>
      </x:c>
      <x:c r="K48" s="11" t="n">
        <x:v>26</x:v>
      </x:c>
      <x:c r="L48" s="11" t="n">
        <x:v>7</x:v>
      </x:c>
      <x:c r="M48" s="13" t="str">
        <x:v>既知47場</x:v>
      </x:c>
      <x:c r="N48" s="12" t="n">
        <x:v>352.01666666666665</x:v>
      </x:c>
      <x:c r="O48" s="12" t="n">
        <x:v>127.7</x:v>
      </x:c>
    </x:row>
    <x:row r="49" ht="22" customHeight="1">
      <x:c r="A49" s="2" t="str">
        <x:v>S33</x:v>
      </x:c>
      <x:c r="B49" s="7" t="d">
        <x:v>2026-10-20T08:45:00.000Z</x:v>
      </x:c>
      <x:c r="C49" s="2" t="str">
        <x:v>デイ</x:v>
      </x:c>
      <x:c r="D49" s="25" t="n">
        <x:v>94085</x:v>
      </x:c>
      <x:c r="E49" s="25" t="n">
        <x:v>85834</x:v>
      </x:c>
      <x:c r="F49" s="25" t="n">
        <x:f>D49-E49</x:f>
        <x:v>8251</x:v>
      </x:c>
      <x:c r="G49" s="25" t="n">
        <x:f>SUMIFS($F$7:$F$56,$A$7:$A$56,A49,$B$7:$B$56,"&lt;="&amp;B49)</x:f>
        <x:v>665139</x:v>
      </x:c>
      <x:c r="H49" s="25" t="n">
        <x:v>2249</x:v>
      </x:c>
      <x:c r="I49" s="25" t="n">
        <x:v>10500</x:v>
      </x:c>
      <x:c r="J49" s="11" t="n">
        <x:v>9</x:v>
      </x:c>
      <x:c r="K49" s="11" t="n">
        <x:v>27</x:v>
      </x:c>
      <x:c r="L49" s="11" t="n">
        <x:v>7</x:v>
      </x:c>
      <x:c r="M49" s="13" t="str">
        <x:v>既知47場</x:v>
      </x:c>
      <x:c r="N49" s="12" t="n">
        <x:v>69.8</x:v>
      </x:c>
      <x:c r="O49" s="12" t="n">
        <x:v>203.55</x:v>
      </x:c>
    </x:row>
    <x:row r="50" ht="22" customHeight="1">
      <x:c r="A50" s="2" t="str">
        <x:v>S33</x:v>
      </x:c>
      <x:c r="B50" s="7" t="d">
        <x:v>2026-10-20T17:00:00.000Z</x:v>
      </x:c>
      <x:c r="C50" s="2" t="str">
        <x:v>ナイト</x:v>
      </x:c>
      <x:c r="D50" s="25" t="n">
        <x:v>84582</x:v>
      </x:c>
      <x:c r="E50" s="25" t="n">
        <x:v>75668</x:v>
      </x:c>
      <x:c r="F50" s="25" t="n">
        <x:f>D50-E50</x:f>
        <x:v>8914</x:v>
      </x:c>
      <x:c r="G50" s="25" t="n">
        <x:f>SUMIFS($F$7:$F$56,$A$7:$A$56,A50,$B$7:$B$56,"&lt;="&amp;B50)</x:f>
        <x:v>674053</x:v>
      </x:c>
      <x:c r="H50" s="25" t="n">
        <x:v>1586</x:v>
      </x:c>
      <x:c r="I50" s="25" t="n">
        <x:v>10500</x:v>
      </x:c>
      <x:c r="J50" s="11" t="n">
        <x:v>5</x:v>
      </x:c>
      <x:c r="K50" s="11" t="n">
        <x:v>19</x:v>
      </x:c>
      <x:c r="L50" s="11" t="n">
        <x:v>5</x:v>
      </x:c>
      <x:c r="M50" s="13" t="str">
        <x:v>既知47場</x:v>
      </x:c>
      <x:c r="N50" s="12" t="n">
        <x:v>351.26666666666665</x:v>
      </x:c>
      <x:c r="O50" s="12" t="n">
        <x:v>71.41666666666667</x:v>
      </x:c>
    </x:row>
    <x:row r="51" ht="22" customHeight="1">
      <x:c r="A51" s="2" t="str">
        <x:v>S33</x:v>
      </x:c>
      <x:c r="B51" s="7" t="d">
        <x:v>2026-10-21T08:45:00.000Z</x:v>
      </x:c>
      <x:c r="C51" s="2" t="str">
        <x:v>デイ</x:v>
      </x:c>
      <x:c r="D51" s="25" t="n">
        <x:v>54253</x:v>
      </x:c>
      <x:c r="E51" s="25" t="n">
        <x:v>110752</x:v>
      </x:c>
      <x:c r="F51" s="25" t="n">
        <x:f>D51-E51</x:f>
        <x:v>-56499</x:v>
      </x:c>
      <x:c r="G51" s="25" t="n">
        <x:f>SUMIFS($F$7:$F$56,$A$7:$A$56,A51,$B$7:$B$56,"&lt;="&amp;B51)</x:f>
        <x:v>617554</x:v>
      </x:c>
      <x:c r="H51" s="25" t="n">
        <x:v>2999</x:v>
      </x:c>
      <x:c r="I51" s="25" t="n">
        <x:v>-53500</x:v>
      </x:c>
      <x:c r="J51" s="11" t="n">
        <x:v>12</x:v>
      </x:c>
      <x:c r="K51" s="11" t="n">
        <x:v>36</x:v>
      </x:c>
      <x:c r="L51" s="11" t="n">
        <x:v>7</x:v>
      </x:c>
      <x:c r="M51" s="13" t="str">
        <x:v>既知47場</x:v>
      </x:c>
      <x:c r="N51" s="12" t="n">
        <x:v>50.083333333333336</x:v>
      </x:c>
      <x:c r="O51" s="12" t="n">
        <x:v>191.65</x:v>
      </x:c>
    </x:row>
    <x:row r="52" ht="22" customHeight="1">
      <x:c r="A52" s="2" t="str">
        <x:v>S33</x:v>
      </x:c>
      <x:c r="B52" s="7" t="d">
        <x:v>2026-10-21T17:00:00.000Z</x:v>
      </x:c>
      <x:c r="C52" s="2" t="str">
        <x:v>ナイト</x:v>
      </x:c>
      <x:c r="D52" s="25" t="n">
        <x:v>24164</x:v>
      </x:c>
      <x:c r="E52" s="25" t="n">
        <x:v>22918</x:v>
      </x:c>
      <x:c r="F52" s="25" t="n">
        <x:f>D52-E52</x:f>
        <x:v>1246</x:v>
      </x:c>
      <x:c r="G52" s="25" t="n">
        <x:f>SUMIFS($F$7:$F$56,$A$7:$A$56,A52,$B$7:$B$56,"&lt;="&amp;B52)</x:f>
        <x:v>618800</x:v>
      </x:c>
      <x:c r="H52" s="25" t="n">
        <x:v>1254</x:v>
      </x:c>
      <x:c r="I52" s="25" t="n">
        <x:v>2500</x:v>
      </x:c>
      <x:c r="J52" s="11" t="n">
        <x:v>3</x:v>
      </x:c>
      <x:c r="K52" s="11" t="n">
        <x:v>15</x:v>
      </x:c>
      <x:c r="L52" s="11" t="n">
        <x:v>5</x:v>
      </x:c>
      <x:c r="M52" s="13" t="str">
        <x:v>既知47場</x:v>
      </x:c>
      <x:c r="N52" s="12" t="n">
        <x:v>393.3</x:v>
      </x:c>
      <x:c r="O52" s="12" t="n">
        <x:v>121.51666666666667</x:v>
      </x:c>
    </x:row>
    <x:row r="53" ht="22" customHeight="1">
      <x:c r="A53" s="2" t="str">
        <x:v>S33</x:v>
      </x:c>
      <x:c r="B53" s="7" t="d">
        <x:v>2026-10-22T08:45:00.000Z</x:v>
      </x:c>
      <x:c r="C53" s="2" t="str">
        <x:v>デイ</x:v>
      </x:c>
      <x:c r="D53" s="25" t="n">
        <x:v>91251</x:v>
      </x:c>
      <x:c r="E53" s="25" t="n">
        <x:v>83082</x:v>
      </x:c>
      <x:c r="F53" s="25" t="n">
        <x:f>D53-E53</x:f>
        <x:v>8169</x:v>
      </x:c>
      <x:c r="G53" s="25" t="n">
        <x:f>SUMIFS($F$7:$F$56,$A$7:$A$56,A53,$B$7:$B$56,"&lt;="&amp;B53)</x:f>
        <x:v>626969</x:v>
      </x:c>
      <x:c r="H53" s="25" t="n">
        <x:v>1831</x:v>
      </x:c>
      <x:c r="I53" s="25" t="n">
        <x:v>10000</x:v>
      </x:c>
      <x:c r="J53" s="11" t="n">
        <x:v>8</x:v>
      </x:c>
      <x:c r="K53" s="11" t="n">
        <x:v>22</x:v>
      </x:c>
      <x:c r="L53" s="11" t="n">
        <x:v>5</x:v>
      </x:c>
      <x:c r="M53" s="13" t="str">
        <x:v>既知47場</x:v>
      </x:c>
      <x:c r="N53" s="12" t="n">
        <x:v>79.76666666666667</x:v>
      </x:c>
      <x:c r="O53" s="12" t="n">
        <x:v>240.53333333333333</x:v>
      </x:c>
    </x:row>
    <x:row r="54" ht="22" customHeight="1">
      <x:c r="A54" s="2" t="str">
        <x:v>S33</x:v>
      </x:c>
      <x:c r="B54" s="7" t="d">
        <x:v>2026-10-22T17:00:00.000Z</x:v>
      </x:c>
      <x:c r="C54" s="2" t="str">
        <x:v>ナイト</x:v>
      </x:c>
      <x:c r="D54" s="25" t="n">
        <x:v>88748</x:v>
      </x:c>
      <x:c r="E54" s="25" t="n">
        <x:v>35836</x:v>
      </x:c>
      <x:c r="F54" s="25" t="n">
        <x:f>D54-E54</x:f>
        <x:v>52912</x:v>
      </x:c>
      <x:c r="G54" s="25" t="n">
        <x:f>SUMIFS($F$7:$F$56,$A$7:$A$56,A54,$B$7:$B$56,"&lt;="&amp;B54)</x:f>
        <x:v>679881</x:v>
      </x:c>
      <x:c r="H54" s="25" t="n">
        <x:v>2588</x:v>
      </x:c>
      <x:c r="I54" s="25" t="n">
        <x:v>55500</x:v>
      </x:c>
      <x:c r="J54" s="11" t="n">
        <x:v>8</x:v>
      </x:c>
      <x:c r="K54" s="11" t="n">
        <x:v>31</x:v>
      </x:c>
      <x:c r="L54" s="11" t="n">
        <x:v>5</x:v>
      </x:c>
      <x:c r="M54" s="13" t="str">
        <x:v>追加3場</x:v>
      </x:c>
      <x:c r="N54" s="12" t="n">
        <x:v>70.93333333333334</x:v>
      </x:c>
      <x:c r="O54" s="12" t="n">
        <x:v>84.23333333333333</x:v>
      </x:c>
    </x:row>
    <x:row r="55" ht="22" customHeight="1">
      <x:c r="A55" s="2" t="str">
        <x:v>S33</x:v>
      </x:c>
      <x:c r="B55" s="7" t="d">
        <x:v>2026-10-23T08:45:00.000Z</x:v>
      </x:c>
      <x:c r="C55" s="2" t="str">
        <x:v>デイ</x:v>
      </x:c>
      <x:c r="D55" s="25" t="n">
        <x:v>59336</x:v>
      </x:c>
      <x:c r="E55" s="25" t="n">
        <x:v>211000</x:v>
      </x:c>
      <x:c r="F55" s="25" t="n">
        <x:f>D55-E55</x:f>
        <x:v>-151664</x:v>
      </x:c>
      <x:c r="G55" s="25" t="n">
        <x:f>SUMIFS($F$7:$F$56,$A$7:$A$56,A55,$B$7:$B$56,"&lt;="&amp;B55)</x:f>
        <x:v>528217</x:v>
      </x:c>
      <x:c r="H55" s="25" t="n">
        <x:v>2664</x:v>
      </x:c>
      <x:c r="I55" s="25" t="n">
        <x:v>-149000</x:v>
      </x:c>
      <x:c r="J55" s="11" t="n">
        <x:v>12</x:v>
      </x:c>
      <x:c r="K55" s="11" t="n">
        <x:v>32</x:v>
      </x:c>
      <x:c r="L55" s="11" t="n">
        <x:v>7</x:v>
      </x:c>
      <x:c r="M55" s="13" t="str">
        <x:v>追加3場</x:v>
      </x:c>
      <x:c r="N55" s="12" t="n">
        <x:v>43.95</x:v>
      </x:c>
      <x:c r="O55" s="12" t="n">
        <x:v>225.03333333333333</x:v>
      </x:c>
    </x:row>
    <x:row r="56" ht="22" customHeight="1">
      <x:c r="A56" s="2" t="str">
        <x:v>S33</x:v>
      </x:c>
      <x:c r="B56" s="7" t="d">
        <x:v>2026-10-23T17:00:00.000Z</x:v>
      </x:c>
      <x:c r="C56" s="2" t="str">
        <x:v>ナイト</x:v>
      </x:c>
      <x:c r="D56" s="25" t="n">
        <x:v>40750</x:v>
      </x:c>
      <x:c r="E56" s="25" t="n">
        <x:v>18166</x:v>
      </x:c>
      <x:c r="F56" s="25" t="n">
        <x:f>D56-E56</x:f>
        <x:v>22584</x:v>
      </x:c>
      <x:c r="G56" s="25" t="n">
        <x:f>SUMIFS($F$7:$F$56,$A$7:$A$56,A56,$B$7:$B$56,"&lt;="&amp;B56)</x:f>
        <x:v>550801</x:v>
      </x:c>
      <x:c r="H56" s="25" t="n">
        <x:v>916</x:v>
      </x:c>
      <x:c r="I56" s="25" t="n">
        <x:v>23500</x:v>
      </x:c>
      <x:c r="J56" s="11" t="n">
        <x:v>4</x:v>
      </x:c>
      <x:c r="K56" s="11" t="n">
        <x:v>11</x:v>
      </x:c>
      <x:c r="L56" s="11" t="n">
        <x:v>5</x:v>
      </x:c>
      <x:c r="M56" s="13" t="str">
        <x:v>追加3場</x:v>
      </x:c>
      <x:c r="N56" s="12" t="n">
        <x:v>125.63333333333334</x:v>
      </x:c>
      <x:c r="O56" s="12" t="n">
        <x:v>75.2</x:v>
      </x:c>
    </x:row>
  </x:sheetData>
  <x:conditionalFormatting sqref="D7:I56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5da7f04033419c"/>
  </x:tableParts>
</x:worksheet>
</file>

<file path=xl/worksheets/sheet11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9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二市場ペア取引（不採用の比較対象）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日経mini・TOPIXminiの二脚を一組で評価。各商品上限10枚。金額は円・手数料後。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初回まで・保有は判断起点。単独商品シートは約定起点のため、時間を直接比較しません。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元本差は判断時の絶対差の場内最大。片脚時間は各組の片脚保有秒の場内合計。出典：00140再生会計。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34" customHeight="1">
      <x:c r="A7" s="22" t="str">
        <x:v>対象</x:v>
      </x:c>
      <x:c r="B7" s="23" t="str">
        <x:v>総利益（円）</x:v>
      </x:c>
      <x:c r="C7" s="23" t="str">
        <x:v>総損失（円）</x:v>
      </x:c>
      <x:c r="D7" s="23" t="str">
        <x:v>収支（円）</x:v>
      </x:c>
      <x:c r="E7" s="23" t="str">
        <x:v>黒字場数</x:v>
      </x:c>
      <x:c r="F7" s="23" t="str">
        <x:v>赤字場数</x:v>
      </x:c>
      <x:c r="G7" s="23" t="str">
        <x:v>無取引場数</x:v>
      </x:c>
      <x:c r="H7" s="23" t="str">
        <x:v>新規組数</x:v>
      </x:c>
      <x:c r="I7" s="23" t="str">
        <x:v>手数料（円）</x:v>
      </x:c>
      <x:c r="J7" s="24" t="str">
        <x:v>上位3黒字除外（円）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2" customHeight="1">
      <x:c r="A8" s="2" t="str">
        <x:v>全50場</x:v>
      </x:c>
      <x:c r="B8" s="25" t="n">
        <x:f>SUM(D14:D63)</x:f>
        <x:v>337898</x:v>
      </x:c>
      <x:c r="C8" s="25" t="n">
        <x:f>SUM(E14:E63)</x:f>
        <x:v>340856</x:v>
      </x:c>
      <x:c r="D8" s="25" t="n">
        <x:f>B8-C8</x:f>
        <x:v>-2958</x:v>
      </x:c>
      <x:c r="E8" s="2" t="n">
        <x:f>COUNTIFS(F14:F63,"&gt;0")</x:f>
        <x:v>5</x:v>
      </x:c>
      <x:c r="F8" s="2" t="n">
        <x:f>COUNTIFS(F14:F63,"&lt;0")</x:f>
        <x:v>7</x:v>
      </x:c>
      <x:c r="G8" s="2" t="n">
        <x:f>COUNTIFS(J14:J63,"=0")</x:f>
        <x:v>38</x:v>
      </x:c>
      <x:c r="H8" s="2" t="n">
        <x:f>SUM(J14:J63)</x:f>
        <x:v>14</x:v>
      </x:c>
      <x:c r="I8" s="25" t="n">
        <x:f>SUM(H14:H63)</x:f>
        <x:v>15958</x:v>
      </x:c>
      <x:c r="J8" s="25" t="n">
        <x:f>D8-MAX(0,LARGE(F14:F63,1))-MAX(0,LARGE(F14:F63,2))-MAX(0,LARGE(F14:F63,3))</x:f>
        <x:v>-303258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2" customHeight="1">
      <x:c r="A9" s="2" t="str">
        <x:v>既知47場</x:v>
      </x:c>
      <x:c r="B9" s="25" t="n">
        <x:f>SUM(D14:D60)</x:f>
        <x:v>337898</x:v>
      </x:c>
      <x:c r="C9" s="25" t="n">
        <x:f>SUM(E14:E60)</x:f>
        <x:v>306804</x:v>
      </x:c>
      <x:c r="D9" s="25" t="n">
        <x:f>B9-C9</x:f>
        <x:v>31094</x:v>
      </x:c>
      <x:c r="E9" s="2" t="n">
        <x:f>COUNTIFS(F14:F60,"&gt;0")</x:f>
        <x:v>5</x:v>
      </x:c>
      <x:c r="F9" s="2" t="n">
        <x:f>COUNTIFS(F14:F60,"&lt;0")</x:f>
        <x:v>6</x:v>
      </x:c>
      <x:c r="G9" s="2" t="n">
        <x:f>COUNTIFS(J14:J60,"=0")</x:f>
        <x:v>36</x:v>
      </x:c>
      <x:c r="H9" s="2" t="n">
        <x:f>SUM(J14:J60)</x:f>
        <x:v>13</x:v>
      </x:c>
      <x:c r="I9" s="25" t="n">
        <x:f>SUM(H14:H60)</x:f>
        <x:v>14906</x:v>
      </x:c>
      <x:c r="J9" s="25" t="n">
        <x:f>D9-MAX(0,LARGE(F14:F60,1))-MAX(0,LARGE(F14:F60,2))-MAX(0,LARGE(F14:F60,3))</x:f>
        <x:v>-269206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2" customHeight="1">
      <x:c r="A10" s="2" t="str">
        <x:v>追加3場</x:v>
      </x:c>
      <x:c r="B10" s="25" t="n">
        <x:f>SUM(D61:D63)</x:f>
        <x:v>0</x:v>
      </x:c>
      <x:c r="C10" s="25" t="n">
        <x:f>SUM(E61:E63)</x:f>
        <x:v>34052</x:v>
      </x:c>
      <x:c r="D10" s="25" t="n">
        <x:f>B10-C10</x:f>
        <x:v>-34052</x:v>
      </x:c>
      <x:c r="E10" s="2" t="n">
        <x:f>COUNTIFS(F61:F63,"&gt;0")</x:f>
        <x:v>0</x:v>
      </x:c>
      <x:c r="F10" s="2" t="n">
        <x:f>COUNTIFS(F61:F63,"&lt;0")</x:f>
        <x:v>1</x:v>
      </x:c>
      <x:c r="G10" s="2" t="n">
        <x:f>COUNTIFS(J61:J63,"=0")</x:f>
        <x:v>2</x:v>
      </x:c>
      <x:c r="H10" s="2" t="n">
        <x:f>SUM(J61:J63)</x:f>
        <x:v>1</x:v>
      </x:c>
      <x:c r="I10" s="25" t="n">
        <x:f>SUM(H61:H63)</x:f>
        <x:v>1052</x:v>
      </x:c>
      <x:c r="J10" s="25" t="n">
        <x:f>D10-MAX(0,LARGE(F61:F63,1))-MAX(0,LARGE(F61:F63,2))-MAX(0,LARGE(F61:F63,3))</x:f>
        <x:v>-34052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34" customHeight="1">
      <x:c r="A13" s="22" t="str">
        <x:v>手法ID</x:v>
      </x:c>
      <x:c r="B13" s="23" t="str">
        <x:v>開始日時</x:v>
      </x:c>
      <x:c r="C13" s="23" t="str">
        <x:v>セッション</x:v>
      </x:c>
      <x:c r="D13" s="23" t="str">
        <x:v>利益（円）</x:v>
      </x:c>
      <x:c r="E13" s="23" t="str">
        <x:v>損失（円）</x:v>
      </x:c>
      <x:c r="F13" s="23" t="str">
        <x:v>収支（円）</x:v>
      </x:c>
      <x:c r="G13" s="23" t="str">
        <x:v>累計（円）</x:v>
      </x:c>
      <x:c r="H13" s="23" t="str">
        <x:v>内数手数料（円）</x:v>
      </x:c>
      <x:c r="I13" s="23" t="str">
        <x:v>費用前収支（円）</x:v>
      </x:c>
      <x:c r="J13" s="23" t="str">
        <x:v>新規回数</x:v>
      </x:c>
      <x:c r="K13" s="23" t="str">
        <x:v>二脚合計枚数</x:v>
      </x:c>
      <x:c r="L13" s="23" t="str">
        <x:v>商品別最大保有</x:v>
      </x:c>
      <x:c r="M13" s="23" t="str">
        <x:v>評価区分</x:v>
      </x:c>
      <x:c r="N13" s="23" t="str">
        <x:v>初回まで（分）</x:v>
      </x:c>
      <x:c r="O13" s="23" t="str">
        <x:v>保有（分）</x:v>
      </x:c>
      <x:c r="P13" s="23" t="str">
        <x:v>日経脚収支（円）</x:v>
      </x:c>
      <x:c r="Q13" s="23" t="str">
        <x:v>TOPIX脚収支（円）</x:v>
      </x:c>
      <x:c r="R13" s="23" t="str">
        <x:v>完結組数</x:v>
      </x:c>
      <x:c r="S13" s="23" t="str">
        <x:v>元本差最大（円）</x:v>
      </x:c>
      <x:c r="T13" s="24" t="str">
        <x:v>片脚保有合計（秒）</x:v>
      </x:c>
    </x:row>
    <x:row r="14" ht="22" customHeight="1">
      <x:c r="A14" s="2" t="str">
        <x:v>P03</x:v>
      </x:c>
      <x:c r="B14" s="7" t="d">
        <x:v>2026-09-21T08:45:00.000Z</x:v>
      </x:c>
      <x:c r="C14" s="2" t="str">
        <x:v>デイ</x:v>
      </x:c>
      <x:c r="D14" s="25" t="n">
        <x:v>0</x:v>
      </x:c>
      <x:c r="E14" s="25" t="n">
        <x:v>0</x:v>
      </x:c>
      <x:c r="F14" s="25" t="n">
        <x:f>D14-E14</x:f>
        <x:v>0</x:v>
      </x:c>
      <x:c r="G14" s="25" t="n">
        <x:f>SUMIFS($F$14:$F$63,$A$14:$A$63,A14,$B$14:$B$63,"&lt;="&amp;B14)</x:f>
        <x:v>0</x:v>
      </x:c>
      <x:c r="H14" s="25" t="n">
        <x:v>0</x:v>
      </x:c>
      <x:c r="I14" s="25" t="n">
        <x:v>0</x:v>
      </x:c>
      <x:c r="J14" s="8" t="n">
        <x:v>0</x:v>
      </x:c>
      <x:c r="K14" s="8" t="n">
        <x:v>0</x:v>
      </x:c>
      <x:c r="L14" s="8" t="n">
        <x:v>0</x:v>
      </x:c>
      <x:c r="M14" s="2" t="str">
        <x:v>既知47場</x:v>
      </x:c>
      <x:c r="N14" s="9"/>
      <x:c r="O14" s="9" t="n">
        <x:v>0</x:v>
      </x:c>
      <x:c r="P14" s="25" t="n">
        <x:v>0</x:v>
      </x:c>
      <x:c r="Q14" s="25" t="n">
        <x:v>0</x:v>
      </x:c>
      <x:c r="R14" s="8" t="n">
        <x:v>0</x:v>
      </x:c>
      <x:c r="S14" s="25" t="n">
        <x:v>0</x:v>
      </x:c>
      <x:c r="T14" s="9" t="n">
        <x:v>0</x:v>
      </x:c>
    </x:row>
    <x:row r="15" ht="22" customHeight="1">
      <x:c r="A15" s="2" t="str">
        <x:v>P03</x:v>
      </x:c>
      <x:c r="B15" s="7" t="d">
        <x:v>2026-09-21T17:00:00.000Z</x:v>
      </x:c>
      <x:c r="C15" s="2" t="str">
        <x:v>ナイト</x:v>
      </x:c>
      <x:c r="D15" s="25" t="n">
        <x:v>0</x:v>
      </x:c>
      <x:c r="E15" s="25" t="n">
        <x:v>0</x:v>
      </x:c>
      <x:c r="F15" s="25" t="n">
        <x:f>D15-E15</x:f>
        <x:v>0</x:v>
      </x:c>
      <x:c r="G15" s="25" t="n">
        <x:f>SUMIFS($F$14:$F$63,$A$14:$A$63,A15,$B$14:$B$63,"&lt;="&amp;B15)</x:f>
        <x:v>0</x:v>
      </x:c>
      <x:c r="H15" s="25" t="n">
        <x:v>0</x:v>
      </x:c>
      <x:c r="I15" s="25" t="n">
        <x:v>0</x:v>
      </x:c>
      <x:c r="J15" s="8" t="n">
        <x:v>0</x:v>
      </x:c>
      <x:c r="K15" s="8" t="n">
        <x:v>0</x:v>
      </x:c>
      <x:c r="L15" s="8" t="n">
        <x:v>0</x:v>
      </x:c>
      <x:c r="M15" s="2" t="str">
        <x:v>既知47場</x:v>
      </x:c>
      <x:c r="N15" s="9"/>
      <x:c r="O15" s="9" t="n">
        <x:v>0</x:v>
      </x:c>
      <x:c r="P15" s="25" t="n">
        <x:v>0</x:v>
      </x:c>
      <x:c r="Q15" s="25" t="n">
        <x:v>0</x:v>
      </x:c>
      <x:c r="R15" s="8" t="n">
        <x:v>0</x:v>
      </x:c>
      <x:c r="S15" s="25" t="n">
        <x:v>0</x:v>
      </x:c>
      <x:c r="T15" s="9" t="n">
        <x:v>0</x:v>
      </x:c>
    </x:row>
    <x:row r="16" ht="22" customHeight="1">
      <x:c r="A16" s="2" t="str">
        <x:v>P03</x:v>
      </x:c>
      <x:c r="B16" s="7" t="d">
        <x:v>2026-09-22T08:45:00.000Z</x:v>
      </x:c>
      <x:c r="C16" s="2" t="str">
        <x:v>デイ</x:v>
      </x:c>
      <x:c r="D16" s="25" t="n">
        <x:v>0</x:v>
      </x:c>
      <x:c r="E16" s="25" t="n">
        <x:v>0</x:v>
      </x:c>
      <x:c r="F16" s="25" t="n">
        <x:f>D16-E16</x:f>
        <x:v>0</x:v>
      </x:c>
      <x:c r="G16" s="25" t="n">
        <x:f>SUMIFS($F$14:$F$63,$A$14:$A$63,A16,$B$14:$B$63,"&lt;="&amp;B16)</x:f>
        <x:v>0</x:v>
      </x:c>
      <x:c r="H16" s="25" t="n">
        <x:v>0</x:v>
      </x:c>
      <x:c r="I16" s="25" t="n">
        <x:v>0</x:v>
      </x:c>
      <x:c r="J16" s="8" t="n">
        <x:v>0</x:v>
      </x:c>
      <x:c r="K16" s="8" t="n">
        <x:v>0</x:v>
      </x:c>
      <x:c r="L16" s="8" t="n">
        <x:v>0</x:v>
      </x:c>
      <x:c r="M16" s="2" t="str">
        <x:v>既知47場</x:v>
      </x:c>
      <x:c r="N16" s="9"/>
      <x:c r="O16" s="9" t="n">
        <x:v>0</x:v>
      </x:c>
      <x:c r="P16" s="25" t="n">
        <x:v>0</x:v>
      </x:c>
      <x:c r="Q16" s="25" t="n">
        <x:v>0</x:v>
      </x:c>
      <x:c r="R16" s="8" t="n">
        <x:v>0</x:v>
      </x:c>
      <x:c r="S16" s="25" t="n">
        <x:v>0</x:v>
      </x:c>
      <x:c r="T16" s="9" t="n">
        <x:v>0</x:v>
      </x:c>
    </x:row>
    <x:row r="17" ht="22" customHeight="1">
      <x:c r="A17" s="2" t="str">
        <x:v>P03</x:v>
      </x:c>
      <x:c r="B17" s="7" t="d">
        <x:v>2026-09-22T17:00:00.000Z</x:v>
      </x:c>
      <x:c r="C17" s="2" t="str">
        <x:v>ナイト</x:v>
      </x:c>
      <x:c r="D17" s="25" t="n">
        <x:v>0</x:v>
      </x:c>
      <x:c r="E17" s="25" t="n">
        <x:v>0</x:v>
      </x:c>
      <x:c r="F17" s="25" t="n">
        <x:f>D17-E17</x:f>
        <x:v>0</x:v>
      </x:c>
      <x:c r="G17" s="25" t="n">
        <x:f>SUMIFS($F$14:$F$63,$A$14:$A$63,A17,$B$14:$B$63,"&lt;="&amp;B17)</x:f>
        <x:v>0</x:v>
      </x:c>
      <x:c r="H17" s="25" t="n">
        <x:v>0</x:v>
      </x:c>
      <x:c r="I17" s="25" t="n">
        <x:v>0</x:v>
      </x:c>
      <x:c r="J17" s="8" t="n">
        <x:v>0</x:v>
      </x:c>
      <x:c r="K17" s="8" t="n">
        <x:v>0</x:v>
      </x:c>
      <x:c r="L17" s="8" t="n">
        <x:v>0</x:v>
      </x:c>
      <x:c r="M17" s="2" t="str">
        <x:v>既知47場</x:v>
      </x:c>
      <x:c r="N17" s="9"/>
      <x:c r="O17" s="9" t="n">
        <x:v>0</x:v>
      </x:c>
      <x:c r="P17" s="25" t="n">
        <x:v>0</x:v>
      </x:c>
      <x:c r="Q17" s="25" t="n">
        <x:v>0</x:v>
      </x:c>
      <x:c r="R17" s="8" t="n">
        <x:v>0</x:v>
      </x:c>
      <x:c r="S17" s="25" t="n">
        <x:v>0</x:v>
      </x:c>
      <x:c r="T17" s="9" t="n">
        <x:v>0</x:v>
      </x:c>
    </x:row>
    <x:row r="18" ht="22" customHeight="1">
      <x:c r="A18" s="2" t="str">
        <x:v>P03</x:v>
      </x:c>
      <x:c r="B18" s="7" t="d">
        <x:v>2026-09-23T08:45:00.000Z</x:v>
      </x:c>
      <x:c r="C18" s="2" t="str">
        <x:v>デイ</x:v>
      </x:c>
      <x:c r="D18" s="25" t="n">
        <x:v>0</x:v>
      </x:c>
      <x:c r="E18" s="25" t="n">
        <x:v>0</x:v>
      </x:c>
      <x:c r="F18" s="25" t="n">
        <x:f>D18-E18</x:f>
        <x:v>0</x:v>
      </x:c>
      <x:c r="G18" s="25" t="n">
        <x:f>SUMIFS($F$14:$F$63,$A$14:$A$63,A18,$B$14:$B$63,"&lt;="&amp;B18)</x:f>
        <x:v>0</x:v>
      </x:c>
      <x:c r="H18" s="25" t="n">
        <x:v>0</x:v>
      </x:c>
      <x:c r="I18" s="25" t="n">
        <x:v>0</x:v>
      </x:c>
      <x:c r="J18" s="8" t="n">
        <x:v>0</x:v>
      </x:c>
      <x:c r="K18" s="8" t="n">
        <x:v>0</x:v>
      </x:c>
      <x:c r="L18" s="8" t="n">
        <x:v>0</x:v>
      </x:c>
      <x:c r="M18" s="2" t="str">
        <x:v>既知47場</x:v>
      </x:c>
      <x:c r="N18" s="9"/>
      <x:c r="O18" s="9" t="n">
        <x:v>0</x:v>
      </x:c>
      <x:c r="P18" s="25" t="n">
        <x:v>0</x:v>
      </x:c>
      <x:c r="Q18" s="25" t="n">
        <x:v>0</x:v>
      </x:c>
      <x:c r="R18" s="8" t="n">
        <x:v>0</x:v>
      </x:c>
      <x:c r="S18" s="25" t="n">
        <x:v>0</x:v>
      </x:c>
      <x:c r="T18" s="9" t="n">
        <x:v>0</x:v>
      </x:c>
    </x:row>
    <x:row r="19" ht="22" customHeight="1">
      <x:c r="A19" s="2" t="str">
        <x:v>P03</x:v>
      </x:c>
      <x:c r="B19" s="7" t="d">
        <x:v>2026-09-23T17:00:00.000Z</x:v>
      </x:c>
      <x:c r="C19" s="2" t="str">
        <x:v>ナイト</x:v>
      </x:c>
      <x:c r="D19" s="25" t="n">
        <x:v>0</x:v>
      </x:c>
      <x:c r="E19" s="25" t="n">
        <x:v>0</x:v>
      </x:c>
      <x:c r="F19" s="25" t="n">
        <x:f>D19-E19</x:f>
        <x:v>0</x:v>
      </x:c>
      <x:c r="G19" s="25" t="n">
        <x:f>SUMIFS($F$14:$F$63,$A$14:$A$63,A19,$B$14:$B$63,"&lt;="&amp;B19)</x:f>
        <x:v>0</x:v>
      </x:c>
      <x:c r="H19" s="25" t="n">
        <x:v>0</x:v>
      </x:c>
      <x:c r="I19" s="25" t="n">
        <x:v>0</x:v>
      </x:c>
      <x:c r="J19" s="8" t="n">
        <x:v>0</x:v>
      </x:c>
      <x:c r="K19" s="8" t="n">
        <x:v>0</x:v>
      </x:c>
      <x:c r="L19" s="8" t="n">
        <x:v>0</x:v>
      </x:c>
      <x:c r="M19" s="2" t="str">
        <x:v>既知47場</x:v>
      </x:c>
      <x:c r="N19" s="9"/>
      <x:c r="O19" s="9" t="n">
        <x:v>0</x:v>
      </x:c>
      <x:c r="P19" s="25" t="n">
        <x:v>0</x:v>
      </x:c>
      <x:c r="Q19" s="25" t="n">
        <x:v>0</x:v>
      </x:c>
      <x:c r="R19" s="8" t="n">
        <x:v>0</x:v>
      </x:c>
      <x:c r="S19" s="25" t="n">
        <x:v>0</x:v>
      </x:c>
      <x:c r="T19" s="9" t="n">
        <x:v>0</x:v>
      </x:c>
    </x:row>
    <x:row r="20" ht="22" customHeight="1">
      <x:c r="A20" s="2" t="str">
        <x:v>P03</x:v>
      </x:c>
      <x:c r="B20" s="7" t="d">
        <x:v>2026-09-24T08:45:00.000Z</x:v>
      </x:c>
      <x:c r="C20" s="2" t="str">
        <x:v>デイ</x:v>
      </x:c>
      <x:c r="D20" s="25" t="n">
        <x:v>0</x:v>
      </x:c>
      <x:c r="E20" s="25" t="n">
        <x:v>27052</x:v>
      </x:c>
      <x:c r="F20" s="25" t="n">
        <x:f>D20-E20</x:f>
        <x:v>-27052</x:v>
      </x:c>
      <x:c r="G20" s="25" t="n">
        <x:f>SUMIFS($F$14:$F$63,$A$14:$A$63,A20,$B$14:$B$63,"&lt;="&amp;B20)</x:f>
        <x:v>-27052</x:v>
      </x:c>
      <x:c r="H20" s="25" t="n">
        <x:v>1052</x:v>
      </x:c>
      <x:c r="I20" s="25" t="n">
        <x:v>-26000</x:v>
      </x:c>
      <x:c r="J20" s="8" t="n">
        <x:v>1</x:v>
      </x:c>
      <x:c r="K20" s="8" t="n">
        <x:v>13</x:v>
      </x:c>
      <x:c r="L20" s="8" t="n">
        <x:v>8</x:v>
      </x:c>
      <x:c r="M20" s="2" t="str">
        <x:v>既知47場</x:v>
      </x:c>
      <x:c r="N20" s="9" t="n">
        <x:v>116.6</x:v>
      </x:c>
      <x:c r="O20" s="9" t="n">
        <x:v>0.7</x:v>
      </x:c>
      <x:c r="P20" s="25" t="n">
        <x:v>-10384</x:v>
      </x:c>
      <x:c r="Q20" s="25" t="n">
        <x:v>-16668</x:v>
      </x:c>
      <x:c r="R20" s="8" t="n">
        <x:v>1</x:v>
      </x:c>
      <x:c r="S20" s="25" t="n">
        <x:v>276500</x:v>
      </x:c>
      <x:c r="T20" s="9" t="n">
        <x:v>10</x:v>
      </x:c>
    </x:row>
    <x:row r="21" ht="22" customHeight="1">
      <x:c r="A21" s="2" t="str">
        <x:v>P03</x:v>
      </x:c>
      <x:c r="B21" s="7" t="d">
        <x:v>2026-09-24T17:00:00.000Z</x:v>
      </x:c>
      <x:c r="C21" s="2" t="str">
        <x:v>ナイト</x:v>
      </x:c>
      <x:c r="D21" s="25" t="n">
        <x:v>0</x:v>
      </x:c>
      <x:c r="E21" s="25" t="n">
        <x:v>0</x:v>
      </x:c>
      <x:c r="F21" s="25" t="n">
        <x:f>D21-E21</x:f>
        <x:v>0</x:v>
      </x:c>
      <x:c r="G21" s="25" t="n">
        <x:f>SUMIFS($F$14:$F$63,$A$14:$A$63,A21,$B$14:$B$63,"&lt;="&amp;B21)</x:f>
        <x:v>-27052</x:v>
      </x:c>
      <x:c r="H21" s="25" t="n">
        <x:v>0</x:v>
      </x:c>
      <x:c r="I21" s="25" t="n">
        <x:v>0</x:v>
      </x:c>
      <x:c r="J21" s="8" t="n">
        <x:v>0</x:v>
      </x:c>
      <x:c r="K21" s="8" t="n">
        <x:v>0</x:v>
      </x:c>
      <x:c r="L21" s="8" t="n">
        <x:v>0</x:v>
      </x:c>
      <x:c r="M21" s="2" t="str">
        <x:v>既知47場</x:v>
      </x:c>
      <x:c r="N21" s="9"/>
      <x:c r="O21" s="9" t="n">
        <x:v>0</x:v>
      </x:c>
      <x:c r="P21" s="25" t="n">
        <x:v>0</x:v>
      </x:c>
      <x:c r="Q21" s="25" t="n">
        <x:v>0</x:v>
      </x:c>
      <x:c r="R21" s="8" t="n">
        <x:v>0</x:v>
      </x:c>
      <x:c r="S21" s="25" t="n">
        <x:v>0</x:v>
      </x:c>
      <x:c r="T21" s="9" t="n">
        <x:v>0</x:v>
      </x:c>
    </x:row>
    <x:row r="22" ht="22" customHeight="1">
      <x:c r="A22" s="2" t="str">
        <x:v>P03</x:v>
      </x:c>
      <x:c r="B22" s="7" t="d">
        <x:v>2026-09-25T08:45:00.000Z</x:v>
      </x:c>
      <x:c r="C22" s="2" t="str">
        <x:v>デイ</x:v>
      </x:c>
      <x:c r="D22" s="25" t="n">
        <x:v>0</x:v>
      </x:c>
      <x:c r="E22" s="25" t="n">
        <x:v>0</x:v>
      </x:c>
      <x:c r="F22" s="25" t="n">
        <x:f>D22-E22</x:f>
        <x:v>0</x:v>
      </x:c>
      <x:c r="G22" s="25" t="n">
        <x:f>SUMIFS($F$14:$F$63,$A$14:$A$63,A22,$B$14:$B$63,"&lt;="&amp;B22)</x:f>
        <x:v>-27052</x:v>
      </x:c>
      <x:c r="H22" s="25" t="n">
        <x:v>0</x:v>
      </x:c>
      <x:c r="I22" s="25" t="n">
        <x:v>0</x:v>
      </x:c>
      <x:c r="J22" s="8" t="n">
        <x:v>0</x:v>
      </x:c>
      <x:c r="K22" s="8" t="n">
        <x:v>0</x:v>
      </x:c>
      <x:c r="L22" s="8" t="n">
        <x:v>0</x:v>
      </x:c>
      <x:c r="M22" s="2" t="str">
        <x:v>既知47場</x:v>
      </x:c>
      <x:c r="N22" s="9"/>
      <x:c r="O22" s="9" t="n">
        <x:v>0</x:v>
      </x:c>
      <x:c r="P22" s="25" t="n">
        <x:v>0</x:v>
      </x:c>
      <x:c r="Q22" s="25" t="n">
        <x:v>0</x:v>
      </x:c>
      <x:c r="R22" s="8" t="n">
        <x:v>0</x:v>
      </x:c>
      <x:c r="S22" s="25" t="n">
        <x:v>0</x:v>
      </x:c>
      <x:c r="T22" s="9" t="n">
        <x:v>0</x:v>
      </x:c>
    </x:row>
    <x:row r="23" ht="22" customHeight="1">
      <x:c r="A23" s="2" t="str">
        <x:v>P03</x:v>
      </x:c>
      <x:c r="B23" s="7" t="d">
        <x:v>2026-09-25T17:00:00.000Z</x:v>
      </x:c>
      <x:c r="C23" s="2" t="str">
        <x:v>ナイト</x:v>
      </x:c>
      <x:c r="D23" s="25" t="n">
        <x:v>0</x:v>
      </x:c>
      <x:c r="E23" s="25" t="n">
        <x:v>0</x:v>
      </x:c>
      <x:c r="F23" s="25" t="n">
        <x:f>D23-E23</x:f>
        <x:v>0</x:v>
      </x:c>
      <x:c r="G23" s="25" t="n">
        <x:f>SUMIFS($F$14:$F$63,$A$14:$A$63,A23,$B$14:$B$63,"&lt;="&amp;B23)</x:f>
        <x:v>-27052</x:v>
      </x:c>
      <x:c r="H23" s="25" t="n">
        <x:v>0</x:v>
      </x:c>
      <x:c r="I23" s="25" t="n">
        <x:v>0</x:v>
      </x:c>
      <x:c r="J23" s="8" t="n">
        <x:v>0</x:v>
      </x:c>
      <x:c r="K23" s="8" t="n">
        <x:v>0</x:v>
      </x:c>
      <x:c r="L23" s="8" t="n">
        <x:v>0</x:v>
      </x:c>
      <x:c r="M23" s="2" t="str">
        <x:v>既知47場</x:v>
      </x:c>
      <x:c r="N23" s="9"/>
      <x:c r="O23" s="9" t="n">
        <x:v>0</x:v>
      </x:c>
      <x:c r="P23" s="25" t="n">
        <x:v>0</x:v>
      </x:c>
      <x:c r="Q23" s="25" t="n">
        <x:v>0</x:v>
      </x:c>
      <x:c r="R23" s="8" t="n">
        <x:v>0</x:v>
      </x:c>
      <x:c r="S23" s="25" t="n">
        <x:v>0</x:v>
      </x:c>
      <x:c r="T23" s="9" t="n">
        <x:v>0</x:v>
      </x:c>
    </x:row>
    <x:row r="24" ht="22" customHeight="1">
      <x:c r="A24" s="2" t="str">
        <x:v>P03</x:v>
      </x:c>
      <x:c r="B24" s="7" t="d">
        <x:v>2026-09-28T08:45:00.000Z</x:v>
      </x:c>
      <x:c r="C24" s="2" t="str">
        <x:v>デイ</x:v>
      </x:c>
      <x:c r="D24" s="25" t="n">
        <x:v>6948</x:v>
      </x:c>
      <x:c r="E24" s="25" t="n">
        <x:v>63052</x:v>
      </x:c>
      <x:c r="F24" s="25" t="n">
        <x:f>D24-E24</x:f>
        <x:v>-56104</x:v>
      </x:c>
      <x:c r="G24" s="25" t="n">
        <x:f>SUMIFS($F$14:$F$63,$A$14:$A$63,A24,$B$14:$B$63,"&lt;="&amp;B24)</x:f>
        <x:v>-83156</x:v>
      </x:c>
      <x:c r="H24" s="25" t="n">
        <x:v>2104</x:v>
      </x:c>
      <x:c r="I24" s="25" t="n">
        <x:v>-54000</x:v>
      </x:c>
      <x:c r="J24" s="8" t="n">
        <x:v>2</x:v>
      </x:c>
      <x:c r="K24" s="8" t="n">
        <x:v>26</x:v>
      </x:c>
      <x:c r="L24" s="8" t="n">
        <x:v>8</x:v>
      </x:c>
      <x:c r="M24" s="2" t="str">
        <x:v>既知47場</x:v>
      </x:c>
      <x:c r="N24" s="9" t="n">
        <x:v>75.33333333333333</x:v>
      </x:c>
      <x:c r="O24" s="9" t="n">
        <x:v>26.633333333333333</x:v>
      </x:c>
      <x:c r="P24" s="25" t="n">
        <x:v>-130768</x:v>
      </x:c>
      <x:c r="Q24" s="25" t="n">
        <x:v>74664</x:v>
      </x:c>
      <x:c r="R24" s="8" t="n">
        <x:v>2</x:v>
      </x:c>
      <x:c r="S24" s="25" t="n">
        <x:v>239500</x:v>
      </x:c>
      <x:c r="T24" s="9" t="n">
        <x:v>11</x:v>
      </x:c>
    </x:row>
    <x:row r="25" ht="22" customHeight="1">
      <x:c r="A25" s="2" t="str">
        <x:v>P03</x:v>
      </x:c>
      <x:c r="B25" s="7" t="d">
        <x:v>2026-09-28T17:00:00.000Z</x:v>
      </x:c>
      <x:c r="C25" s="2" t="str">
        <x:v>ナイト</x:v>
      </x:c>
      <x:c r="D25" s="25" t="n">
        <x:v>0</x:v>
      </x:c>
      <x:c r="E25" s="25" t="n">
        <x:v>0</x:v>
      </x:c>
      <x:c r="F25" s="25" t="n">
        <x:f>D25-E25</x:f>
        <x:v>0</x:v>
      </x:c>
      <x:c r="G25" s="25" t="n">
        <x:f>SUMIFS($F$14:$F$63,$A$14:$A$63,A25,$B$14:$B$63,"&lt;="&amp;B25)</x:f>
        <x:v>-83156</x:v>
      </x:c>
      <x:c r="H25" s="25" t="n">
        <x:v>0</x:v>
      </x:c>
      <x:c r="I25" s="25" t="n">
        <x:v>0</x:v>
      </x:c>
      <x:c r="J25" s="8" t="n">
        <x:v>0</x:v>
      </x:c>
      <x:c r="K25" s="8" t="n">
        <x:v>0</x:v>
      </x:c>
      <x:c r="L25" s="8" t="n">
        <x:v>0</x:v>
      </x:c>
      <x:c r="M25" s="2" t="str">
        <x:v>既知47場</x:v>
      </x:c>
      <x:c r="N25" s="9"/>
      <x:c r="O25" s="9" t="n">
        <x:v>0</x:v>
      </x:c>
      <x:c r="P25" s="25" t="n">
        <x:v>0</x:v>
      </x:c>
      <x:c r="Q25" s="25" t="n">
        <x:v>0</x:v>
      </x:c>
      <x:c r="R25" s="8" t="n">
        <x:v>0</x:v>
      </x:c>
      <x:c r="S25" s="25" t="n">
        <x:v>0</x:v>
      </x:c>
      <x:c r="T25" s="9" t="n">
        <x:v>0</x:v>
      </x:c>
    </x:row>
    <x:row r="26" ht="22" customHeight="1">
      <x:c r="A26" s="2" t="str">
        <x:v>P03</x:v>
      </x:c>
      <x:c r="B26" s="7" t="d">
        <x:v>2026-09-29T08:45:00.000Z</x:v>
      </x:c>
      <x:c r="C26" s="2" t="str">
        <x:v>デイ</x:v>
      </x:c>
      <x:c r="D26" s="25" t="n">
        <x:v>28948</x:v>
      </x:c>
      <x:c r="E26" s="25" t="n">
        <x:v>0</x:v>
      </x:c>
      <x:c r="F26" s="25" t="n">
        <x:f>D26-E26</x:f>
        <x:v>28948</x:v>
      </x:c>
      <x:c r="G26" s="25" t="n">
        <x:f>SUMIFS($F$14:$F$63,$A$14:$A$63,A26,$B$14:$B$63,"&lt;="&amp;B26)</x:f>
        <x:v>-54208</x:v>
      </x:c>
      <x:c r="H26" s="25" t="n">
        <x:v>1052</x:v>
      </x:c>
      <x:c r="I26" s="25" t="n">
        <x:v>30000</x:v>
      </x:c>
      <x:c r="J26" s="8" t="n">
        <x:v>1</x:v>
      </x:c>
      <x:c r="K26" s="8" t="n">
        <x:v>13</x:v>
      </x:c>
      <x:c r="L26" s="8" t="n">
        <x:v>8</x:v>
      </x:c>
      <x:c r="M26" s="2" t="str">
        <x:v>既知47場</x:v>
      </x:c>
      <x:c r="N26" s="9" t="n">
        <x:v>69.63333333333334</x:v>
      </x:c>
      <x:c r="O26" s="9" t="n">
        <x:v>6.15</x:v>
      </x:c>
      <x:c r="P26" s="25" t="n">
        <x:v>9616</x:v>
      </x:c>
      <x:c r="Q26" s="25" t="n">
        <x:v>19332</x:v>
      </x:c>
      <x:c r="R26" s="8" t="n">
        <x:v>1</x:v>
      </x:c>
      <x:c r="S26" s="25" t="n">
        <x:v>251500</x:v>
      </x:c>
      <x:c r="T26" s="9" t="n">
        <x:v>4</x:v>
      </x:c>
    </x:row>
    <x:row r="27" ht="22" customHeight="1">
      <x:c r="A27" s="2" t="str">
        <x:v>P03</x:v>
      </x:c>
      <x:c r="B27" s="7" t="d">
        <x:v>2026-09-29T17:00:00.000Z</x:v>
      </x:c>
      <x:c r="C27" s="2" t="str">
        <x:v>ナイト</x:v>
      </x:c>
      <x:c r="D27" s="25" t="n">
        <x:v>0</x:v>
      </x:c>
      <x:c r="E27" s="25" t="n">
        <x:v>0</x:v>
      </x:c>
      <x:c r="F27" s="25" t="n">
        <x:f>D27-E27</x:f>
        <x:v>0</x:v>
      </x:c>
      <x:c r="G27" s="25" t="n">
        <x:f>SUMIFS($F$14:$F$63,$A$14:$A$63,A27,$B$14:$B$63,"&lt;="&amp;B27)</x:f>
        <x:v>-54208</x:v>
      </x:c>
      <x:c r="H27" s="25" t="n">
        <x:v>0</x:v>
      </x:c>
      <x:c r="I27" s="25" t="n">
        <x:v>0</x:v>
      </x:c>
      <x:c r="J27" s="8" t="n">
        <x:v>0</x:v>
      </x:c>
      <x:c r="K27" s="8" t="n">
        <x:v>0</x:v>
      </x:c>
      <x:c r="L27" s="8" t="n">
        <x:v>0</x:v>
      </x:c>
      <x:c r="M27" s="2" t="str">
        <x:v>既知47場</x:v>
      </x:c>
      <x:c r="N27" s="9"/>
      <x:c r="O27" s="9" t="n">
        <x:v>0</x:v>
      </x:c>
      <x:c r="P27" s="25" t="n">
        <x:v>0</x:v>
      </x:c>
      <x:c r="Q27" s="25" t="n">
        <x:v>0</x:v>
      </x:c>
      <x:c r="R27" s="8" t="n">
        <x:v>0</x:v>
      </x:c>
      <x:c r="S27" s="25" t="n">
        <x:v>0</x:v>
      </x:c>
      <x:c r="T27" s="9" t="n">
        <x:v>0</x:v>
      </x:c>
    </x:row>
    <x:row r="28" ht="22" customHeight="1">
      <x:c r="A28" s="2" t="str">
        <x:v>P03</x:v>
      </x:c>
      <x:c r="B28" s="7" t="d">
        <x:v>2026-09-30T08:45:00.000Z</x:v>
      </x:c>
      <x:c r="C28" s="2" t="str">
        <x:v>デイ</x:v>
      </x:c>
      <x:c r="D28" s="25" t="n">
        <x:v>0</x:v>
      </x:c>
      <x:c r="E28" s="25" t="n">
        <x:v>0</x:v>
      </x:c>
      <x:c r="F28" s="25" t="n">
        <x:f>D28-E28</x:f>
        <x:v>0</x:v>
      </x:c>
      <x:c r="G28" s="25" t="n">
        <x:f>SUMIFS($F$14:$F$63,$A$14:$A$63,A28,$B$14:$B$63,"&lt;="&amp;B28)</x:f>
        <x:v>-54208</x:v>
      </x:c>
      <x:c r="H28" s="25" t="n">
        <x:v>0</x:v>
      </x:c>
      <x:c r="I28" s="25" t="n">
        <x:v>0</x:v>
      </x:c>
      <x:c r="J28" s="8" t="n">
        <x:v>0</x:v>
      </x:c>
      <x:c r="K28" s="8" t="n">
        <x:v>0</x:v>
      </x:c>
      <x:c r="L28" s="8" t="n">
        <x:v>0</x:v>
      </x:c>
      <x:c r="M28" s="2" t="str">
        <x:v>既知47場</x:v>
      </x:c>
      <x:c r="N28" s="9"/>
      <x:c r="O28" s="9" t="n">
        <x:v>0</x:v>
      </x:c>
      <x:c r="P28" s="25" t="n">
        <x:v>0</x:v>
      </x:c>
      <x:c r="Q28" s="25" t="n">
        <x:v>0</x:v>
      </x:c>
      <x:c r="R28" s="8" t="n">
        <x:v>0</x:v>
      </x:c>
      <x:c r="S28" s="25" t="n">
        <x:v>0</x:v>
      </x:c>
      <x:c r="T28" s="9" t="n">
        <x:v>0</x:v>
      </x:c>
    </x:row>
    <x:row r="29" ht="22" customHeight="1">
      <x:c r="A29" s="2" t="str">
        <x:v>P03</x:v>
      </x:c>
      <x:c r="B29" s="7" t="d">
        <x:v>2026-09-30T17:00:00.000Z</x:v>
      </x:c>
      <x:c r="C29" s="2" t="str">
        <x:v>ナイト</x:v>
      </x:c>
      <x:c r="D29" s="25" t="n">
        <x:v>0</x:v>
      </x:c>
      <x:c r="E29" s="25" t="n">
        <x:v>0</x:v>
      </x:c>
      <x:c r="F29" s="25" t="n">
        <x:f>D29-E29</x:f>
        <x:v>0</x:v>
      </x:c>
      <x:c r="G29" s="25" t="n">
        <x:f>SUMIFS($F$14:$F$63,$A$14:$A$63,A29,$B$14:$B$63,"&lt;="&amp;B29)</x:f>
        <x:v>-54208</x:v>
      </x:c>
      <x:c r="H29" s="25" t="n">
        <x:v>0</x:v>
      </x:c>
      <x:c r="I29" s="25" t="n">
        <x:v>0</x:v>
      </x:c>
      <x:c r="J29" s="8" t="n">
        <x:v>0</x:v>
      </x:c>
      <x:c r="K29" s="8" t="n">
        <x:v>0</x:v>
      </x:c>
      <x:c r="L29" s="8" t="n">
        <x:v>0</x:v>
      </x:c>
      <x:c r="M29" s="2" t="str">
        <x:v>既知47場</x:v>
      </x:c>
      <x:c r="N29" s="9"/>
      <x:c r="O29" s="9" t="n">
        <x:v>0</x:v>
      </x:c>
      <x:c r="P29" s="25" t="n">
        <x:v>0</x:v>
      </x:c>
      <x:c r="Q29" s="25" t="n">
        <x:v>0</x:v>
      </x:c>
      <x:c r="R29" s="8" t="n">
        <x:v>0</x:v>
      </x:c>
      <x:c r="S29" s="25" t="n">
        <x:v>0</x:v>
      </x:c>
      <x:c r="T29" s="9" t="n">
        <x:v>0</x:v>
      </x:c>
    </x:row>
    <x:row r="30" ht="22" customHeight="1">
      <x:c r="A30" s="2" t="str">
        <x:v>P03</x:v>
      </x:c>
      <x:c r="B30" s="7" t="d">
        <x:v>2026-10-01T08:45:00.000Z</x:v>
      </x:c>
      <x:c r="C30" s="2" t="str">
        <x:v>デイ</x:v>
      </x:c>
      <x:c r="D30" s="25" t="n">
        <x:v>0</x:v>
      </x:c>
      <x:c r="E30" s="25" t="n">
        <x:v>0</x:v>
      </x:c>
      <x:c r="F30" s="25" t="n">
        <x:f>D30-E30</x:f>
        <x:v>0</x:v>
      </x:c>
      <x:c r="G30" s="25" t="n">
        <x:f>SUMIFS($F$14:$F$63,$A$14:$A$63,A30,$B$14:$B$63,"&lt;="&amp;B30)</x:f>
        <x:v>-54208</x:v>
      </x:c>
      <x:c r="H30" s="25" t="n">
        <x:v>0</x:v>
      </x:c>
      <x:c r="I30" s="25" t="n">
        <x:v>0</x:v>
      </x:c>
      <x:c r="J30" s="8" t="n">
        <x:v>0</x:v>
      </x:c>
      <x:c r="K30" s="8" t="n">
        <x:v>0</x:v>
      </x:c>
      <x:c r="L30" s="8" t="n">
        <x:v>0</x:v>
      </x:c>
      <x:c r="M30" s="2" t="str">
        <x:v>既知47場</x:v>
      </x:c>
      <x:c r="N30" s="9"/>
      <x:c r="O30" s="9" t="n">
        <x:v>0</x:v>
      </x:c>
      <x:c r="P30" s="25" t="n">
        <x:v>0</x:v>
      </x:c>
      <x:c r="Q30" s="25" t="n">
        <x:v>0</x:v>
      </x:c>
      <x:c r="R30" s="8" t="n">
        <x:v>0</x:v>
      </x:c>
      <x:c r="S30" s="25" t="n">
        <x:v>0</x:v>
      </x:c>
      <x:c r="T30" s="9" t="n">
        <x:v>0</x:v>
      </x:c>
    </x:row>
    <x:row r="31" ht="22" customHeight="1">
      <x:c r="A31" s="2" t="str">
        <x:v>P03</x:v>
      </x:c>
      <x:c r="B31" s="7" t="d">
        <x:v>2026-10-01T17:00:00.000Z</x:v>
      </x:c>
      <x:c r="C31" s="2" t="str">
        <x:v>ナイト</x:v>
      </x:c>
      <x:c r="D31" s="25" t="n">
        <x:v>0</x:v>
      </x:c>
      <x:c r="E31" s="25" t="n">
        <x:v>0</x:v>
      </x:c>
      <x:c r="F31" s="25" t="n">
        <x:f>D31-E31</x:f>
        <x:v>0</x:v>
      </x:c>
      <x:c r="G31" s="25" t="n">
        <x:f>SUMIFS($F$14:$F$63,$A$14:$A$63,A31,$B$14:$B$63,"&lt;="&amp;B31)</x:f>
        <x:v>-54208</x:v>
      </x:c>
      <x:c r="H31" s="25" t="n">
        <x:v>0</x:v>
      </x:c>
      <x:c r="I31" s="25" t="n">
        <x:v>0</x:v>
      </x:c>
      <x:c r="J31" s="8" t="n">
        <x:v>0</x:v>
      </x:c>
      <x:c r="K31" s="8" t="n">
        <x:v>0</x:v>
      </x:c>
      <x:c r="L31" s="8" t="n">
        <x:v>0</x:v>
      </x:c>
      <x:c r="M31" s="2" t="str">
        <x:v>既知47場</x:v>
      </x:c>
      <x:c r="N31" s="9"/>
      <x:c r="O31" s="9" t="n">
        <x:v>0</x:v>
      </x:c>
      <x:c r="P31" s="25" t="n">
        <x:v>0</x:v>
      </x:c>
      <x:c r="Q31" s="25" t="n">
        <x:v>0</x:v>
      </x:c>
      <x:c r="R31" s="8" t="n">
        <x:v>0</x:v>
      </x:c>
      <x:c r="S31" s="25" t="n">
        <x:v>0</x:v>
      </x:c>
      <x:c r="T31" s="9" t="n">
        <x:v>0</x:v>
      </x:c>
    </x:row>
    <x:row r="32" ht="22" customHeight="1">
      <x:c r="A32" s="2" t="str">
        <x:v>P03</x:v>
      </x:c>
      <x:c r="B32" s="7" t="d">
        <x:v>2026-10-02T08:45:00.000Z</x:v>
      </x:c>
      <x:c r="C32" s="2" t="str">
        <x:v>デイ</x:v>
      </x:c>
      <x:c r="D32" s="25" t="n">
        <x:v>116404</x:v>
      </x:c>
      <x:c r="E32" s="25" t="n">
        <x:v>0</x:v>
      </x:c>
      <x:c r="F32" s="25" t="n">
        <x:f>D32-E32</x:f>
        <x:v>116404</x:v>
      </x:c>
      <x:c r="G32" s="25" t="n">
        <x:f>SUMIFS($F$14:$F$63,$A$14:$A$63,A32,$B$14:$B$63,"&lt;="&amp;B32)</x:f>
        <x:v>62196</x:v>
      </x:c>
      <x:c r="H32" s="25" t="n">
        <x:v>2596</x:v>
      </x:c>
      <x:c r="I32" s="25" t="n">
        <x:v>119000</x:v>
      </x:c>
      <x:c r="J32" s="8" t="n">
        <x:v>2</x:v>
      </x:c>
      <x:c r="K32" s="8" t="n">
        <x:v>32</x:v>
      </x:c>
      <x:c r="L32" s="8" t="n">
        <x:v>10</x:v>
      </x:c>
      <x:c r="M32" s="2" t="str">
        <x:v>既知47場</x:v>
      </x:c>
      <x:c r="N32" s="9" t="n">
        <x:v>26.383333333333333</x:v>
      </x:c>
      <x:c r="O32" s="9" t="n">
        <x:v>5.616666666666666</x:v>
      </x:c>
      <x:c r="P32" s="25" t="n">
        <x:v>113076</x:v>
      </x:c>
      <x:c r="Q32" s="25" t="n">
        <x:v>3328</x:v>
      </x:c>
      <x:c r="R32" s="8" t="n">
        <x:v>2</x:v>
      </x:c>
      <x:c r="S32" s="25" t="n">
        <x:v>66500</x:v>
      </x:c>
      <x:c r="T32" s="9" t="n">
        <x:v>9</x:v>
      </x:c>
    </x:row>
    <x:row r="33" ht="22" customHeight="1">
      <x:c r="A33" s="2" t="str">
        <x:v>P03</x:v>
      </x:c>
      <x:c r="B33" s="7" t="d">
        <x:v>2026-10-02T17:00:00.000Z</x:v>
      </x:c>
      <x:c r="C33" s="2" t="str">
        <x:v>ナイト</x:v>
      </x:c>
      <x:c r="D33" s="25" t="n">
        <x:v>0</x:v>
      </x:c>
      <x:c r="E33" s="25" t="n">
        <x:v>0</x:v>
      </x:c>
      <x:c r="F33" s="25" t="n">
        <x:f>D33-E33</x:f>
        <x:v>0</x:v>
      </x:c>
      <x:c r="G33" s="25" t="n">
        <x:f>SUMIFS($F$14:$F$63,$A$14:$A$63,A33,$B$14:$B$63,"&lt;="&amp;B33)</x:f>
        <x:v>62196</x:v>
      </x:c>
      <x:c r="H33" s="25" t="n">
        <x:v>0</x:v>
      </x:c>
      <x:c r="I33" s="25" t="n">
        <x:v>0</x:v>
      </x:c>
      <x:c r="J33" s="8" t="n">
        <x:v>0</x:v>
      </x:c>
      <x:c r="K33" s="8" t="n">
        <x:v>0</x:v>
      </x:c>
      <x:c r="L33" s="8" t="n">
        <x:v>0</x:v>
      </x:c>
      <x:c r="M33" s="2" t="str">
        <x:v>既知47場</x:v>
      </x:c>
      <x:c r="N33" s="9"/>
      <x:c r="O33" s="9" t="n">
        <x:v>0</x:v>
      </x:c>
      <x:c r="P33" s="25" t="n">
        <x:v>0</x:v>
      </x:c>
      <x:c r="Q33" s="25" t="n">
        <x:v>0</x:v>
      </x:c>
      <x:c r="R33" s="8" t="n">
        <x:v>0</x:v>
      </x:c>
      <x:c r="S33" s="25" t="n">
        <x:v>0</x:v>
      </x:c>
      <x:c r="T33" s="9" t="n">
        <x:v>0</x:v>
      </x:c>
    </x:row>
    <x:row r="34" ht="22" customHeight="1">
      <x:c r="A34" s="2" t="str">
        <x:v>P03</x:v>
      </x:c>
      <x:c r="B34" s="7" t="d">
        <x:v>2026-10-05T08:45:00.000Z</x:v>
      </x:c>
      <x:c r="C34" s="2" t="str">
        <x:v>デイ</x:v>
      </x:c>
      <x:c r="D34" s="25" t="n">
        <x:v>0</x:v>
      </x:c>
      <x:c r="E34" s="25" t="n">
        <x:v>0</x:v>
      </x:c>
      <x:c r="F34" s="25" t="n">
        <x:f>D34-E34</x:f>
        <x:v>0</x:v>
      </x:c>
      <x:c r="G34" s="25" t="n">
        <x:f>SUMIFS($F$14:$F$63,$A$14:$A$63,A34,$B$14:$B$63,"&lt;="&amp;B34)</x:f>
        <x:v>62196</x:v>
      </x:c>
      <x:c r="H34" s="25" t="n">
        <x:v>0</x:v>
      </x:c>
      <x:c r="I34" s="25" t="n">
        <x:v>0</x:v>
      </x:c>
      <x:c r="J34" s="8" t="n">
        <x:v>0</x:v>
      </x:c>
      <x:c r="K34" s="8" t="n">
        <x:v>0</x:v>
      </x:c>
      <x:c r="L34" s="8" t="n">
        <x:v>0</x:v>
      </x:c>
      <x:c r="M34" s="2" t="str">
        <x:v>既知47場</x:v>
      </x:c>
      <x:c r="N34" s="9"/>
      <x:c r="O34" s="9" t="n">
        <x:v>0</x:v>
      </x:c>
      <x:c r="P34" s="25" t="n">
        <x:v>0</x:v>
      </x:c>
      <x:c r="Q34" s="25" t="n">
        <x:v>0</x:v>
      </x:c>
      <x:c r="R34" s="8" t="n">
        <x:v>0</x:v>
      </x:c>
      <x:c r="S34" s="25" t="n">
        <x:v>0</x:v>
      </x:c>
      <x:c r="T34" s="9" t="n">
        <x:v>0</x:v>
      </x:c>
    </x:row>
    <x:row r="35" ht="22" customHeight="1">
      <x:c r="A35" s="2" t="str">
        <x:v>P03</x:v>
      </x:c>
      <x:c r="B35" s="7" t="d">
        <x:v>2026-10-05T17:00:00.000Z</x:v>
      </x:c>
      <x:c r="C35" s="2" t="str">
        <x:v>ナイト</x:v>
      </x:c>
      <x:c r="D35" s="25" t="n">
        <x:v>0</x:v>
      </x:c>
      <x:c r="E35" s="25" t="n">
        <x:v>0</x:v>
      </x:c>
      <x:c r="F35" s="25" t="n">
        <x:f>D35-E35</x:f>
        <x:v>0</x:v>
      </x:c>
      <x:c r="G35" s="25" t="n">
        <x:f>SUMIFS($F$14:$F$63,$A$14:$A$63,A35,$B$14:$B$63,"&lt;="&amp;B35)</x:f>
        <x:v>62196</x:v>
      </x:c>
      <x:c r="H35" s="25" t="n">
        <x:v>0</x:v>
      </x:c>
      <x:c r="I35" s="25" t="n">
        <x:v>0</x:v>
      </x:c>
      <x:c r="J35" s="8" t="n">
        <x:v>0</x:v>
      </x:c>
      <x:c r="K35" s="8" t="n">
        <x:v>0</x:v>
      </x:c>
      <x:c r="L35" s="8" t="n">
        <x:v>0</x:v>
      </x:c>
      <x:c r="M35" s="2" t="str">
        <x:v>既知47場</x:v>
      </x:c>
      <x:c r="N35" s="9"/>
      <x:c r="O35" s="9" t="n">
        <x:v>0</x:v>
      </x:c>
      <x:c r="P35" s="25" t="n">
        <x:v>0</x:v>
      </x:c>
      <x:c r="Q35" s="25" t="n">
        <x:v>0</x:v>
      </x:c>
      <x:c r="R35" s="8" t="n">
        <x:v>0</x:v>
      </x:c>
      <x:c r="S35" s="25" t="n">
        <x:v>0</x:v>
      </x:c>
      <x:c r="T35" s="9" t="n">
        <x:v>0</x:v>
      </x:c>
    </x:row>
    <x:row r="36" ht="22" customHeight="1">
      <x:c r="A36" s="2" t="str">
        <x:v>P03</x:v>
      </x:c>
      <x:c r="B36" s="7" t="d">
        <x:v>2026-10-06T08:45:00.000Z</x:v>
      </x:c>
      <x:c r="C36" s="2" t="str">
        <x:v>デイ</x:v>
      </x:c>
      <x:c r="D36" s="25" t="n">
        <x:v>0</x:v>
      </x:c>
      <x:c r="E36" s="25" t="n">
        <x:v>0</x:v>
      </x:c>
      <x:c r="F36" s="25" t="n">
        <x:f>D36-E36</x:f>
        <x:v>0</x:v>
      </x:c>
      <x:c r="G36" s="25" t="n">
        <x:f>SUMIFS($F$14:$F$63,$A$14:$A$63,A36,$B$14:$B$63,"&lt;="&amp;B36)</x:f>
        <x:v>62196</x:v>
      </x:c>
      <x:c r="H36" s="25" t="n">
        <x:v>0</x:v>
      </x:c>
      <x:c r="I36" s="25" t="n">
        <x:v>0</x:v>
      </x:c>
      <x:c r="J36" s="8" t="n">
        <x:v>0</x:v>
      </x:c>
      <x:c r="K36" s="8" t="n">
        <x:v>0</x:v>
      </x:c>
      <x:c r="L36" s="8" t="n">
        <x:v>0</x:v>
      </x:c>
      <x:c r="M36" s="2" t="str">
        <x:v>既知47場</x:v>
      </x:c>
      <x:c r="N36" s="9"/>
      <x:c r="O36" s="9" t="n">
        <x:v>0</x:v>
      </x:c>
      <x:c r="P36" s="25" t="n">
        <x:v>0</x:v>
      </x:c>
      <x:c r="Q36" s="25" t="n">
        <x:v>0</x:v>
      </x:c>
      <x:c r="R36" s="8" t="n">
        <x:v>0</x:v>
      </x:c>
      <x:c r="S36" s="25" t="n">
        <x:v>0</x:v>
      </x:c>
      <x:c r="T36" s="9" t="n">
        <x:v>0</x:v>
      </x:c>
    </x:row>
    <x:row r="37" ht="22" customHeight="1">
      <x:c r="A37" s="2" t="str">
        <x:v>P03</x:v>
      </x:c>
      <x:c r="B37" s="7" t="d">
        <x:v>2026-10-06T17:00:00.000Z</x:v>
      </x:c>
      <x:c r="C37" s="2" t="str">
        <x:v>ナイト</x:v>
      </x:c>
      <x:c r="D37" s="25" t="n">
        <x:v>0</x:v>
      </x:c>
      <x:c r="E37" s="25" t="n">
        <x:v>0</x:v>
      </x:c>
      <x:c r="F37" s="25" t="n">
        <x:f>D37-E37</x:f>
        <x:v>0</x:v>
      </x:c>
      <x:c r="G37" s="25" t="n">
        <x:f>SUMIFS($F$14:$F$63,$A$14:$A$63,A37,$B$14:$B$63,"&lt;="&amp;B37)</x:f>
        <x:v>62196</x:v>
      </x:c>
      <x:c r="H37" s="25" t="n">
        <x:v>0</x:v>
      </x:c>
      <x:c r="I37" s="25" t="n">
        <x:v>0</x:v>
      </x:c>
      <x:c r="J37" s="8" t="n">
        <x:v>0</x:v>
      </x:c>
      <x:c r="K37" s="8" t="n">
        <x:v>0</x:v>
      </x:c>
      <x:c r="L37" s="8" t="n">
        <x:v>0</x:v>
      </x:c>
      <x:c r="M37" s="2" t="str">
        <x:v>既知47場</x:v>
      </x:c>
      <x:c r="N37" s="9"/>
      <x:c r="O37" s="9" t="n">
        <x:v>0</x:v>
      </x:c>
      <x:c r="P37" s="25" t="n">
        <x:v>0</x:v>
      </x:c>
      <x:c r="Q37" s="25" t="n">
        <x:v>0</x:v>
      </x:c>
      <x:c r="R37" s="8" t="n">
        <x:v>0</x:v>
      </x:c>
      <x:c r="S37" s="25" t="n">
        <x:v>0</x:v>
      </x:c>
      <x:c r="T37" s="9" t="n">
        <x:v>0</x:v>
      </x:c>
    </x:row>
    <x:row r="38" ht="22" customHeight="1">
      <x:c r="A38" s="2" t="str">
        <x:v>P03</x:v>
      </x:c>
      <x:c r="B38" s="7" t="d">
        <x:v>2026-10-07T08:45:00.000Z</x:v>
      </x:c>
      <x:c r="C38" s="2" t="str">
        <x:v>デイ</x:v>
      </x:c>
      <x:c r="D38" s="25" t="n">
        <x:v>0</x:v>
      </x:c>
      <x:c r="E38" s="25" t="n">
        <x:v>0</x:v>
      </x:c>
      <x:c r="F38" s="25" t="n">
        <x:f>D38-E38</x:f>
        <x:v>0</x:v>
      </x:c>
      <x:c r="G38" s="25" t="n">
        <x:f>SUMIFS($F$14:$F$63,$A$14:$A$63,A38,$B$14:$B$63,"&lt;="&amp;B38)</x:f>
        <x:v>62196</x:v>
      </x:c>
      <x:c r="H38" s="25" t="n">
        <x:v>0</x:v>
      </x:c>
      <x:c r="I38" s="25" t="n">
        <x:v>0</x:v>
      </x:c>
      <x:c r="J38" s="8" t="n">
        <x:v>0</x:v>
      </x:c>
      <x:c r="K38" s="8" t="n">
        <x:v>0</x:v>
      </x:c>
      <x:c r="L38" s="8" t="n">
        <x:v>0</x:v>
      </x:c>
      <x:c r="M38" s="2" t="str">
        <x:v>既知47場</x:v>
      </x:c>
      <x:c r="N38" s="9"/>
      <x:c r="O38" s="9" t="n">
        <x:v>0</x:v>
      </x:c>
      <x:c r="P38" s="25" t="n">
        <x:v>0</x:v>
      </x:c>
      <x:c r="Q38" s="25" t="n">
        <x:v>0</x:v>
      </x:c>
      <x:c r="R38" s="8" t="n">
        <x:v>0</x:v>
      </x:c>
      <x:c r="S38" s="25" t="n">
        <x:v>0</x:v>
      </x:c>
      <x:c r="T38" s="9" t="n">
        <x:v>0</x:v>
      </x:c>
    </x:row>
    <x:row r="39" ht="22" customHeight="1">
      <x:c r="A39" s="2" t="str">
        <x:v>P03</x:v>
      </x:c>
      <x:c r="B39" s="7" t="d">
        <x:v>2026-10-07T17:00:00.000Z</x:v>
      </x:c>
      <x:c r="C39" s="2" t="str">
        <x:v>ナイト</x:v>
      </x:c>
      <x:c r="D39" s="25" t="n">
        <x:v>0</x:v>
      </x:c>
      <x:c r="E39" s="25" t="n">
        <x:v>0</x:v>
      </x:c>
      <x:c r="F39" s="25" t="n">
        <x:f>D39-E39</x:f>
        <x:v>0</x:v>
      </x:c>
      <x:c r="G39" s="25" t="n">
        <x:f>SUMIFS($F$14:$F$63,$A$14:$A$63,A39,$B$14:$B$63,"&lt;="&amp;B39)</x:f>
        <x:v>62196</x:v>
      </x:c>
      <x:c r="H39" s="25" t="n">
        <x:v>0</x:v>
      </x:c>
      <x:c r="I39" s="25" t="n">
        <x:v>0</x:v>
      </x:c>
      <x:c r="J39" s="8" t="n">
        <x:v>0</x:v>
      </x:c>
      <x:c r="K39" s="8" t="n">
        <x:v>0</x:v>
      </x:c>
      <x:c r="L39" s="8" t="n">
        <x:v>0</x:v>
      </x:c>
      <x:c r="M39" s="2" t="str">
        <x:v>既知47場</x:v>
      </x:c>
      <x:c r="N39" s="9"/>
      <x:c r="O39" s="9" t="n">
        <x:v>0</x:v>
      </x:c>
      <x:c r="P39" s="25" t="n">
        <x:v>0</x:v>
      </x:c>
      <x:c r="Q39" s="25" t="n">
        <x:v>0</x:v>
      </x:c>
      <x:c r="R39" s="8" t="n">
        <x:v>0</x:v>
      </x:c>
      <x:c r="S39" s="25" t="n">
        <x:v>0</x:v>
      </x:c>
      <x:c r="T39" s="9" t="n">
        <x:v>0</x:v>
      </x:c>
    </x:row>
    <x:row r="40" ht="22" customHeight="1">
      <x:c r="A40" s="2" t="str">
        <x:v>P03</x:v>
      </x:c>
      <x:c r="B40" s="7" t="d">
        <x:v>2026-10-08T08:45:00.000Z</x:v>
      </x:c>
      <x:c r="C40" s="2" t="str">
        <x:v>デイ</x:v>
      </x:c>
      <x:c r="D40" s="25" t="n">
        <x:v>5702</x:v>
      </x:c>
      <x:c r="E40" s="25" t="n">
        <x:v>0</x:v>
      </x:c>
      <x:c r="F40" s="25" t="n">
        <x:f>D40-E40</x:f>
        <x:v>5702</x:v>
      </x:c>
      <x:c r="G40" s="25" t="n">
        <x:f>SUMIFS($F$14:$F$63,$A$14:$A$63,A40,$B$14:$B$63,"&lt;="&amp;B40)</x:f>
        <x:v>67898</x:v>
      </x:c>
      <x:c r="H40" s="25" t="n">
        <x:v>1298</x:v>
      </x:c>
      <x:c r="I40" s="25" t="n">
        <x:v>7000</x:v>
      </x:c>
      <x:c r="J40" s="8" t="n">
        <x:v>1</x:v>
      </x:c>
      <x:c r="K40" s="8" t="n">
        <x:v>16</x:v>
      </x:c>
      <x:c r="L40" s="8" t="n">
        <x:v>10</x:v>
      </x:c>
      <x:c r="M40" s="2" t="str">
        <x:v>既知47場</x:v>
      </x:c>
      <x:c r="N40" s="9" t="n">
        <x:v>140.41666666666666</x:v>
      </x:c>
      <x:c r="O40" s="9" t="n">
        <x:v>0.9666666666666667</x:v>
      </x:c>
      <x:c r="P40" s="25" t="n">
        <x:v>11538</x:v>
      </x:c>
      <x:c r="Q40" s="25" t="n">
        <x:v>-5836</x:v>
      </x:c>
      <x:c r="R40" s="8" t="n">
        <x:v>1</x:v>
      </x:c>
      <x:c r="S40" s="25" t="n">
        <x:v>741500</x:v>
      </x:c>
      <x:c r="T40" s="9" t="n">
        <x:v>6</x:v>
      </x:c>
    </x:row>
    <x:row r="41" ht="22" customHeight="1">
      <x:c r="A41" s="2" t="str">
        <x:v>P03</x:v>
      </x:c>
      <x:c r="B41" s="7" t="d">
        <x:v>2026-10-08T17:00:00.000Z</x:v>
      </x:c>
      <x:c r="C41" s="2" t="str">
        <x:v>ナイト</x:v>
      </x:c>
      <x:c r="D41" s="25" t="n">
        <x:v>0</x:v>
      </x:c>
      <x:c r="E41" s="25" t="n">
        <x:v>0</x:v>
      </x:c>
      <x:c r="F41" s="25" t="n">
        <x:f>D41-E41</x:f>
        <x:v>0</x:v>
      </x:c>
      <x:c r="G41" s="25" t="n">
        <x:f>SUMIFS($F$14:$F$63,$A$14:$A$63,A41,$B$14:$B$63,"&lt;="&amp;B41)</x:f>
        <x:v>67898</x:v>
      </x:c>
      <x:c r="H41" s="25" t="n">
        <x:v>0</x:v>
      </x:c>
      <x:c r="I41" s="25" t="n">
        <x:v>0</x:v>
      </x:c>
      <x:c r="J41" s="8" t="n">
        <x:v>0</x:v>
      </x:c>
      <x:c r="K41" s="8" t="n">
        <x:v>0</x:v>
      </x:c>
      <x:c r="L41" s="8" t="n">
        <x:v>0</x:v>
      </x:c>
      <x:c r="M41" s="2" t="str">
        <x:v>既知47場</x:v>
      </x:c>
      <x:c r="N41" s="9"/>
      <x:c r="O41" s="9" t="n">
        <x:v>0</x:v>
      </x:c>
      <x:c r="P41" s="25" t="n">
        <x:v>0</x:v>
      </x:c>
      <x:c r="Q41" s="25" t="n">
        <x:v>0</x:v>
      </x:c>
      <x:c r="R41" s="8" t="n">
        <x:v>0</x:v>
      </x:c>
      <x:c r="S41" s="25" t="n">
        <x:v>0</x:v>
      </x:c>
      <x:c r="T41" s="9" t="n">
        <x:v>0</x:v>
      </x:c>
    </x:row>
    <x:row r="42" ht="22" customHeight="1">
      <x:c r="A42" s="2" t="str">
        <x:v>P03</x:v>
      </x:c>
      <x:c r="B42" s="7" t="d">
        <x:v>2026-10-09T08:45:00.000Z</x:v>
      </x:c>
      <x:c r="C42" s="2" t="str">
        <x:v>デイ</x:v>
      </x:c>
      <x:c r="D42" s="25" t="n">
        <x:v>0</x:v>
      </x:c>
      <x:c r="E42" s="25" t="n">
        <x:v>26298</x:v>
      </x:c>
      <x:c r="F42" s="25" t="n">
        <x:f>D42-E42</x:f>
        <x:v>-26298</x:v>
      </x:c>
      <x:c r="G42" s="25" t="n">
        <x:f>SUMIFS($F$14:$F$63,$A$14:$A$63,A42,$B$14:$B$63,"&lt;="&amp;B42)</x:f>
        <x:v>41600</x:v>
      </x:c>
      <x:c r="H42" s="25" t="n">
        <x:v>1298</x:v>
      </x:c>
      <x:c r="I42" s="25" t="n">
        <x:v>-25000</x:v>
      </x:c>
      <x:c r="J42" s="8" t="n">
        <x:v>1</x:v>
      </x:c>
      <x:c r="K42" s="8" t="n">
        <x:v>16</x:v>
      </x:c>
      <x:c r="L42" s="8" t="n">
        <x:v>10</x:v>
      </x:c>
      <x:c r="M42" s="2" t="str">
        <x:v>既知47場</x:v>
      </x:c>
      <x:c r="N42" s="9" t="n">
        <x:v>68.98333333333333</x:v>
      </x:c>
      <x:c r="O42" s="9" t="n">
        <x:v>2.4</x:v>
      </x:c>
      <x:c r="P42" s="25" t="n">
        <x:v>-30462</x:v>
      </x:c>
      <x:c r="Q42" s="25" t="n">
        <x:v>4164</x:v>
      </x:c>
      <x:c r="R42" s="8" t="n">
        <x:v>1</x:v>
      </x:c>
      <x:c r="S42" s="25" t="n">
        <x:v>240500</x:v>
      </x:c>
      <x:c r="T42" s="9" t="n">
        <x:v>5</x:v>
      </x:c>
    </x:row>
    <x:row r="43" ht="22" customHeight="1">
      <x:c r="A43" s="2" t="str">
        <x:v>P03</x:v>
      </x:c>
      <x:c r="B43" s="7" t="d">
        <x:v>2026-10-09T17:00:00.000Z</x:v>
      </x:c>
      <x:c r="C43" s="2" t="str">
        <x:v>ナイト</x:v>
      </x:c>
      <x:c r="D43" s="25" t="n">
        <x:v>0</x:v>
      </x:c>
      <x:c r="E43" s="25" t="n">
        <x:v>0</x:v>
      </x:c>
      <x:c r="F43" s="25" t="n">
        <x:f>D43-E43</x:f>
        <x:v>0</x:v>
      </x:c>
      <x:c r="G43" s="25" t="n">
        <x:f>SUMIFS($F$14:$F$63,$A$14:$A$63,A43,$B$14:$B$63,"&lt;="&amp;B43)</x:f>
        <x:v>41600</x:v>
      </x:c>
      <x:c r="H43" s="25" t="n">
        <x:v>0</x:v>
      </x:c>
      <x:c r="I43" s="25" t="n">
        <x:v>0</x:v>
      </x:c>
      <x:c r="J43" s="8" t="n">
        <x:v>0</x:v>
      </x:c>
      <x:c r="K43" s="8" t="n">
        <x:v>0</x:v>
      </x:c>
      <x:c r="L43" s="8" t="n">
        <x:v>0</x:v>
      </x:c>
      <x:c r="M43" s="2" t="str">
        <x:v>既知47場</x:v>
      </x:c>
      <x:c r="N43" s="9"/>
      <x:c r="O43" s="9" t="n">
        <x:v>0</x:v>
      </x:c>
      <x:c r="P43" s="25" t="n">
        <x:v>0</x:v>
      </x:c>
      <x:c r="Q43" s="25" t="n">
        <x:v>0</x:v>
      </x:c>
      <x:c r="R43" s="8" t="n">
        <x:v>0</x:v>
      </x:c>
      <x:c r="S43" s="25" t="n">
        <x:v>0</x:v>
      </x:c>
      <x:c r="T43" s="9" t="n">
        <x:v>0</x:v>
      </x:c>
    </x:row>
    <x:row r="44" ht="22" customHeight="1">
      <x:c r="A44" s="2" t="str">
        <x:v>P03</x:v>
      </x:c>
      <x:c r="B44" s="7" t="d">
        <x:v>2026-10-12T08:45:00.000Z</x:v>
      </x:c>
      <x:c r="C44" s="2" t="str">
        <x:v>デイ</x:v>
      </x:c>
      <x:c r="D44" s="25" t="n">
        <x:v>0</x:v>
      </x:c>
      <x:c r="E44" s="25" t="n">
        <x:v>0</x:v>
      </x:c>
      <x:c r="F44" s="25" t="n">
        <x:f>D44-E44</x:f>
        <x:v>0</x:v>
      </x:c>
      <x:c r="G44" s="25" t="n">
        <x:f>SUMIFS($F$14:$F$63,$A$14:$A$63,A44,$B$14:$B$63,"&lt;="&amp;B44)</x:f>
        <x:v>41600</x:v>
      </x:c>
      <x:c r="H44" s="25" t="n">
        <x:v>0</x:v>
      </x:c>
      <x:c r="I44" s="25" t="n">
        <x:v>0</x:v>
      </x:c>
      <x:c r="J44" s="8" t="n">
        <x:v>0</x:v>
      </x:c>
      <x:c r="K44" s="8" t="n">
        <x:v>0</x:v>
      </x:c>
      <x:c r="L44" s="8" t="n">
        <x:v>0</x:v>
      </x:c>
      <x:c r="M44" s="2" t="str">
        <x:v>既知47場</x:v>
      </x:c>
      <x:c r="N44" s="9"/>
      <x:c r="O44" s="9" t="n">
        <x:v>0</x:v>
      </x:c>
      <x:c r="P44" s="25" t="n">
        <x:v>0</x:v>
      </x:c>
      <x:c r="Q44" s="25" t="n">
        <x:v>0</x:v>
      </x:c>
      <x:c r="R44" s="8" t="n">
        <x:v>0</x:v>
      </x:c>
      <x:c r="S44" s="25" t="n">
        <x:v>0</x:v>
      </x:c>
      <x:c r="T44" s="9" t="n">
        <x:v>0</x:v>
      </x:c>
    </x:row>
    <x:row r="45" ht="22" customHeight="1">
      <x:c r="A45" s="2" t="str">
        <x:v>P03</x:v>
      </x:c>
      <x:c r="B45" s="7" t="d">
        <x:v>2026-10-12T17:00:00.000Z</x:v>
      </x:c>
      <x:c r="C45" s="2" t="str">
        <x:v>ナイト</x:v>
      </x:c>
      <x:c r="D45" s="25" t="n">
        <x:v>0</x:v>
      </x:c>
      <x:c r="E45" s="25" t="n">
        <x:v>0</x:v>
      </x:c>
      <x:c r="F45" s="25" t="n">
        <x:f>D45-E45</x:f>
        <x:v>0</x:v>
      </x:c>
      <x:c r="G45" s="25" t="n">
        <x:f>SUMIFS($F$14:$F$63,$A$14:$A$63,A45,$B$14:$B$63,"&lt;="&amp;B45)</x:f>
        <x:v>41600</x:v>
      </x:c>
      <x:c r="H45" s="25" t="n">
        <x:v>0</x:v>
      </x:c>
      <x:c r="I45" s="25" t="n">
        <x:v>0</x:v>
      </x:c>
      <x:c r="J45" s="8" t="n">
        <x:v>0</x:v>
      </x:c>
      <x:c r="K45" s="8" t="n">
        <x:v>0</x:v>
      </x:c>
      <x:c r="L45" s="8" t="n">
        <x:v>0</x:v>
      </x:c>
      <x:c r="M45" s="2" t="str">
        <x:v>既知47場</x:v>
      </x:c>
      <x:c r="N45" s="9"/>
      <x:c r="O45" s="9" t="n">
        <x:v>0</x:v>
      </x:c>
      <x:c r="P45" s="25" t="n">
        <x:v>0</x:v>
      </x:c>
      <x:c r="Q45" s="25" t="n">
        <x:v>0</x:v>
      </x:c>
      <x:c r="R45" s="8" t="n">
        <x:v>0</x:v>
      </x:c>
      <x:c r="S45" s="25" t="n">
        <x:v>0</x:v>
      </x:c>
      <x:c r="T45" s="9" t="n">
        <x:v>0</x:v>
      </x:c>
    </x:row>
    <x:row r="46" ht="22" customHeight="1">
      <x:c r="A46" s="2" t="str">
        <x:v>P03</x:v>
      </x:c>
      <x:c r="B46" s="7" t="d">
        <x:v>2026-10-13T08:45:00.000Z</x:v>
      </x:c>
      <x:c r="C46" s="2" t="str">
        <x:v>デイ</x:v>
      </x:c>
      <x:c r="D46" s="25" t="n">
        <x:v>0</x:v>
      </x:c>
      <x:c r="E46" s="25" t="n">
        <x:v>0</x:v>
      </x:c>
      <x:c r="F46" s="25" t="n">
        <x:f>D46-E46</x:f>
        <x:v>0</x:v>
      </x:c>
      <x:c r="G46" s="25" t="n">
        <x:f>SUMIFS($F$14:$F$63,$A$14:$A$63,A46,$B$14:$B$63,"&lt;="&amp;B46)</x:f>
        <x:v>41600</x:v>
      </x:c>
      <x:c r="H46" s="25" t="n">
        <x:v>0</x:v>
      </x:c>
      <x:c r="I46" s="25" t="n">
        <x:v>0</x:v>
      </x:c>
      <x:c r="J46" s="8" t="n">
        <x:v>0</x:v>
      </x:c>
      <x:c r="K46" s="8" t="n">
        <x:v>0</x:v>
      </x:c>
      <x:c r="L46" s="8" t="n">
        <x:v>0</x:v>
      </x:c>
      <x:c r="M46" s="2" t="str">
        <x:v>既知47場</x:v>
      </x:c>
      <x:c r="N46" s="9"/>
      <x:c r="O46" s="9" t="n">
        <x:v>0</x:v>
      </x:c>
      <x:c r="P46" s="25" t="n">
        <x:v>0</x:v>
      </x:c>
      <x:c r="Q46" s="25" t="n">
        <x:v>0</x:v>
      </x:c>
      <x:c r="R46" s="8" t="n">
        <x:v>0</x:v>
      </x:c>
      <x:c r="S46" s="25" t="n">
        <x:v>0</x:v>
      </x:c>
      <x:c r="T46" s="9" t="n">
        <x:v>0</x:v>
      </x:c>
    </x:row>
    <x:row r="47" ht="22" customHeight="1">
      <x:c r="A47" s="2" t="str">
        <x:v>P03</x:v>
      </x:c>
      <x:c r="B47" s="7" t="d">
        <x:v>2026-10-13T17:00:00.000Z</x:v>
      </x:c>
      <x:c r="C47" s="2" t="str">
        <x:v>ナイト</x:v>
      </x:c>
      <x:c r="D47" s="25" t="n">
        <x:v>0</x:v>
      </x:c>
      <x:c r="E47" s="25" t="n">
        <x:v>0</x:v>
      </x:c>
      <x:c r="F47" s="25" t="n">
        <x:f>D47-E47</x:f>
        <x:v>0</x:v>
      </x:c>
      <x:c r="G47" s="25" t="n">
        <x:f>SUMIFS($F$14:$F$63,$A$14:$A$63,A47,$B$14:$B$63,"&lt;="&amp;B47)</x:f>
        <x:v>41600</x:v>
      </x:c>
      <x:c r="H47" s="25" t="n">
        <x:v>0</x:v>
      </x:c>
      <x:c r="I47" s="25" t="n">
        <x:v>0</x:v>
      </x:c>
      <x:c r="J47" s="8" t="n">
        <x:v>0</x:v>
      </x:c>
      <x:c r="K47" s="8" t="n">
        <x:v>0</x:v>
      </x:c>
      <x:c r="L47" s="8" t="n">
        <x:v>0</x:v>
      </x:c>
      <x:c r="M47" s="2" t="str">
        <x:v>既知47場</x:v>
      </x:c>
      <x:c r="N47" s="9"/>
      <x:c r="O47" s="9" t="n">
        <x:v>0</x:v>
      </x:c>
      <x:c r="P47" s="25" t="n">
        <x:v>0</x:v>
      </x:c>
      <x:c r="Q47" s="25" t="n">
        <x:v>0</x:v>
      </x:c>
      <x:c r="R47" s="8" t="n">
        <x:v>0</x:v>
      </x:c>
      <x:c r="S47" s="25" t="n">
        <x:v>0</x:v>
      </x:c>
      <x:c r="T47" s="9" t="n">
        <x:v>0</x:v>
      </x:c>
    </x:row>
    <x:row r="48" ht="22" customHeight="1">
      <x:c r="A48" s="2" t="str">
        <x:v>P03</x:v>
      </x:c>
      <x:c r="B48" s="7" t="d">
        <x:v>2026-10-14T08:45:00.000Z</x:v>
      </x:c>
      <x:c r="C48" s="2" t="str">
        <x:v>デイ</x:v>
      </x:c>
      <x:c r="D48" s="25" t="n">
        <x:v>0</x:v>
      </x:c>
      <x:c r="E48" s="25" t="n">
        <x:v>14298</x:v>
      </x:c>
      <x:c r="F48" s="25" t="n">
        <x:f>D48-E48</x:f>
        <x:v>-14298</x:v>
      </x:c>
      <x:c r="G48" s="25" t="n">
        <x:f>SUMIFS($F$14:$F$63,$A$14:$A$63,A48,$B$14:$B$63,"&lt;="&amp;B48)</x:f>
        <x:v>27302</x:v>
      </x:c>
      <x:c r="H48" s="25" t="n">
        <x:v>1298</x:v>
      </x:c>
      <x:c r="I48" s="25" t="n">
        <x:v>-13000</x:v>
      </x:c>
      <x:c r="J48" s="8" t="n">
        <x:v>1</x:v>
      </x:c>
      <x:c r="K48" s="8" t="n">
        <x:v>16</x:v>
      </x:c>
      <x:c r="L48" s="8" t="n">
        <x:v>10</x:v>
      </x:c>
      <x:c r="M48" s="2" t="str">
        <x:v>既知47場</x:v>
      </x:c>
      <x:c r="N48" s="9" t="n">
        <x:v>91.36666666666666</x:v>
      </x:c>
      <x:c r="O48" s="9" t="n">
        <x:v>0.4666666666666667</x:v>
      </x:c>
      <x:c r="P48" s="25" t="n">
        <x:v>-18462</x:v>
      </x:c>
      <x:c r="Q48" s="25" t="n">
        <x:v>4164</x:v>
      </x:c>
      <x:c r="R48" s="8" t="n">
        <x:v>1</x:v>
      </x:c>
      <x:c r="S48" s="25" t="n">
        <x:v>159500</x:v>
      </x:c>
      <x:c r="T48" s="9" t="n">
        <x:v>3</x:v>
      </x:c>
    </x:row>
    <x:row r="49" ht="22" customHeight="1">
      <x:c r="A49" s="2" t="str">
        <x:v>P03</x:v>
      </x:c>
      <x:c r="B49" s="7" t="d">
        <x:v>2026-10-14T17:00:00.000Z</x:v>
      </x:c>
      <x:c r="C49" s="2" t="str">
        <x:v>ナイト</x:v>
      </x:c>
      <x:c r="D49" s="25" t="n">
        <x:v>0</x:v>
      </x:c>
      <x:c r="E49" s="25" t="n">
        <x:v>0</x:v>
      </x:c>
      <x:c r="F49" s="25" t="n">
        <x:f>D49-E49</x:f>
        <x:v>0</x:v>
      </x:c>
      <x:c r="G49" s="25" t="n">
        <x:f>SUMIFS($F$14:$F$63,$A$14:$A$63,A49,$B$14:$B$63,"&lt;="&amp;B49)</x:f>
        <x:v>27302</x:v>
      </x:c>
      <x:c r="H49" s="25" t="n">
        <x:v>0</x:v>
      </x:c>
      <x:c r="I49" s="25" t="n">
        <x:v>0</x:v>
      </x:c>
      <x:c r="J49" s="8" t="n">
        <x:v>0</x:v>
      </x:c>
      <x:c r="K49" s="8" t="n">
        <x:v>0</x:v>
      </x:c>
      <x:c r="L49" s="8" t="n">
        <x:v>0</x:v>
      </x:c>
      <x:c r="M49" s="2" t="str">
        <x:v>既知47場</x:v>
      </x:c>
      <x:c r="N49" s="9"/>
      <x:c r="O49" s="9" t="n">
        <x:v>0</x:v>
      </x:c>
      <x:c r="P49" s="25" t="n">
        <x:v>0</x:v>
      </x:c>
      <x:c r="Q49" s="25" t="n">
        <x:v>0</x:v>
      </x:c>
      <x:c r="R49" s="8" t="n">
        <x:v>0</x:v>
      </x:c>
      <x:c r="S49" s="25" t="n">
        <x:v>0</x:v>
      </x:c>
      <x:c r="T49" s="9" t="n">
        <x:v>0</x:v>
      </x:c>
    </x:row>
    <x:row r="50" ht="22" customHeight="1">
      <x:c r="A50" s="2" t="str">
        <x:v>P03</x:v>
      </x:c>
      <x:c r="B50" s="7" t="d">
        <x:v>2026-10-15T08:45:00.000Z</x:v>
      </x:c>
      <x:c r="C50" s="2" t="str">
        <x:v>デイ</x:v>
      </x:c>
      <x:c r="D50" s="25" t="n">
        <x:v>24948</x:v>
      </x:c>
      <x:c r="E50" s="25" t="n">
        <x:v>0</x:v>
      </x:c>
      <x:c r="F50" s="25" t="n">
        <x:f>D50-E50</x:f>
        <x:v>24948</x:v>
      </x:c>
      <x:c r="G50" s="25" t="n">
        <x:f>SUMIFS($F$14:$F$63,$A$14:$A$63,A50,$B$14:$B$63,"&lt;="&amp;B50)</x:f>
        <x:v>52250</x:v>
      </x:c>
      <x:c r="H50" s="25" t="n">
        <x:v>1052</x:v>
      </x:c>
      <x:c r="I50" s="25" t="n">
        <x:v>26000</x:v>
      </x:c>
      <x:c r="J50" s="8" t="n">
        <x:v>1</x:v>
      </x:c>
      <x:c r="K50" s="8" t="n">
        <x:v>13</x:v>
      </x:c>
      <x:c r="L50" s="8" t="n">
        <x:v>8</x:v>
      </x:c>
      <x:c r="M50" s="2" t="str">
        <x:v>既知47場</x:v>
      </x:c>
      <x:c r="N50" s="9" t="n">
        <x:v>143.28333333333333</x:v>
      </x:c>
      <x:c r="O50" s="9" t="n">
        <x:v>6.166666666666667</x:v>
      </x:c>
      <x:c r="P50" s="25" t="n">
        <x:v>29616</x:v>
      </x:c>
      <x:c r="Q50" s="25" t="n">
        <x:v>-4668</x:v>
      </x:c>
      <x:c r="R50" s="8" t="n">
        <x:v>1</x:v>
      </x:c>
      <x:c r="S50" s="25" t="n">
        <x:v>383500</x:v>
      </x:c>
      <x:c r="T50" s="9" t="n">
        <x:v>1</x:v>
      </x:c>
    </x:row>
    <x:row r="51" ht="22" customHeight="1">
      <x:c r="A51" s="2" t="str">
        <x:v>P03</x:v>
      </x:c>
      <x:c r="B51" s="7" t="d">
        <x:v>2026-10-15T17:00:00.000Z</x:v>
      </x:c>
      <x:c r="C51" s="2" t="str">
        <x:v>ナイト</x:v>
      </x:c>
      <x:c r="D51" s="25" t="n">
        <x:v>0</x:v>
      </x:c>
      <x:c r="E51" s="25" t="n">
        <x:v>0</x:v>
      </x:c>
      <x:c r="F51" s="25" t="n">
        <x:f>D51-E51</x:f>
        <x:v>0</x:v>
      </x:c>
      <x:c r="G51" s="25" t="n">
        <x:f>SUMIFS($F$14:$F$63,$A$14:$A$63,A51,$B$14:$B$63,"&lt;="&amp;B51)</x:f>
        <x:v>52250</x:v>
      </x:c>
      <x:c r="H51" s="25" t="n">
        <x:v>0</x:v>
      </x:c>
      <x:c r="I51" s="25" t="n">
        <x:v>0</x:v>
      </x:c>
      <x:c r="J51" s="8" t="n">
        <x:v>0</x:v>
      </x:c>
      <x:c r="K51" s="8" t="n">
        <x:v>0</x:v>
      </x:c>
      <x:c r="L51" s="8" t="n">
        <x:v>0</x:v>
      </x:c>
      <x:c r="M51" s="2" t="str">
        <x:v>既知47場</x:v>
      </x:c>
      <x:c r="N51" s="9"/>
      <x:c r="O51" s="9" t="n">
        <x:v>0</x:v>
      </x:c>
      <x:c r="P51" s="25" t="n">
        <x:v>0</x:v>
      </x:c>
      <x:c r="Q51" s="25" t="n">
        <x:v>0</x:v>
      </x:c>
      <x:c r="R51" s="8" t="n">
        <x:v>0</x:v>
      </x:c>
      <x:c r="S51" s="25" t="n">
        <x:v>0</x:v>
      </x:c>
      <x:c r="T51" s="9" t="n">
        <x:v>0</x:v>
      </x:c>
    </x:row>
    <x:row r="52" ht="22" customHeight="1">
      <x:c r="A52" s="2" t="str">
        <x:v>P03</x:v>
      </x:c>
      <x:c r="B52" s="7" t="d">
        <x:v>2026-10-16T08:45:00.000Z</x:v>
      </x:c>
      <x:c r="C52" s="2" t="str">
        <x:v>デイ</x:v>
      </x:c>
      <x:c r="D52" s="25" t="n">
        <x:v>0</x:v>
      </x:c>
      <x:c r="E52" s="25" t="n">
        <x:v>114052</x:v>
      </x:c>
      <x:c r="F52" s="25" t="n">
        <x:f>D52-E52</x:f>
        <x:v>-114052</x:v>
      </x:c>
      <x:c r="G52" s="25" t="n">
        <x:f>SUMIFS($F$14:$F$63,$A$14:$A$63,A52,$B$14:$B$63,"&lt;="&amp;B52)</x:f>
        <x:v>-61802</x:v>
      </x:c>
      <x:c r="H52" s="25" t="n">
        <x:v>1052</x:v>
      </x:c>
      <x:c r="I52" s="25" t="n">
        <x:v>-113000</x:v>
      </x:c>
      <x:c r="J52" s="8" t="n">
        <x:v>1</x:v>
      </x:c>
      <x:c r="K52" s="8" t="n">
        <x:v>13</x:v>
      </x:c>
      <x:c r="L52" s="8" t="n">
        <x:v>8</x:v>
      </x:c>
      <x:c r="M52" s="2" t="str">
        <x:v>既知47場</x:v>
      </x:c>
      <x:c r="N52" s="9" t="n">
        <x:v>22.3</x:v>
      </x:c>
      <x:c r="O52" s="9" t="n">
        <x:v>14.35</x:v>
      </x:c>
      <x:c r="P52" s="25" t="n">
        <x:v>-45384</x:v>
      </x:c>
      <x:c r="Q52" s="25" t="n">
        <x:v>-68668</x:v>
      </x:c>
      <x:c r="R52" s="8" t="n">
        <x:v>1</x:v>
      </x:c>
      <x:c r="S52" s="25" t="n">
        <x:v>126000</x:v>
      </x:c>
      <x:c r="T52" s="9" t="n">
        <x:v>3</x:v>
      </x:c>
    </x:row>
    <x:row r="53" ht="22" customHeight="1">
      <x:c r="A53" s="2" t="str">
        <x:v>P03</x:v>
      </x:c>
      <x:c r="B53" s="7" t="d">
        <x:v>2026-10-16T17:00:00.000Z</x:v>
      </x:c>
      <x:c r="C53" s="2" t="str">
        <x:v>ナイト</x:v>
      </x:c>
      <x:c r="D53" s="25" t="n">
        <x:v>0</x:v>
      </x:c>
      <x:c r="E53" s="25" t="n">
        <x:v>0</x:v>
      </x:c>
      <x:c r="F53" s="25" t="n">
        <x:f>D53-E53</x:f>
        <x:v>0</x:v>
      </x:c>
      <x:c r="G53" s="25" t="n">
        <x:f>SUMIFS($F$14:$F$63,$A$14:$A$63,A53,$B$14:$B$63,"&lt;="&amp;B53)</x:f>
        <x:v>-61802</x:v>
      </x:c>
      <x:c r="H53" s="25" t="n">
        <x:v>0</x:v>
      </x:c>
      <x:c r="I53" s="25" t="n">
        <x:v>0</x:v>
      </x:c>
      <x:c r="J53" s="8" t="n">
        <x:v>0</x:v>
      </x:c>
      <x:c r="K53" s="8" t="n">
        <x:v>0</x:v>
      </x:c>
      <x:c r="L53" s="8" t="n">
        <x:v>0</x:v>
      </x:c>
      <x:c r="M53" s="2" t="str">
        <x:v>既知47場</x:v>
      </x:c>
      <x:c r="N53" s="9"/>
      <x:c r="O53" s="9" t="n">
        <x:v>0</x:v>
      </x:c>
      <x:c r="P53" s="25" t="n">
        <x:v>0</x:v>
      </x:c>
      <x:c r="Q53" s="25" t="n">
        <x:v>0</x:v>
      </x:c>
      <x:c r="R53" s="8" t="n">
        <x:v>0</x:v>
      </x:c>
      <x:c r="S53" s="25" t="n">
        <x:v>0</x:v>
      </x:c>
      <x:c r="T53" s="9" t="n">
        <x:v>0</x:v>
      </x:c>
    </x:row>
    <x:row r="54" ht="22" customHeight="1">
      <x:c r="A54" s="2" t="str">
        <x:v>P03</x:v>
      </x:c>
      <x:c r="B54" s="7" t="d">
        <x:v>2026-10-19T08:45:00.000Z</x:v>
      </x:c>
      <x:c r="C54" s="2" t="str">
        <x:v>デイ</x:v>
      </x:c>
      <x:c r="D54" s="25" t="n">
        <x:v>154948</x:v>
      </x:c>
      <x:c r="E54" s="25" t="n">
        <x:v>0</x:v>
      </x:c>
      <x:c r="F54" s="25" t="n">
        <x:f>D54-E54</x:f>
        <x:v>154948</x:v>
      </x:c>
      <x:c r="G54" s="25" t="n">
        <x:f>SUMIFS($F$14:$F$63,$A$14:$A$63,A54,$B$14:$B$63,"&lt;="&amp;B54)</x:f>
        <x:v>93146</x:v>
      </x:c>
      <x:c r="H54" s="25" t="n">
        <x:v>1052</x:v>
      </x:c>
      <x:c r="I54" s="25" t="n">
        <x:v>156000</x:v>
      </x:c>
      <x:c r="J54" s="8" t="n">
        <x:v>1</x:v>
      </x:c>
      <x:c r="K54" s="8" t="n">
        <x:v>13</x:v>
      </x:c>
      <x:c r="L54" s="8" t="n">
        <x:v>8</x:v>
      </x:c>
      <x:c r="M54" s="2" t="str">
        <x:v>既知47場</x:v>
      </x:c>
      <x:c r="N54" s="9" t="n">
        <x:v>24.866666666666667</x:v>
      </x:c>
      <x:c r="O54" s="9" t="n">
        <x:v>19.433333333333334</x:v>
      </x:c>
      <x:c r="P54" s="25" t="n">
        <x:v>179616</x:v>
      </x:c>
      <x:c r="Q54" s="25" t="n">
        <x:v>-24668</x:v>
      </x:c>
      <x:c r="R54" s="8" t="n">
        <x:v>1</x:v>
      </x:c>
      <x:c r="S54" s="25" t="n">
        <x:v>17000</x:v>
      </x:c>
      <x:c r="T54" s="9" t="n">
        <x:v>1</x:v>
      </x:c>
    </x:row>
    <x:row r="55" ht="22" customHeight="1">
      <x:c r="A55" s="2" t="str">
        <x:v>P03</x:v>
      </x:c>
      <x:c r="B55" s="7" t="d">
        <x:v>2026-10-19T17:00:00.000Z</x:v>
      </x:c>
      <x:c r="C55" s="2" t="str">
        <x:v>ナイト</x:v>
      </x:c>
      <x:c r="D55" s="25" t="n">
        <x:v>0</x:v>
      </x:c>
      <x:c r="E55" s="25" t="n">
        <x:v>0</x:v>
      </x:c>
      <x:c r="F55" s="25" t="n">
        <x:f>D55-E55</x:f>
        <x:v>0</x:v>
      </x:c>
      <x:c r="G55" s="25" t="n">
        <x:f>SUMIFS($F$14:$F$63,$A$14:$A$63,A55,$B$14:$B$63,"&lt;="&amp;B55)</x:f>
        <x:v>93146</x:v>
      </x:c>
      <x:c r="H55" s="25" t="n">
        <x:v>0</x:v>
      </x:c>
      <x:c r="I55" s="25" t="n">
        <x:v>0</x:v>
      </x:c>
      <x:c r="J55" s="8" t="n">
        <x:v>0</x:v>
      </x:c>
      <x:c r="K55" s="8" t="n">
        <x:v>0</x:v>
      </x:c>
      <x:c r="L55" s="8" t="n">
        <x:v>0</x:v>
      </x:c>
      <x:c r="M55" s="2" t="str">
        <x:v>既知47場</x:v>
      </x:c>
      <x:c r="N55" s="9"/>
      <x:c r="O55" s="9" t="n">
        <x:v>0</x:v>
      </x:c>
      <x:c r="P55" s="25" t="n">
        <x:v>0</x:v>
      </x:c>
      <x:c r="Q55" s="25" t="n">
        <x:v>0</x:v>
      </x:c>
      <x:c r="R55" s="8" t="n">
        <x:v>0</x:v>
      </x:c>
      <x:c r="S55" s="25" t="n">
        <x:v>0</x:v>
      </x:c>
      <x:c r="T55" s="9" t="n">
        <x:v>0</x:v>
      </x:c>
    </x:row>
    <x:row r="56" ht="22" customHeight="1">
      <x:c r="A56" s="2" t="str">
        <x:v>P03</x:v>
      </x:c>
      <x:c r="B56" s="7" t="d">
        <x:v>2026-10-20T08:45:00.000Z</x:v>
      </x:c>
      <x:c r="C56" s="2" t="str">
        <x:v>デイ</x:v>
      </x:c>
      <x:c r="D56" s="25" t="n">
        <x:v>0</x:v>
      </x:c>
      <x:c r="E56" s="25" t="n">
        <x:v>0</x:v>
      </x:c>
      <x:c r="F56" s="25" t="n">
        <x:f>D56-E56</x:f>
        <x:v>0</x:v>
      </x:c>
      <x:c r="G56" s="25" t="n">
        <x:f>SUMIFS($F$14:$F$63,$A$14:$A$63,A56,$B$14:$B$63,"&lt;="&amp;B56)</x:f>
        <x:v>93146</x:v>
      </x:c>
      <x:c r="H56" s="25" t="n">
        <x:v>0</x:v>
      </x:c>
      <x:c r="I56" s="25" t="n">
        <x:v>0</x:v>
      </x:c>
      <x:c r="J56" s="8" t="n">
        <x:v>0</x:v>
      </x:c>
      <x:c r="K56" s="8" t="n">
        <x:v>0</x:v>
      </x:c>
      <x:c r="L56" s="8" t="n">
        <x:v>0</x:v>
      </x:c>
      <x:c r="M56" s="2" t="str">
        <x:v>既知47場</x:v>
      </x:c>
      <x:c r="N56" s="9"/>
      <x:c r="O56" s="9" t="n">
        <x:v>0</x:v>
      </x:c>
      <x:c r="P56" s="25" t="n">
        <x:v>0</x:v>
      </x:c>
      <x:c r="Q56" s="25" t="n">
        <x:v>0</x:v>
      </x:c>
      <x:c r="R56" s="8" t="n">
        <x:v>0</x:v>
      </x:c>
      <x:c r="S56" s="25" t="n">
        <x:v>0</x:v>
      </x:c>
      <x:c r="T56" s="9" t="n">
        <x:v>0</x:v>
      </x:c>
    </x:row>
    <x:row r="57" ht="22" customHeight="1">
      <x:c r="A57" s="2" t="str">
        <x:v>P03</x:v>
      </x:c>
      <x:c r="B57" s="7" t="d">
        <x:v>2026-10-20T17:00:00.000Z</x:v>
      </x:c>
      <x:c r="C57" s="2" t="str">
        <x:v>ナイト</x:v>
      </x:c>
      <x:c r="D57" s="25" t="n">
        <x:v>0</x:v>
      </x:c>
      <x:c r="E57" s="25" t="n">
        <x:v>0</x:v>
      </x:c>
      <x:c r="F57" s="25" t="n">
        <x:f>D57-E57</x:f>
        <x:v>0</x:v>
      </x:c>
      <x:c r="G57" s="25" t="n">
        <x:f>SUMIFS($F$14:$F$63,$A$14:$A$63,A57,$B$14:$B$63,"&lt;="&amp;B57)</x:f>
        <x:v>93146</x:v>
      </x:c>
      <x:c r="H57" s="25" t="n">
        <x:v>0</x:v>
      </x:c>
      <x:c r="I57" s="25" t="n">
        <x:v>0</x:v>
      </x:c>
      <x:c r="J57" s="8" t="n">
        <x:v>0</x:v>
      </x:c>
      <x:c r="K57" s="8" t="n">
        <x:v>0</x:v>
      </x:c>
      <x:c r="L57" s="8" t="n">
        <x:v>0</x:v>
      </x:c>
      <x:c r="M57" s="2" t="str">
        <x:v>既知47場</x:v>
      </x:c>
      <x:c r="N57" s="9"/>
      <x:c r="O57" s="9" t="n">
        <x:v>0</x:v>
      </x:c>
      <x:c r="P57" s="25" t="n">
        <x:v>0</x:v>
      </x:c>
      <x:c r="Q57" s="25" t="n">
        <x:v>0</x:v>
      </x:c>
      <x:c r="R57" s="8" t="n">
        <x:v>0</x:v>
      </x:c>
      <x:c r="S57" s="25" t="n">
        <x:v>0</x:v>
      </x:c>
      <x:c r="T57" s="9" t="n">
        <x:v>0</x:v>
      </x:c>
    </x:row>
    <x:row r="58" ht="22" customHeight="1">
      <x:c r="A58" s="2" t="str">
        <x:v>P03</x:v>
      </x:c>
      <x:c r="B58" s="7" t="d">
        <x:v>2026-10-21T08:45:00.000Z</x:v>
      </x:c>
      <x:c r="C58" s="2" t="str">
        <x:v>デイ</x:v>
      </x:c>
      <x:c r="D58" s="25" t="n">
        <x:v>0</x:v>
      </x:c>
      <x:c r="E58" s="25" t="n">
        <x:v>62052</x:v>
      </x:c>
      <x:c r="F58" s="25" t="n">
        <x:f>D58-E58</x:f>
        <x:v>-62052</x:v>
      </x:c>
      <x:c r="G58" s="25" t="n">
        <x:f>SUMIFS($F$14:$F$63,$A$14:$A$63,A58,$B$14:$B$63,"&lt;="&amp;B58)</x:f>
        <x:v>31094</x:v>
      </x:c>
      <x:c r="H58" s="25" t="n">
        <x:v>1052</x:v>
      </x:c>
      <x:c r="I58" s="25" t="n">
        <x:v>-61000</x:v>
      </x:c>
      <x:c r="J58" s="8" t="n">
        <x:v>1</x:v>
      </x:c>
      <x:c r="K58" s="8" t="n">
        <x:v>13</x:v>
      </x:c>
      <x:c r="L58" s="8" t="n">
        <x:v>8</x:v>
      </x:c>
      <x:c r="M58" s="2" t="str">
        <x:v>既知47場</x:v>
      </x:c>
      <x:c r="N58" s="9" t="n">
        <x:v>68.16666666666667</x:v>
      </x:c>
      <x:c r="O58" s="9" t="n">
        <x:v>1.4333333333333333</x:v>
      </x:c>
      <x:c r="P58" s="25" t="n">
        <x:v>-65384</x:v>
      </x:c>
      <x:c r="Q58" s="25" t="n">
        <x:v>3332</x:v>
      </x:c>
      <x:c r="R58" s="8" t="n">
        <x:v>1</x:v>
      </x:c>
      <x:c r="S58" s="25" t="n">
        <x:v>73500</x:v>
      </x:c>
      <x:c r="T58" s="9" t="n">
        <x:v>0</x:v>
      </x:c>
    </x:row>
    <x:row r="59" ht="22" customHeight="1">
      <x:c r="A59" s="2" t="str">
        <x:v>P03</x:v>
      </x:c>
      <x:c r="B59" s="7" t="d">
        <x:v>2026-10-21T17:00:00.000Z</x:v>
      </x:c>
      <x:c r="C59" s="2" t="str">
        <x:v>ナイト</x:v>
      </x:c>
      <x:c r="D59" s="25" t="n">
        <x:v>0</x:v>
      </x:c>
      <x:c r="E59" s="25" t="n">
        <x:v>0</x:v>
      </x:c>
      <x:c r="F59" s="25" t="n">
        <x:f>D59-E59</x:f>
        <x:v>0</x:v>
      </x:c>
      <x:c r="G59" s="25" t="n">
        <x:f>SUMIFS($F$14:$F$63,$A$14:$A$63,A59,$B$14:$B$63,"&lt;="&amp;B59)</x:f>
        <x:v>31094</x:v>
      </x:c>
      <x:c r="H59" s="25" t="n">
        <x:v>0</x:v>
      </x:c>
      <x:c r="I59" s="25" t="n">
        <x:v>0</x:v>
      </x:c>
      <x:c r="J59" s="8" t="n">
        <x:v>0</x:v>
      </x:c>
      <x:c r="K59" s="8" t="n">
        <x:v>0</x:v>
      </x:c>
      <x:c r="L59" s="8" t="n">
        <x:v>0</x:v>
      </x:c>
      <x:c r="M59" s="2" t="str">
        <x:v>既知47場</x:v>
      </x:c>
      <x:c r="N59" s="9"/>
      <x:c r="O59" s="9" t="n">
        <x:v>0</x:v>
      </x:c>
      <x:c r="P59" s="25" t="n">
        <x:v>0</x:v>
      </x:c>
      <x:c r="Q59" s="25" t="n">
        <x:v>0</x:v>
      </x:c>
      <x:c r="R59" s="8" t="n">
        <x:v>0</x:v>
      </x:c>
      <x:c r="S59" s="25" t="n">
        <x:v>0</x:v>
      </x:c>
      <x:c r="T59" s="9" t="n">
        <x:v>0</x:v>
      </x:c>
    </x:row>
    <x:row r="60" ht="22" customHeight="1">
      <x:c r="A60" s="2" t="str">
        <x:v>P03</x:v>
      </x:c>
      <x:c r="B60" s="7" t="d">
        <x:v>2026-10-22T08:45:00.000Z</x:v>
      </x:c>
      <x:c r="C60" s="2" t="str">
        <x:v>デイ</x:v>
      </x:c>
      <x:c r="D60" s="25" t="n">
        <x:v>0</x:v>
      </x:c>
      <x:c r="E60" s="25" t="n">
        <x:v>0</x:v>
      </x:c>
      <x:c r="F60" s="25" t="n">
        <x:f>D60-E60</x:f>
        <x:v>0</x:v>
      </x:c>
      <x:c r="G60" s="25" t="n">
        <x:f>SUMIFS($F$14:$F$63,$A$14:$A$63,A60,$B$14:$B$63,"&lt;="&amp;B60)</x:f>
        <x:v>31094</x:v>
      </x:c>
      <x:c r="H60" s="25" t="n">
        <x:v>0</x:v>
      </x:c>
      <x:c r="I60" s="25" t="n">
        <x:v>0</x:v>
      </x:c>
      <x:c r="J60" s="8" t="n">
        <x:v>0</x:v>
      </x:c>
      <x:c r="K60" s="8" t="n">
        <x:v>0</x:v>
      </x:c>
      <x:c r="L60" s="8" t="n">
        <x:v>0</x:v>
      </x:c>
      <x:c r="M60" s="2" t="str">
        <x:v>既知47場</x:v>
      </x:c>
      <x:c r="N60" s="9"/>
      <x:c r="O60" s="9" t="n">
        <x:v>0</x:v>
      </x:c>
      <x:c r="P60" s="25" t="n">
        <x:v>0</x:v>
      </x:c>
      <x:c r="Q60" s="25" t="n">
        <x:v>0</x:v>
      </x:c>
      <x:c r="R60" s="8" t="n">
        <x:v>0</x:v>
      </x:c>
      <x:c r="S60" s="25" t="n">
        <x:v>0</x:v>
      </x:c>
      <x:c r="T60" s="9" t="n">
        <x:v>0</x:v>
      </x:c>
    </x:row>
    <x:row r="61" ht="22" customHeight="1">
      <x:c r="A61" s="2" t="str">
        <x:v>P03</x:v>
      </x:c>
      <x:c r="B61" s="7" t="d">
        <x:v>2026-10-22T17:00:00.000Z</x:v>
      </x:c>
      <x:c r="C61" s="2" t="str">
        <x:v>ナイト</x:v>
      </x:c>
      <x:c r="D61" s="25" t="n">
        <x:v>0</x:v>
      </x:c>
      <x:c r="E61" s="25" t="n">
        <x:v>34052</x:v>
      </x:c>
      <x:c r="F61" s="25" t="n">
        <x:f>D61-E61</x:f>
        <x:v>-34052</x:v>
      </x:c>
      <x:c r="G61" s="25" t="n">
        <x:f>SUMIFS($F$14:$F$63,$A$14:$A$63,A61,$B$14:$B$63,"&lt;="&amp;B61)</x:f>
        <x:v>-2958</x:v>
      </x:c>
      <x:c r="H61" s="25" t="n">
        <x:v>1052</x:v>
      </x:c>
      <x:c r="I61" s="25" t="n">
        <x:v>-33000</x:v>
      </x:c>
      <x:c r="J61" s="8" t="n">
        <x:v>1</x:v>
      </x:c>
      <x:c r="K61" s="8" t="n">
        <x:v>13</x:v>
      </x:c>
      <x:c r="L61" s="8" t="n">
        <x:v>8</x:v>
      </x:c>
      <x:c r="M61" s="2" t="str">
        <x:v>追加3場</x:v>
      </x:c>
      <x:c r="N61" s="9" t="n">
        <x:v>359.81666666666666</x:v>
      </x:c>
      <x:c r="O61" s="9" t="n">
        <x:v>1.0666666666666667</x:v>
      </x:c>
      <x:c r="P61" s="25" t="n">
        <x:v>-25384</x:v>
      </x:c>
      <x:c r="Q61" s="25" t="n">
        <x:v>-8668</x:v>
      </x:c>
      <x:c r="R61" s="8" t="n">
        <x:v>1</x:v>
      </x:c>
      <x:c r="S61" s="25" t="n">
        <x:v>406500</x:v>
      </x:c>
      <x:c r="T61" s="9" t="n">
        <x:v>14</x:v>
      </x:c>
    </x:row>
    <x:row r="62" ht="22" customHeight="1">
      <x:c r="A62" s="2" t="str">
        <x:v>P03</x:v>
      </x:c>
      <x:c r="B62" s="7" t="d">
        <x:v>2026-10-23T08:45:00.000Z</x:v>
      </x:c>
      <x:c r="C62" s="2" t="str">
        <x:v>デイ</x:v>
      </x:c>
      <x:c r="D62" s="25" t="n">
        <x:v>0</x:v>
      </x:c>
      <x:c r="E62" s="25" t="n">
        <x:v>0</x:v>
      </x:c>
      <x:c r="F62" s="25" t="n">
        <x:f>D62-E62</x:f>
        <x:v>0</x:v>
      </x:c>
      <x:c r="G62" s="25" t="n">
        <x:f>SUMIFS($F$14:$F$63,$A$14:$A$63,A62,$B$14:$B$63,"&lt;="&amp;B62)</x:f>
        <x:v>-2958</x:v>
      </x:c>
      <x:c r="H62" s="25" t="n">
        <x:v>0</x:v>
      </x:c>
      <x:c r="I62" s="25" t="n">
        <x:v>0</x:v>
      </x:c>
      <x:c r="J62" s="8" t="n">
        <x:v>0</x:v>
      </x:c>
      <x:c r="K62" s="8" t="n">
        <x:v>0</x:v>
      </x:c>
      <x:c r="L62" s="8" t="n">
        <x:v>0</x:v>
      </x:c>
      <x:c r="M62" s="2" t="str">
        <x:v>追加3場</x:v>
      </x:c>
      <x:c r="N62" s="9"/>
      <x:c r="O62" s="9" t="n">
        <x:v>0</x:v>
      </x:c>
      <x:c r="P62" s="25" t="n">
        <x:v>0</x:v>
      </x:c>
      <x:c r="Q62" s="25" t="n">
        <x:v>0</x:v>
      </x:c>
      <x:c r="R62" s="8" t="n">
        <x:v>0</x:v>
      </x:c>
      <x:c r="S62" s="25" t="n">
        <x:v>0</x:v>
      </x:c>
      <x:c r="T62" s="9" t="n">
        <x:v>0</x:v>
      </x:c>
    </x:row>
    <x:row r="63" ht="22" customHeight="1">
      <x:c r="A63" s="2" t="str">
        <x:v>P03</x:v>
      </x:c>
      <x:c r="B63" s="7" t="d">
        <x:v>2026-10-23T17:00:00.000Z</x:v>
      </x:c>
      <x:c r="C63" s="2" t="str">
        <x:v>ナイト</x:v>
      </x:c>
      <x:c r="D63" s="25" t="n">
        <x:v>0</x:v>
      </x:c>
      <x:c r="E63" s="25" t="n">
        <x:v>0</x:v>
      </x:c>
      <x:c r="F63" s="25" t="n">
        <x:f>D63-E63</x:f>
        <x:v>0</x:v>
      </x:c>
      <x:c r="G63" s="25" t="n">
        <x:f>SUMIFS($F$14:$F$63,$A$14:$A$63,A63,$B$14:$B$63,"&lt;="&amp;B63)</x:f>
        <x:v>-2958</x:v>
      </x:c>
      <x:c r="H63" s="25" t="n">
        <x:v>0</x:v>
      </x:c>
      <x:c r="I63" s="25" t="n">
        <x:v>0</x:v>
      </x:c>
      <x:c r="J63" s="8" t="n">
        <x:v>0</x:v>
      </x:c>
      <x:c r="K63" s="8" t="n">
        <x:v>0</x:v>
      </x:c>
      <x:c r="L63" s="8" t="n">
        <x:v>0</x:v>
      </x:c>
      <x:c r="M63" s="2" t="str">
        <x:v>追加3場</x:v>
      </x:c>
      <x:c r="N63" s="9"/>
      <x:c r="O63" s="9" t="n">
        <x:v>0</x:v>
      </x:c>
      <x:c r="P63" s="25" t="n">
        <x:v>0</x:v>
      </x:c>
      <x:c r="Q63" s="25" t="n">
        <x:v>0</x:v>
      </x:c>
      <x:c r="R63" s="8" t="n">
        <x:v>0</x:v>
      </x:c>
      <x:c r="S63" s="25" t="n">
        <x:v>0</x:v>
      </x:c>
      <x:c r="T63" s="9" t="n">
        <x:v>0</x:v>
      </x:c>
    </x:row>
  </x:sheetData>
  <x:conditionalFormatting sqref="B8:D10">
    <x:cfRule type="cellIs" dxfId="8" priority="1" operator="lessThan">
      <x:formula>0</x:formula>
    </x:cfRule>
  </x:conditionalFormatting>
  <x:conditionalFormatting sqref="I8:J10">
    <x:cfRule type="cellIs" dxfId="9" priority="2" operator="lessThan">
      <x:formula>0</x:formula>
    </x:cfRule>
  </x:conditionalFormatting>
  <x:conditionalFormatting sqref="D14:I63">
    <x:cfRule type="cellIs" dxfId="10" priority="3" operator="lessThan">
      <x:formula>0</x:formula>
    </x:cfRule>
  </x:conditionalFormatting>
  <x:conditionalFormatting sqref="P14:Q63">
    <x:cfRule type="cellIs" dxfId="11" priority="4" operator="lessThan">
      <x:formula>0</x:formula>
    </x:cfRule>
  </x:conditionalFormatting>
  <x:conditionalFormatting sqref="S14:S63">
    <x:cfRule type="cellIs" dxfId="12" priority="5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40e451e523844d9d"/>
    <x:tablePart xmlns:r="http://schemas.openxmlformats.org/officeDocument/2006/relationships" r:id="R861a46ffc1824526"/>
  </x:tableParts>
</x:worksheet>
</file>