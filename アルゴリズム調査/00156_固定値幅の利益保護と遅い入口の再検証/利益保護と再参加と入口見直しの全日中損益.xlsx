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cfc440a20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f2221118541c43b7"/>
    <x:sheet xmlns:r="http://schemas.openxmlformats.org/officeDocument/2006/relationships" name="日経_S01" sheetId="2" r:id="Rec9cfb3aff6e4d81"/>
    <x:sheet xmlns:r="http://schemas.openxmlformats.org/officeDocument/2006/relationships" name="日経_F01" sheetId="3" r:id="R2c155e6de2184ffd"/>
    <x:sheet xmlns:r="http://schemas.openxmlformats.org/officeDocument/2006/relationships" name="日経_F02" sheetId="4" r:id="R9074152718f4457b"/>
    <x:sheet xmlns:r="http://schemas.openxmlformats.org/officeDocument/2006/relationships" name="日経_F03" sheetId="5" r:id="R75c2dac616a841ed"/>
    <x:sheet xmlns:r="http://schemas.openxmlformats.org/officeDocument/2006/relationships" name="日経_F04" sheetId="6" r:id="Re5908210e06d4de0"/>
    <x:sheet xmlns:r="http://schemas.openxmlformats.org/officeDocument/2006/relationships" name="日経_F05" sheetId="7" r:id="Rcefba04c49bc4e14"/>
    <x:sheet xmlns:r="http://schemas.openxmlformats.org/officeDocument/2006/relationships" name="日経_F06" sheetId="8" r:id="R55369678c48c4c3c"/>
    <x:sheet xmlns:r="http://schemas.openxmlformats.org/officeDocument/2006/relationships" name="日経_F07" sheetId="9" r:id="R712a1f058b7b4149"/>
    <x:sheet xmlns:r="http://schemas.openxmlformats.org/officeDocument/2006/relationships" name="日経_F08" sheetId="10" r:id="Rfccb824d0c974b7b"/>
    <x:sheet xmlns:r="http://schemas.openxmlformats.org/officeDocument/2006/relationships" name="日経_F09" sheetId="11" r:id="R941fce057ae449bd"/>
    <x:sheet xmlns:r="http://schemas.openxmlformats.org/officeDocument/2006/relationships" name="日経_F10" sheetId="12" r:id="Rcc019efe8c994f47"/>
    <x:sheet xmlns:r="http://schemas.openxmlformats.org/officeDocument/2006/relationships" name="日経_F11" sheetId="13" r:id="Re052aca0109c4c33"/>
    <x:sheet xmlns:r="http://schemas.openxmlformats.org/officeDocument/2006/relationships" name="日経_F12" sheetId="14" r:id="R1f1d0e89af79460d"/>
    <x:sheet xmlns:r="http://schemas.openxmlformats.org/officeDocument/2006/relationships" name="日経_F13" sheetId="15" r:id="R495e9d76e25a4fac"/>
    <x:sheet xmlns:r="http://schemas.openxmlformats.org/officeDocument/2006/relationships" name="日経_F14" sheetId="16" r:id="R6328a215abb74550"/>
    <x:sheet xmlns:r="http://schemas.openxmlformats.org/officeDocument/2006/relationships" name="日経_F15" sheetId="17" r:id="R97c4609e763f4a84"/>
    <x:sheet xmlns:r="http://schemas.openxmlformats.org/officeDocument/2006/relationships" name="日経_F16" sheetId="18" r:id="Rd9f8a251675649f1"/>
    <x:sheet xmlns:r="http://schemas.openxmlformats.org/officeDocument/2006/relationships" name="日経_E01" sheetId="19" r:id="Racafaea4ba944dbb"/>
    <x:sheet xmlns:r="http://schemas.openxmlformats.org/officeDocument/2006/relationships" name="日経_E02" sheetId="20" r:id="R80fdff06bfd44a21"/>
    <x:sheet xmlns:r="http://schemas.openxmlformats.org/officeDocument/2006/relationships" name="日経_E03" sheetId="21" r:id="Rd66aeff90fb04876"/>
    <x:sheet xmlns:r="http://schemas.openxmlformats.org/officeDocument/2006/relationships" name="日経_E04" sheetId="22" r:id="R4a56f76cd05f405a"/>
    <x:sheet xmlns:r="http://schemas.openxmlformats.org/officeDocument/2006/relationships" name="日経_E05" sheetId="23" r:id="Ra566cc6350174928"/>
    <x:sheet xmlns:r="http://schemas.openxmlformats.org/officeDocument/2006/relationships" name="日経_E06" sheetId="24" r:id="Ree0ec6c9ee6f4a0d"/>
    <x:sheet xmlns:r="http://schemas.openxmlformats.org/officeDocument/2006/relationships" name="日経_E07" sheetId="25" r:id="Ra2d776afbac145d0"/>
    <x:sheet xmlns:r="http://schemas.openxmlformats.org/officeDocument/2006/relationships" name="日経_E08" sheetId="26" r:id="R910208f1e70b4e60"/>
    <x:sheet xmlns:r="http://schemas.openxmlformats.org/officeDocument/2006/relationships" name="日経_E09" sheetId="27" r:id="R8b36e155145c4e92"/>
    <x:sheet xmlns:r="http://schemas.openxmlformats.org/officeDocument/2006/relationships" name="日経_R01" sheetId="28" r:id="R1556b6dffcbf4754"/>
    <x:sheet xmlns:r="http://schemas.openxmlformats.org/officeDocument/2006/relationships" name="日経_R02" sheetId="29" r:id="Rd028b7d1cbab4e9f"/>
    <x:sheet xmlns:r="http://schemas.openxmlformats.org/officeDocument/2006/relationships" name="日経_R03" sheetId="30" r:id="R89968aa5312f4810"/>
    <x:sheet xmlns:r="http://schemas.openxmlformats.org/officeDocument/2006/relationships" name="日経_R04" sheetId="31" r:id="R58a8a72e47444736"/>
    <x:sheet xmlns:r="http://schemas.openxmlformats.org/officeDocument/2006/relationships" name="日経_R05" sheetId="32" r:id="R471a7c076c844011"/>
    <x:sheet xmlns:r="http://schemas.openxmlformats.org/officeDocument/2006/relationships" name="日経_R06" sheetId="33" r:id="R339db36b876a463c"/>
    <x:sheet xmlns:r="http://schemas.openxmlformats.org/officeDocument/2006/relationships" name="日経_R07" sheetId="34" r:id="Ra541b05098a1458a"/>
    <x:sheet xmlns:r="http://schemas.openxmlformats.org/officeDocument/2006/relationships" name="日経_R08" sheetId="35" r:id="Rcf7ef4d5e01a4349"/>
    <x:sheet xmlns:r="http://schemas.openxmlformats.org/officeDocument/2006/relationships" name="日経_R09" sheetId="36" r:id="R8834e327b82f4ea9"/>
    <x:sheet xmlns:r="http://schemas.openxmlformats.org/officeDocument/2006/relationships" name="日経_R10" sheetId="37" r:id="Ra5ce0f494ea74e29"/>
    <x:sheet xmlns:r="http://schemas.openxmlformats.org/officeDocument/2006/relationships" name="日経_R11" sheetId="38" r:id="Rf06be6ff365a434b"/>
    <x:sheet xmlns:r="http://schemas.openxmlformats.org/officeDocument/2006/relationships" name="日経_R12" sheetId="39" r:id="R85d039272fcd44ba"/>
    <x:sheet xmlns:r="http://schemas.openxmlformats.org/officeDocument/2006/relationships" name="日経_L01" sheetId="40" r:id="R430848e352a2409f"/>
    <x:sheet xmlns:r="http://schemas.openxmlformats.org/officeDocument/2006/relationships" name="日経_L02" sheetId="41" r:id="R3ba6a2bee5a948d7"/>
    <x:sheet xmlns:r="http://schemas.openxmlformats.org/officeDocument/2006/relationships" name="日経_L03" sheetId="42" r:id="R39f00f5f727144e9"/>
    <x:sheet xmlns:r="http://schemas.openxmlformats.org/officeDocument/2006/relationships" name="日経_L04" sheetId="43" r:id="Ra0a85ea698bc4b5e"/>
    <x:sheet xmlns:r="http://schemas.openxmlformats.org/officeDocument/2006/relationships" name="日経_L05" sheetId="44" r:id="R3d9a6f3634d144ad"/>
    <x:sheet xmlns:r="http://schemas.openxmlformats.org/officeDocument/2006/relationships" name="日経_L06" sheetId="45" r:id="R669605151a4c4307"/>
    <x:sheet xmlns:r="http://schemas.openxmlformats.org/officeDocument/2006/relationships" name="10月27日デイ途中" sheetId="46" r:id="R0b119dd46467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&quot;—&quot;"/>
    <x:numFmt numFmtId="201" formatCode="0.00"/>
  </x:numFmts>
  <x:fonts count="6">
    <x:font>
      <x:sz val="11"/>
      <x:name val="Carlito"/>
    </x:font>
    <x:font>
      <x:sz val="10"/>
      <x:color rgb="FF21384D"/>
      <x:name val="Yu Gothic"/>
    </x:font>
    <x:font>
      <x:b/>
      <x:sz val="14"/>
      <x:color rgb="FF21384D"/>
      <x:name val="Yu Gothic"/>
    </x:font>
    <x:font>
      <x:sz val="10"/>
      <x:color rgb="FF536B80"/>
      <x:name val="Yu Gothic"/>
    </x:font>
    <x:font>
      <x:b/>
      <x:sz val="10"/>
      <x:color rgb="FFFFFFFF"/>
      <x:name val="Yu Gothic"/>
    </x:font>
    <x:font>
      <x:b/>
      <x:sz val="10"/>
      <x:color rgb="FF21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3AABD"/>
      </x:top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6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1bf64faf74009" /><Relationship Type="http://schemas.openxmlformats.org/officeDocument/2006/relationships/theme" Target="/xl/theme/theme1.xml" Id="R3e2aab4dd66e4ea8" /><Relationship Type="http://schemas.openxmlformats.org/officeDocument/2006/relationships/sharedStrings" Target="/xl/sharedStrings.xml" Id="Re5af38957d0f48be" /><Relationship Type="http://schemas.openxmlformats.org/officeDocument/2006/relationships/worksheet" Target="/xl/worksheets/sheet1.xml" Id="Rf2221118541c43b7" /><Relationship Type="http://schemas.openxmlformats.org/officeDocument/2006/relationships/worksheet" Target="/xl/worksheets/sheet2.xml" Id="Rec9cfb3aff6e4d81" /><Relationship Type="http://schemas.openxmlformats.org/officeDocument/2006/relationships/worksheet" Target="/xl/worksheets/sheet3.xml" Id="R2c155e6de2184ffd" /><Relationship Type="http://schemas.openxmlformats.org/officeDocument/2006/relationships/worksheet" Target="/xl/worksheets/sheet4.xml" Id="R9074152718f4457b" /><Relationship Type="http://schemas.openxmlformats.org/officeDocument/2006/relationships/worksheet" Target="/xl/worksheets/sheet5.xml" Id="R75c2dac616a841ed" /><Relationship Type="http://schemas.openxmlformats.org/officeDocument/2006/relationships/worksheet" Target="/xl/worksheets/sheet6.xml" Id="Re5908210e06d4de0" /><Relationship Type="http://schemas.openxmlformats.org/officeDocument/2006/relationships/worksheet" Target="/xl/worksheets/sheet7.xml" Id="Rcefba04c49bc4e14" /><Relationship Type="http://schemas.openxmlformats.org/officeDocument/2006/relationships/worksheet" Target="/xl/worksheets/sheet8.xml" Id="R55369678c48c4c3c" /><Relationship Type="http://schemas.openxmlformats.org/officeDocument/2006/relationships/worksheet" Target="/xl/worksheets/sheet9.xml" Id="R712a1f058b7b4149" /><Relationship Type="http://schemas.openxmlformats.org/officeDocument/2006/relationships/worksheet" Target="/xl/worksheets/sheet10.xml" Id="Rfccb824d0c974b7b" /><Relationship Type="http://schemas.openxmlformats.org/officeDocument/2006/relationships/worksheet" Target="/xl/worksheets/sheet11.xml" Id="R941fce057ae449bd" /><Relationship Type="http://schemas.openxmlformats.org/officeDocument/2006/relationships/worksheet" Target="/xl/worksheets/sheet12.xml" Id="Rcc019efe8c994f47" /><Relationship Type="http://schemas.openxmlformats.org/officeDocument/2006/relationships/worksheet" Target="/xl/worksheets/sheet13.xml" Id="Re052aca0109c4c33" /><Relationship Type="http://schemas.openxmlformats.org/officeDocument/2006/relationships/worksheet" Target="/xl/worksheets/sheet14.xml" Id="R1f1d0e89af79460d" /><Relationship Type="http://schemas.openxmlformats.org/officeDocument/2006/relationships/worksheet" Target="/xl/worksheets/sheet15.xml" Id="R495e9d76e25a4fac" /><Relationship Type="http://schemas.openxmlformats.org/officeDocument/2006/relationships/worksheet" Target="/xl/worksheets/sheet16.xml" Id="R6328a215abb74550" /><Relationship Type="http://schemas.openxmlformats.org/officeDocument/2006/relationships/worksheet" Target="/xl/worksheets/sheet17.xml" Id="R97c4609e763f4a84" /><Relationship Type="http://schemas.openxmlformats.org/officeDocument/2006/relationships/worksheet" Target="/xl/worksheets/sheet18.xml" Id="Rd9f8a251675649f1" /><Relationship Type="http://schemas.openxmlformats.org/officeDocument/2006/relationships/worksheet" Target="/xl/worksheets/sheet19.xml" Id="Racafaea4ba944dbb" /><Relationship Type="http://schemas.openxmlformats.org/officeDocument/2006/relationships/worksheet" Target="/xl/worksheets/sheet20.xml" Id="R80fdff06bfd44a21" /><Relationship Type="http://schemas.openxmlformats.org/officeDocument/2006/relationships/worksheet" Target="/xl/worksheets/sheet21.xml" Id="Rd66aeff90fb04876" /><Relationship Type="http://schemas.openxmlformats.org/officeDocument/2006/relationships/worksheet" Target="/xl/worksheets/sheet22.xml" Id="R4a56f76cd05f405a" /><Relationship Type="http://schemas.openxmlformats.org/officeDocument/2006/relationships/worksheet" Target="/xl/worksheets/sheet23.xml" Id="Ra566cc6350174928" /><Relationship Type="http://schemas.openxmlformats.org/officeDocument/2006/relationships/worksheet" Target="/xl/worksheets/sheet24.xml" Id="Ree0ec6c9ee6f4a0d" /><Relationship Type="http://schemas.openxmlformats.org/officeDocument/2006/relationships/worksheet" Target="/xl/worksheets/sheet25.xml" Id="Ra2d776afbac145d0" /><Relationship Type="http://schemas.openxmlformats.org/officeDocument/2006/relationships/worksheet" Target="/xl/worksheets/sheet26.xml" Id="R910208f1e70b4e60" /><Relationship Type="http://schemas.openxmlformats.org/officeDocument/2006/relationships/worksheet" Target="/xl/worksheets/sheet27.xml" Id="R8b36e155145c4e92" /><Relationship Type="http://schemas.openxmlformats.org/officeDocument/2006/relationships/worksheet" Target="/xl/worksheets/sheet28.xml" Id="R1556b6dffcbf4754" /><Relationship Type="http://schemas.openxmlformats.org/officeDocument/2006/relationships/worksheet" Target="/xl/worksheets/sheet29.xml" Id="Rd028b7d1cbab4e9f" /><Relationship Type="http://schemas.openxmlformats.org/officeDocument/2006/relationships/worksheet" Target="/xl/worksheets/sheet30.xml" Id="R89968aa5312f4810" /><Relationship Type="http://schemas.openxmlformats.org/officeDocument/2006/relationships/worksheet" Target="/xl/worksheets/sheet31.xml" Id="R58a8a72e47444736" /><Relationship Type="http://schemas.openxmlformats.org/officeDocument/2006/relationships/worksheet" Target="/xl/worksheets/sheet32.xml" Id="R471a7c076c844011" /><Relationship Type="http://schemas.openxmlformats.org/officeDocument/2006/relationships/worksheet" Target="/xl/worksheets/sheet33.xml" Id="R339db36b876a463c" /><Relationship Type="http://schemas.openxmlformats.org/officeDocument/2006/relationships/worksheet" Target="/xl/worksheets/sheet34.xml" Id="Ra541b05098a1458a" /><Relationship Type="http://schemas.openxmlformats.org/officeDocument/2006/relationships/worksheet" Target="/xl/worksheets/sheet35.xml" Id="Rcf7ef4d5e01a4349" /><Relationship Type="http://schemas.openxmlformats.org/officeDocument/2006/relationships/worksheet" Target="/xl/worksheets/sheet36.xml" Id="R8834e327b82f4ea9" /><Relationship Type="http://schemas.openxmlformats.org/officeDocument/2006/relationships/worksheet" Target="/xl/worksheets/sheet37.xml" Id="Ra5ce0f494ea74e29" /><Relationship Type="http://schemas.openxmlformats.org/officeDocument/2006/relationships/worksheet" Target="/xl/worksheets/sheet38.xml" Id="Rf06be6ff365a434b" /><Relationship Type="http://schemas.openxmlformats.org/officeDocument/2006/relationships/worksheet" Target="/xl/worksheets/sheet39.xml" Id="R85d039272fcd44ba" /><Relationship Type="http://schemas.openxmlformats.org/officeDocument/2006/relationships/worksheet" Target="/xl/worksheets/sheet40.xml" Id="R430848e352a2409f" /><Relationship Type="http://schemas.openxmlformats.org/officeDocument/2006/relationships/worksheet" Target="/xl/worksheets/sheet41.xml" Id="R3ba6a2bee5a948d7" /><Relationship Type="http://schemas.openxmlformats.org/officeDocument/2006/relationships/worksheet" Target="/xl/worksheets/sheet42.xml" Id="R39f00f5f727144e9" /><Relationship Type="http://schemas.openxmlformats.org/officeDocument/2006/relationships/worksheet" Target="/xl/worksheets/sheet43.xml" Id="Ra0a85ea698bc4b5e" /><Relationship Type="http://schemas.openxmlformats.org/officeDocument/2006/relationships/worksheet" Target="/xl/worksheets/sheet44.xml" Id="R3d9a6f3634d144ad" /><Relationship Type="http://schemas.openxmlformats.org/officeDocument/2006/relationships/worksheet" Target="/xl/worksheets/sheet45.xml" Id="R669605151a4c4307" /><Relationship Type="http://schemas.openxmlformats.org/officeDocument/2006/relationships/worksheet" Target="/xl/worksheets/sheet46.xml" Id="R0b119dd464674c45" /></Relationships>
</file>

<file path=xl/tables/table1.xml><?xml version="1.0" encoding="utf-8"?>
<x:table xmlns:x="http://schemas.openxmlformats.org/spreadsheetml/2006/main" id="45" name="D156_comparison" displayName="D156_comparison" ref="A5:M49" headerRowCount="1" totalsRowCount="0" totalsRowShown="0">
  <x:autoFilter ref="A5:M49"/>
  <x:tableColumns count="13">
    <x:tableColumn id="1" name="手法"/>
    <x:tableColumn id="2" name="簡単な説明"/>
    <x:tableColumn id="3" name="総利益（円）"/>
    <x:tableColumn id="4" name="総損失（円）"/>
    <x:tableColumn id="5" name="収支（円）"/>
    <x:tableColumn id="6" name="利益／損失"/>
    <x:tableColumn id="7" name="赤字場数"/>
    <x:tableColumn id="8" name="平均赤字（円）"/>
    <x:tableColumn id="9" name="最大赤字場（円）"/>
    <x:tableColumn id="10" name="上位3黒字除外（円）"/>
    <x:tableColumn id="11" name="新規回数"/>
    <x:tableColumn id="12" name="途中最悪収支（円）"/>
    <x:tableColumn id="13" name="最大下落額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156_S01" displayName="D156_S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156_F01" displayName="D156_F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156_F02" displayName="D156_F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156_F03" displayName="D156_F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D156_F04" displayName="D156_F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156_F05" displayName="D156_F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156_F06" displayName="D156_F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D156_F07" displayName="D156_F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D156_F08" displayName="D156_F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D156_F09" displayName="D156_F09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D156_F10" displayName="D156_F1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D156_F11" displayName="D156_F1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D156_F12" displayName="D156_F1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D156_F13" displayName="D156_F1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D156_F14" displayName="D156_F1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D156_F15" displayName="D156_F1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D156_F16" displayName="D156_F1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D156_E01" displayName="D156_E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D156_E02" displayName="D156_E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D156_E03" displayName="D156_E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D156_E04" displayName="D156_E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D156_E05" displayName="D156_E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D156_E06" displayName="D156_E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D156_E07" displayName="D156_E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D156_E08" displayName="D156_E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D156_E09" displayName="D156_E09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D156_R01" displayName="D156_R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D156_R02" displayName="D156_R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D156_R03" displayName="D156_R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D156_R04" displayName="D156_R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D156_R05" displayName="D156_R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2" name="D156_R06" displayName="D156_R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3" name="D156_R07" displayName="D156_R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4" name="D156_R08" displayName="D156_R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5" name="D156_R09" displayName="D156_R09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6" name="D156_R10" displayName="D156_R1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7" name="D156_R11" displayName="D156_R1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8" name="D156_R12" displayName="D156_R1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9" name="D156_L01" displayName="D156_L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0" name="D156_L02" displayName="D156_L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1" name="D156_L03" displayName="D156_L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2" name="D156_L04" displayName="D156_L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3" name="D156_L05" displayName="D156_L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4" name="D156_L06" displayName="D156_L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D156_current" displayName="D156_current" ref="A5:K49" headerRowCount="1" totalsRowCount="0" totalsRowShown="0">
  <x:autoFilter ref="A5:K49"/>
  <x:tableColumns count="11">
    <x:tableColumn id="1" name="手法"/>
    <x:tableColumn id="2" name="完結親利益（円）"/>
    <x:tableColumn id="3" name="完結親損失（円）"/>
    <x:tableColumn id="4" name="継続親実現（円）"/>
    <x:tableColumn id="5" name="確定収支（円）"/>
    <x:tableColumn id="6" name="含み損益（円）"/>
    <x:tableColumn id="7" name="時価収支（円）"/>
    <x:tableColumn id="8" name="未返済枚数"/>
    <x:tableColumn id="9" name="新規回数"/>
    <x:tableColumn id="10" name="途中最悪収支（円）"/>
    <x:tableColumn id="11" name="最大下落額（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743c862f874b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d7b6cf866645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0e9c2a0531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d3337ba9a64e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5ccb6681c043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1a3a44291c41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4e56b8dcb7945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7f9e211697742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7d2dc9a1d0b45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a55af2bd1b24e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f724c07e5be4a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71b5eaf878a4b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78c7c48508b48a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7943938bde64de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18786977f77487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6dce66a18cc4d5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f2946e147374d7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a1a4df38a2140b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95616acb1814eb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4f2875fa4f94ef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f4185b0f3104c8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e455d6062e34dd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4b88679f5d44e6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2d246a8328c445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084a26776d974b2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c8a9e39392f341d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b68f64860317410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f99ee2554a2345f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144ad69e0e43424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706ae18edc2c40f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72b4088acc0f4c7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ea68cb36e965451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d5f67d0a4de84ed6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4a97abb192c2476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100346aa74a44d72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1cc346701248475c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cae94ee096a94a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df9dadcb60ad4006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87bb042e0b0c430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f61b6fb0ddfe440d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876da7fe38254e88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c032c814fc614802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fb0891c1f4574f58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3c7cc501080246d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953963647dc34f7e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432719c217eb4eaa" /></Relationships>
</file>

<file path=xl/worksheets/sheet1.xml><?xml version="1.0" encoding="utf-8"?>
<x:worksheet xmlns:x="http://schemas.openxmlformats.org/spreadsheetml/2006/main">
  <x:sheetPr>
    <x:tabColor rgb="FF264D7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利益保護・再参加・入口の比較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2026/09/21～10/26の26完了デイ。10/27途中は別表。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E/F/R/Lは調査00156内の比較ID。ラージ次正常気配の約定模型。手数料0。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0" t="str">
        <x:v>手法</x:v>
      </x:c>
      <x:c r="B5" s="10" t="str">
        <x:v>簡単な説明</x:v>
      </x:c>
      <x:c r="C5" s="10" t="str">
        <x:v>総利益（円）</x:v>
      </x:c>
      <x:c r="D5" s="10" t="str">
        <x:v>総損失（円）</x:v>
      </x:c>
      <x:c r="E5" s="10" t="str">
        <x:v>収支（円）</x:v>
      </x:c>
      <x:c r="F5" s="10" t="str">
        <x:v>利益／損失</x:v>
      </x:c>
      <x:c r="G5" s="10" t="str">
        <x:v>赤字場数</x:v>
      </x:c>
      <x:c r="H5" s="10" t="str">
        <x:v>平均赤字（円）</x:v>
      </x:c>
      <x:c r="I5" s="10" t="str">
        <x:v>最大赤字場（円）</x:v>
      </x:c>
      <x:c r="J5" s="10" t="str">
        <x:v>上位3黒字除外（円）</x:v>
      </x:c>
      <x:c r="K5" s="10" t="str">
        <x:v>新規回数</x:v>
      </x:c>
      <x:c r="L5" s="10" t="str">
        <x:v>途中最悪収支（円）</x:v>
      </x:c>
      <x:c r="M5" s="10" t="str">
        <x:v>最大下落額（円）</x:v>
      </x:c>
    </x:row>
    <x:row r="6" ht="43" customHeight="1">
      <x:c r="A6" s="2" t="str">
        <x:v>S01</x:v>
      </x:c>
      <x:c r="B6" s="16" t="str">
        <x:v>基準：現行基準。別入口の利益保護を追加したD07</x:v>
      </x:c>
      <x:c r="C6" s="6" t="n">
        <x:f>'日経_S01'!C32</x:f>
        <x:v>4231000</x:v>
      </x:c>
      <x:c r="D6" s="6" t="n">
        <x:f>'日経_S01'!D32</x:f>
        <x:v>2296000</x:v>
      </x:c>
      <x:c r="E6" s="6" t="n">
        <x:f>'日経_S01'!E32</x:f>
        <x:v>1935000</x:v>
      </x:c>
      <x:c r="F6" s="17" t="n">
        <x:f>IF(D6=0,"",C6/D6)</x:f>
        <x:v>1.8427700348432057</x:v>
      </x:c>
      <x:c r="G6" s="6" t="n">
        <x:f>COUNTIFS('日経_S01'!$E$6:$E$31,"&lt;0")</x:f>
        <x:v>8</x:v>
      </x:c>
      <x:c r="H6" s="6" t="n">
        <x:f>IF(G6=0,0,-SUMIFS('日経_S01'!$E$6:$E$31,'日経_S01'!$E$6:$E$31,"&lt;0")/G6)</x:f>
        <x:v>53500</x:v>
      </x:c>
      <x:c r="I6" s="6" t="n">
        <x:f>MAX(0,-MIN('日経_S01'!$E$6:$E$31))</x:f>
        <x:v>113000</x:v>
      </x:c>
      <x:c r="J6" s="6" t="n">
        <x:f>E6-MAX(0,LARGE('日経_S01'!$E$6:$E$31,1))-MAX(0,LARGE('日経_S01'!$E$6:$E$31,2))-MAX(0,LARGE('日経_S01'!$E$6:$E$31,3))</x:f>
        <x:v>919000</x:v>
      </x:c>
      <x:c r="K6" s="6" t="n">
        <x:v>204</x:v>
      </x:c>
      <x:c r="L6" s="6" t="n">
        <x:f>'日経_S01'!G32</x:f>
        <x:v>-203000</x:v>
      </x:c>
      <x:c r="M6" s="6" t="n">
        <x:f>'日経_S01'!H32</x:f>
        <x:v>294000</x:v>
      </x:c>
    </x:row>
    <x:row r="7" ht="43" customHeight="1">
      <x:c r="A7" s="2" t="str">
        <x:v>F01</x:v>
      </x:c>
      <x:c r="B7" s="16" t="str">
        <x:v>入口・出口の変更：玉別10pt追尾・起動含み正・元再参加</x:v>
      </x:c>
      <x:c r="C7" s="6" t="n">
        <x:f>'日経_F01'!C32</x:f>
        <x:v>304000</x:v>
      </x:c>
      <x:c r="D7" s="6" t="n">
        <x:f>'日経_F01'!D32</x:f>
        <x:v>602000</x:v>
      </x:c>
      <x:c r="E7" s="6" t="n">
        <x:f>'日経_F01'!E32</x:f>
        <x:v>-298000</x:v>
      </x:c>
      <x:c r="F7" s="17" t="n">
        <x:f>IF(D7=0,"",C7/D7)</x:f>
        <x:v>0.5049833887043189</x:v>
      </x:c>
      <x:c r="G7" s="6" t="n">
        <x:f>COUNTIFS('日経_F01'!$E$6:$E$31,"&lt;0")</x:f>
        <x:v>14</x:v>
      </x:c>
      <x:c r="H7" s="6" t="n">
        <x:f>IF(G7=0,0,-SUMIFS('日経_F01'!$E$6:$E$31,'日経_F01'!$E$6:$E$31,"&lt;0")/G7)</x:f>
        <x:v>30714.285714285714</x:v>
      </x:c>
      <x:c r="I7" s="6" t="n">
        <x:f>MAX(0,-MIN('日経_F01'!$E$6:$E$31))</x:f>
        <x:v>89000</x:v>
      </x:c>
      <x:c r="J7" s="6" t="n">
        <x:f>E7-MAX(0,LARGE('日経_F01'!$E$6:$E$31,1))-MAX(0,LARGE('日経_F01'!$E$6:$E$31,2))-MAX(0,LARGE('日経_F01'!$E$6:$E$31,3))</x:f>
        <x:v>-362000</x:v>
      </x:c>
      <x:c r="K7" s="6" t="n">
        <x:v>209</x:v>
      </x:c>
      <x:c r="L7" s="6" t="n">
        <x:f>'日経_F01'!G32</x:f>
        <x:v>-93000</x:v>
      </x:c>
      <x:c r="M7" s="6" t="n">
        <x:f>'日経_F01'!H32</x:f>
        <x:v>95000</x:v>
      </x:c>
    </x:row>
    <x:row r="8" ht="43" customHeight="1">
      <x:c r="A8" s="2" t="str">
        <x:v>F02</x:v>
      </x:c>
      <x:c r="B8" s="16" t="str">
        <x:v>入口・出口の変更：玉別10pt追尾・起動含み正・基準S01親占有制限</x:v>
      </x:c>
      <x:c r="C8" s="6" t="n">
        <x:f>'日経_F02'!C32</x:f>
        <x:v>304000</x:v>
      </x:c>
      <x:c r="D8" s="6" t="n">
        <x:f>'日経_F02'!D32</x:f>
        <x:v>602000</x:v>
      </x:c>
      <x:c r="E8" s="6" t="n">
        <x:f>'日経_F02'!E32</x:f>
        <x:v>-298000</x:v>
      </x:c>
      <x:c r="F8" s="17" t="n">
        <x:f>IF(D8=0,"",C8/D8)</x:f>
        <x:v>0.5049833887043189</x:v>
      </x:c>
      <x:c r="G8" s="6" t="n">
        <x:f>COUNTIFS('日経_F02'!$E$6:$E$31,"&lt;0")</x:f>
        <x:v>14</x:v>
      </x:c>
      <x:c r="H8" s="6" t="n">
        <x:f>IF(G8=0,0,-SUMIFS('日経_F02'!$E$6:$E$31,'日経_F02'!$E$6:$E$31,"&lt;0")/G8)</x:f>
        <x:v>30714.285714285714</x:v>
      </x:c>
      <x:c r="I8" s="6" t="n">
        <x:f>MAX(0,-MIN('日経_F02'!$E$6:$E$31))</x:f>
        <x:v>89000</x:v>
      </x:c>
      <x:c r="J8" s="6" t="n">
        <x:f>E8-MAX(0,LARGE('日経_F02'!$E$6:$E$31,1))-MAX(0,LARGE('日経_F02'!$E$6:$E$31,2))-MAX(0,LARGE('日経_F02'!$E$6:$E$31,3))</x:f>
        <x:v>-362000</x:v>
      </x:c>
      <x:c r="K8" s="6" t="n">
        <x:v>209</x:v>
      </x:c>
      <x:c r="L8" s="6" t="n">
        <x:f>'日経_F02'!G32</x:f>
        <x:v>-93000</x:v>
      </x:c>
      <x:c r="M8" s="6" t="n">
        <x:f>'日経_F02'!H32</x:f>
        <x:v>95000</x:v>
      </x:c>
    </x:row>
    <x:row r="9" ht="43" customHeight="1">
      <x:c r="A9" s="2" t="str">
        <x:v>F03</x:v>
      </x:c>
      <x:c r="B9" s="16" t="str">
        <x:v>入口・出口の変更：玉別10pt追尾・起動20pt・元再参加</x:v>
      </x:c>
      <x:c r="C9" s="6" t="n">
        <x:f>'日経_F03'!C32</x:f>
        <x:v>617000</x:v>
      </x:c>
      <x:c r="D9" s="6" t="n">
        <x:f>'日経_F03'!D32</x:f>
        <x:v>793000</x:v>
      </x:c>
      <x:c r="E9" s="6" t="n">
        <x:f>'日経_F03'!E32</x:f>
        <x:v>-176000</x:v>
      </x:c>
      <x:c r="F9" s="17" t="n">
        <x:f>IF(D9=0,"",C9/D9)</x:f>
        <x:v>0.7780580075662042</x:v>
      </x:c>
      <x:c r="G9" s="6" t="n">
        <x:f>COUNTIFS('日経_F03'!$E$6:$E$31,"&lt;0")</x:f>
        <x:v>12</x:v>
      </x:c>
      <x:c r="H9" s="6" t="n">
        <x:f>IF(G9=0,0,-SUMIFS('日経_F03'!$E$6:$E$31,'日経_F03'!$E$6:$E$31,"&lt;0")/G9)</x:f>
        <x:v>31000</x:v>
      </x:c>
      <x:c r="I9" s="6" t="n">
        <x:f>MAX(0,-MIN('日経_F03'!$E$6:$E$31))</x:f>
        <x:v>87000</x:v>
      </x:c>
      <x:c r="J9" s="6" t="n">
        <x:f>E9-MAX(0,LARGE('日経_F03'!$E$6:$E$31,1))-MAX(0,LARGE('日経_F03'!$E$6:$E$31,2))-MAX(0,LARGE('日経_F03'!$E$6:$E$31,3))</x:f>
        <x:v>-246000</x:v>
      </x:c>
      <x:c r="K9" s="6" t="n">
        <x:v>209</x:v>
      </x:c>
      <x:c r="L9" s="6" t="n">
        <x:f>'日経_F03'!G32</x:f>
        <x:v>-96000</x:v>
      </x:c>
      <x:c r="M9" s="6" t="n">
        <x:f>'日経_F03'!H32</x:f>
        <x:v>102000</x:v>
      </x:c>
    </x:row>
    <x:row r="10" ht="43" customHeight="1">
      <x:c r="A10" s="2" t="str">
        <x:v>F04</x:v>
      </x:c>
      <x:c r="B10" s="16" t="str">
        <x:v>入口・出口の変更：玉別10pt追尾・起動20pt・基準S01親占有制限</x:v>
      </x:c>
      <x:c r="C10" s="6" t="n">
        <x:f>'日経_F04'!C32</x:f>
        <x:v>617000</x:v>
      </x:c>
      <x:c r="D10" s="6" t="n">
        <x:f>'日経_F04'!D32</x:f>
        <x:v>793000</x:v>
      </x:c>
      <x:c r="E10" s="6" t="n">
        <x:f>'日経_F04'!E32</x:f>
        <x:v>-176000</x:v>
      </x:c>
      <x:c r="F10" s="17" t="n">
        <x:f>IF(D10=0,"",C10/D10)</x:f>
        <x:v>0.7780580075662042</x:v>
      </x:c>
      <x:c r="G10" s="6" t="n">
        <x:f>COUNTIFS('日経_F04'!$E$6:$E$31,"&lt;0")</x:f>
        <x:v>12</x:v>
      </x:c>
      <x:c r="H10" s="6" t="n">
        <x:f>IF(G10=0,0,-SUMIFS('日経_F04'!$E$6:$E$31,'日経_F04'!$E$6:$E$31,"&lt;0")/G10)</x:f>
        <x:v>31000</x:v>
      </x:c>
      <x:c r="I10" s="6" t="n">
        <x:f>MAX(0,-MIN('日経_F04'!$E$6:$E$31))</x:f>
        <x:v>87000</x:v>
      </x:c>
      <x:c r="J10" s="6" t="n">
        <x:f>E10-MAX(0,LARGE('日経_F04'!$E$6:$E$31,1))-MAX(0,LARGE('日経_F04'!$E$6:$E$31,2))-MAX(0,LARGE('日経_F04'!$E$6:$E$31,3))</x:f>
        <x:v>-246000</x:v>
      </x:c>
      <x:c r="K10" s="6" t="n">
        <x:v>209</x:v>
      </x:c>
      <x:c r="L10" s="6" t="n">
        <x:f>'日経_F04'!G32</x:f>
        <x:v>-96000</x:v>
      </x:c>
      <x:c r="M10" s="6" t="n">
        <x:f>'日経_F04'!H32</x:f>
        <x:v>102000</x:v>
      </x:c>
    </x:row>
    <x:row r="11" ht="43" customHeight="1">
      <x:c r="A11" s="2" t="str">
        <x:v>F05</x:v>
      </x:c>
      <x:c r="B11" s="16" t="str">
        <x:v>入口・出口の変更：玉別20pt追尾・起動含み正・元再参加</x:v>
      </x:c>
      <x:c r="C11" s="6" t="n">
        <x:f>'日経_F05'!C32</x:f>
        <x:v>234000</x:v>
      </x:c>
      <x:c r="D11" s="6" t="n">
        <x:f>'日経_F05'!D32</x:f>
        <x:v>600000</x:v>
      </x:c>
      <x:c r="E11" s="6" t="n">
        <x:f>'日経_F05'!E32</x:f>
        <x:v>-366000</x:v>
      </x:c>
      <x:c r="F11" s="17" t="n">
        <x:f>IF(D11=0,"",C11/D11)</x:f>
        <x:v>0.39</x:v>
      </x:c>
      <x:c r="G11" s="6" t="n">
        <x:f>COUNTIFS('日経_F05'!$E$6:$E$31,"&lt;0")</x:f>
        <x:v>14</x:v>
      </x:c>
      <x:c r="H11" s="6" t="n">
        <x:f>IF(G11=0,0,-SUMIFS('日経_F05'!$E$6:$E$31,'日経_F05'!$E$6:$E$31,"&lt;0")/G11)</x:f>
        <x:v>33571.42857142857</x:v>
      </x:c>
      <x:c r="I11" s="6" t="n">
        <x:f>MAX(0,-MIN('日経_F05'!$E$6:$E$31))</x:f>
        <x:v>100000</x:v>
      </x:c>
      <x:c r="J11" s="6" t="n">
        <x:f>E11-MAX(0,LARGE('日経_F05'!$E$6:$E$31,1))-MAX(0,LARGE('日経_F05'!$E$6:$E$31,2))-MAX(0,LARGE('日経_F05'!$E$6:$E$31,3))</x:f>
        <x:v>-431000</x:v>
      </x:c>
      <x:c r="K11" s="6" t="n">
        <x:v>209</x:v>
      </x:c>
      <x:c r="L11" s="6" t="n">
        <x:f>'日経_F05'!G32</x:f>
        <x:v>-104000</x:v>
      </x:c>
      <x:c r="M11" s="6" t="n">
        <x:f>'日経_F05'!H32</x:f>
        <x:v>106000</x:v>
      </x:c>
    </x:row>
    <x:row r="12" ht="43" customHeight="1">
      <x:c r="A12" s="2" t="str">
        <x:v>F06</x:v>
      </x:c>
      <x:c r="B12" s="16" t="str">
        <x:v>入口・出口の変更：玉別20pt追尾・起動含み正・基準S01親占有制限</x:v>
      </x:c>
      <x:c r="C12" s="6" t="n">
        <x:f>'日経_F06'!C32</x:f>
        <x:v>234000</x:v>
      </x:c>
      <x:c r="D12" s="6" t="n">
        <x:f>'日経_F06'!D32</x:f>
        <x:v>600000</x:v>
      </x:c>
      <x:c r="E12" s="6" t="n">
        <x:f>'日経_F06'!E32</x:f>
        <x:v>-366000</x:v>
      </x:c>
      <x:c r="F12" s="17" t="n">
        <x:f>IF(D12=0,"",C12/D12)</x:f>
        <x:v>0.39</x:v>
      </x:c>
      <x:c r="G12" s="6" t="n">
        <x:f>COUNTIFS('日経_F06'!$E$6:$E$31,"&lt;0")</x:f>
        <x:v>14</x:v>
      </x:c>
      <x:c r="H12" s="6" t="n">
        <x:f>IF(G12=0,0,-SUMIFS('日経_F06'!$E$6:$E$31,'日経_F06'!$E$6:$E$31,"&lt;0")/G12)</x:f>
        <x:v>33571.42857142857</x:v>
      </x:c>
      <x:c r="I12" s="6" t="n">
        <x:f>MAX(0,-MIN('日経_F06'!$E$6:$E$31))</x:f>
        <x:v>100000</x:v>
      </x:c>
      <x:c r="J12" s="6" t="n">
        <x:f>E12-MAX(0,LARGE('日経_F06'!$E$6:$E$31,1))-MAX(0,LARGE('日経_F06'!$E$6:$E$31,2))-MAX(0,LARGE('日経_F06'!$E$6:$E$31,3))</x:f>
        <x:v>-431000</x:v>
      </x:c>
      <x:c r="K12" s="6" t="n">
        <x:v>209</x:v>
      </x:c>
      <x:c r="L12" s="6" t="n">
        <x:f>'日経_F06'!G32</x:f>
        <x:v>-104000</x:v>
      </x:c>
      <x:c r="M12" s="6" t="n">
        <x:f>'日経_F06'!H32</x:f>
        <x:v>106000</x:v>
      </x:c>
    </x:row>
    <x:row r="13" ht="43" customHeight="1">
      <x:c r="A13" s="2" t="str">
        <x:v>F07</x:v>
      </x:c>
      <x:c r="B13" s="16" t="str">
        <x:v>入口・出口の変更：玉別20pt追尾・起動20pt・元再参加</x:v>
      </x:c>
      <x:c r="C13" s="6" t="n">
        <x:f>'日経_F07'!C32</x:f>
        <x:v>521000</x:v>
      </x:c>
      <x:c r="D13" s="6" t="n">
        <x:f>'日経_F07'!D32</x:f>
        <x:v>793000</x:v>
      </x:c>
      <x:c r="E13" s="6" t="n">
        <x:f>'日経_F07'!E32</x:f>
        <x:v>-272000</x:v>
      </x:c>
      <x:c r="F13" s="17" t="n">
        <x:f>IF(D13=0,"",C13/D13)</x:f>
        <x:v>0.6569987389659521</x:v>
      </x:c>
      <x:c r="G13" s="6" t="n">
        <x:f>COUNTIFS('日経_F07'!$E$6:$E$31,"&lt;0")</x:f>
        <x:v>12</x:v>
      </x:c>
      <x:c r="H13" s="6" t="n">
        <x:f>IF(G13=0,0,-SUMIFS('日経_F07'!$E$6:$E$31,'日経_F07'!$E$6:$E$31,"&lt;0")/G13)</x:f>
        <x:v>39583.333333333336</x:v>
      </x:c>
      <x:c r="I13" s="6" t="n">
        <x:f>MAX(0,-MIN('日経_F07'!$E$6:$E$31))</x:f>
        <x:v>92000</x:v>
      </x:c>
      <x:c r="J13" s="6" t="n">
        <x:f>E13-MAX(0,LARGE('日経_F07'!$E$6:$E$31,1))-MAX(0,LARGE('日経_F07'!$E$6:$E$31,2))-MAX(0,LARGE('日経_F07'!$E$6:$E$31,3))</x:f>
        <x:v>-355000</x:v>
      </x:c>
      <x:c r="K13" s="6" t="n">
        <x:v>209</x:v>
      </x:c>
      <x:c r="L13" s="6" t="n">
        <x:f>'日経_F07'!G32</x:f>
        <x:v>-106000</x:v>
      </x:c>
      <x:c r="M13" s="6" t="n">
        <x:f>'日経_F07'!H32</x:f>
        <x:v>112000</x:v>
      </x:c>
    </x:row>
    <x:row r="14" ht="43" customHeight="1">
      <x:c r="A14" s="2" t="str">
        <x:v>F08</x:v>
      </x:c>
      <x:c r="B14" s="16" t="str">
        <x:v>入口・出口の変更：玉別20pt追尾・起動20pt・基準S01親占有制限</x:v>
      </x:c>
      <x:c r="C14" s="6" t="n">
        <x:f>'日経_F08'!C32</x:f>
        <x:v>521000</x:v>
      </x:c>
      <x:c r="D14" s="6" t="n">
        <x:f>'日経_F08'!D32</x:f>
        <x:v>793000</x:v>
      </x:c>
      <x:c r="E14" s="6" t="n">
        <x:f>'日経_F08'!E32</x:f>
        <x:v>-272000</x:v>
      </x:c>
      <x:c r="F14" s="17" t="n">
        <x:f>IF(D14=0,"",C14/D14)</x:f>
        <x:v>0.6569987389659521</x:v>
      </x:c>
      <x:c r="G14" s="6" t="n">
        <x:f>COUNTIFS('日経_F08'!$E$6:$E$31,"&lt;0")</x:f>
        <x:v>12</x:v>
      </x:c>
      <x:c r="H14" s="6" t="n">
        <x:f>IF(G14=0,0,-SUMIFS('日経_F08'!$E$6:$E$31,'日経_F08'!$E$6:$E$31,"&lt;0")/G14)</x:f>
        <x:v>39583.333333333336</x:v>
      </x:c>
      <x:c r="I14" s="6" t="n">
        <x:f>MAX(0,-MIN('日経_F08'!$E$6:$E$31))</x:f>
        <x:v>92000</x:v>
      </x:c>
      <x:c r="J14" s="6" t="n">
        <x:f>E14-MAX(0,LARGE('日経_F08'!$E$6:$E$31,1))-MAX(0,LARGE('日経_F08'!$E$6:$E$31,2))-MAX(0,LARGE('日経_F08'!$E$6:$E$31,3))</x:f>
        <x:v>-355000</x:v>
      </x:c>
      <x:c r="K14" s="6" t="n">
        <x:v>209</x:v>
      </x:c>
      <x:c r="L14" s="6" t="n">
        <x:f>'日経_F08'!G32</x:f>
        <x:v>-106000</x:v>
      </x:c>
      <x:c r="M14" s="6" t="n">
        <x:f>'日経_F08'!H32</x:f>
        <x:v>112000</x:v>
      </x:c>
    </x:row>
    <x:row r="15" ht="43" customHeight="1">
      <x:c r="A15" s="2" t="str">
        <x:v>F09</x:v>
      </x:c>
      <x:c r="B15" s="16" t="str">
        <x:v>入口・出口の変更：玉別40pt追尾・起動含み正・元再参加</x:v>
      </x:c>
      <x:c r="C15" s="6" t="n">
        <x:f>'日経_F09'!C32</x:f>
        <x:v>187000</x:v>
      </x:c>
      <x:c r="D15" s="6" t="n">
        <x:f>'日経_F09'!D32</x:f>
        <x:v>601000</x:v>
      </x:c>
      <x:c r="E15" s="6" t="n">
        <x:f>'日経_F09'!E32</x:f>
        <x:v>-414000</x:v>
      </x:c>
      <x:c r="F15" s="17" t="n">
        <x:f>IF(D15=0,"",C15/D15)</x:f>
        <x:v>0.31114808652246256</x:v>
      </x:c>
      <x:c r="G15" s="6" t="n">
        <x:f>COUNTIFS('日経_F09'!$E$6:$E$31,"&lt;0")</x:f>
        <x:v>15</x:v>
      </x:c>
      <x:c r="H15" s="6" t="n">
        <x:f>IF(G15=0,0,-SUMIFS('日経_F09'!$E$6:$E$31,'日経_F09'!$E$6:$E$31,"&lt;0")/G15)</x:f>
        <x:v>33066.666666666664</x:v>
      </x:c>
      <x:c r="I15" s="6" t="n">
        <x:f>MAX(0,-MIN('日経_F09'!$E$6:$E$31))</x:f>
        <x:v>104000</x:v>
      </x:c>
      <x:c r="J15" s="6" t="n">
        <x:f>E15-MAX(0,LARGE('日経_F09'!$E$6:$E$31,1))-MAX(0,LARGE('日経_F09'!$E$6:$E$31,2))-MAX(0,LARGE('日経_F09'!$E$6:$E$31,3))</x:f>
        <x:v>-466000</x:v>
      </x:c>
      <x:c r="K15" s="6" t="n">
        <x:v>209</x:v>
      </x:c>
      <x:c r="L15" s="6" t="n">
        <x:f>'日経_F09'!G32</x:f>
        <x:v>-108000</x:v>
      </x:c>
      <x:c r="M15" s="6" t="n">
        <x:f>'日経_F09'!H32</x:f>
        <x:v>110000</x:v>
      </x:c>
    </x:row>
    <x:row r="16" ht="43" customHeight="1">
      <x:c r="A16" s="2" t="str">
        <x:v>F10</x:v>
      </x:c>
      <x:c r="B16" s="16" t="str">
        <x:v>入口・出口の変更：玉別40pt追尾・起動含み正・基準S01親占有制限</x:v>
      </x:c>
      <x:c r="C16" s="6" t="n">
        <x:f>'日経_F10'!C32</x:f>
        <x:v>187000</x:v>
      </x:c>
      <x:c r="D16" s="6" t="n">
        <x:f>'日経_F10'!D32</x:f>
        <x:v>601000</x:v>
      </x:c>
      <x:c r="E16" s="6" t="n">
        <x:f>'日経_F10'!E32</x:f>
        <x:v>-414000</x:v>
      </x:c>
      <x:c r="F16" s="17" t="n">
        <x:f>IF(D16=0,"",C16/D16)</x:f>
        <x:v>0.31114808652246256</x:v>
      </x:c>
      <x:c r="G16" s="6" t="n">
        <x:f>COUNTIFS('日経_F10'!$E$6:$E$31,"&lt;0")</x:f>
        <x:v>15</x:v>
      </x:c>
      <x:c r="H16" s="6" t="n">
        <x:f>IF(G16=0,0,-SUMIFS('日経_F10'!$E$6:$E$31,'日経_F10'!$E$6:$E$31,"&lt;0")/G16)</x:f>
        <x:v>33066.666666666664</x:v>
      </x:c>
      <x:c r="I16" s="6" t="n">
        <x:f>MAX(0,-MIN('日経_F10'!$E$6:$E$31))</x:f>
        <x:v>104000</x:v>
      </x:c>
      <x:c r="J16" s="6" t="n">
        <x:f>E16-MAX(0,LARGE('日経_F10'!$E$6:$E$31,1))-MAX(0,LARGE('日経_F10'!$E$6:$E$31,2))-MAX(0,LARGE('日経_F10'!$E$6:$E$31,3))</x:f>
        <x:v>-466000</x:v>
      </x:c>
      <x:c r="K16" s="6" t="n">
        <x:v>209</x:v>
      </x:c>
      <x:c r="L16" s="6" t="n">
        <x:f>'日経_F10'!G32</x:f>
        <x:v>-108000</x:v>
      </x:c>
      <x:c r="M16" s="6" t="n">
        <x:f>'日経_F10'!H32</x:f>
        <x:v>110000</x:v>
      </x:c>
    </x:row>
    <x:row r="17" ht="43" customHeight="1">
      <x:c r="A17" s="2" t="str">
        <x:v>F11</x:v>
      </x:c>
      <x:c r="B17" s="16" t="str">
        <x:v>入口・出口の変更：玉別40pt追尾・起動20pt・元再参加</x:v>
      </x:c>
      <x:c r="C17" s="6" t="n">
        <x:f>'日経_F11'!C32</x:f>
        <x:v>494000</x:v>
      </x:c>
      <x:c r="D17" s="6" t="n">
        <x:f>'日経_F11'!D32</x:f>
        <x:v>800000</x:v>
      </x:c>
      <x:c r="E17" s="6" t="n">
        <x:f>'日経_F11'!E32</x:f>
        <x:v>-306000</x:v>
      </x:c>
      <x:c r="F17" s="17" t="n">
        <x:f>IF(D17=0,"",C17/D17)</x:f>
        <x:v>0.6175</x:v>
      </x:c>
      <x:c r="G17" s="6" t="n">
        <x:f>COUNTIFS('日経_F11'!$E$6:$E$31,"&lt;0")</x:f>
        <x:v>14</x:v>
      </x:c>
      <x:c r="H17" s="6" t="n">
        <x:f>IF(G17=0,0,-SUMIFS('日経_F11'!$E$6:$E$31,'日経_F11'!$E$6:$E$31,"&lt;0")/G17)</x:f>
        <x:v>35928.57142857143</x:v>
      </x:c>
      <x:c r="I17" s="6" t="n">
        <x:f>MAX(0,-MIN('日経_F11'!$E$6:$E$31))</x:f>
        <x:v>103000</x:v>
      </x:c>
      <x:c r="J17" s="6" t="n">
        <x:f>E17-MAX(0,LARGE('日経_F11'!$E$6:$E$31,1))-MAX(0,LARGE('日経_F11'!$E$6:$E$31,2))-MAX(0,LARGE('日経_F11'!$E$6:$E$31,3))</x:f>
        <x:v>-433000</x:v>
      </x:c>
      <x:c r="K17" s="6" t="n">
        <x:v>207</x:v>
      </x:c>
      <x:c r="L17" s="6" t="n">
        <x:f>'日経_F11'!G32</x:f>
        <x:v>-117000</x:v>
      </x:c>
      <x:c r="M17" s="6" t="n">
        <x:f>'日経_F11'!H32</x:f>
        <x:v>123000</x:v>
      </x:c>
    </x:row>
    <x:row r="18" ht="43" customHeight="1">
      <x:c r="A18" s="2" t="str">
        <x:v>F12</x:v>
      </x:c>
      <x:c r="B18" s="16" t="str">
        <x:v>入口・出口の変更：玉別40pt追尾・起動20pt・基準S01親占有制限</x:v>
      </x:c>
      <x:c r="C18" s="6" t="n">
        <x:f>'日経_F12'!C32</x:f>
        <x:v>494000</x:v>
      </x:c>
      <x:c r="D18" s="6" t="n">
        <x:f>'日経_F12'!D32</x:f>
        <x:v>800000</x:v>
      </x:c>
      <x:c r="E18" s="6" t="n">
        <x:f>'日経_F12'!E32</x:f>
        <x:v>-306000</x:v>
      </x:c>
      <x:c r="F18" s="17" t="n">
        <x:f>IF(D18=0,"",C18/D18)</x:f>
        <x:v>0.6175</x:v>
      </x:c>
      <x:c r="G18" s="6" t="n">
        <x:f>COUNTIFS('日経_F12'!$E$6:$E$31,"&lt;0")</x:f>
        <x:v>14</x:v>
      </x:c>
      <x:c r="H18" s="6" t="n">
        <x:f>IF(G18=0,0,-SUMIFS('日経_F12'!$E$6:$E$31,'日経_F12'!$E$6:$E$31,"&lt;0")/G18)</x:f>
        <x:v>35928.57142857143</x:v>
      </x:c>
      <x:c r="I18" s="6" t="n">
        <x:f>MAX(0,-MIN('日経_F12'!$E$6:$E$31))</x:f>
        <x:v>103000</x:v>
      </x:c>
      <x:c r="J18" s="6" t="n">
        <x:f>E18-MAX(0,LARGE('日経_F12'!$E$6:$E$31,1))-MAX(0,LARGE('日経_F12'!$E$6:$E$31,2))-MAX(0,LARGE('日経_F12'!$E$6:$E$31,3))</x:f>
        <x:v>-433000</x:v>
      </x:c>
      <x:c r="K18" s="6" t="n">
        <x:v>207</x:v>
      </x:c>
      <x:c r="L18" s="6" t="n">
        <x:f>'日経_F12'!G32</x:f>
        <x:v>-117000</x:v>
      </x:c>
      <x:c r="M18" s="6" t="n">
        <x:f>'日経_F12'!H32</x:f>
        <x:v>123000</x:v>
      </x:c>
    </x:row>
    <x:row r="19" ht="43" customHeight="1">
      <x:c r="A19" s="2" t="str">
        <x:v>F13</x:v>
      </x:c>
      <x:c r="B19" s="16" t="str">
        <x:v>入口・出口の変更：玉別80pt追尾・起動含み正・元再参加</x:v>
      </x:c>
      <x:c r="C19" s="6" t="n">
        <x:f>'日経_F13'!C32</x:f>
        <x:v>296000</x:v>
      </x:c>
      <x:c r="D19" s="6" t="n">
        <x:f>'日経_F13'!D32</x:f>
        <x:v>603000</x:v>
      </x:c>
      <x:c r="E19" s="6" t="n">
        <x:f>'日経_F13'!E32</x:f>
        <x:v>-307000</x:v>
      </x:c>
      <x:c r="F19" s="17" t="n">
        <x:f>IF(D19=0,"",C19/D19)</x:f>
        <x:v>0.49087893864013266</x:v>
      </x:c>
      <x:c r="G19" s="6" t="n">
        <x:f>COUNTIFS('日経_F13'!$E$6:$E$31,"&lt;0")</x:f>
        <x:v>15</x:v>
      </x:c>
      <x:c r="H19" s="6" t="n">
        <x:f>IF(G19=0,0,-SUMIFS('日経_F13'!$E$6:$E$31,'日経_F13'!$E$6:$E$31,"&lt;0")/G19)</x:f>
        <x:v>33733.333333333336</x:v>
      </x:c>
      <x:c r="I19" s="6" t="n">
        <x:f>MAX(0,-MIN('日経_F13'!$E$6:$E$31))</x:f>
        <x:v>104000</x:v>
      </x:c>
      <x:c r="J19" s="6" t="n">
        <x:f>E19-MAX(0,LARGE('日経_F13'!$E$6:$E$31,1))-MAX(0,LARGE('日経_F13'!$E$6:$E$31,2))-MAX(0,LARGE('日経_F13'!$E$6:$E$31,3))</x:f>
        <x:v>-482000</x:v>
      </x:c>
      <x:c r="K19" s="6" t="n">
        <x:v>209</x:v>
      </x:c>
      <x:c r="L19" s="6" t="n">
        <x:f>'日経_F13'!G32</x:f>
        <x:v>-108000</x:v>
      </x:c>
      <x:c r="M19" s="6" t="n">
        <x:f>'日経_F13'!H32</x:f>
        <x:v>110000</x:v>
      </x:c>
    </x:row>
    <x:row r="20" ht="43" customHeight="1">
      <x:c r="A20" s="2" t="str">
        <x:v>F14</x:v>
      </x:c>
      <x:c r="B20" s="16" t="str">
        <x:v>入口・出口の変更：玉別80pt追尾・起動含み正・基準S01親占有制限</x:v>
      </x:c>
      <x:c r="C20" s="6" t="n">
        <x:f>'日経_F14'!C32</x:f>
        <x:v>296000</x:v>
      </x:c>
      <x:c r="D20" s="6" t="n">
        <x:f>'日経_F14'!D32</x:f>
        <x:v>603000</x:v>
      </x:c>
      <x:c r="E20" s="6" t="n">
        <x:f>'日経_F14'!E32</x:f>
        <x:v>-307000</x:v>
      </x:c>
      <x:c r="F20" s="17" t="n">
        <x:f>IF(D20=0,"",C20/D20)</x:f>
        <x:v>0.49087893864013266</x:v>
      </x:c>
      <x:c r="G20" s="6" t="n">
        <x:f>COUNTIFS('日経_F14'!$E$6:$E$31,"&lt;0")</x:f>
        <x:v>15</x:v>
      </x:c>
      <x:c r="H20" s="6" t="n">
        <x:f>IF(G20=0,0,-SUMIFS('日経_F14'!$E$6:$E$31,'日経_F14'!$E$6:$E$31,"&lt;0")/G20)</x:f>
        <x:v>33733.333333333336</x:v>
      </x:c>
      <x:c r="I20" s="6" t="n">
        <x:f>MAX(0,-MIN('日経_F14'!$E$6:$E$31))</x:f>
        <x:v>104000</x:v>
      </x:c>
      <x:c r="J20" s="6" t="n">
        <x:f>E20-MAX(0,LARGE('日経_F14'!$E$6:$E$31,1))-MAX(0,LARGE('日経_F14'!$E$6:$E$31,2))-MAX(0,LARGE('日経_F14'!$E$6:$E$31,3))</x:f>
        <x:v>-482000</x:v>
      </x:c>
      <x:c r="K20" s="6" t="n">
        <x:v>209</x:v>
      </x:c>
      <x:c r="L20" s="6" t="n">
        <x:f>'日経_F14'!G32</x:f>
        <x:v>-108000</x:v>
      </x:c>
      <x:c r="M20" s="6" t="n">
        <x:f>'日経_F14'!H32</x:f>
        <x:v>110000</x:v>
      </x:c>
    </x:row>
    <x:row r="21" ht="43" customHeight="1">
      <x:c r="A21" s="2" t="str">
        <x:v>F15</x:v>
      </x:c>
      <x:c r="B21" s="16" t="str">
        <x:v>入口・出口の変更：玉別80pt追尾・起動20pt・元再参加</x:v>
      </x:c>
      <x:c r="C21" s="6" t="n">
        <x:f>'日経_F15'!C32</x:f>
        <x:v>627000</x:v>
      </x:c>
      <x:c r="D21" s="6" t="n">
        <x:f>'日経_F15'!D32</x:f>
        <x:v>798000</x:v>
      </x:c>
      <x:c r="E21" s="6" t="n">
        <x:f>'日経_F15'!E32</x:f>
        <x:v>-171000</x:v>
      </x:c>
      <x:c r="F21" s="17" t="n">
        <x:f>IF(D21=0,"",C21/D21)</x:f>
        <x:v>0.7857142857142857</x:v>
      </x:c>
      <x:c r="G21" s="6" t="n">
        <x:f>COUNTIFS('日経_F15'!$E$6:$E$31,"&lt;0")</x:f>
        <x:v>14</x:v>
      </x:c>
      <x:c r="H21" s="6" t="n">
        <x:f>IF(G21=0,0,-SUMIFS('日経_F15'!$E$6:$E$31,'日経_F15'!$E$6:$E$31,"&lt;0")/G21)</x:f>
        <x:v>39142.857142857145</x:v>
      </x:c>
      <x:c r="I21" s="6" t="n">
        <x:f>MAX(0,-MIN('日経_F15'!$E$6:$E$31))</x:f>
        <x:v>113000</x:v>
      </x:c>
      <x:c r="J21" s="6" t="n">
        <x:f>E21-MAX(0,LARGE('日経_F15'!$E$6:$E$31,1))-MAX(0,LARGE('日経_F15'!$E$6:$E$31,2))-MAX(0,LARGE('日経_F15'!$E$6:$E$31,3))</x:f>
        <x:v>-435000</x:v>
      </x:c>
      <x:c r="K21" s="6" t="n">
        <x:v>207</x:v>
      </x:c>
      <x:c r="L21" s="6" t="n">
        <x:f>'日経_F15'!G32</x:f>
        <x:v>-117000</x:v>
      </x:c>
      <x:c r="M21" s="6" t="n">
        <x:f>'日経_F15'!H32</x:f>
        <x:v>123000</x:v>
      </x:c>
    </x:row>
    <x:row r="22" ht="43" customHeight="1">
      <x:c r="A22" s="2" t="str">
        <x:v>F16</x:v>
      </x:c>
      <x:c r="B22" s="16" t="str">
        <x:v>入口・出口の変更：玉別80pt追尾・起動20pt・基準S01親占有制限</x:v>
      </x:c>
      <x:c r="C22" s="6" t="n">
        <x:f>'日経_F16'!C32</x:f>
        <x:v>627000</x:v>
      </x:c>
      <x:c r="D22" s="6" t="n">
        <x:f>'日経_F16'!D32</x:f>
        <x:v>798000</x:v>
      </x:c>
      <x:c r="E22" s="6" t="n">
        <x:f>'日経_F16'!E32</x:f>
        <x:v>-171000</x:v>
      </x:c>
      <x:c r="F22" s="17" t="n">
        <x:f>IF(D22=0,"",C22/D22)</x:f>
        <x:v>0.7857142857142857</x:v>
      </x:c>
      <x:c r="G22" s="6" t="n">
        <x:f>COUNTIFS('日経_F16'!$E$6:$E$31,"&lt;0")</x:f>
        <x:v>14</x:v>
      </x:c>
      <x:c r="H22" s="6" t="n">
        <x:f>IF(G22=0,0,-SUMIFS('日経_F16'!$E$6:$E$31,'日経_F16'!$E$6:$E$31,"&lt;0")/G22)</x:f>
        <x:v>39142.857142857145</x:v>
      </x:c>
      <x:c r="I22" s="6" t="n">
        <x:f>MAX(0,-MIN('日経_F16'!$E$6:$E$31))</x:f>
        <x:v>113000</x:v>
      </x:c>
      <x:c r="J22" s="6" t="n">
        <x:f>E22-MAX(0,LARGE('日経_F16'!$E$6:$E$31,1))-MAX(0,LARGE('日経_F16'!$E$6:$E$31,2))-MAX(0,LARGE('日経_F16'!$E$6:$E$31,3))</x:f>
        <x:v>-435000</x:v>
      </x:c>
      <x:c r="K22" s="6" t="n">
        <x:v>207</x:v>
      </x:c>
      <x:c r="L22" s="6" t="n">
        <x:f>'日経_F16'!G32</x:f>
        <x:v>-117000</x:v>
      </x:c>
      <x:c r="M22" s="6" t="n">
        <x:f>'日経_F16'!H32</x:f>
        <x:v>123000</x:v>
      </x:c>
    </x:row>
    <x:row r="23" ht="43" customHeight="1">
      <x:c r="A23" s="2" t="str">
        <x:v>E01</x:v>
      </x:c>
      <x:c r="B23" s="16" t="str">
        <x:v>入口・出口の変更：確定2分の順行を確認して新規・出口はS01</x:v>
      </x:c>
      <x:c r="C23" s="6" t="n">
        <x:f>'日経_E01'!C32</x:f>
        <x:v>2779000</x:v>
      </x:c>
      <x:c r="D23" s="6" t="n">
        <x:f>'日経_E01'!D32</x:f>
        <x:v>1436000</x:v>
      </x:c>
      <x:c r="E23" s="6" t="n">
        <x:f>'日経_E01'!E32</x:f>
        <x:v>1343000</x:v>
      </x:c>
      <x:c r="F23" s="17" t="n">
        <x:f>IF(D23=0,"",C23/D23)</x:f>
        <x:v>1.9352367688022285</x:v>
      </x:c>
      <x:c r="G23" s="6" t="n">
        <x:f>COUNTIFS('日経_E01'!$E$6:$E$31,"&lt;0")</x:f>
        <x:v>8</x:v>
      </x:c>
      <x:c r="H23" s="6" t="n">
        <x:f>IF(G23=0,0,-SUMIFS('日経_E01'!$E$6:$E$31,'日経_E01'!$E$6:$E$31,"&lt;0")/G23)</x:f>
        <x:v>55750</x:v>
      </x:c>
      <x:c r="I23" s="6" t="n">
        <x:f>MAX(0,-MIN('日経_E01'!$E$6:$E$31))</x:f>
        <x:v>133000</x:v>
      </x:c>
      <x:c r="J23" s="6" t="n">
        <x:f>E23-MAX(0,LARGE('日経_E01'!$E$6:$E$31,1))-MAX(0,LARGE('日経_E01'!$E$6:$E$31,2))-MAX(0,LARGE('日経_E01'!$E$6:$E$31,3))</x:f>
        <x:v>490000</x:v>
      </x:c>
      <x:c r="K23" s="6" t="n">
        <x:v>169</x:v>
      </x:c>
      <x:c r="L23" s="6" t="n">
        <x:f>'日経_E01'!G32</x:f>
        <x:v>-133000</x:v>
      </x:c>
      <x:c r="M23" s="6" t="n">
        <x:f>'日経_E01'!H32</x:f>
        <x:v>218000</x:v>
      </x:c>
    </x:row>
    <x:row r="24" ht="43" customHeight="1">
      <x:c r="A24" s="2" t="str">
        <x:v>E02</x:v>
      </x:c>
      <x:c r="B24" s="16" t="str">
        <x:v>入口・出口の変更：確定2分の順行を確認して新規・20pt利益追尾</x:v>
      </x:c>
      <x:c r="C24" s="6" t="n">
        <x:f>'日経_E02'!C32</x:f>
        <x:v>189000</x:v>
      </x:c>
      <x:c r="D24" s="6" t="n">
        <x:f>'日経_E02'!D32</x:f>
        <x:v>410000</x:v>
      </x:c>
      <x:c r="E24" s="6" t="n">
        <x:f>'日経_E02'!E32</x:f>
        <x:v>-221000</x:v>
      </x:c>
      <x:c r="F24" s="17" t="n">
        <x:f>IF(D24=0,"",C24/D24)</x:f>
        <x:v>0.4609756097560976</x:v>
      </x:c>
      <x:c r="G24" s="6" t="n">
        <x:f>COUNTIFS('日経_E02'!$E$6:$E$31,"&lt;0")</x:f>
        <x:v>10</x:v>
      </x:c>
      <x:c r="H24" s="6" t="n">
        <x:f>IF(G24=0,0,-SUMIFS('日経_E02'!$E$6:$E$31,'日経_E02'!$E$6:$E$31,"&lt;0")/G24)</x:f>
        <x:v>30600</x:v>
      </x:c>
      <x:c r="I24" s="6" t="n">
        <x:f>MAX(0,-MIN('日経_E02'!$E$6:$E$31))</x:f>
        <x:v>100000</x:v>
      </x:c>
      <x:c r="J24" s="6" t="n">
        <x:f>E24-MAX(0,LARGE('日経_E02'!$E$6:$E$31,1))-MAX(0,LARGE('日経_E02'!$E$6:$E$31,2))-MAX(0,LARGE('日経_E02'!$E$6:$E$31,3))</x:f>
        <x:v>-281000</x:v>
      </x:c>
      <x:c r="K24" s="6" t="n">
        <x:v>174</x:v>
      </x:c>
      <x:c r="L24" s="6" t="n">
        <x:f>'日経_E02'!G32</x:f>
        <x:v>-104000</x:v>
      </x:c>
      <x:c r="M24" s="6" t="n">
        <x:f>'日経_E02'!H32</x:f>
        <x:v>106000</x:v>
      </x:c>
    </x:row>
    <x:row r="25" ht="43" customHeight="1">
      <x:c r="A25" s="2" t="str">
        <x:v>E03</x:v>
      </x:c>
      <x:c r="B25" s="16" t="str">
        <x:v>入口・出口の変更：確定2分の順行を確認して新規・40pt利益追尾</x:v>
      </x:c>
      <x:c r="C25" s="6" t="n">
        <x:f>'日経_E03'!C32</x:f>
        <x:v>162000</x:v>
      </x:c>
      <x:c r="D25" s="6" t="n">
        <x:f>'日経_E03'!D32</x:f>
        <x:v>411000</x:v>
      </x:c>
      <x:c r="E25" s="6" t="n">
        <x:f>'日経_E03'!E32</x:f>
        <x:v>-249000</x:v>
      </x:c>
      <x:c r="F25" s="17" t="n">
        <x:f>IF(D25=0,"",C25/D25)</x:f>
        <x:v>0.39416058394160586</x:v>
      </x:c>
      <x:c r="G25" s="6" t="n">
        <x:f>COUNTIFS('日経_E03'!$E$6:$E$31,"&lt;0")</x:f>
        <x:v>11</x:v>
      </x:c>
      <x:c r="H25" s="6" t="n">
        <x:f>IF(G25=0,0,-SUMIFS('日経_E03'!$E$6:$E$31,'日経_E03'!$E$6:$E$31,"&lt;0")/G25)</x:f>
        <x:v>29727.272727272728</x:v>
      </x:c>
      <x:c r="I25" s="6" t="n">
        <x:f>MAX(0,-MIN('日経_E03'!$E$6:$E$31))</x:f>
        <x:v>104000</x:v>
      </x:c>
      <x:c r="J25" s="6" t="n">
        <x:f>E25-MAX(0,LARGE('日経_E03'!$E$6:$E$31,1))-MAX(0,LARGE('日経_E03'!$E$6:$E$31,2))-MAX(0,LARGE('日経_E03'!$E$6:$E$31,3))</x:f>
        <x:v>-297000</x:v>
      </x:c>
      <x:c r="K25" s="6" t="n">
        <x:v>174</x:v>
      </x:c>
      <x:c r="L25" s="6" t="n">
        <x:f>'日経_E03'!G32</x:f>
        <x:v>-108000</x:v>
      </x:c>
      <x:c r="M25" s="6" t="n">
        <x:f>'日経_E03'!H32</x:f>
        <x:v>110000</x:v>
      </x:c>
    </x:row>
    <x:row r="26" ht="43" customHeight="1">
      <x:c r="A26" s="2" t="str">
        <x:v>E04</x:v>
      </x:c>
      <x:c r="B26" s="16" t="str">
        <x:v>入口・出口の変更：完成1分足が2本連続順行なら新規・出口はS01</x:v>
      </x:c>
      <x:c r="C26" s="6" t="n">
        <x:f>'日経_E04'!C32</x:f>
        <x:v>1690000</x:v>
      </x:c>
      <x:c r="D26" s="6" t="n">
        <x:f>'日経_E04'!D32</x:f>
        <x:v>1181000</x:v>
      </x:c>
      <x:c r="E26" s="6" t="n">
        <x:f>'日経_E04'!E32</x:f>
        <x:v>509000</x:v>
      </x:c>
      <x:c r="F26" s="17" t="n">
        <x:f>IF(D26=0,"",C26/D26)</x:f>
        <x:v>1.4309906858594412</x:v>
      </x:c>
      <x:c r="G26" s="6" t="n">
        <x:f>COUNTIFS('日経_E04'!$E$6:$E$31,"&lt;0")</x:f>
        <x:v>11</x:v>
      </x:c>
      <x:c r="H26" s="6" t="n">
        <x:f>IF(G26=0,0,-SUMIFS('日経_E04'!$E$6:$E$31,'日経_E04'!$E$6:$E$31,"&lt;0")/G26)</x:f>
        <x:v>54272.72727272727</x:v>
      </x:c>
      <x:c r="I26" s="6" t="n">
        <x:f>MAX(0,-MIN('日経_E04'!$E$6:$E$31))</x:f>
        <x:v>110000</x:v>
      </x:c>
      <x:c r="J26" s="6" t="n">
        <x:f>E26-MAX(0,LARGE('日経_E04'!$E$6:$E$31,1))-MAX(0,LARGE('日経_E04'!$E$6:$E$31,2))-MAX(0,LARGE('日経_E04'!$E$6:$E$31,3))</x:f>
        <x:v>-151000</x:v>
      </x:c>
      <x:c r="K26" s="6" t="n">
        <x:v>151</x:v>
      </x:c>
      <x:c r="L26" s="6" t="n">
        <x:f>'日経_E04'!G32</x:f>
        <x:v>-118000</x:v>
      </x:c>
      <x:c r="M26" s="6" t="n">
        <x:f>'日経_E04'!H32</x:f>
        <x:v>192000</x:v>
      </x:c>
    </x:row>
    <x:row r="27" ht="43" customHeight="1">
      <x:c r="A27" s="2" t="str">
        <x:v>E05</x:v>
      </x:c>
      <x:c r="B27" s="16" t="str">
        <x:v>入口・出口の変更：完成1分足が2本連続順行なら新規・20pt利益追尾</x:v>
      </x:c>
      <x:c r="C27" s="6" t="n">
        <x:f>'日経_E05'!C32</x:f>
        <x:v>119000</x:v>
      </x:c>
      <x:c r="D27" s="6" t="n">
        <x:f>'日経_E05'!D32</x:f>
        <x:v>380000</x:v>
      </x:c>
      <x:c r="E27" s="6" t="n">
        <x:f>'日経_E05'!E32</x:f>
        <x:v>-261000</x:v>
      </x:c>
      <x:c r="F27" s="17" t="n">
        <x:f>IF(D27=0,"",C27/D27)</x:f>
        <x:v>0.3131578947368421</x:v>
      </x:c>
      <x:c r="G27" s="6" t="n">
        <x:f>COUNTIFS('日経_E05'!$E$6:$E$31,"&lt;0")</x:f>
        <x:v>10</x:v>
      </x:c>
      <x:c r="H27" s="6" t="n">
        <x:f>IF(G27=0,0,-SUMIFS('日経_E05'!$E$6:$E$31,'日経_E05'!$E$6:$E$31,"&lt;0")/G27)</x:f>
        <x:v>29500</x:v>
      </x:c>
      <x:c r="I27" s="6" t="n">
        <x:f>MAX(0,-MIN('日経_E05'!$E$6:$E$31))</x:f>
        <x:v>100000</x:v>
      </x:c>
      <x:c r="J27" s="6" t="n">
        <x:f>E27-MAX(0,LARGE('日経_E05'!$E$6:$E$31,1))-MAX(0,LARGE('日経_E05'!$E$6:$E$31,2))-MAX(0,LARGE('日経_E05'!$E$6:$E$31,3))</x:f>
        <x:v>-280000</x:v>
      </x:c>
      <x:c r="K27" s="6" t="n">
        <x:v>156</x:v>
      </x:c>
      <x:c r="L27" s="6" t="n">
        <x:f>'日経_E05'!G32</x:f>
        <x:v>-104000</x:v>
      </x:c>
      <x:c r="M27" s="6" t="n">
        <x:f>'日経_E05'!H32</x:f>
        <x:v>106000</x:v>
      </x:c>
    </x:row>
    <x:row r="28" ht="43" customHeight="1">
      <x:c r="A28" s="2" t="str">
        <x:v>E06</x:v>
      </x:c>
      <x:c r="B28" s="16" t="str">
        <x:v>入口・出口の変更：完成1分足が2本連続順行なら新規・40pt利益追尾</x:v>
      </x:c>
      <x:c r="C28" s="6" t="n">
        <x:f>'日経_E06'!C32</x:f>
        <x:v>122000</x:v>
      </x:c>
      <x:c r="D28" s="6" t="n">
        <x:f>'日経_E06'!D32</x:f>
        <x:v>381000</x:v>
      </x:c>
      <x:c r="E28" s="6" t="n">
        <x:f>'日経_E06'!E32</x:f>
        <x:v>-259000</x:v>
      </x:c>
      <x:c r="F28" s="17" t="n">
        <x:f>IF(D28=0,"",C28/D28)</x:f>
        <x:v>0.32020997375328086</x:v>
      </x:c>
      <x:c r="G28" s="6" t="n">
        <x:f>COUNTIFS('日経_E06'!$E$6:$E$31,"&lt;0")</x:f>
        <x:v>10</x:v>
      </x:c>
      <x:c r="H28" s="6" t="n">
        <x:f>IF(G28=0,0,-SUMIFS('日経_E06'!$E$6:$E$31,'日経_E06'!$E$6:$E$31,"&lt;0")/G28)</x:f>
        <x:v>30200</x:v>
      </x:c>
      <x:c r="I28" s="6" t="n">
        <x:f>MAX(0,-MIN('日経_E06'!$E$6:$E$31))</x:f>
        <x:v>104000</x:v>
      </x:c>
      <x:c r="J28" s="6" t="n">
        <x:f>E28-MAX(0,LARGE('日経_E06'!$E$6:$E$31,1))-MAX(0,LARGE('日経_E06'!$E$6:$E$31,2))-MAX(0,LARGE('日経_E06'!$E$6:$E$31,3))</x:f>
        <x:v>-286000</x:v>
      </x:c>
      <x:c r="K28" s="6" t="n">
        <x:v>156</x:v>
      </x:c>
      <x:c r="L28" s="6" t="n">
        <x:f>'日経_E06'!G32</x:f>
        <x:v>-108000</x:v>
      </x:c>
      <x:c r="M28" s="6" t="n">
        <x:f>'日経_E06'!H32</x:f>
        <x:v>110000</x:v>
      </x:c>
    </x:row>
    <x:row r="29" ht="43" customHeight="1">
      <x:c r="A29" s="2" t="str">
        <x:v>E07</x:v>
      </x:c>
      <x:c r="B29" s="16" t="str">
        <x:v>入口・出口の変更：急伸後の停滞を見送る・出口はS01</x:v>
      </x:c>
      <x:c r="C29" s="6" t="n">
        <x:f>'日経_E07'!C32</x:f>
        <x:v>3620000</x:v>
      </x:c>
      <x:c r="D29" s="6" t="n">
        <x:f>'日経_E07'!D32</x:f>
        <x:v>1971000</x:v>
      </x:c>
      <x:c r="E29" s="6" t="n">
        <x:f>'日経_E07'!E32</x:f>
        <x:v>1649000</x:v>
      </x:c>
      <x:c r="F29" s="17" t="n">
        <x:f>IF(D29=0,"",C29/D29)</x:f>
        <x:v>1.8366311516996447</x:v>
      </x:c>
      <x:c r="G29" s="6" t="n">
        <x:f>COUNTIFS('日経_E07'!$E$6:$E$31,"&lt;0")</x:f>
        <x:v>8</x:v>
      </x:c>
      <x:c r="H29" s="6" t="n">
        <x:f>IF(G29=0,0,-SUMIFS('日経_E07'!$E$6:$E$31,'日経_E07'!$E$6:$E$31,"&lt;0")/G29)</x:f>
        <x:v>55750</x:v>
      </x:c>
      <x:c r="I29" s="6" t="n">
        <x:f>MAX(0,-MIN('日経_E07'!$E$6:$E$31))</x:f>
        <x:v>118000</x:v>
      </x:c>
      <x:c r="J29" s="6" t="n">
        <x:f>E29-MAX(0,LARGE('日経_E07'!$E$6:$E$31,1))-MAX(0,LARGE('日経_E07'!$E$6:$E$31,2))-MAX(0,LARGE('日経_E07'!$E$6:$E$31,3))</x:f>
        <x:v>796000</x:v>
      </x:c>
      <x:c r="K29" s="6" t="n">
        <x:v>192</x:v>
      </x:c>
      <x:c r="L29" s="6" t="n">
        <x:f>'日経_E07'!G32</x:f>
        <x:v>-156000</x:v>
      </x:c>
      <x:c r="M29" s="6" t="n">
        <x:f>'日経_E07'!H32</x:f>
        <x:v>254000</x:v>
      </x:c>
    </x:row>
    <x:row r="30" ht="43" customHeight="1">
      <x:c r="A30" s="2" t="str">
        <x:v>E08</x:v>
      </x:c>
      <x:c r="B30" s="16" t="str">
        <x:v>入口・出口の変更：急伸後の停滞を見送る・20pt利益追尾</x:v>
      </x:c>
      <x:c r="C30" s="6" t="n">
        <x:f>'日経_E08'!C32</x:f>
        <x:v>199000</x:v>
      </x:c>
      <x:c r="D30" s="6" t="n">
        <x:f>'日経_E08'!D32</x:f>
        <x:v>495000</x:v>
      </x:c>
      <x:c r="E30" s="6" t="n">
        <x:f>'日経_E08'!E32</x:f>
        <x:v>-296000</x:v>
      </x:c>
      <x:c r="F30" s="17" t="n">
        <x:f>IF(D30=0,"",C30/D30)</x:f>
        <x:v>0.402020202020202</x:v>
      </x:c>
      <x:c r="G30" s="6" t="n">
        <x:f>COUNTIFS('日経_E08'!$E$6:$E$31,"&lt;0")</x:f>
        <x:v>12</x:v>
      </x:c>
      <x:c r="H30" s="6" t="n">
        <x:f>IF(G30=0,0,-SUMIFS('日経_E08'!$E$6:$E$31,'日経_E08'!$E$6:$E$31,"&lt;0")/G30)</x:f>
        <x:v>32083.333333333332</x:v>
      </x:c>
      <x:c r="I30" s="6" t="n">
        <x:f>MAX(0,-MIN('日経_E08'!$E$6:$E$31))</x:f>
        <x:v>100000</x:v>
      </x:c>
      <x:c r="J30" s="6" t="n">
        <x:f>E30-MAX(0,LARGE('日経_E08'!$E$6:$E$31,1))-MAX(0,LARGE('日経_E08'!$E$6:$E$31,2))-MAX(0,LARGE('日経_E08'!$E$6:$E$31,3))</x:f>
        <x:v>-356000</x:v>
      </x:c>
      <x:c r="K30" s="6" t="n">
        <x:v>197</x:v>
      </x:c>
      <x:c r="L30" s="6" t="n">
        <x:f>'日経_E08'!G32</x:f>
        <x:v>-104000</x:v>
      </x:c>
      <x:c r="M30" s="6" t="n">
        <x:f>'日経_E08'!H32</x:f>
        <x:v>106000</x:v>
      </x:c>
    </x:row>
    <x:row r="31" ht="43" customHeight="1">
      <x:c r="A31" s="2" t="str">
        <x:v>E09</x:v>
      </x:c>
      <x:c r="B31" s="16" t="str">
        <x:v>入口・出口の変更：急伸後の停滞を見送る・40pt利益追尾</x:v>
      </x:c>
      <x:c r="C31" s="6" t="n">
        <x:f>'日経_E09'!C32</x:f>
        <x:v>172000</x:v>
      </x:c>
      <x:c r="D31" s="6" t="n">
        <x:f>'日経_E09'!D32</x:f>
        <x:v>496000</x:v>
      </x:c>
      <x:c r="E31" s="6" t="n">
        <x:f>'日経_E09'!E32</x:f>
        <x:v>-324000</x:v>
      </x:c>
      <x:c r="F31" s="17" t="n">
        <x:f>IF(D31=0,"",C31/D31)</x:f>
        <x:v>0.3467741935483871</x:v>
      </x:c>
      <x:c r="G31" s="6" t="n">
        <x:f>COUNTIFS('日経_E09'!$E$6:$E$31,"&lt;0")</x:f>
        <x:v>13</x:v>
      </x:c>
      <x:c r="H31" s="6" t="n">
        <x:f>IF(G31=0,0,-SUMIFS('日経_E09'!$E$6:$E$31,'日経_E09'!$E$6:$E$31,"&lt;0")/G31)</x:f>
        <x:v>31230.76923076923</x:v>
      </x:c>
      <x:c r="I31" s="6" t="n">
        <x:f>MAX(0,-MIN('日経_E09'!$E$6:$E$31))</x:f>
        <x:v>104000</x:v>
      </x:c>
      <x:c r="J31" s="6" t="n">
        <x:f>E31-MAX(0,LARGE('日経_E09'!$E$6:$E$31,1))-MAX(0,LARGE('日経_E09'!$E$6:$E$31,2))-MAX(0,LARGE('日経_E09'!$E$6:$E$31,3))</x:f>
        <x:v>-374000</x:v>
      </x:c>
      <x:c r="K31" s="6" t="n">
        <x:v>197</x:v>
      </x:c>
      <x:c r="L31" s="6" t="n">
        <x:f>'日経_E09'!G32</x:f>
        <x:v>-108000</x:v>
      </x:c>
      <x:c r="M31" s="6" t="n">
        <x:f>'日経_E09'!H32</x:f>
        <x:v>110000</x:v>
      </x:c>
    </x:row>
    <x:row r="32" ht="43" customHeight="1">
      <x:c r="A32" s="2" t="str">
        <x:v>R01</x:v>
      </x:c>
      <x:c r="B32" s="16" t="str">
        <x:v>再参加の変更：F05＋元同親同方向へ新極値から20pt回復して再参加</x:v>
      </x:c>
      <x:c r="C32" s="6" t="n">
        <x:f>'日経_R01'!C32</x:f>
        <x:v>566000</x:v>
      </x:c>
      <x:c r="D32" s="6" t="n">
        <x:f>'日経_R01'!D32</x:f>
        <x:v>3769000</x:v>
      </x:c>
      <x:c r="E32" s="6" t="n">
        <x:f>'日経_R01'!E32</x:f>
        <x:v>-3203000</x:v>
      </x:c>
      <x:c r="F32" s="17" t="n">
        <x:f>IF(D32=0,"",C32/D32)</x:f>
        <x:v>0.15017245953833908</x:v>
      </x:c>
      <x:c r="G32" s="6" t="n">
        <x:f>COUNTIFS('日経_R01'!$E$6:$E$31,"&lt;0")</x:f>
        <x:v>24</x:v>
      </x:c>
      <x:c r="H32" s="6" t="n">
        <x:f>IF(G32=0,0,-SUMIFS('日経_R01'!$E$6:$E$31,'日経_R01'!$E$6:$E$31,"&lt;0")/G32)</x:f>
        <x:v>135083.33333333334</x:v>
      </x:c>
      <x:c r="I32" s="6" t="n">
        <x:f>MAX(0,-MIN('日経_R01'!$E$6:$E$31))</x:f>
        <x:v>460000</x:v>
      </x:c>
      <x:c r="J32" s="6" t="n">
        <x:f>E32-MAX(0,LARGE('日経_R01'!$E$6:$E$31,1))-MAX(0,LARGE('日経_R01'!$E$6:$E$31,2))-MAX(0,LARGE('日経_R01'!$E$6:$E$31,3))</x:f>
        <x:v>-3242000</x:v>
      </x:c>
      <x:c r="K32" s="6" t="n">
        <x:v>1398</x:v>
      </x:c>
      <x:c r="L32" s="6" t="n">
        <x:f>'日経_R01'!G32</x:f>
        <x:v>-462000</x:v>
      </x:c>
      <x:c r="M32" s="6" t="n">
        <x:f>'日経_R01'!H32</x:f>
        <x:v>468000</x:v>
      </x:c>
    </x:row>
    <x:row r="33" ht="43" customHeight="1">
      <x:c r="A33" s="2" t="str">
        <x:v>R02</x:v>
      </x:c>
      <x:c r="B33" s="16" t="str">
        <x:v>再参加の変更：F05＋元同親同方向へ新極値から40pt回復して再参加</x:v>
      </x:c>
      <x:c r="C33" s="6" t="n">
        <x:f>'日経_R02'!C32</x:f>
        <x:v>949000</x:v>
      </x:c>
      <x:c r="D33" s="6" t="n">
        <x:f>'日経_R02'!D32</x:f>
        <x:v>3454000</x:v>
      </x:c>
      <x:c r="E33" s="6" t="n">
        <x:f>'日経_R02'!E32</x:f>
        <x:v>-2505000</x:v>
      </x:c>
      <x:c r="F33" s="17" t="n">
        <x:f>IF(D33=0,"",C33/D33)</x:f>
        <x:v>0.2747539085118703</x:v>
      </x:c>
      <x:c r="G33" s="6" t="n">
        <x:f>COUNTIFS('日経_R02'!$E$6:$E$31,"&lt;0")</x:f>
        <x:v>22</x:v>
      </x:c>
      <x:c r="H33" s="6" t="n">
        <x:f>IF(G33=0,0,-SUMIFS('日経_R02'!$E$6:$E$31,'日経_R02'!$E$6:$E$31,"&lt;0")/G33)</x:f>
        <x:v>119681.81818181818</x:v>
      </x:c>
      <x:c r="I33" s="6" t="n">
        <x:f>MAX(0,-MIN('日経_R02'!$E$6:$E$31))</x:f>
        <x:v>367000</x:v>
      </x:c>
      <x:c r="J33" s="6" t="n">
        <x:f>E33-MAX(0,LARGE('日経_R02'!$E$6:$E$31,1))-MAX(0,LARGE('日経_R02'!$E$6:$E$31,2))-MAX(0,LARGE('日経_R02'!$E$6:$E$31,3))</x:f>
        <x:v>-2621000</x:v>
      </x:c>
      <x:c r="K33" s="6" t="n">
        <x:v>1248</x:v>
      </x:c>
      <x:c r="L33" s="6" t="n">
        <x:f>'日経_R02'!G32</x:f>
        <x:v>-389000</x:v>
      </x:c>
      <x:c r="M33" s="6" t="n">
        <x:f>'日経_R02'!H32</x:f>
        <x:v>393000</x:v>
      </x:c>
    </x:row>
    <x:row r="34" ht="43" customHeight="1">
      <x:c r="A34" s="2" t="str">
        <x:v>R03</x:v>
      </x:c>
      <x:c r="B34" s="16" t="str">
        <x:v>再参加の変更：F05＋元同親同方向へ新極値から80pt回復して再参加</x:v>
      </x:c>
      <x:c r="C34" s="6" t="n">
        <x:f>'日経_R03'!C32</x:f>
        <x:v>779000</x:v>
      </x:c>
      <x:c r="D34" s="6" t="n">
        <x:f>'日経_R03'!D32</x:f>
        <x:v>2528000</x:v>
      </x:c>
      <x:c r="E34" s="6" t="n">
        <x:f>'日経_R03'!E32</x:f>
        <x:v>-1749000</x:v>
      </x:c>
      <x:c r="F34" s="17" t="n">
        <x:f>IF(D34=0,"",C34/D34)</x:f>
        <x:v>0.30814873417721517</x:v>
      </x:c>
      <x:c r="G34" s="6" t="n">
        <x:f>COUNTIFS('日経_R03'!$E$6:$E$31,"&lt;0")</x:f>
        <x:v>17</x:v>
      </x:c>
      <x:c r="H34" s="6" t="n">
        <x:f>IF(G34=0,0,-SUMIFS('日経_R03'!$E$6:$E$31,'日経_R03'!$E$6:$E$31,"&lt;0")/G34)</x:f>
        <x:v>123764.70588235294</x:v>
      </x:c>
      <x:c r="I34" s="6" t="n">
        <x:f>MAX(0,-MIN('日経_R03'!$E$6:$E$31))</x:f>
        <x:v>486000</x:v>
      </x:c>
      <x:c r="J34" s="6" t="n">
        <x:f>E34-MAX(0,LARGE('日経_R03'!$E$6:$E$31,1))-MAX(0,LARGE('日経_R03'!$E$6:$E$31,2))-MAX(0,LARGE('日経_R03'!$E$6:$E$31,3))</x:f>
        <x:v>-1985000</x:v>
      </x:c>
      <x:c r="K34" s="6" t="n">
        <x:v>834</x:v>
      </x:c>
      <x:c r="L34" s="6" t="n">
        <x:f>'日経_R03'!G32</x:f>
        <x:v>-486000</x:v>
      </x:c>
      <x:c r="M34" s="6" t="n">
        <x:f>'日経_R03'!H32</x:f>
        <x:v>488000</x:v>
      </x:c>
    </x:row>
    <x:row r="35" ht="43" customHeight="1">
      <x:c r="A35" s="2" t="str">
        <x:v>R04</x:v>
      </x:c>
      <x:c r="B35" s="16" t="str">
        <x:v>再参加の変更：F09＋元同親同方向へ新極値から20pt回復して再参加</x:v>
      </x:c>
      <x:c r="C35" s="6" t="n">
        <x:f>'日経_R04'!C32</x:f>
        <x:v>678000</x:v>
      </x:c>
      <x:c r="D35" s="6" t="n">
        <x:f>'日経_R04'!D32</x:f>
        <x:v>3952000</x:v>
      </x:c>
      <x:c r="E35" s="6" t="n">
        <x:f>'日経_R04'!E32</x:f>
        <x:v>-3274000</x:v>
      </x:c>
      <x:c r="F35" s="17" t="n">
        <x:f>IF(D35=0,"",C35/D35)</x:f>
        <x:v>0.1715587044534413</x:v>
      </x:c>
      <x:c r="G35" s="6" t="n">
        <x:f>COUNTIFS('日経_R04'!$E$6:$E$31,"&lt;0")</x:f>
        <x:v>25</x:v>
      </x:c>
      <x:c r="H35" s="6" t="n">
        <x:f>IF(G35=0,0,-SUMIFS('日経_R04'!$E$6:$E$31,'日経_R04'!$E$6:$E$31,"&lt;0")/G35)</x:f>
        <x:v>131240</x:v>
      </x:c>
      <x:c r="I35" s="6" t="n">
        <x:f>MAX(0,-MIN('日経_R04'!$E$6:$E$31))</x:f>
        <x:v>465000</x:v>
      </x:c>
      <x:c r="J35" s="6" t="n">
        <x:f>E35-MAX(0,LARGE('日経_R04'!$E$6:$E$31,1))-MAX(0,LARGE('日経_R04'!$E$6:$E$31,2))-MAX(0,LARGE('日経_R04'!$E$6:$E$31,3))</x:f>
        <x:v>-3281000</x:v>
      </x:c>
      <x:c r="K35" s="6" t="n">
        <x:v>1362</x:v>
      </x:c>
      <x:c r="L35" s="6" t="n">
        <x:f>'日経_R04'!G32</x:f>
        <x:v>-465000</x:v>
      </x:c>
      <x:c r="M35" s="6" t="n">
        <x:f>'日経_R04'!H32</x:f>
        <x:v>471000</x:v>
      </x:c>
    </x:row>
    <x:row r="36" ht="43" customHeight="1">
      <x:c r="A36" s="2" t="str">
        <x:v>R05</x:v>
      </x:c>
      <x:c r="B36" s="16" t="str">
        <x:v>再参加の変更：F09＋元同親同方向へ新極値から40pt回復して再参加</x:v>
      </x:c>
      <x:c r="C36" s="6" t="n">
        <x:f>'日経_R05'!C32</x:f>
        <x:v>1079000</x:v>
      </x:c>
      <x:c r="D36" s="6" t="n">
        <x:f>'日経_R05'!D32</x:f>
        <x:v>3471000</x:v>
      </x:c>
      <x:c r="E36" s="6" t="n">
        <x:f>'日経_R05'!E32</x:f>
        <x:v>-2392000</x:v>
      </x:c>
      <x:c r="F36" s="17" t="n">
        <x:f>IF(D36=0,"",C36/D36)</x:f>
        <x:v>0.31086142322097376</x:v>
      </x:c>
      <x:c r="G36" s="6" t="n">
        <x:f>COUNTIFS('日経_R05'!$E$6:$E$31,"&lt;0")</x:f>
        <x:v>20</x:v>
      </x:c>
      <x:c r="H36" s="6" t="n">
        <x:f>IF(G36=0,0,-SUMIFS('日経_R05'!$E$6:$E$31,'日経_R05'!$E$6:$E$31,"&lt;0")/G36)</x:f>
        <x:v>128950</x:v>
      </x:c>
      <x:c r="I36" s="6" t="n">
        <x:f>MAX(0,-MIN('日経_R05'!$E$6:$E$31))</x:f>
        <x:v>385000</x:v>
      </x:c>
      <x:c r="J36" s="6" t="n">
        <x:f>E36-MAX(0,LARGE('日経_R05'!$E$6:$E$31,1))-MAX(0,LARGE('日経_R05'!$E$6:$E$31,2))-MAX(0,LARGE('日経_R05'!$E$6:$E$31,3))</x:f>
        <x:v>-2555000</x:v>
      </x:c>
      <x:c r="K36" s="6" t="n">
        <x:v>1222</x:v>
      </x:c>
      <x:c r="L36" s="6" t="n">
        <x:f>'日経_R05'!G32</x:f>
        <x:v>-397000</x:v>
      </x:c>
      <x:c r="M36" s="6" t="n">
        <x:f>'日経_R05'!H32</x:f>
        <x:v>401000</x:v>
      </x:c>
    </x:row>
    <x:row r="37" ht="43" customHeight="1">
      <x:c r="A37" s="2" t="str">
        <x:v>R06</x:v>
      </x:c>
      <x:c r="B37" s="16" t="str">
        <x:v>再参加の変更：F09＋元同親同方向へ新極値から80pt回復して再参加</x:v>
      </x:c>
      <x:c r="C37" s="6" t="n">
        <x:f>'日経_R06'!C32</x:f>
        <x:v>779000</x:v>
      </x:c>
      <x:c r="D37" s="6" t="n">
        <x:f>'日経_R06'!D32</x:f>
        <x:v>2623000</x:v>
      </x:c>
      <x:c r="E37" s="6" t="n">
        <x:f>'日経_R06'!E32</x:f>
        <x:v>-1844000</x:v>
      </x:c>
      <x:c r="F37" s="17" t="n">
        <x:f>IF(D37=0,"",C37/D37)</x:f>
        <x:v>0.2969881814715974</x:v>
      </x:c>
      <x:c r="G37" s="6" t="n">
        <x:f>COUNTIFS('日経_R06'!$E$6:$E$31,"&lt;0")</x:f>
        <x:v>18</x:v>
      </x:c>
      <x:c r="H37" s="6" t="n">
        <x:f>IF(G37=0,0,-SUMIFS('日経_R06'!$E$6:$E$31,'日経_R06'!$E$6:$E$31,"&lt;0")/G37)</x:f>
        <x:v>121833.33333333333</x:v>
      </x:c>
      <x:c r="I37" s="6" t="n">
        <x:f>MAX(0,-MIN('日経_R06'!$E$6:$E$31))</x:f>
        <x:v>492000</x:v>
      </x:c>
      <x:c r="J37" s="6" t="n">
        <x:f>E37-MAX(0,LARGE('日経_R06'!$E$6:$E$31,1))-MAX(0,LARGE('日経_R06'!$E$6:$E$31,2))-MAX(0,LARGE('日経_R06'!$E$6:$E$31,3))</x:f>
        <x:v>-2088000</x:v>
      </x:c>
      <x:c r="K37" s="6" t="n">
        <x:v>813</x:v>
      </x:c>
      <x:c r="L37" s="6" t="n">
        <x:f>'日経_R06'!G32</x:f>
        <x:v>-492000</x:v>
      </x:c>
      <x:c r="M37" s="6" t="n">
        <x:f>'日経_R06'!H32</x:f>
        <x:v>494000</x:v>
      </x:c>
    </x:row>
    <x:row r="38" ht="43" customHeight="1">
      <x:c r="A38" s="2" t="str">
        <x:v>R07</x:v>
      </x:c>
      <x:c r="B38" s="16" t="str">
        <x:v>再参加の変更：E08＋元同親同方向へ新極値から20pt回復して再参加</x:v>
      </x:c>
      <x:c r="C38" s="6" t="n">
        <x:f>'日経_R07'!C32</x:f>
        <x:v>455000</x:v>
      </x:c>
      <x:c r="D38" s="6" t="n">
        <x:f>'日経_R07'!D32</x:f>
        <x:v>3193000</x:v>
      </x:c>
      <x:c r="E38" s="6" t="n">
        <x:f>'日経_R07'!E32</x:f>
        <x:v>-2738000</x:v>
      </x:c>
      <x:c r="F38" s="17" t="n">
        <x:f>IF(D38=0,"",C38/D38)</x:f>
        <x:v>0.14249921703726903</x:v>
      </x:c>
      <x:c r="G38" s="6" t="n">
        <x:f>COUNTIFS('日経_R07'!$E$6:$E$31,"&lt;0")</x:f>
        <x:v>24</x:v>
      </x:c>
      <x:c r="H38" s="6" t="n">
        <x:f>IF(G38=0,0,-SUMIFS('日経_R07'!$E$6:$E$31,'日経_R07'!$E$6:$E$31,"&lt;0")/G38)</x:f>
        <x:v>115458.33333333333</x:v>
      </x:c>
      <x:c r="I38" s="6" t="n">
        <x:f>MAX(0,-MIN('日経_R07'!$E$6:$E$31))</x:f>
        <x:v>339000</x:v>
      </x:c>
      <x:c r="J38" s="6" t="n">
        <x:f>E38-MAX(0,LARGE('日経_R07'!$E$6:$E$31,1))-MAX(0,LARGE('日経_R07'!$E$6:$E$31,2))-MAX(0,LARGE('日経_R07'!$E$6:$E$31,3))</x:f>
        <x:v>-2771000</x:v>
      </x:c>
      <x:c r="K38" s="6" t="n">
        <x:v>1278</x:v>
      </x:c>
      <x:c r="L38" s="6" t="n">
        <x:f>'日経_R07'!G32</x:f>
        <x:v>-354000</x:v>
      </x:c>
      <x:c r="M38" s="6" t="n">
        <x:f>'日経_R07'!H32</x:f>
        <x:v>370000</x:v>
      </x:c>
    </x:row>
    <x:row r="39" ht="43" customHeight="1">
      <x:c r="A39" s="2" t="str">
        <x:v>R08</x:v>
      </x:c>
      <x:c r="B39" s="16" t="str">
        <x:v>再参加の変更：E08＋元同親同方向へ新極値から40pt回復して再参加</x:v>
      </x:c>
      <x:c r="C39" s="6" t="n">
        <x:f>'日経_R08'!C32</x:f>
        <x:v>774000</x:v>
      </x:c>
      <x:c r="D39" s="6" t="n">
        <x:f>'日経_R08'!D32</x:f>
        <x:v>2868000</x:v>
      </x:c>
      <x:c r="E39" s="6" t="n">
        <x:f>'日経_R08'!E32</x:f>
        <x:v>-2094000</x:v>
      </x:c>
      <x:c r="F39" s="17" t="n">
        <x:f>IF(D39=0,"",C39/D39)</x:f>
        <x:v>0.2698744769874477</x:v>
      </x:c>
      <x:c r="G39" s="6" t="n">
        <x:f>COUNTIFS('日経_R08'!$E$6:$E$31,"&lt;0")</x:f>
        <x:v>21</x:v>
      </x:c>
      <x:c r="H39" s="6" t="n">
        <x:f>IF(G39=0,0,-SUMIFS('日経_R08'!$E$6:$E$31,'日経_R08'!$E$6:$E$31,"&lt;0")/G39)</x:f>
        <x:v>104047.61904761905</x:v>
      </x:c>
      <x:c r="I39" s="6" t="n">
        <x:f>MAX(0,-MIN('日経_R08'!$E$6:$E$31))</x:f>
        <x:v>303000</x:v>
      </x:c>
      <x:c r="J39" s="6" t="n">
        <x:f>E39-MAX(0,LARGE('日経_R08'!$E$6:$E$31,1))-MAX(0,LARGE('日経_R08'!$E$6:$E$31,2))-MAX(0,LARGE('日経_R08'!$E$6:$E$31,3))</x:f>
        <x:v>-2167000</x:v>
      </x:c>
      <x:c r="K39" s="6" t="n">
        <x:v>1129</x:v>
      </x:c>
      <x:c r="L39" s="6" t="n">
        <x:f>'日経_R08'!G32</x:f>
        <x:v>-322000</x:v>
      </x:c>
      <x:c r="M39" s="6" t="n">
        <x:f>'日経_R08'!H32</x:f>
        <x:v>338000</x:v>
      </x:c>
    </x:row>
    <x:row r="40" ht="43" customHeight="1">
      <x:c r="A40" s="2" t="str">
        <x:v>R09</x:v>
      </x:c>
      <x:c r="B40" s="16" t="str">
        <x:v>再参加の変更：E08＋元同親同方向へ新極値から80pt回復して再参加</x:v>
      </x:c>
      <x:c r="C40" s="6" t="n">
        <x:f>'日経_R09'!C32</x:f>
        <x:v>619000</x:v>
      </x:c>
      <x:c r="D40" s="6" t="n">
        <x:f>'日経_R09'!D32</x:f>
        <x:v>2197000</x:v>
      </x:c>
      <x:c r="E40" s="6" t="n">
        <x:f>'日経_R09'!E32</x:f>
        <x:v>-1578000</x:v>
      </x:c>
      <x:c r="F40" s="17" t="n">
        <x:f>IF(D40=0,"",C40/D40)</x:f>
        <x:v>0.28174783796085573</x:v>
      </x:c>
      <x:c r="G40" s="6" t="n">
        <x:f>COUNTIFS('日経_R09'!$E$6:$E$31,"&lt;0")</x:f>
        <x:v>18</x:v>
      </x:c>
      <x:c r="H40" s="6" t="n">
        <x:f>IF(G40=0,0,-SUMIFS('日経_R09'!$E$6:$E$31,'日経_R09'!$E$6:$E$31,"&lt;0")/G40)</x:f>
        <x:v>101111.11111111111</x:v>
      </x:c>
      <x:c r="I40" s="6" t="n">
        <x:f>MAX(0,-MIN('日経_R09'!$E$6:$E$31))</x:f>
        <x:v>350000</x:v>
      </x:c>
      <x:c r="J40" s="6" t="n">
        <x:f>E40-MAX(0,LARGE('日経_R09'!$E$6:$E$31,1))-MAX(0,LARGE('日経_R09'!$E$6:$E$31,2))-MAX(0,LARGE('日経_R09'!$E$6:$E$31,3))</x:f>
        <x:v>-1766000</x:v>
      </x:c>
      <x:c r="K40" s="6" t="n">
        <x:v>768</x:v>
      </x:c>
      <x:c r="L40" s="6" t="n">
        <x:f>'日経_R09'!G32</x:f>
        <x:v>-377000</x:v>
      </x:c>
      <x:c r="M40" s="6" t="n">
        <x:f>'日経_R09'!H32</x:f>
        <x:v>381000</x:v>
      </x:c>
    </x:row>
    <x:row r="41" ht="43" customHeight="1">
      <x:c r="A41" s="2" t="str">
        <x:v>R10</x:v>
      </x:c>
      <x:c r="B41" s="16" t="str">
        <x:v>再参加の変更：E09＋元同親同方向へ新極値から20pt回復して再参加</x:v>
      </x:c>
      <x:c r="C41" s="6" t="n">
        <x:f>'日経_R10'!C32</x:f>
        <x:v>524000</x:v>
      </x:c>
      <x:c r="D41" s="6" t="n">
        <x:f>'日経_R10'!D32</x:f>
        <x:v>3320000</x:v>
      </x:c>
      <x:c r="E41" s="6" t="n">
        <x:f>'日経_R10'!E32</x:f>
        <x:v>-2796000</x:v>
      </x:c>
      <x:c r="F41" s="17" t="n">
        <x:f>IF(D41=0,"",C41/D41)</x:f>
        <x:v>0.1578313253012048</x:v>
      </x:c>
      <x:c r="G41" s="6" t="n">
        <x:f>COUNTIFS('日経_R10'!$E$6:$E$31,"&lt;0")</x:f>
        <x:v>24</x:v>
      </x:c>
      <x:c r="H41" s="6" t="n">
        <x:f>IF(G41=0,0,-SUMIFS('日経_R10'!$E$6:$E$31,'日経_R10'!$E$6:$E$31,"&lt;0")/G41)</x:f>
        <x:v>117541.66666666667</x:v>
      </x:c>
      <x:c r="I41" s="6" t="n">
        <x:f>MAX(0,-MIN('日経_R10'!$E$6:$E$31))</x:f>
        <x:v>364000</x:v>
      </x:c>
      <x:c r="J41" s="6" t="n">
        <x:f>E41-MAX(0,LARGE('日経_R10'!$E$6:$E$31,1))-MAX(0,LARGE('日経_R10'!$E$6:$E$31,2))-MAX(0,LARGE('日経_R10'!$E$6:$E$31,3))</x:f>
        <x:v>-2821000</x:v>
      </x:c>
      <x:c r="K41" s="6" t="n">
        <x:v>1231</x:v>
      </x:c>
      <x:c r="L41" s="6" t="n">
        <x:f>'日経_R10'!G32</x:f>
        <x:v>-375000</x:v>
      </x:c>
      <x:c r="M41" s="6" t="n">
        <x:f>'日経_R10'!H32</x:f>
        <x:v>394000</x:v>
      </x:c>
    </x:row>
    <x:row r="42" ht="43" customHeight="1">
      <x:c r="A42" s="2" t="str">
        <x:v>R11</x:v>
      </x:c>
      <x:c r="B42" s="16" t="str">
        <x:v>再参加の変更：E09＋元同親同方向へ新極値から40pt回復して再参加</x:v>
      </x:c>
      <x:c r="C42" s="6" t="n">
        <x:f>'日経_R11'!C32</x:f>
        <x:v>933000</x:v>
      </x:c>
      <x:c r="D42" s="6" t="n">
        <x:f>'日経_R11'!D32</x:f>
        <x:v>2860000</x:v>
      </x:c>
      <x:c r="E42" s="6" t="n">
        <x:f>'日経_R11'!E32</x:f>
        <x:v>-1927000</x:v>
      </x:c>
      <x:c r="F42" s="17" t="n">
        <x:f>IF(D42=0,"",C42/D42)</x:f>
        <x:v>0.32622377622377624</x:v>
      </x:c>
      <x:c r="G42" s="6" t="n">
        <x:f>COUNTIFS('日経_R11'!$E$6:$E$31,"&lt;0")</x:f>
        <x:v>19</x:v>
      </x:c>
      <x:c r="H42" s="6" t="n">
        <x:f>IF(G42=0,0,-SUMIFS('日経_R11'!$E$6:$E$31,'日経_R11'!$E$6:$E$31,"&lt;0")/G42)</x:f>
        <x:v>112052.63157894737</x:v>
      </x:c>
      <x:c r="I42" s="6" t="n">
        <x:f>MAX(0,-MIN('日経_R11'!$E$6:$E$31))</x:f>
        <x:v>332000</x:v>
      </x:c>
      <x:c r="J42" s="6" t="n">
        <x:f>E42-MAX(0,LARGE('日経_R11'!$E$6:$E$31,1))-MAX(0,LARGE('日経_R11'!$E$6:$E$31,2))-MAX(0,LARGE('日経_R11'!$E$6:$E$31,3))</x:f>
        <x:v>-2089000</x:v>
      </x:c>
      <x:c r="K42" s="6" t="n">
        <x:v>1106</x:v>
      </x:c>
      <x:c r="L42" s="6" t="n">
        <x:f>'日経_R11'!G32</x:f>
        <x:v>-336000</x:v>
      </x:c>
      <x:c r="M42" s="6" t="n">
        <x:f>'日経_R11'!H32</x:f>
        <x:v>355000</x:v>
      </x:c>
    </x:row>
    <x:row r="43" ht="43" customHeight="1">
      <x:c r="A43" s="2" t="str">
        <x:v>R12</x:v>
      </x:c>
      <x:c r="B43" s="16" t="str">
        <x:v>再参加の変更：E09＋元同親同方向へ新極値から80pt回復して再参加</x:v>
      </x:c>
      <x:c r="C43" s="6" t="n">
        <x:f>'日経_R12'!C32</x:f>
        <x:v>599000</x:v>
      </x:c>
      <x:c r="D43" s="6" t="n">
        <x:f>'日経_R12'!D32</x:f>
        <x:v>2282000</x:v>
      </x:c>
      <x:c r="E43" s="6" t="n">
        <x:f>'日経_R12'!E32</x:f>
        <x:v>-1683000</x:v>
      </x:c>
      <x:c r="F43" s="17" t="n">
        <x:f>IF(D43=0,"",C43/D43)</x:f>
        <x:v>0.2624890446976337</x:v>
      </x:c>
      <x:c r="G43" s="6" t="n">
        <x:f>COUNTIFS('日経_R12'!$E$6:$E$31,"&lt;0")</x:f>
        <x:v>18</x:v>
      </x:c>
      <x:c r="H43" s="6" t="n">
        <x:f>IF(G43=0,0,-SUMIFS('日経_R12'!$E$6:$E$31,'日経_R12'!$E$6:$E$31,"&lt;0")/G43)</x:f>
        <x:v>105444.44444444444</x:v>
      </x:c>
      <x:c r="I43" s="6" t="n">
        <x:f>MAX(0,-MIN('日経_R12'!$E$6:$E$31))</x:f>
        <x:v>351000</x:v>
      </x:c>
      <x:c r="J43" s="6" t="n">
        <x:f>E43-MAX(0,LARGE('日経_R12'!$E$6:$E$31,1))-MAX(0,LARGE('日経_R12'!$E$6:$E$31,2))-MAX(0,LARGE('日経_R12'!$E$6:$E$31,3))</x:f>
        <x:v>-1834000</x:v>
      </x:c>
      <x:c r="K43" s="6" t="n">
        <x:v>747</x:v>
      </x:c>
      <x:c r="L43" s="6" t="n">
        <x:f>'日経_R12'!G32</x:f>
        <x:v>-392000</x:v>
      </x:c>
      <x:c r="M43" s="6" t="n">
        <x:f>'日経_R12'!H32</x:f>
        <x:v>397000</x:v>
      </x:c>
    </x:row>
    <x:row r="44" ht="43" customHeight="1">
      <x:c r="A44" s="2" t="str">
        <x:v>L01</x:v>
      </x:c>
      <x:c r="B44" s="16" t="str">
        <x:v>再参加の損切り変更：R01＋再参加玉だけ建値から20pt損失で返済、損切り後は同波再参加を停止</x:v>
      </x:c>
      <x:c r="C44" s="6" t="n">
        <x:f>'日経_L01'!C32</x:f>
        <x:v>56000</x:v>
      </x:c>
      <x:c r="D44" s="6" t="n">
        <x:f>'日経_L01'!D32</x:f>
        <x:v>1272000</x:v>
      </x:c>
      <x:c r="E44" s="6" t="n">
        <x:f>'日経_L01'!E32</x:f>
        <x:v>-1216000</x:v>
      </x:c>
      <x:c r="F44" s="17" t="n">
        <x:f>IF(D44=0,"",C44/D44)</x:f>
        <x:v>0.0440251572327044</x:v>
      </x:c>
      <x:c r="G44" s="6" t="n">
        <x:f>COUNTIFS('日経_L01'!$E$6:$E$31,"&lt;0")</x:f>
        <x:v>25</x:v>
      </x:c>
      <x:c r="H44" s="6" t="n">
        <x:f>IF(G44=0,0,-SUMIFS('日経_L01'!$E$6:$E$31,'日経_L01'!$E$6:$E$31,"&lt;0")/G44)</x:f>
        <x:v>48840</x:v>
      </x:c>
      <x:c r="I44" s="6" t="n">
        <x:f>MAX(0,-MIN('日経_L01'!$E$6:$E$31))</x:f>
        <x:v>141000</x:v>
      </x:c>
      <x:c r="J44" s="6" t="n">
        <x:f>E44-MAX(0,LARGE('日経_L01'!$E$6:$E$31,1))-MAX(0,LARGE('日経_L01'!$E$6:$E$31,2))-MAX(0,LARGE('日経_L01'!$E$6:$E$31,3))</x:f>
        <x:v>-1221000</x:v>
      </x:c>
      <x:c r="K44" s="6" t="n">
        <x:v>407</x:v>
      </x:c>
      <x:c r="L44" s="6" t="n">
        <x:f>'日経_L01'!G32</x:f>
        <x:v>-141000</x:v>
      </x:c>
      <x:c r="M44" s="6" t="n">
        <x:f>'日経_L01'!H32</x:f>
        <x:v>143000</x:v>
      </x:c>
    </x:row>
    <x:row r="45" ht="43" customHeight="1">
      <x:c r="A45" s="2" t="str">
        <x:v>L02</x:v>
      </x:c>
      <x:c r="B45" s="16" t="str">
        <x:v>再参加の損切り変更：R01＋再参加玉だけ建値から40pt損失で返済、損切り後は同波再参加を停止</x:v>
      </x:c>
      <x:c r="C45" s="6" t="n">
        <x:f>'日経_L02'!C32</x:f>
        <x:v>81000</x:v>
      </x:c>
      <x:c r="D45" s="6" t="n">
        <x:f>'日経_L02'!D32</x:f>
        <x:v>1928000</x:v>
      </x:c>
      <x:c r="E45" s="6" t="n">
        <x:f>'日経_L02'!E32</x:f>
        <x:v>-1847000</x:v>
      </x:c>
      <x:c r="F45" s="17" t="n">
        <x:f>IF(D45=0,"",C45/D45)</x:f>
        <x:v>0.042012448132780086</x:v>
      </x:c>
      <x:c r="G45" s="6" t="n">
        <x:f>COUNTIFS('日経_L02'!$E$6:$E$31,"&lt;0")</x:f>
        <x:v>26</x:v>
      </x:c>
      <x:c r="H45" s="6" t="n">
        <x:f>IF(G45=0,0,-SUMIFS('日経_L02'!$E$6:$E$31,'日経_L02'!$E$6:$E$31,"&lt;0")/G45)</x:f>
        <x:v>71038.46153846153</x:v>
      </x:c>
      <x:c r="I45" s="6" t="n">
        <x:f>MAX(0,-MIN('日経_L02'!$E$6:$E$31))</x:f>
        <x:v>182000</x:v>
      </x:c>
      <x:c r="J45" s="6" t="n">
        <x:f>E45-MAX(0,LARGE('日経_L02'!$E$6:$E$31,1))-MAX(0,LARGE('日経_L02'!$E$6:$E$31,2))-MAX(0,LARGE('日経_L02'!$E$6:$E$31,3))</x:f>
        <x:v>-1847000</x:v>
      </x:c>
      <x:c r="K45" s="6" t="n">
        <x:v>554</x:v>
      </x:c>
      <x:c r="L45" s="6" t="n">
        <x:f>'日経_L02'!G32</x:f>
        <x:v>-182000</x:v>
      </x:c>
      <x:c r="M45" s="6" t="n">
        <x:f>'日経_L02'!H32</x:f>
        <x:v>184000</x:v>
      </x:c>
    </x:row>
    <x:row r="46" ht="43" customHeight="1">
      <x:c r="A46" s="2" t="str">
        <x:v>L03</x:v>
      </x:c>
      <x:c r="B46" s="16" t="str">
        <x:v>再参加の損切り変更：R01＋再参加玉だけ建値から80pt損失で返済、損切り後は同波再参加を停止</x:v>
      </x:c>
      <x:c r="C46" s="6" t="n">
        <x:f>'日経_L03'!C32</x:f>
        <x:v>123000</x:v>
      </x:c>
      <x:c r="D46" s="6" t="n">
        <x:f>'日経_L03'!D32</x:f>
        <x:v>2958000</x:v>
      </x:c>
      <x:c r="E46" s="6" t="n">
        <x:f>'日経_L03'!E32</x:f>
        <x:v>-2835000</x:v>
      </x:c>
      <x:c r="F46" s="17" t="n">
        <x:f>IF(D46=0,"",C46/D46)</x:f>
        <x:v>0.04158215010141988</x:v>
      </x:c>
      <x:c r="G46" s="6" t="n">
        <x:f>COUNTIFS('日経_L03'!$E$6:$E$31,"&lt;0")</x:f>
        <x:v>26</x:v>
      </x:c>
      <x:c r="H46" s="6" t="n">
        <x:f>IF(G46=0,0,-SUMIFS('日経_L03'!$E$6:$E$31,'日経_L03'!$E$6:$E$31,"&lt;0")/G46)</x:f>
        <x:v>109038.46153846153</x:v>
      </x:c>
      <x:c r="I46" s="6" t="n">
        <x:f>MAX(0,-MIN('日経_L03'!$E$6:$E$31))</x:f>
        <x:v>267000</x:v>
      </x:c>
      <x:c r="J46" s="6" t="n">
        <x:f>E46-MAX(0,LARGE('日経_L03'!$E$6:$E$31,1))-MAX(0,LARGE('日経_L03'!$E$6:$E$31,2))-MAX(0,LARGE('日経_L03'!$E$6:$E$31,3))</x:f>
        <x:v>-2835000</x:v>
      </x:c>
      <x:c r="K46" s="6" t="n">
        <x:v>749</x:v>
      </x:c>
      <x:c r="L46" s="6" t="n">
        <x:f>'日経_L03'!G32</x:f>
        <x:v>-267000</x:v>
      </x:c>
      <x:c r="M46" s="6" t="n">
        <x:f>'日経_L03'!H32</x:f>
        <x:v>276000</x:v>
      </x:c>
    </x:row>
    <x:row r="47" ht="43" customHeight="1">
      <x:c r="A47" s="2" t="str">
        <x:v>L04</x:v>
      </x:c>
      <x:c r="B47" s="16" t="str">
        <x:v>再参加の損切り変更：R04＋再参加玉だけ建値から20pt損失で返済、損切り後は同波再参加を停止</x:v>
      </x:c>
      <x:c r="C47" s="6" t="n">
        <x:f>'日経_L04'!C32</x:f>
        <x:v>60000</x:v>
      </x:c>
      <x:c r="D47" s="6" t="n">
        <x:f>'日経_L04'!D32</x:f>
        <x:v>1315000</x:v>
      </x:c>
      <x:c r="E47" s="6" t="n">
        <x:f>'日経_L04'!E32</x:f>
        <x:v>-1255000</x:v>
      </x:c>
      <x:c r="F47" s="17" t="n">
        <x:f>IF(D47=0,"",C47/D47)</x:f>
        <x:v>0.045627376425855515</x:v>
      </x:c>
      <x:c r="G47" s="6" t="n">
        <x:f>COUNTIFS('日経_L04'!$E$6:$E$31,"&lt;0")</x:f>
        <x:v>26</x:v>
      </x:c>
      <x:c r="H47" s="6" t="n">
        <x:f>IF(G47=0,0,-SUMIFS('日経_L04'!$E$6:$E$31,'日経_L04'!$E$6:$E$31,"&lt;0")/G47)</x:f>
        <x:v>48269.230769230766</x:v>
      </x:c>
      <x:c r="I47" s="6" t="n">
        <x:f>MAX(0,-MIN('日経_L04'!$E$6:$E$31))</x:f>
        <x:v>145000</x:v>
      </x:c>
      <x:c r="J47" s="6" t="n">
        <x:f>E47-MAX(0,LARGE('日経_L04'!$E$6:$E$31,1))-MAX(0,LARGE('日経_L04'!$E$6:$E$31,2))-MAX(0,LARGE('日経_L04'!$E$6:$E$31,3))</x:f>
        <x:v>-1255000</x:v>
      </x:c>
      <x:c r="K47" s="6" t="n">
        <x:v>407</x:v>
      </x:c>
      <x:c r="L47" s="6" t="n">
        <x:f>'日経_L04'!G32</x:f>
        <x:v>-145000</x:v>
      </x:c>
      <x:c r="M47" s="6" t="n">
        <x:f>'日経_L04'!H32</x:f>
        <x:v>147000</x:v>
      </x:c>
    </x:row>
    <x:row r="48" ht="43" customHeight="1">
      <x:c r="A48" s="2" t="str">
        <x:v>L05</x:v>
      </x:c>
      <x:c r="B48" s="16" t="str">
        <x:v>再参加の損切り変更：R04＋再参加玉だけ建値から40pt損失で返済、損切り後は同波再参加を停止</x:v>
      </x:c>
      <x:c r="C48" s="6" t="n">
        <x:f>'日経_L05'!C32</x:f>
        <x:v>179000</x:v>
      </x:c>
      <x:c r="D48" s="6" t="n">
        <x:f>'日経_L05'!D32</x:f>
        <x:v>2016000</x:v>
      </x:c>
      <x:c r="E48" s="6" t="n">
        <x:f>'日経_L05'!E32</x:f>
        <x:v>-1837000</x:v>
      </x:c>
      <x:c r="F48" s="17" t="n">
        <x:f>IF(D48=0,"",C48/D48)</x:f>
        <x:v>0.08878968253968254</x:v>
      </x:c>
      <x:c r="G48" s="6" t="n">
        <x:f>COUNTIFS('日経_L05'!$E$6:$E$31,"&lt;0")</x:f>
        <x:v>25</x:v>
      </x:c>
      <x:c r="H48" s="6" t="n">
        <x:f>IF(G48=0,0,-SUMIFS('日経_L05'!$E$6:$E$31,'日経_L05'!$E$6:$E$31,"&lt;0")/G48)</x:f>
        <x:v>73560</x:v>
      </x:c>
      <x:c r="I48" s="6" t="n">
        <x:f>MAX(0,-MIN('日経_L05'!$E$6:$E$31))</x:f>
        <x:v>192000</x:v>
      </x:c>
      <x:c r="J48" s="6" t="n">
        <x:f>E48-MAX(0,LARGE('日経_L05'!$E$6:$E$31,1))-MAX(0,LARGE('日経_L05'!$E$6:$E$31,2))-MAX(0,LARGE('日経_L05'!$E$6:$E$31,3))</x:f>
        <x:v>-1839000</x:v>
      </x:c>
      <x:c r="K48" s="6" t="n">
        <x:v>554</x:v>
      </x:c>
      <x:c r="L48" s="6" t="n">
        <x:f>'日経_L05'!G32</x:f>
        <x:v>-192000</x:v>
      </x:c>
      <x:c r="M48" s="6" t="n">
        <x:f>'日経_L05'!H32</x:f>
        <x:v>194000</x:v>
      </x:c>
    </x:row>
    <x:row r="49" ht="43" customHeight="1">
      <x:c r="A49" s="2" t="str">
        <x:v>L06</x:v>
      </x:c>
      <x:c r="B49" s="16" t="str">
        <x:v>再参加の損切り変更：R04＋再参加玉だけ建値から80pt損失で返済、損切り後は同波再参加を停止</x:v>
      </x:c>
      <x:c r="C49" s="6" t="n">
        <x:f>'日経_L06'!C32</x:f>
        <x:v>262000</x:v>
      </x:c>
      <x:c r="D49" s="6" t="n">
        <x:f>'日経_L06'!D32</x:f>
        <x:v>3096000</x:v>
      </x:c>
      <x:c r="E49" s="6" t="n">
        <x:f>'日経_L06'!E32</x:f>
        <x:v>-2834000</x:v>
      </x:c>
      <x:c r="F49" s="17" t="n">
        <x:f>IF(D49=0,"",C49/D49)</x:f>
        <x:v>0.08462532299741603</x:v>
      </x:c>
      <x:c r="G49" s="6" t="n">
        <x:f>COUNTIFS('日経_L06'!$E$6:$E$31,"&lt;0")</x:f>
        <x:v>25</x:v>
      </x:c>
      <x:c r="H49" s="6" t="n">
        <x:f>IF(G49=0,0,-SUMIFS('日経_L06'!$E$6:$E$31,'日経_L06'!$E$6:$E$31,"&lt;0")/G49)</x:f>
        <x:v>114800</x:v>
      </x:c>
      <x:c r="I49" s="6" t="n">
        <x:f>MAX(0,-MIN('日経_L06'!$E$6:$E$31))</x:f>
        <x:v>277000</x:v>
      </x:c>
      <x:c r="J49" s="6" t="n">
        <x:f>E49-MAX(0,LARGE('日経_L06'!$E$6:$E$31,1))-MAX(0,LARGE('日経_L06'!$E$6:$E$31,2))-MAX(0,LARGE('日経_L06'!$E$6:$E$31,3))</x:f>
        <x:v>-2870000</x:v>
      </x:c>
      <x:c r="K49" s="6" t="n">
        <x:v>739</x:v>
      </x:c>
      <x:c r="L49" s="6" t="n">
        <x:f>'日経_L06'!G32</x:f>
        <x:v>-277000</x:v>
      </x:c>
      <x:c r="M49" s="6" t="n">
        <x:f>'日経_L06'!H32</x:f>
        <x:v>279000</x:v>
      </x:c>
    </x:row>
  </x:sheetData>
  <x:conditionalFormatting sqref="E6:E49">
    <x:cfRule type="cellIs" dxfId="4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743c862f874b4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S01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現行基準。別入口の利益保護を追加したD07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-40000</x:v>
      </x:c>
      <x:c r="G7" s="6" t="n">
        <x:v>-70000</x:v>
      </x:c>
      <x:c r="H7" s="6" t="n">
        <x:v>80000</x:v>
      </x:c>
    </x:row>
    <x:row r="8" ht="25" customHeight="1">
      <x:c r="A8" s="2" t="str">
        <x:v>2026-09-23_Day</x:v>
      </x:c>
      <x:c r="B8" s="2" t="str">
        <x:v>下落</x:v>
      </x:c>
      <x:c r="C8" s="6" t="n">
        <x:v>50000</x:v>
      </x:c>
      <x:c r="D8" s="6" t="n">
        <x:v>0</x:v>
      </x:c>
      <x:c r="E8" s="6" t="n">
        <x:f>C8-D8</x:f>
        <x:v>50000</x:v>
      </x:c>
      <x:c r="F8" s="6" t="n">
        <x:f>F7+E8</x:f>
        <x:v>10000</x:v>
      </x:c>
      <x:c r="G8" s="6" t="n">
        <x:v>-15000</x:v>
      </x:c>
      <x:c r="H8" s="6" t="n">
        <x:v>40000</x:v>
      </x:c>
    </x:row>
    <x:row r="9" ht="25" customHeight="1">
      <x:c r="A9" s="2" t="str">
        <x:v>2026-09-24_Day</x:v>
      </x:c>
      <x:c r="B9" s="2" t="str">
        <x:v>下落</x:v>
      </x:c>
      <x:c r="C9" s="6" t="n">
        <x:v>175000</x:v>
      </x:c>
      <x:c r="D9" s="6" t="n">
        <x:v>60000</x:v>
      </x:c>
      <x:c r="E9" s="6" t="n">
        <x:f>C9-D9</x:f>
        <x:v>115000</x:v>
      </x:c>
      <x:c r="F9" s="6" t="n">
        <x:f>F8+E9</x:f>
        <x:v>125000</x:v>
      </x:c>
      <x:c r="G9" s="6" t="n">
        <x:v>-14000</x:v>
      </x:c>
      <x:c r="H9" s="6" t="n">
        <x:v>143000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151000</x:v>
      </x:c>
      <x:c r="D10" s="6" t="n">
        <x:v>16000</x:v>
      </x:c>
      <x:c r="E10" s="6" t="n">
        <x:f>C10-D10</x:f>
        <x:v>135000</x:v>
      </x:c>
      <x:c r="F10" s="6" t="n">
        <x:f>F9+E10</x:f>
        <x:v>260000</x:v>
      </x:c>
      <x:c r="G10" s="6" t="n">
        <x:v>-10000</x:v>
      </x:c>
      <x:c r="H10" s="6" t="n">
        <x:v>81000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125000</x:v>
      </x:c>
      <x:c r="D11" s="6" t="n">
        <x:v>137000</x:v>
      </x:c>
      <x:c r="E11" s="6" t="n">
        <x:f>C11-D11</x:f>
        <x:v>-12000</x:v>
      </x:c>
      <x:c r="F11" s="6" t="n">
        <x:f>F10+E11</x:f>
        <x:v>248000</x:v>
      </x:c>
      <x:c r="G11" s="6" t="n">
        <x:v>-101000</x:v>
      </x:c>
      <x:c r="H11" s="6" t="n">
        <x:v>145000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206000</x:v>
      </x:c>
      <x:c r="D12" s="6" t="n">
        <x:v>125000</x:v>
      </x:c>
      <x:c r="E12" s="6" t="n">
        <x:f>C12-D12</x:f>
        <x:v>81000</x:v>
      </x:c>
      <x:c r="F12" s="6" t="n">
        <x:f>F11+E12</x:f>
        <x:v>329000</x:v>
      </x:c>
      <x:c r="G12" s="6" t="n">
        <x:v>-125000</x:v>
      </x:c>
      <x:c r="H12" s="6" t="n">
        <x:v>218000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194000</x:v>
      </x:c>
      <x:c r="D13" s="6" t="n">
        <x:v>75000</x:v>
      </x:c>
      <x:c r="E13" s="6" t="n">
        <x:f>C13-D13</x:f>
        <x:v>119000</x:v>
      </x:c>
      <x:c r="F13" s="6" t="n">
        <x:f>F12+E13</x:f>
        <x:v>448000</x:v>
      </x:c>
      <x:c r="G13" s="6" t="n">
        <x:v>-72000</x:v>
      </x:c>
      <x:c r="H13" s="6" t="n">
        <x:v>91000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248000</x:v>
      </x:c>
      <x:c r="D14" s="6" t="n">
        <x:v>110000</x:v>
      </x:c>
      <x:c r="E14" s="6" t="n">
        <x:f>C14-D14</x:f>
        <x:v>138000</x:v>
      </x:c>
      <x:c r="F14" s="6" t="n">
        <x:f>F13+E14</x:f>
        <x:v>586000</x:v>
      </x:c>
      <x:c r="G14" s="6" t="n">
        <x:v>-72000</x:v>
      </x:c>
      <x:c r="H14" s="6" t="n">
        <x:v>90000</x:v>
      </x:c>
    </x:row>
    <x:row r="15" ht="25" customHeight="1">
      <x:c r="A15" s="2" t="str">
        <x:v>2026-10-02_Day</x:v>
      </x:c>
      <x:c r="B15" s="2" t="str">
        <x:v>上昇</x:v>
      </x:c>
      <x:c r="C15" s="6" t="n">
        <x:v>31000</x:v>
      </x:c>
      <x:c r="D15" s="6" t="n">
        <x:v>73000</x:v>
      </x:c>
      <x:c r="E15" s="6" t="n">
        <x:f>C15-D15</x:f>
        <x:v>-42000</x:v>
      </x:c>
      <x:c r="F15" s="6" t="n">
        <x:f>F14+E15</x:f>
        <x:v>544000</x:v>
      </x:c>
      <x:c r="G15" s="6" t="n">
        <x:v>-81000</x:v>
      </x:c>
      <x:c r="H15" s="6" t="n">
        <x:v>159000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86000</x:v>
      </x:c>
      <x:c r="D16" s="6" t="n">
        <x:v>156000</x:v>
      </x:c>
      <x:c r="E16" s="6" t="n">
        <x:f>C16-D16</x:f>
        <x:v>-70000</x:v>
      </x:c>
      <x:c r="F16" s="6" t="n">
        <x:f>F15+E16</x:f>
        <x:v>474000</x:v>
      </x:c>
      <x:c r="G16" s="6" t="n">
        <x:v>-115000</x:v>
      </x:c>
      <x:c r="H16" s="6" t="n">
        <x:v>165000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142000</x:v>
      </x:c>
      <x:c r="D17" s="6" t="n">
        <x:v>160000</x:v>
      </x:c>
      <x:c r="E17" s="6" t="n">
        <x:f>C17-D17</x:f>
        <x:v>-18000</x:v>
      </x:c>
      <x:c r="F17" s="6" t="n">
        <x:f>F16+E17</x:f>
        <x:v>456000</x:v>
      </x:c>
      <x:c r="G17" s="6" t="n">
        <x:v>-74000</x:v>
      </x:c>
      <x:c r="H17" s="6" t="n">
        <x:v>98000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167000</x:v>
      </x:c>
      <x:c r="D18" s="6" t="n">
        <x:v>46000</x:v>
      </x:c>
      <x:c r="E18" s="6" t="n">
        <x:f>C18-D18</x:f>
        <x:v>121000</x:v>
      </x:c>
      <x:c r="F18" s="6" t="n">
        <x:f>F17+E18</x:f>
        <x:v>577000</x:v>
      </x:c>
      <x:c r="G18" s="6" t="n">
        <x:v>-6000</x:v>
      </x:c>
      <x:c r="H18" s="6" t="n">
        <x:v>62000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126000</x:v>
      </x:c>
      <x:c r="D19" s="6" t="n">
        <x:v>90000</x:v>
      </x:c>
      <x:c r="E19" s="6" t="n">
        <x:f>C19-D19</x:f>
        <x:v>36000</x:v>
      </x:c>
      <x:c r="F19" s="6" t="n">
        <x:f>F18+E19</x:f>
        <x:v>613000</x:v>
      </x:c>
      <x:c r="G19" s="6" t="n">
        <x:v>-78000</x:v>
      </x:c>
      <x:c r="H19" s="6" t="n">
        <x:v>119000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128000</x:v>
      </x:c>
      <x:c r="D20" s="6" t="n">
        <x:v>65000</x:v>
      </x:c>
      <x:c r="E20" s="6" t="n">
        <x:f>C20-D20</x:f>
        <x:v>63000</x:v>
      </x:c>
      <x:c r="F20" s="6" t="n">
        <x:f>F19+E20</x:f>
        <x:v>676000</x:v>
      </x:c>
      <x:c r="G20" s="6" t="n">
        <x:v>-33000</x:v>
      </x:c>
      <x:c r="H20" s="6" t="n">
        <x:v>98000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65000</x:v>
      </x:c>
      <x:c r="D21" s="6" t="n">
        <x:v>25000</x:v>
      </x:c>
      <x:c r="E21" s="6" t="n">
        <x:f>C21-D21</x:f>
        <x:v>40000</x:v>
      </x:c>
      <x:c r="F21" s="6" t="n">
        <x:f>F20+E21</x:f>
        <x:v>716000</x:v>
      </x:c>
      <x:c r="G21" s="6" t="n">
        <x:v>-31000</x:v>
      </x:c>
      <x:c r="H21" s="6" t="n">
        <x:v>70000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208000</x:v>
      </x:c>
      <x:c r="D22" s="6" t="n">
        <x:v>151000</x:v>
      </x:c>
      <x:c r="E22" s="6" t="n">
        <x:f>C22-D22</x:f>
        <x:v>57000</x:v>
      </x:c>
      <x:c r="F22" s="6" t="n">
        <x:f>F21+E22</x:f>
        <x:v>773000</x:v>
      </x:c>
      <x:c r="G22" s="6" t="n">
        <x:v>-36000</x:v>
      </x:c>
      <x:c r="H22" s="6" t="n">
        <x:v>113000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149000</x:v>
      </x:c>
      <x:c r="D23" s="6" t="n">
        <x:v>48000</x:v>
      </x:c>
      <x:c r="E23" s="6" t="n">
        <x:f>C23-D23</x:f>
        <x:v>101000</x:v>
      </x:c>
      <x:c r="F23" s="6" t="n">
        <x:f>F22+E23</x:f>
        <x:v>874000</x:v>
      </x:c>
      <x:c r="G23" s="6" t="n">
        <x:v>-58000</x:v>
      </x:c>
      <x:c r="H23" s="6" t="n">
        <x:v>75000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302000</x:v>
      </x:c>
      <x:c r="D24" s="6" t="n">
        <x:v>66000</x:v>
      </x:c>
      <x:c r="E24" s="6" t="n">
        <x:f>C24-D24</x:f>
        <x:v>236000</x:v>
      </x:c>
      <x:c r="F24" s="6" t="n">
        <x:f>F23+E24</x:f>
        <x:v>1110000</x:v>
      </x:c>
      <x:c r="G24" s="6" t="n">
        <x:v>-68000</x:v>
      </x:c>
      <x:c r="H24" s="6" t="n">
        <x:v>118000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145000</x:v>
      </x:c>
      <x:c r="D25" s="6" t="n">
        <x:v>218000</x:v>
      </x:c>
      <x:c r="E25" s="6" t="n">
        <x:f>C25-D25</x:f>
        <x:v>-73000</x:v>
      </x:c>
      <x:c r="F25" s="6" t="n">
        <x:f>F24+E25</x:f>
        <x:v>1037000</x:v>
      </x:c>
      <x:c r="G25" s="6" t="n">
        <x:v>-140000</x:v>
      </x:c>
      <x:c r="H25" s="6" t="n">
        <x:v>162000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329000</x:v>
      </x:c>
      <x:c r="D26" s="6" t="n">
        <x:v>0</x:v>
      </x:c>
      <x:c r="E26" s="6" t="n">
        <x:f>C26-D26</x:f>
        <x:v>329000</x:v>
      </x:c>
      <x:c r="F26" s="6" t="n">
        <x:f>F25+E26</x:f>
        <x:v>1366000</x:v>
      </x:c>
      <x:c r="G26" s="6" t="n">
        <x:v>-8000</x:v>
      </x:c>
      <x:c r="H26" s="6" t="n">
        <x:v>192000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203000</x:v>
      </x:c>
      <x:c r="D27" s="6" t="n">
        <x:v>178000</x:v>
      </x:c>
      <x:c r="E27" s="6" t="n">
        <x:f>C27-D27</x:f>
        <x:v>25000</x:v>
      </x:c>
      <x:c r="F27" s="6" t="n">
        <x:f>F26+E27</x:f>
        <x:v>1391000</x:v>
      </x:c>
      <x:c r="G27" s="6" t="n">
        <x:v>-60000</x:v>
      </x:c>
      <x:c r="H27" s="6" t="n">
        <x:v>294000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80000</x:v>
      </x:c>
      <x:c r="D28" s="6" t="n">
        <x:v>193000</x:v>
      </x:c>
      <x:c r="E28" s="6" t="n">
        <x:f>C28-D28</x:f>
        <x:v>-113000</x:v>
      </x:c>
      <x:c r="F28" s="6" t="n">
        <x:f>F27+E28</x:f>
        <x:v>1278000</x:v>
      </x:c>
      <x:c r="G28" s="6" t="n">
        <x:v>-203000</x:v>
      </x:c>
      <x:c r="H28" s="6" t="n">
        <x:v>216000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399000</x:v>
      </x:c>
      <x:c r="D29" s="6" t="n">
        <x:v>0</x:v>
      </x:c>
      <x:c r="E29" s="6" t="n">
        <x:f>C29-D29</x:f>
        <x:v>399000</x:v>
      </x:c>
      <x:c r="F29" s="6" t="n">
        <x:f>F28+E29</x:f>
        <x:v>1677000</x:v>
      </x:c>
      <x:c r="G29" s="6" t="n">
        <x:v>-17000</x:v>
      </x:c>
      <x:c r="H29" s="6" t="n">
        <x:v>93000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332000</x:v>
      </x:c>
      <x:c r="D30" s="6" t="n">
        <x:v>44000</x:v>
      </x:c>
      <x:c r="E30" s="6" t="n">
        <x:f>C30-D30</x:f>
        <x:v>288000</x:v>
      </x:c>
      <x:c r="F30" s="6" t="n">
        <x:f>F29+E30</x:f>
        <x:v>1965000</x:v>
      </x:c>
      <x:c r="G30" s="6" t="n">
        <x:v>-24000</x:v>
      </x:c>
      <x:c r="H30" s="6" t="n">
        <x:v>82000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160000</x:v>
      </x:c>
      <x:c r="D31" s="6" t="n">
        <x:v>190000</x:v>
      </x:c>
      <x:c r="E31" s="6" t="n">
        <x:f>C31-D31</x:f>
        <x:v>-30000</x:v>
      </x:c>
      <x:c r="F31" s="6" t="n">
        <x:f>F30+E31</x:f>
        <x:v>1935000</x:v>
      </x:c>
      <x:c r="G31" s="6" t="n">
        <x:v>-126000</x:v>
      </x:c>
      <x:c r="H31" s="6" t="n">
        <x:v>254000</x:v>
      </x:c>
    </x:row>
    <x:row r="32" ht="25" customHeight="1">
      <x:c r="A32" s="13" t="str">
        <x:v>累計／場内最悪値</x:v>
      </x:c>
      <x:c r="B32" s="13"/>
      <x:c r="C32" s="14" t="n">
        <x:f>SUM(C6:C31)</x:f>
        <x:v>4231000</x:v>
      </x:c>
      <x:c r="D32" s="14" t="n">
        <x:f>SUM(D6:D31)</x:f>
        <x:v>2296000</x:v>
      </x:c>
      <x:c r="E32" s="14" t="n">
        <x:f>C32-D32</x:f>
        <x:v>1935000</x:v>
      </x:c>
      <x:c r="F32" s="14" t="n">
        <x:f>F31</x:f>
        <x:v>1935000</x:v>
      </x:c>
      <x:c r="G32" s="14" t="n">
        <x:f>MIN(G6:G31)</x:f>
        <x:v>-203000</x:v>
      </x:c>
      <x:c r="H32" s="14" t="n">
        <x:f>MAX(H6:H31)</x:f>
        <x:v>294000</x:v>
      </x:c>
    </x:row>
  </x:sheetData>
  <x:conditionalFormatting sqref="E6:F31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d7b6cf866645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玉別10pt追尾・起動含み正・元再参加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5000</x:v>
      </x:c>
      <x:c r="D8" s="6" t="n">
        <x:v>0</x:v>
      </x:c>
      <x:c r="E8" s="6" t="n">
        <x:f>C8-D8</x:f>
        <x:v>5000</x:v>
      </x:c>
      <x:c r="F8" s="6" t="n">
        <x:f>F7+E8</x:f>
        <x:v>-25000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-27000</x:v>
      </x:c>
      <x:c r="G9" s="6" t="n">
        <x:v>-31000</x:v>
      </x:c>
      <x:c r="H9" s="6" t="n">
        <x:v>36000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4000</x:v>
      </x:c>
      <x:c r="D10" s="6" t="n">
        <x:v>16000</x:v>
      </x:c>
      <x:c r="E10" s="6" t="n">
        <x:f>C10-D10</x:f>
        <x:v>-12000</x:v>
      </x:c>
      <x:c r="F10" s="6" t="n">
        <x:f>F9+E10</x:f>
        <x:v>-39000</x:v>
      </x:c>
      <x:c r="G10" s="6" t="n">
        <x:v>-12000</x:v>
      </x:c>
      <x:c r="H10" s="6" t="n">
        <x:v>19000</x:v>
      </x:c>
    </x:row>
    <x:row r="11" ht="25" customHeight="1">
      <x:c r="A11" s="2" t="str">
        <x:v>2026-09-28_Day</x:v>
      </x:c>
      <x:c r="B11" s="2" t="str">
        <x:v>下落</x:v>
      </x:c>
      <x:c r="C11" s="6" t="n">
        <x:v>8000</x:v>
      </x:c>
      <x:c r="D11" s="6" t="n">
        <x:v>40000</x:v>
      </x:c>
      <x:c r="E11" s="6" t="n">
        <x:f>C11-D11</x:f>
        <x:v>-32000</x:v>
      </x:c>
      <x:c r="F11" s="6" t="n">
        <x:f>F10+E11</x:f>
        <x:v>-71000</x:v>
      </x:c>
      <x:c r="G11" s="6" t="n">
        <x:v>-36000</x:v>
      </x:c>
      <x:c r="H11" s="6" t="n">
        <x:v>45000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15000</x:v>
      </x:c>
      <x:c r="D12" s="6" t="n">
        <x:v>57000</x:v>
      </x:c>
      <x:c r="E12" s="6" t="n">
        <x:f>C12-D12</x:f>
        <x:v>-42000</x:v>
      </x:c>
      <x:c r="F12" s="6" t="n">
        <x:f>F11+E12</x:f>
        <x:v>-113000</x:v>
      </x:c>
      <x:c r="G12" s="6" t="n">
        <x:v>-68000</x:v>
      </x:c>
      <x:c r="H12" s="6" t="n">
        <x:v>70000</x:v>
      </x:c>
    </x:row>
    <x:row r="13" ht="25" customHeight="1">
      <x:c r="A13" s="2" t="str">
        <x:v>2026-09-30_Day</x:v>
      </x:c>
      <x:c r="B13" s="2" t="str">
        <x:v>上昇</x:v>
      </x:c>
      <x:c r="C13" s="6" t="n">
        <x:v>6000</x:v>
      </x:c>
      <x:c r="D13" s="6" t="n">
        <x:v>55000</x:v>
      </x:c>
      <x:c r="E13" s="6" t="n">
        <x:f>C13-D13</x:f>
        <x:v>-49000</x:v>
      </x:c>
      <x:c r="F13" s="6" t="n">
        <x:f>F12+E13</x:f>
        <x:v>-162000</x:v>
      </x:c>
      <x:c r="G13" s="6" t="n">
        <x:v>-67000</x:v>
      </x:c>
      <x:c r="H13" s="6" t="n">
        <x:v>70000</x:v>
      </x:c>
    </x:row>
    <x:row r="14" ht="25" customHeight="1">
      <x:c r="A14" s="2" t="str">
        <x:v>2026-10-01_Day</x:v>
      </x:c>
      <x:c r="B14" s="2" t="str">
        <x:v>上昇</x:v>
      </x:c>
      <x:c r="C14" s="6" t="n">
        <x:v>11000</x:v>
      </x:c>
      <x:c r="D14" s="6" t="n">
        <x:v>0</x:v>
      </x:c>
      <x:c r="E14" s="6" t="n">
        <x:f>C14-D14</x:f>
        <x:v>11000</x:v>
      </x:c>
      <x:c r="F14" s="6" t="n">
        <x:f>F13+E14</x:f>
        <x:v>-151000</x:v>
      </x:c>
      <x:c r="G14" s="6" t="n">
        <x:v>-15000</x:v>
      </x:c>
      <x:c r="H14" s="6" t="n">
        <x:v>27000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15000</x:v>
      </x:c>
      <x:c r="D15" s="6" t="n">
        <x:v>0</x:v>
      </x:c>
      <x:c r="E15" s="6" t="n">
        <x:f>C15-D15</x:f>
        <x:v>15000</x:v>
      </x:c>
      <x:c r="F15" s="6" t="n">
        <x:f>F14+E15</x:f>
        <x:v>-136000</x:v>
      </x:c>
      <x:c r="G15" s="6" t="n">
        <x:v>-14000</x:v>
      </x:c>
      <x:c r="H15" s="6" t="n">
        <x:v>16000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-157000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9000</x:v>
      </x:c>
      <x:c r="D17" s="6" t="n">
        <x:v>28000</x:v>
      </x:c>
      <x:c r="E17" s="6" t="n">
        <x:f>C17-D17</x:f>
        <x:v>-19000</x:v>
      </x:c>
      <x:c r="F17" s="6" t="n">
        <x:f>F16+E17</x:f>
        <x:v>-176000</x:v>
      </x:c>
      <x:c r="G17" s="6" t="n">
        <x:v>-25000</x:v>
      </x:c>
      <x:c r="H17" s="6" t="n">
        <x:v>33000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-199000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5000</x:v>
      </x:c>
      <x:c r="D19" s="6" t="n">
        <x:v>70000</x:v>
      </x:c>
      <x:c r="E19" s="6" t="n">
        <x:f>C19-D19</x:f>
        <x:v>-65000</x:v>
      </x:c>
      <x:c r="F19" s="6" t="n">
        <x:f>F18+E19</x:f>
        <x:v>-264000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9000</x:v>
      </x:c>
      <x:c r="D20" s="6" t="n">
        <x:v>38000</x:v>
      </x:c>
      <x:c r="E20" s="6" t="n">
        <x:f>C20-D20</x:f>
        <x:v>-29000</x:v>
      </x:c>
      <x:c r="F20" s="6" t="n">
        <x:f>F19+E20</x:f>
        <x:v>-293000</x:v>
      </x:c>
      <x:c r="G20" s="6" t="n">
        <x:v>-33000</x:v>
      </x:c>
      <x:c r="H20" s="6" t="n">
        <x:v>43000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10000</x:v>
      </x:c>
      <x:c r="D21" s="6" t="n">
        <x:v>25000</x:v>
      </x:c>
      <x:c r="E21" s="6" t="n">
        <x:f>C21-D21</x:f>
        <x:v>-15000</x:v>
      </x:c>
      <x:c r="F21" s="6" t="n">
        <x:f>F20+E21</x:f>
        <x:v>-308000</x:v>
      </x:c>
      <x:c r="G21" s="6" t="n">
        <x:v>-15000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15000</x:v>
      </x:c>
      <x:c r="D22" s="6" t="n">
        <x:v>104000</x:v>
      </x:c>
      <x:c r="E22" s="6" t="n">
        <x:f>C22-D22</x:f>
        <x:v>-89000</x:v>
      </x:c>
      <x:c r="F22" s="6" t="n">
        <x:f>F21+E22</x:f>
        <x:v>-397000</x:v>
      </x:c>
      <x:c r="G22" s="6" t="n">
        <x:v>-93000</x:v>
      </x:c>
      <x:c r="H22" s="6" t="n">
        <x:v>95000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26000</x:v>
      </x:c>
      <x:c r="D23" s="6" t="n">
        <x:v>0</x:v>
      </x:c>
      <x:c r="E23" s="6" t="n">
        <x:f>C23-D23</x:f>
        <x:v>26000</x:v>
      </x:c>
      <x:c r="F23" s="6" t="n">
        <x:f>F22+E23</x:f>
        <x:v>-371000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13000</x:v>
      </x:c>
      <x:c r="D24" s="6" t="n">
        <x:v>0</x:v>
      </x:c>
      <x:c r="E24" s="6" t="n">
        <x:f>C24-D24</x:f>
        <x:v>13000</x:v>
      </x:c>
      <x:c r="F24" s="6" t="n">
        <x:f>F23+E24</x:f>
        <x:v>-358000</x:v>
      </x:c>
      <x:c r="G24" s="6" t="n">
        <x:v>-18000</x:v>
      </x:c>
      <x:c r="H24" s="6" t="n">
        <x:v>22000</x:v>
      </x:c>
    </x:row>
    <x:row r="25" ht="25" customHeight="1">
      <x:c r="A25" s="2" t="str">
        <x:v>2026-10-16_Day</x:v>
      </x:c>
      <x:c r="B25" s="2" t="str">
        <x:v>上昇</x:v>
      </x:c>
      <x:c r="C25" s="6" t="n">
        <x:v>32000</x:v>
      </x:c>
      <x:c r="D25" s="6" t="n">
        <x:v>9000</x:v>
      </x:c>
      <x:c r="E25" s="6" t="n">
        <x:f>C25-D25</x:f>
        <x:v>23000</x:v>
      </x:c>
      <x:c r="F25" s="6" t="n">
        <x:f>F24+E25</x:f>
        <x:v>-335000</x:v>
      </x:c>
      <x:c r="G25" s="6" t="n">
        <x:v>-13000</x:v>
      </x:c>
      <x:c r="H25" s="6" t="n">
        <x:v>45000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10000</x:v>
      </x:c>
      <x:c r="D26" s="6" t="n">
        <x:v>0</x:v>
      </x:c>
      <x:c r="E26" s="6" t="n">
        <x:f>C26-D26</x:f>
        <x:v>10000</x:v>
      </x:c>
      <x:c r="F26" s="6" t="n">
        <x:f>F25+E26</x:f>
        <x:v>-325000</x:v>
      </x:c>
      <x:c r="G26" s="6" t="n">
        <x:v>-15000</x:v>
      </x:c>
      <x:c r="H26" s="6" t="n">
        <x:v>20000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27000</x:v>
      </x:c>
      <x:c r="D27" s="6" t="n">
        <x:v>26000</x:v>
      </x:c>
      <x:c r="E27" s="6" t="n">
        <x:f>C27-D27</x:f>
        <x:v>1000</x:v>
      </x:c>
      <x:c r="F27" s="6" t="n">
        <x:f>F26+E27</x:f>
        <x:v>-324000</x:v>
      </x:c>
      <x:c r="G27" s="6" t="n">
        <x:v>-24000</x:v>
      </x:c>
      <x:c r="H27" s="6" t="n">
        <x:v>31000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28000</x:v>
      </x:c>
      <x:c r="D28" s="6" t="n">
        <x:v>30000</x:v>
      </x:c>
      <x:c r="E28" s="6" t="n">
        <x:f>C28-D28</x:f>
        <x:v>-2000</x:v>
      </x:c>
      <x:c r="F28" s="6" t="n">
        <x:f>F27+E28</x:f>
        <x:v>-326000</x:v>
      </x:c>
      <x:c r="G28" s="6" t="n">
        <x:v>-46000</x:v>
      </x:c>
      <x:c r="H28" s="6" t="n">
        <x:v>50000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10000</x:v>
      </x:c>
      <x:c r="D29" s="6" t="n">
        <x:v>0</x:v>
      </x:c>
      <x:c r="E29" s="6" t="n">
        <x:f>C29-D29</x:f>
        <x:v>10000</x:v>
      </x:c>
      <x:c r="F29" s="6" t="n">
        <x:f>F28+E29</x:f>
        <x:v>-316000</x:v>
      </x:c>
      <x:c r="G29" s="6" t="n">
        <x:v>-15000</x:v>
      </x:c>
      <x:c r="H29" s="6" t="n">
        <x:v>17000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-311000</x:v>
      </x:c>
      <x:c r="G30" s="6" t="n">
        <x:v>-34000</x:v>
      </x:c>
      <x:c r="H30" s="6" t="n">
        <x:v>47000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13000</x:v>
      </x:c>
      <x:c r="D31" s="6" t="n">
        <x:v>0</x:v>
      </x:c>
      <x:c r="E31" s="6" t="n">
        <x:f>C31-D31</x:f>
        <x:v>13000</x:v>
      </x:c>
      <x:c r="F31" s="6" t="n">
        <x:f>F30+E31</x:f>
        <x:v>-298000</x:v>
      </x:c>
      <x:c r="G31" s="6" t="n">
        <x:v>-67000</x:v>
      </x:c>
      <x:c r="H31" s="6" t="n">
        <x:v>71000</x:v>
      </x:c>
    </x:row>
    <x:row r="32" ht="25" customHeight="1">
      <x:c r="A32" s="13" t="str">
        <x:v>累計／場内最悪値</x:v>
      </x:c>
      <x:c r="B32" s="13"/>
      <x:c r="C32" s="14" t="n">
        <x:f>SUM(C6:C31)</x:f>
        <x:v>304000</x:v>
      </x:c>
      <x:c r="D32" s="14" t="n">
        <x:f>SUM(D6:D31)</x:f>
        <x:v>602000</x:v>
      </x:c>
      <x:c r="E32" s="14" t="n">
        <x:f>C32-D32</x:f>
        <x:v>-298000</x:v>
      </x:c>
      <x:c r="F32" s="14" t="n">
        <x:f>F31</x:f>
        <x:v>-298000</x:v>
      </x:c>
      <x:c r="G32" s="14" t="n">
        <x:f>MIN(G6:G31)</x:f>
        <x:v>-93000</x:v>
      </x:c>
      <x:c r="H32" s="14" t="n">
        <x:f>MAX(H6:H31)</x:f>
        <x:v>95000</x:v>
      </x:c>
    </x:row>
  </x:sheetData>
  <x:conditionalFormatting sqref="E6:F31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0e9c2a05314a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玉別10pt追尾・起動含み正・基準S01親占有制限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5000</x:v>
      </x:c>
      <x:c r="D8" s="6" t="n">
        <x:v>0</x:v>
      </x:c>
      <x:c r="E8" s="6" t="n">
        <x:f>C8-D8</x:f>
        <x:v>5000</x:v>
      </x:c>
      <x:c r="F8" s="6" t="n">
        <x:f>F7+E8</x:f>
        <x:v>-25000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-27000</x:v>
      </x:c>
      <x:c r="G9" s="6" t="n">
        <x:v>-31000</x:v>
      </x:c>
      <x:c r="H9" s="6" t="n">
        <x:v>36000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4000</x:v>
      </x:c>
      <x:c r="D10" s="6" t="n">
        <x:v>16000</x:v>
      </x:c>
      <x:c r="E10" s="6" t="n">
        <x:f>C10-D10</x:f>
        <x:v>-12000</x:v>
      </x:c>
      <x:c r="F10" s="6" t="n">
        <x:f>F9+E10</x:f>
        <x:v>-39000</x:v>
      </x:c>
      <x:c r="G10" s="6" t="n">
        <x:v>-12000</x:v>
      </x:c>
      <x:c r="H10" s="6" t="n">
        <x:v>19000</x:v>
      </x:c>
    </x:row>
    <x:row r="11" ht="25" customHeight="1">
      <x:c r="A11" s="2" t="str">
        <x:v>2026-09-28_Day</x:v>
      </x:c>
      <x:c r="B11" s="2" t="str">
        <x:v>下落</x:v>
      </x:c>
      <x:c r="C11" s="6" t="n">
        <x:v>8000</x:v>
      </x:c>
      <x:c r="D11" s="6" t="n">
        <x:v>40000</x:v>
      </x:c>
      <x:c r="E11" s="6" t="n">
        <x:f>C11-D11</x:f>
        <x:v>-32000</x:v>
      </x:c>
      <x:c r="F11" s="6" t="n">
        <x:f>F10+E11</x:f>
        <x:v>-71000</x:v>
      </x:c>
      <x:c r="G11" s="6" t="n">
        <x:v>-36000</x:v>
      </x:c>
      <x:c r="H11" s="6" t="n">
        <x:v>45000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15000</x:v>
      </x:c>
      <x:c r="D12" s="6" t="n">
        <x:v>57000</x:v>
      </x:c>
      <x:c r="E12" s="6" t="n">
        <x:f>C12-D12</x:f>
        <x:v>-42000</x:v>
      </x:c>
      <x:c r="F12" s="6" t="n">
        <x:f>F11+E12</x:f>
        <x:v>-113000</x:v>
      </x:c>
      <x:c r="G12" s="6" t="n">
        <x:v>-68000</x:v>
      </x:c>
      <x:c r="H12" s="6" t="n">
        <x:v>70000</x:v>
      </x:c>
    </x:row>
    <x:row r="13" ht="25" customHeight="1">
      <x:c r="A13" s="2" t="str">
        <x:v>2026-09-30_Day</x:v>
      </x:c>
      <x:c r="B13" s="2" t="str">
        <x:v>上昇</x:v>
      </x:c>
      <x:c r="C13" s="6" t="n">
        <x:v>6000</x:v>
      </x:c>
      <x:c r="D13" s="6" t="n">
        <x:v>55000</x:v>
      </x:c>
      <x:c r="E13" s="6" t="n">
        <x:f>C13-D13</x:f>
        <x:v>-49000</x:v>
      </x:c>
      <x:c r="F13" s="6" t="n">
        <x:f>F12+E13</x:f>
        <x:v>-162000</x:v>
      </x:c>
      <x:c r="G13" s="6" t="n">
        <x:v>-67000</x:v>
      </x:c>
      <x:c r="H13" s="6" t="n">
        <x:v>70000</x:v>
      </x:c>
    </x:row>
    <x:row r="14" ht="25" customHeight="1">
      <x:c r="A14" s="2" t="str">
        <x:v>2026-10-01_Day</x:v>
      </x:c>
      <x:c r="B14" s="2" t="str">
        <x:v>上昇</x:v>
      </x:c>
      <x:c r="C14" s="6" t="n">
        <x:v>11000</x:v>
      </x:c>
      <x:c r="D14" s="6" t="n">
        <x:v>0</x:v>
      </x:c>
      <x:c r="E14" s="6" t="n">
        <x:f>C14-D14</x:f>
        <x:v>11000</x:v>
      </x:c>
      <x:c r="F14" s="6" t="n">
        <x:f>F13+E14</x:f>
        <x:v>-151000</x:v>
      </x:c>
      <x:c r="G14" s="6" t="n">
        <x:v>-15000</x:v>
      </x:c>
      <x:c r="H14" s="6" t="n">
        <x:v>27000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15000</x:v>
      </x:c>
      <x:c r="D15" s="6" t="n">
        <x:v>0</x:v>
      </x:c>
      <x:c r="E15" s="6" t="n">
        <x:f>C15-D15</x:f>
        <x:v>15000</x:v>
      </x:c>
      <x:c r="F15" s="6" t="n">
        <x:f>F14+E15</x:f>
        <x:v>-136000</x:v>
      </x:c>
      <x:c r="G15" s="6" t="n">
        <x:v>-14000</x:v>
      </x:c>
      <x:c r="H15" s="6" t="n">
        <x:v>16000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-157000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9000</x:v>
      </x:c>
      <x:c r="D17" s="6" t="n">
        <x:v>28000</x:v>
      </x:c>
      <x:c r="E17" s="6" t="n">
        <x:f>C17-D17</x:f>
        <x:v>-19000</x:v>
      </x:c>
      <x:c r="F17" s="6" t="n">
        <x:f>F16+E17</x:f>
        <x:v>-176000</x:v>
      </x:c>
      <x:c r="G17" s="6" t="n">
        <x:v>-25000</x:v>
      </x:c>
      <x:c r="H17" s="6" t="n">
        <x:v>33000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-199000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5000</x:v>
      </x:c>
      <x:c r="D19" s="6" t="n">
        <x:v>70000</x:v>
      </x:c>
      <x:c r="E19" s="6" t="n">
        <x:f>C19-D19</x:f>
        <x:v>-65000</x:v>
      </x:c>
      <x:c r="F19" s="6" t="n">
        <x:f>F18+E19</x:f>
        <x:v>-264000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9000</x:v>
      </x:c>
      <x:c r="D20" s="6" t="n">
        <x:v>38000</x:v>
      </x:c>
      <x:c r="E20" s="6" t="n">
        <x:f>C20-D20</x:f>
        <x:v>-29000</x:v>
      </x:c>
      <x:c r="F20" s="6" t="n">
        <x:f>F19+E20</x:f>
        <x:v>-293000</x:v>
      </x:c>
      <x:c r="G20" s="6" t="n">
        <x:v>-33000</x:v>
      </x:c>
      <x:c r="H20" s="6" t="n">
        <x:v>43000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10000</x:v>
      </x:c>
      <x:c r="D21" s="6" t="n">
        <x:v>25000</x:v>
      </x:c>
      <x:c r="E21" s="6" t="n">
        <x:f>C21-D21</x:f>
        <x:v>-15000</x:v>
      </x:c>
      <x:c r="F21" s="6" t="n">
        <x:f>F20+E21</x:f>
        <x:v>-308000</x:v>
      </x:c>
      <x:c r="G21" s="6" t="n">
        <x:v>-15000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15000</x:v>
      </x:c>
      <x:c r="D22" s="6" t="n">
        <x:v>104000</x:v>
      </x:c>
      <x:c r="E22" s="6" t="n">
        <x:f>C22-D22</x:f>
        <x:v>-89000</x:v>
      </x:c>
      <x:c r="F22" s="6" t="n">
        <x:f>F21+E22</x:f>
        <x:v>-397000</x:v>
      </x:c>
      <x:c r="G22" s="6" t="n">
        <x:v>-93000</x:v>
      </x:c>
      <x:c r="H22" s="6" t="n">
        <x:v>95000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26000</x:v>
      </x:c>
      <x:c r="D23" s="6" t="n">
        <x:v>0</x:v>
      </x:c>
      <x:c r="E23" s="6" t="n">
        <x:f>C23-D23</x:f>
        <x:v>26000</x:v>
      </x:c>
      <x:c r="F23" s="6" t="n">
        <x:f>F22+E23</x:f>
        <x:v>-371000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13000</x:v>
      </x:c>
      <x:c r="D24" s="6" t="n">
        <x:v>0</x:v>
      </x:c>
      <x:c r="E24" s="6" t="n">
        <x:f>C24-D24</x:f>
        <x:v>13000</x:v>
      </x:c>
      <x:c r="F24" s="6" t="n">
        <x:f>F23+E24</x:f>
        <x:v>-358000</x:v>
      </x:c>
      <x:c r="G24" s="6" t="n">
        <x:v>-18000</x:v>
      </x:c>
      <x:c r="H24" s="6" t="n">
        <x:v>22000</x:v>
      </x:c>
    </x:row>
    <x:row r="25" ht="25" customHeight="1">
      <x:c r="A25" s="2" t="str">
        <x:v>2026-10-16_Day</x:v>
      </x:c>
      <x:c r="B25" s="2" t="str">
        <x:v>上昇</x:v>
      </x:c>
      <x:c r="C25" s="6" t="n">
        <x:v>32000</x:v>
      </x:c>
      <x:c r="D25" s="6" t="n">
        <x:v>9000</x:v>
      </x:c>
      <x:c r="E25" s="6" t="n">
        <x:f>C25-D25</x:f>
        <x:v>23000</x:v>
      </x:c>
      <x:c r="F25" s="6" t="n">
        <x:f>F24+E25</x:f>
        <x:v>-335000</x:v>
      </x:c>
      <x:c r="G25" s="6" t="n">
        <x:v>-13000</x:v>
      </x:c>
      <x:c r="H25" s="6" t="n">
        <x:v>45000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10000</x:v>
      </x:c>
      <x:c r="D26" s="6" t="n">
        <x:v>0</x:v>
      </x:c>
      <x:c r="E26" s="6" t="n">
        <x:f>C26-D26</x:f>
        <x:v>10000</x:v>
      </x:c>
      <x:c r="F26" s="6" t="n">
        <x:f>F25+E26</x:f>
        <x:v>-325000</x:v>
      </x:c>
      <x:c r="G26" s="6" t="n">
        <x:v>-15000</x:v>
      </x:c>
      <x:c r="H26" s="6" t="n">
        <x:v>20000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27000</x:v>
      </x:c>
      <x:c r="D27" s="6" t="n">
        <x:v>26000</x:v>
      </x:c>
      <x:c r="E27" s="6" t="n">
        <x:f>C27-D27</x:f>
        <x:v>1000</x:v>
      </x:c>
      <x:c r="F27" s="6" t="n">
        <x:f>F26+E27</x:f>
        <x:v>-324000</x:v>
      </x:c>
      <x:c r="G27" s="6" t="n">
        <x:v>-24000</x:v>
      </x:c>
      <x:c r="H27" s="6" t="n">
        <x:v>31000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28000</x:v>
      </x:c>
      <x:c r="D28" s="6" t="n">
        <x:v>30000</x:v>
      </x:c>
      <x:c r="E28" s="6" t="n">
        <x:f>C28-D28</x:f>
        <x:v>-2000</x:v>
      </x:c>
      <x:c r="F28" s="6" t="n">
        <x:f>F27+E28</x:f>
        <x:v>-326000</x:v>
      </x:c>
      <x:c r="G28" s="6" t="n">
        <x:v>-46000</x:v>
      </x:c>
      <x:c r="H28" s="6" t="n">
        <x:v>50000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10000</x:v>
      </x:c>
      <x:c r="D29" s="6" t="n">
        <x:v>0</x:v>
      </x:c>
      <x:c r="E29" s="6" t="n">
        <x:f>C29-D29</x:f>
        <x:v>10000</x:v>
      </x:c>
      <x:c r="F29" s="6" t="n">
        <x:f>F28+E29</x:f>
        <x:v>-316000</x:v>
      </x:c>
      <x:c r="G29" s="6" t="n">
        <x:v>-15000</x:v>
      </x:c>
      <x:c r="H29" s="6" t="n">
        <x:v>17000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-311000</x:v>
      </x:c>
      <x:c r="G30" s="6" t="n">
        <x:v>-34000</x:v>
      </x:c>
      <x:c r="H30" s="6" t="n">
        <x:v>47000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13000</x:v>
      </x:c>
      <x:c r="D31" s="6" t="n">
        <x:v>0</x:v>
      </x:c>
      <x:c r="E31" s="6" t="n">
        <x:f>C31-D31</x:f>
        <x:v>13000</x:v>
      </x:c>
      <x:c r="F31" s="6" t="n">
        <x:f>F30+E31</x:f>
        <x:v>-298000</x:v>
      </x:c>
      <x:c r="G31" s="6" t="n">
        <x:v>-67000</x:v>
      </x:c>
      <x:c r="H31" s="6" t="n">
        <x:v>71000</x:v>
      </x:c>
    </x:row>
    <x:row r="32" ht="25" customHeight="1">
      <x:c r="A32" s="13" t="str">
        <x:v>累計／場内最悪値</x:v>
      </x:c>
      <x:c r="B32" s="13"/>
      <x:c r="C32" s="14" t="n">
        <x:f>SUM(C6:C31)</x:f>
        <x:v>304000</x:v>
      </x:c>
      <x:c r="D32" s="14" t="n">
        <x:f>SUM(D6:D31)</x:f>
        <x:v>602000</x:v>
      </x:c>
      <x:c r="E32" s="14" t="n">
        <x:f>C32-D32</x:f>
        <x:v>-298000</x:v>
      </x:c>
      <x:c r="F32" s="14" t="n">
        <x:f>F31</x:f>
        <x:v>-298000</x:v>
      </x:c>
      <x:c r="G32" s="14" t="n">
        <x:f>MIN(G6:G31)</x:f>
        <x:v>-93000</x:v>
      </x:c>
      <x:c r="H32" s="14" t="n">
        <x:f>MAX(H6:H31)</x:f>
        <x:v>95000</x:v>
      </x:c>
    </x:row>
  </x:sheetData>
  <x:conditionalFormatting sqref="E6:F31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d3337ba9a64e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玉別10pt追尾・起動20pt・元再参加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7000</x:v>
      </x:c>
      <x:c r="D6" s="6" t="n">
        <x:v>0</x:v>
      </x:c>
      <x:c r="E6" s="6" t="n">
        <x:f>C6-D6</x:f>
        <x:v>7000</x:v>
      </x:c>
      <x:c r="F6" s="6" t="n">
        <x:f>E6</x:f>
        <x:v>7000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5000</x:v>
      </x:c>
      <x:c r="D7" s="6" t="n">
        <x:v>30000</x:v>
      </x:c>
      <x:c r="E7" s="6" t="n">
        <x:f>C7-D7</x:f>
        <x:v>-25000</x:v>
      </x:c>
      <x:c r="F7" s="6" t="n">
        <x:f>F6+E7</x:f>
        <x:v>-18000</x:v>
      </x:c>
      <x:c r="G7" s="6" t="n">
        <x:v>-25000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5000</x:v>
      </x:c>
      <x:c r="D8" s="6" t="n">
        <x:v>0</x:v>
      </x:c>
      <x:c r="E8" s="6" t="n">
        <x:f>C8-D8</x:f>
        <x:v>5000</x:v>
      </x:c>
      <x:c r="F8" s="6" t="n">
        <x:f>F7+E8</x:f>
        <x:v>-13000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19000</x:v>
      </x:c>
      <x:c r="D9" s="6" t="n">
        <x:v>4000</x:v>
      </x:c>
      <x:c r="E9" s="6" t="n">
        <x:f>C9-D9</x:f>
        <x:v>15000</x:v>
      </x:c>
      <x:c r="F9" s="6" t="n">
        <x:f>F8+E9</x:f>
        <x:v>2000</x:v>
      </x:c>
      <x:c r="G9" s="6" t="n">
        <x:v>-26000</x:v>
      </x:c>
      <x:c r="H9" s="6" t="n">
        <x:v>36000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27000</x:v>
      </x:c>
      <x:c r="D10" s="6" t="n">
        <x:v>16000</x:v>
      </x:c>
      <x:c r="E10" s="6" t="n">
        <x:f>C10-D10</x:f>
        <x:v>11000</x:v>
      </x:c>
      <x:c r="F10" s="6" t="n">
        <x:f>F9+E10</x:f>
        <x:v>13000</x:v>
      </x:c>
      <x:c r="G10" s="6" t="n">
        <x:v>-45000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18000</x:v>
      </x:c>
      <x:c r="D11" s="6" t="n">
        <x:v>54000</x:v>
      </x:c>
      <x:c r="E11" s="6" t="n">
        <x:f>C11-D11</x:f>
        <x:v>-36000</x:v>
      </x:c>
      <x:c r="F11" s="6" t="n">
        <x:f>F10+E11</x:f>
        <x:v>-23000</x:v>
      </x:c>
      <x:c r="G11" s="6" t="n">
        <x:v>-49000</x:v>
      </x:c>
      <x:c r="H11" s="6" t="n">
        <x:v>55000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26000</x:v>
      </x:c>
      <x:c r="D12" s="6" t="n">
        <x:v>57000</x:v>
      </x:c>
      <x:c r="E12" s="6" t="n">
        <x:f>C12-D12</x:f>
        <x:v>-31000</x:v>
      </x:c>
      <x:c r="F12" s="6" t="n">
        <x:f>F11+E12</x:f>
        <x:v>-54000</x:v>
      </x:c>
      <x:c r="G12" s="6" t="n">
        <x:v>-59000</x:v>
      </x:c>
      <x:c r="H12" s="6" t="n">
        <x:v>63000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13000</x:v>
      </x:c>
      <x:c r="D13" s="6" t="n">
        <x:v>55000</x:v>
      </x:c>
      <x:c r="E13" s="6" t="n">
        <x:f>C13-D13</x:f>
        <x:v>-42000</x:v>
      </x:c>
      <x:c r="F13" s="6" t="n">
        <x:f>F12+E13</x:f>
        <x:v>-96000</x:v>
      </x:c>
      <x:c r="G13" s="6" t="n">
        <x:v>-68000</x:v>
      </x:c>
      <x:c r="H13" s="6" t="n">
        <x:v>73000</x:v>
      </x:c>
    </x:row>
    <x:row r="14" ht="25" customHeight="1">
      <x:c r="A14" s="2" t="str">
        <x:v>2026-10-01_Day</x:v>
      </x:c>
      <x:c r="B14" s="2" t="str">
        <x:v>上昇</x:v>
      </x:c>
      <x:c r="C14" s="6" t="n">
        <x:v>16000</x:v>
      </x:c>
      <x:c r="D14" s="6" t="n">
        <x:v>0</x:v>
      </x:c>
      <x:c r="E14" s="6" t="n">
        <x:f>C14-D14</x:f>
        <x:v>16000</x:v>
      </x:c>
      <x:c r="F14" s="6" t="n">
        <x:f>F13+E14</x:f>
        <x:v>-80000</x:v>
      </x:c>
      <x:c r="G14" s="6" t="n">
        <x:v>-10000</x:v>
      </x:c>
      <x:c r="H14" s="6" t="n">
        <x:v>27000</x:v>
      </x:c>
    </x:row>
    <x:row r="15" ht="25" customHeight="1">
      <x:c r="A15" s="2" t="str">
        <x:v>2026-10-02_Day</x:v>
      </x:c>
      <x:c r="B15" s="2" t="str">
        <x:v>上昇</x:v>
      </x:c>
      <x:c r="C15" s="6" t="n">
        <x:v>24000</x:v>
      </x:c>
      <x:c r="D15" s="6" t="n">
        <x:v>0</x:v>
      </x:c>
      <x:c r="E15" s="6" t="n">
        <x:f>C15-D15</x:f>
        <x:v>24000</x:v>
      </x:c>
      <x:c r="F15" s="6" t="n">
        <x:f>F14+E15</x:f>
        <x:v>-56000</x:v>
      </x:c>
      <x:c r="G15" s="6" t="n">
        <x:v>-14000</x:v>
      </x:c>
      <x:c r="H15" s="6" t="n">
        <x:v>18000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53000</x:v>
      </x:c>
      <x:c r="D16" s="6" t="n">
        <x:v>31000</x:v>
      </x:c>
      <x:c r="E16" s="6" t="n">
        <x:f>C16-D16</x:f>
        <x:v>22000</x:v>
      </x:c>
      <x:c r="F16" s="6" t="n">
        <x:f>F15+E16</x:f>
        <x:v>-34000</x:v>
      </x:c>
      <x:c r="G16" s="6" t="n">
        <x:v>-32000</x:v>
      </x:c>
      <x:c r="H16" s="6" t="n">
        <x:v>46000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27000</x:v>
      </x:c>
      <x:c r="D17" s="6" t="n">
        <x:v>26000</x:v>
      </x:c>
      <x:c r="E17" s="6" t="n">
        <x:f>C17-D17</x:f>
        <x:v>1000</x:v>
      </x:c>
      <x:c r="F17" s="6" t="n">
        <x:f>F16+E17</x:f>
        <x:v>-33000</x:v>
      </x:c>
      <x:c r="G17" s="6" t="n">
        <x:v>-16000</x:v>
      </x:c>
      <x:c r="H17" s="6" t="n">
        <x:v>33000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19000</x:v>
      </x:c>
      <x:c r="D18" s="6" t="n">
        <x:v>26000</x:v>
      </x:c>
      <x:c r="E18" s="6" t="n">
        <x:f>C18-D18</x:f>
        <x:v>-7000</x:v>
      </x:c>
      <x:c r="F18" s="6" t="n">
        <x:f>F17+E18</x:f>
        <x:v>-40000</x:v>
      </x:c>
      <x:c r="G18" s="6" t="n">
        <x:v>-32000</x:v>
      </x:c>
      <x:c r="H18" s="6" t="n">
        <x:v>37000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27000</x:v>
      </x:c>
      <x:c r="D19" s="6" t="n">
        <x:v>70000</x:v>
      </x:c>
      <x:c r="E19" s="6" t="n">
        <x:f>C19-D19</x:f>
        <x:v>-43000</x:v>
      </x:c>
      <x:c r="F19" s="6" t="n">
        <x:f>F18+E19</x:f>
        <x:v>-83000</x:v>
      </x:c>
      <x:c r="G19" s="6" t="n">
        <x:v>-68000</x:v>
      </x:c>
      <x:c r="H19" s="6" t="n">
        <x:v>86000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25000</x:v>
      </x:c>
      <x:c r="D20" s="6" t="n">
        <x:v>38000</x:v>
      </x:c>
      <x:c r="E20" s="6" t="n">
        <x:f>C20-D20</x:f>
        <x:v>-13000</x:v>
      </x:c>
      <x:c r="F20" s="6" t="n">
        <x:f>F19+E20</x:f>
        <x:v>-96000</x:v>
      </x:c>
      <x:c r="G20" s="6" t="n">
        <x:v>-28000</x:v>
      </x:c>
      <x:c r="H20" s="6" t="n">
        <x:v>38000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14000</x:v>
      </x:c>
      <x:c r="D21" s="6" t="n">
        <x:v>25000</x:v>
      </x:c>
      <x:c r="E21" s="6" t="n">
        <x:f>C21-D21</x:f>
        <x:v>-11000</x:v>
      </x:c>
      <x:c r="F21" s="6" t="n">
        <x:f>F20+E21</x:f>
        <x:v>-107000</x:v>
      </x:c>
      <x:c r="G21" s="6" t="n">
        <x:v>-11000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31000</x:v>
      </x:c>
      <x:c r="D22" s="6" t="n">
        <x:v>118000</x:v>
      </x:c>
      <x:c r="E22" s="6" t="n">
        <x:f>C22-D22</x:f>
        <x:v>-87000</x:v>
      </x:c>
      <x:c r="F22" s="6" t="n">
        <x:f>F21+E22</x:f>
        <x:v>-194000</x:v>
      </x:c>
      <x:c r="G22" s="6" t="n">
        <x:v>-96000</x:v>
      </x:c>
      <x:c r="H22" s="6" t="n">
        <x:v>102000</x:v>
      </x:c>
    </x:row>
    <x:row r="23" ht="25" customHeight="1">
      <x:c r="A23" s="2" t="str">
        <x:v>2026-10-14_Day</x:v>
      </x:c>
      <x:c r="B23" s="2" t="str">
        <x:v>上昇</x:v>
      </x:c>
      <x:c r="C23" s="6" t="n">
        <x:v>35000</x:v>
      </x:c>
      <x:c r="D23" s="6" t="n">
        <x:v>17000</x:v>
      </x:c>
      <x:c r="E23" s="6" t="n">
        <x:f>C23-D23</x:f>
        <x:v>18000</x:v>
      </x:c>
      <x:c r="F23" s="6" t="n">
        <x:f>F22+E23</x:f>
        <x:v>-176000</x:v>
      </x:c>
      <x:c r="G23" s="6" t="n">
        <x:v>-22000</x:v>
      </x:c>
      <x:c r="H23" s="6" t="n">
        <x:v>26000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13000</x:v>
      </x:c>
      <x:c r="D24" s="6" t="n">
        <x:v>0</x:v>
      </x:c>
      <x:c r="E24" s="6" t="n">
        <x:f>C24-D24</x:f>
        <x:v>13000</x:v>
      </x:c>
      <x:c r="F24" s="6" t="n">
        <x:f>F23+E24</x:f>
        <x:v>-163000</x:v>
      </x:c>
      <x:c r="G24" s="6" t="n">
        <x:v>-18000</x:v>
      </x:c>
      <x:c r="H24" s="6" t="n">
        <x:v>22000</x:v>
      </x:c>
    </x:row>
    <x:row r="25" ht="25" customHeight="1">
      <x:c r="A25" s="2" t="str">
        <x:v>2026-10-16_Day</x:v>
      </x:c>
      <x:c r="B25" s="2" t="str">
        <x:v>上昇</x:v>
      </x:c>
      <x:c r="C25" s="6" t="n">
        <x:v>48000</x:v>
      </x:c>
      <x:c r="D25" s="6" t="n">
        <x:v>39000</x:v>
      </x:c>
      <x:c r="E25" s="6" t="n">
        <x:f>C25-D25</x:f>
        <x:v>9000</x:v>
      </x:c>
      <x:c r="F25" s="6" t="n">
        <x:f>F24+E25</x:f>
        <x:v>-154000</x:v>
      </x:c>
      <x:c r="G25" s="6" t="n">
        <x:v>-32000</x:v>
      </x:c>
      <x:c r="H25" s="6" t="n">
        <x:v>73000</x:v>
      </x:c>
    </x:row>
    <x:row r="26" ht="25" customHeight="1">
      <x:c r="A26" s="2" t="str">
        <x:v>2026-10-19_Day</x:v>
      </x:c>
      <x:c r="B26" s="2" t="str">
        <x:v>上昇</x:v>
      </x:c>
      <x:c r="C26" s="6" t="n">
        <x:v>14000</x:v>
      </x:c>
      <x:c r="D26" s="6" t="n">
        <x:v>0</x:v>
      </x:c>
      <x:c r="E26" s="6" t="n">
        <x:f>C26-D26</x:f>
        <x:v>14000</x:v>
      </x:c>
      <x:c r="F26" s="6" t="n">
        <x:f>F25+E26</x:f>
        <x:v>-140000</x:v>
      </x:c>
      <x:c r="G26" s="6" t="n">
        <x:v>-11000</x:v>
      </x:c>
      <x:c r="H26" s="6" t="n">
        <x:v>20000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50000</x:v>
      </x:c>
      <x:c r="D27" s="6" t="n">
        <x:v>26000</x:v>
      </x:c>
      <x:c r="E27" s="6" t="n">
        <x:f>C27-D27</x:f>
        <x:v>24000</x:v>
      </x:c>
      <x:c r="F27" s="6" t="n">
        <x:f>F26+E27</x:f>
        <x:v>-116000</x:v>
      </x:c>
      <x:c r="G27" s="6" t="n">
        <x:v>-24000</x:v>
      </x:c>
      <x:c r="H27" s="6" t="n">
        <x:v>31000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36000</x:v>
      </x:c>
      <x:c r="D28" s="6" t="n">
        <x:v>64000</x:v>
      </x:c>
      <x:c r="E28" s="6" t="n">
        <x:f>C28-D28</x:f>
        <x:v>-28000</x:v>
      </x:c>
      <x:c r="F28" s="6" t="n">
        <x:f>F27+E28</x:f>
        <x:v>-144000</x:v>
      </x:c>
      <x:c r="G28" s="6" t="n">
        <x:v>-95000</x:v>
      </x:c>
      <x:c r="H28" s="6" t="n">
        <x:v>99000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17000</x:v>
      </x:c>
      <x:c r="D29" s="6" t="n">
        <x:v>0</x:v>
      </x:c>
      <x:c r="E29" s="6" t="n">
        <x:f>C29-D29</x:f>
        <x:v>17000</x:v>
      </x:c>
      <x:c r="F29" s="6" t="n">
        <x:f>F28+E29</x:f>
        <x:v>-127000</x:v>
      </x:c>
      <x:c r="G29" s="6" t="n">
        <x:v>-8000</x:v>
      </x:c>
      <x:c r="H29" s="6" t="n">
        <x:v>16000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32000</x:v>
      </x:c>
      <x:c r="D30" s="6" t="n">
        <x:v>37000</x:v>
      </x:c>
      <x:c r="E30" s="6" t="n">
        <x:f>C30-D30</x:f>
        <x:v>-5000</x:v>
      </x:c>
      <x:c r="F30" s="6" t="n">
        <x:f>F29+E30</x:f>
        <x:v>-132000</x:v>
      </x:c>
      <x:c r="G30" s="6" t="n">
        <x:v>-27000</x:v>
      </x:c>
      <x:c r="H30" s="6" t="n">
        <x:v>47000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</x:v>
      </x:c>
      <x:c r="D31" s="6" t="n">
        <x:v>60000</x:v>
      </x:c>
      <x:c r="E31" s="6" t="n">
        <x:f>C31-D31</x:f>
        <x:v>-44000</x:v>
      </x:c>
      <x:c r="F31" s="6" t="n">
        <x:f>F30+E31</x:f>
        <x:v>-176000</x:v>
      </x:c>
      <x:c r="G31" s="6" t="n">
        <x:v>-65000</x:v>
      </x:c>
      <x:c r="H31" s="6" t="n">
        <x:v>71000</x:v>
      </x:c>
    </x:row>
    <x:row r="32" ht="25" customHeight="1">
      <x:c r="A32" s="13" t="str">
        <x:v>累計／場内最悪値</x:v>
      </x:c>
      <x:c r="B32" s="13"/>
      <x:c r="C32" s="14" t="n">
        <x:f>SUM(C6:C31)</x:f>
        <x:v>617000</x:v>
      </x:c>
      <x:c r="D32" s="14" t="n">
        <x:f>SUM(D6:D31)</x:f>
        <x:v>793000</x:v>
      </x:c>
      <x:c r="E32" s="14" t="n">
        <x:f>C32-D32</x:f>
        <x:v>-176000</x:v>
      </x:c>
      <x:c r="F32" s="14" t="n">
        <x:f>F31</x:f>
        <x:v>-176000</x:v>
      </x:c>
      <x:c r="G32" s="14" t="n">
        <x:f>MIN(G6:G31)</x:f>
        <x:v>-96000</x:v>
      </x:c>
      <x:c r="H32" s="14" t="n">
        <x:f>MAX(H6:H31)</x:f>
        <x:v>102000</x:v>
      </x:c>
    </x:row>
  </x:sheetData>
  <x:conditionalFormatting sqref="E6:F31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5ccb6681c043e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玉別10pt追尾・起動20pt・基準S01親占有制限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7000</x:v>
      </x:c>
      <x:c r="D6" s="6" t="n">
        <x:v>0</x:v>
      </x:c>
      <x:c r="E6" s="6" t="n">
        <x:f>C6-D6</x:f>
        <x:v>7000</x:v>
      </x:c>
      <x:c r="F6" s="6" t="n">
        <x:f>E6</x:f>
        <x:v>7000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5000</x:v>
      </x:c>
      <x:c r="D7" s="6" t="n">
        <x:v>30000</x:v>
      </x:c>
      <x:c r="E7" s="6" t="n">
        <x:f>C7-D7</x:f>
        <x:v>-25000</x:v>
      </x:c>
      <x:c r="F7" s="6" t="n">
        <x:f>F6+E7</x:f>
        <x:v>-18000</x:v>
      </x:c>
      <x:c r="G7" s="6" t="n">
        <x:v>-25000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5000</x:v>
      </x:c>
      <x:c r="D8" s="6" t="n">
        <x:v>0</x:v>
      </x:c>
      <x:c r="E8" s="6" t="n">
        <x:f>C8-D8</x:f>
        <x:v>5000</x:v>
      </x:c>
      <x:c r="F8" s="6" t="n">
        <x:f>F7+E8</x:f>
        <x:v>-13000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19000</x:v>
      </x:c>
      <x:c r="D9" s="6" t="n">
        <x:v>4000</x:v>
      </x:c>
      <x:c r="E9" s="6" t="n">
        <x:f>C9-D9</x:f>
        <x:v>15000</x:v>
      </x:c>
      <x:c r="F9" s="6" t="n">
        <x:f>F8+E9</x:f>
        <x:v>2000</x:v>
      </x:c>
      <x:c r="G9" s="6" t="n">
        <x:v>-26000</x:v>
      </x:c>
      <x:c r="H9" s="6" t="n">
        <x:v>36000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27000</x:v>
      </x:c>
      <x:c r="D10" s="6" t="n">
        <x:v>16000</x:v>
      </x:c>
      <x:c r="E10" s="6" t="n">
        <x:f>C10-D10</x:f>
        <x:v>11000</x:v>
      </x:c>
      <x:c r="F10" s="6" t="n">
        <x:f>F9+E10</x:f>
        <x:v>13000</x:v>
      </x:c>
      <x:c r="G10" s="6" t="n">
        <x:v>-45000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18000</x:v>
      </x:c>
      <x:c r="D11" s="6" t="n">
        <x:v>54000</x:v>
      </x:c>
      <x:c r="E11" s="6" t="n">
        <x:f>C11-D11</x:f>
        <x:v>-36000</x:v>
      </x:c>
      <x:c r="F11" s="6" t="n">
        <x:f>F10+E11</x:f>
        <x:v>-23000</x:v>
      </x:c>
      <x:c r="G11" s="6" t="n">
        <x:v>-49000</x:v>
      </x:c>
      <x:c r="H11" s="6" t="n">
        <x:v>55000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26000</x:v>
      </x:c>
      <x:c r="D12" s="6" t="n">
        <x:v>57000</x:v>
      </x:c>
      <x:c r="E12" s="6" t="n">
        <x:f>C12-D12</x:f>
        <x:v>-31000</x:v>
      </x:c>
      <x:c r="F12" s="6" t="n">
        <x:f>F11+E12</x:f>
        <x:v>-54000</x:v>
      </x:c>
      <x:c r="G12" s="6" t="n">
        <x:v>-59000</x:v>
      </x:c>
      <x:c r="H12" s="6" t="n">
        <x:v>63000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13000</x:v>
      </x:c>
      <x:c r="D13" s="6" t="n">
        <x:v>55000</x:v>
      </x:c>
      <x:c r="E13" s="6" t="n">
        <x:f>C13-D13</x:f>
        <x:v>-42000</x:v>
      </x:c>
      <x:c r="F13" s="6" t="n">
        <x:f>F12+E13</x:f>
        <x:v>-96000</x:v>
      </x:c>
      <x:c r="G13" s="6" t="n">
        <x:v>-68000</x:v>
      </x:c>
      <x:c r="H13" s="6" t="n">
        <x:v>73000</x:v>
      </x:c>
    </x:row>
    <x:row r="14" ht="25" customHeight="1">
      <x:c r="A14" s="2" t="str">
        <x:v>2026-10-01_Day</x:v>
      </x:c>
      <x:c r="B14" s="2" t="str">
        <x:v>上昇</x:v>
      </x:c>
      <x:c r="C14" s="6" t="n">
        <x:v>16000</x:v>
      </x:c>
      <x:c r="D14" s="6" t="n">
        <x:v>0</x:v>
      </x:c>
      <x:c r="E14" s="6" t="n">
        <x:f>C14-D14</x:f>
        <x:v>16000</x:v>
      </x:c>
      <x:c r="F14" s="6" t="n">
        <x:f>F13+E14</x:f>
        <x:v>-80000</x:v>
      </x:c>
      <x:c r="G14" s="6" t="n">
        <x:v>-10000</x:v>
      </x:c>
      <x:c r="H14" s="6" t="n">
        <x:v>27000</x:v>
      </x:c>
    </x:row>
    <x:row r="15" ht="25" customHeight="1">
      <x:c r="A15" s="2" t="str">
        <x:v>2026-10-02_Day</x:v>
      </x:c>
      <x:c r="B15" s="2" t="str">
        <x:v>上昇</x:v>
      </x:c>
      <x:c r="C15" s="6" t="n">
        <x:v>24000</x:v>
      </x:c>
      <x:c r="D15" s="6" t="n">
        <x:v>0</x:v>
      </x:c>
      <x:c r="E15" s="6" t="n">
        <x:f>C15-D15</x:f>
        <x:v>24000</x:v>
      </x:c>
      <x:c r="F15" s="6" t="n">
        <x:f>F14+E15</x:f>
        <x:v>-56000</x:v>
      </x:c>
      <x:c r="G15" s="6" t="n">
        <x:v>-14000</x:v>
      </x:c>
      <x:c r="H15" s="6" t="n">
        <x:v>18000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53000</x:v>
      </x:c>
      <x:c r="D16" s="6" t="n">
        <x:v>31000</x:v>
      </x:c>
      <x:c r="E16" s="6" t="n">
        <x:f>C16-D16</x:f>
        <x:v>22000</x:v>
      </x:c>
      <x:c r="F16" s="6" t="n">
        <x:f>F15+E16</x:f>
        <x:v>-34000</x:v>
      </x:c>
      <x:c r="G16" s="6" t="n">
        <x:v>-32000</x:v>
      </x:c>
      <x:c r="H16" s="6" t="n">
        <x:v>46000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27000</x:v>
      </x:c>
      <x:c r="D17" s="6" t="n">
        <x:v>26000</x:v>
      </x:c>
      <x:c r="E17" s="6" t="n">
        <x:f>C17-D17</x:f>
        <x:v>1000</x:v>
      </x:c>
      <x:c r="F17" s="6" t="n">
        <x:f>F16+E17</x:f>
        <x:v>-33000</x:v>
      </x:c>
      <x:c r="G17" s="6" t="n">
        <x:v>-16000</x:v>
      </x:c>
      <x:c r="H17" s="6" t="n">
        <x:v>33000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19000</x:v>
      </x:c>
      <x:c r="D18" s="6" t="n">
        <x:v>26000</x:v>
      </x:c>
      <x:c r="E18" s="6" t="n">
        <x:f>C18-D18</x:f>
        <x:v>-7000</x:v>
      </x:c>
      <x:c r="F18" s="6" t="n">
        <x:f>F17+E18</x:f>
        <x:v>-40000</x:v>
      </x:c>
      <x:c r="G18" s="6" t="n">
        <x:v>-32000</x:v>
      </x:c>
      <x:c r="H18" s="6" t="n">
        <x:v>37000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27000</x:v>
      </x:c>
      <x:c r="D19" s="6" t="n">
        <x:v>70000</x:v>
      </x:c>
      <x:c r="E19" s="6" t="n">
        <x:f>C19-D19</x:f>
        <x:v>-43000</x:v>
      </x:c>
      <x:c r="F19" s="6" t="n">
        <x:f>F18+E19</x:f>
        <x:v>-83000</x:v>
      </x:c>
      <x:c r="G19" s="6" t="n">
        <x:v>-68000</x:v>
      </x:c>
      <x:c r="H19" s="6" t="n">
        <x:v>86000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25000</x:v>
      </x:c>
      <x:c r="D20" s="6" t="n">
        <x:v>38000</x:v>
      </x:c>
      <x:c r="E20" s="6" t="n">
        <x:f>C20-D20</x:f>
        <x:v>-13000</x:v>
      </x:c>
      <x:c r="F20" s="6" t="n">
        <x:f>F19+E20</x:f>
        <x:v>-96000</x:v>
      </x:c>
      <x:c r="G20" s="6" t="n">
        <x:v>-28000</x:v>
      </x:c>
      <x:c r="H20" s="6" t="n">
        <x:v>38000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14000</x:v>
      </x:c>
      <x:c r="D21" s="6" t="n">
        <x:v>25000</x:v>
      </x:c>
      <x:c r="E21" s="6" t="n">
        <x:f>C21-D21</x:f>
        <x:v>-11000</x:v>
      </x:c>
      <x:c r="F21" s="6" t="n">
        <x:f>F20+E21</x:f>
        <x:v>-107000</x:v>
      </x:c>
      <x:c r="G21" s="6" t="n">
        <x:v>-11000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31000</x:v>
      </x:c>
      <x:c r="D22" s="6" t="n">
        <x:v>118000</x:v>
      </x:c>
      <x:c r="E22" s="6" t="n">
        <x:f>C22-D22</x:f>
        <x:v>-87000</x:v>
      </x:c>
      <x:c r="F22" s="6" t="n">
        <x:f>F21+E22</x:f>
        <x:v>-194000</x:v>
      </x:c>
      <x:c r="G22" s="6" t="n">
        <x:v>-96000</x:v>
      </x:c>
      <x:c r="H22" s="6" t="n">
        <x:v>102000</x:v>
      </x:c>
    </x:row>
    <x:row r="23" ht="25" customHeight="1">
      <x:c r="A23" s="2" t="str">
        <x:v>2026-10-14_Day</x:v>
      </x:c>
      <x:c r="B23" s="2" t="str">
        <x:v>上昇</x:v>
      </x:c>
      <x:c r="C23" s="6" t="n">
        <x:v>35000</x:v>
      </x:c>
      <x:c r="D23" s="6" t="n">
        <x:v>17000</x:v>
      </x:c>
      <x:c r="E23" s="6" t="n">
        <x:f>C23-D23</x:f>
        <x:v>18000</x:v>
      </x:c>
      <x:c r="F23" s="6" t="n">
        <x:f>F22+E23</x:f>
        <x:v>-176000</x:v>
      </x:c>
      <x:c r="G23" s="6" t="n">
        <x:v>-22000</x:v>
      </x:c>
      <x:c r="H23" s="6" t="n">
        <x:v>26000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13000</x:v>
      </x:c>
      <x:c r="D24" s="6" t="n">
        <x:v>0</x:v>
      </x:c>
      <x:c r="E24" s="6" t="n">
        <x:f>C24-D24</x:f>
        <x:v>13000</x:v>
      </x:c>
      <x:c r="F24" s="6" t="n">
        <x:f>F23+E24</x:f>
        <x:v>-163000</x:v>
      </x:c>
      <x:c r="G24" s="6" t="n">
        <x:v>-18000</x:v>
      </x:c>
      <x:c r="H24" s="6" t="n">
        <x:v>22000</x:v>
      </x:c>
    </x:row>
    <x:row r="25" ht="25" customHeight="1">
      <x:c r="A25" s="2" t="str">
        <x:v>2026-10-16_Day</x:v>
      </x:c>
      <x:c r="B25" s="2" t="str">
        <x:v>上昇</x:v>
      </x:c>
      <x:c r="C25" s="6" t="n">
        <x:v>48000</x:v>
      </x:c>
      <x:c r="D25" s="6" t="n">
        <x:v>39000</x:v>
      </x:c>
      <x:c r="E25" s="6" t="n">
        <x:f>C25-D25</x:f>
        <x:v>9000</x:v>
      </x:c>
      <x:c r="F25" s="6" t="n">
        <x:f>F24+E25</x:f>
        <x:v>-154000</x:v>
      </x:c>
      <x:c r="G25" s="6" t="n">
        <x:v>-32000</x:v>
      </x:c>
      <x:c r="H25" s="6" t="n">
        <x:v>73000</x:v>
      </x:c>
    </x:row>
    <x:row r="26" ht="25" customHeight="1">
      <x:c r="A26" s="2" t="str">
        <x:v>2026-10-19_Day</x:v>
      </x:c>
      <x:c r="B26" s="2" t="str">
        <x:v>上昇</x:v>
      </x:c>
      <x:c r="C26" s="6" t="n">
        <x:v>14000</x:v>
      </x:c>
      <x:c r="D26" s="6" t="n">
        <x:v>0</x:v>
      </x:c>
      <x:c r="E26" s="6" t="n">
        <x:f>C26-D26</x:f>
        <x:v>14000</x:v>
      </x:c>
      <x:c r="F26" s="6" t="n">
        <x:f>F25+E26</x:f>
        <x:v>-140000</x:v>
      </x:c>
      <x:c r="G26" s="6" t="n">
        <x:v>-11000</x:v>
      </x:c>
      <x:c r="H26" s="6" t="n">
        <x:v>20000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50000</x:v>
      </x:c>
      <x:c r="D27" s="6" t="n">
        <x:v>26000</x:v>
      </x:c>
      <x:c r="E27" s="6" t="n">
        <x:f>C27-D27</x:f>
        <x:v>24000</x:v>
      </x:c>
      <x:c r="F27" s="6" t="n">
        <x:f>F26+E27</x:f>
        <x:v>-116000</x:v>
      </x:c>
      <x:c r="G27" s="6" t="n">
        <x:v>-24000</x:v>
      </x:c>
      <x:c r="H27" s="6" t="n">
        <x:v>31000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36000</x:v>
      </x:c>
      <x:c r="D28" s="6" t="n">
        <x:v>64000</x:v>
      </x:c>
      <x:c r="E28" s="6" t="n">
        <x:f>C28-D28</x:f>
        <x:v>-28000</x:v>
      </x:c>
      <x:c r="F28" s="6" t="n">
        <x:f>F27+E28</x:f>
        <x:v>-144000</x:v>
      </x:c>
      <x:c r="G28" s="6" t="n">
        <x:v>-95000</x:v>
      </x:c>
      <x:c r="H28" s="6" t="n">
        <x:v>99000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17000</x:v>
      </x:c>
      <x:c r="D29" s="6" t="n">
        <x:v>0</x:v>
      </x:c>
      <x:c r="E29" s="6" t="n">
        <x:f>C29-D29</x:f>
        <x:v>17000</x:v>
      </x:c>
      <x:c r="F29" s="6" t="n">
        <x:f>F28+E29</x:f>
        <x:v>-127000</x:v>
      </x:c>
      <x:c r="G29" s="6" t="n">
        <x:v>-8000</x:v>
      </x:c>
      <x:c r="H29" s="6" t="n">
        <x:v>16000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32000</x:v>
      </x:c>
      <x:c r="D30" s="6" t="n">
        <x:v>37000</x:v>
      </x:c>
      <x:c r="E30" s="6" t="n">
        <x:f>C30-D30</x:f>
        <x:v>-5000</x:v>
      </x:c>
      <x:c r="F30" s="6" t="n">
        <x:f>F29+E30</x:f>
        <x:v>-132000</x:v>
      </x:c>
      <x:c r="G30" s="6" t="n">
        <x:v>-27000</x:v>
      </x:c>
      <x:c r="H30" s="6" t="n">
        <x:v>47000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</x:v>
      </x:c>
      <x:c r="D31" s="6" t="n">
        <x:v>60000</x:v>
      </x:c>
      <x:c r="E31" s="6" t="n">
        <x:f>C31-D31</x:f>
        <x:v>-44000</x:v>
      </x:c>
      <x:c r="F31" s="6" t="n">
        <x:f>F30+E31</x:f>
        <x:v>-176000</x:v>
      </x:c>
      <x:c r="G31" s="6" t="n">
        <x:v>-65000</x:v>
      </x:c>
      <x:c r="H31" s="6" t="n">
        <x:v>71000</x:v>
      </x:c>
    </x:row>
    <x:row r="32" ht="25" customHeight="1">
      <x:c r="A32" s="13" t="str">
        <x:v>累計／場内最悪値</x:v>
      </x:c>
      <x:c r="B32" s="13"/>
      <x:c r="C32" s="14" t="n">
        <x:f>SUM(C6:C31)</x:f>
        <x:v>617000</x:v>
      </x:c>
      <x:c r="D32" s="14" t="n">
        <x:f>SUM(D6:D31)</x:f>
        <x:v>793000</x:v>
      </x:c>
      <x:c r="E32" s="14" t="n">
        <x:f>C32-D32</x:f>
        <x:v>-176000</x:v>
      </x:c>
      <x:c r="F32" s="14" t="n">
        <x:f>F31</x:f>
        <x:v>-176000</x:v>
      </x:c>
      <x:c r="G32" s="14" t="n">
        <x:f>MIN(G6:G31)</x:f>
        <x:v>-96000</x:v>
      </x:c>
      <x:c r="H32" s="14" t="n">
        <x:f>MAX(H6:H31)</x:f>
        <x:v>102000</x:v>
      </x:c>
    </x:row>
  </x:sheetData>
  <x:conditionalFormatting sqref="E6:F31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1a3a44291c41f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玉別20pt追尾・起動含み正・元再参加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9000</x:v>
      </x:c>
      <x:c r="D9" s="6" t="n">
        <x:v>6000</x:v>
      </x:c>
      <x:c r="E9" s="6" t="n">
        <x:f>C9-D9</x:f>
        <x:v>3000</x:v>
      </x:c>
      <x:c r="F9" s="6" t="n">
        <x:f>F8+E9</x:f>
        <x:v>-27000</x:v>
      </x:c>
      <x:c r="G9" s="6" t="n">
        <x:v>-26000</x:v>
      </x:c>
      <x:c r="H9" s="6" t="n">
        <x:v>36000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-41000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6000</x:v>
      </x:c>
      <x:c r="D11" s="6" t="n">
        <x:v>40000</x:v>
      </x:c>
      <x:c r="E11" s="6" t="n">
        <x:f>C11-D11</x:f>
        <x:v>-34000</x:v>
      </x:c>
      <x:c r="F11" s="6" t="n">
        <x:f>F10+E11</x:f>
        <x:v>-75000</x:v>
      </x:c>
      <x:c r="G11" s="6" t="n">
        <x:v>-38000</x:v>
      </x:c>
      <x:c r="H11" s="6" t="n">
        <x:v>45000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8000</x:v>
      </x:c>
      <x:c r="D12" s="6" t="n">
        <x:v>57000</x:v>
      </x:c>
      <x:c r="E12" s="6" t="n">
        <x:f>C12-D12</x:f>
        <x:v>-49000</x:v>
      </x:c>
      <x:c r="F12" s="6" t="n">
        <x:f>F11+E12</x:f>
        <x:v>-124000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1000</x:v>
      </x:c>
      <x:c r="D13" s="6" t="n">
        <x:v>55000</x:v>
      </x:c>
      <x:c r="E13" s="6" t="n">
        <x:f>C13-D13</x:f>
        <x:v>-54000</x:v>
      </x:c>
      <x:c r="F13" s="6" t="n">
        <x:f>F12+E13</x:f>
        <x:v>-178000</x:v>
      </x:c>
      <x:c r="G13" s="6" t="n">
        <x:v>-68000</x:v>
      </x:c>
      <x:c r="H13" s="6" t="n">
        <x:v>71000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-176000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13000</x:v>
      </x:c>
      <x:c r="D15" s="6" t="n">
        <x:v>0</x:v>
      </x:c>
      <x:c r="E15" s="6" t="n">
        <x:f>C15-D15</x:f>
        <x:v>13000</x:v>
      </x:c>
      <x:c r="F15" s="6" t="n">
        <x:f>F14+E15</x:f>
        <x:v>-163000</x:v>
      </x:c>
      <x:c r="G15" s="6" t="n">
        <x:v>-14000</x:v>
      </x:c>
      <x:c r="H15" s="6" t="n">
        <x:v>16000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-184000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7000</x:v>
      </x:c>
      <x:c r="D17" s="6" t="n">
        <x:v>28000</x:v>
      </x:c>
      <x:c r="E17" s="6" t="n">
        <x:f>C17-D17</x:f>
        <x:v>-21000</x:v>
      </x:c>
      <x:c r="F17" s="6" t="n">
        <x:f>F16+E17</x:f>
        <x:v>-205000</x:v>
      </x:c>
      <x:c r="G17" s="6" t="n">
        <x:v>-27000</x:v>
      </x:c>
      <x:c r="H17" s="6" t="n">
        <x:v>36000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-228000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-298000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20000</x:v>
      </x:c>
      <x:c r="D20" s="6" t="n">
        <x:v>38000</x:v>
      </x:c>
      <x:c r="E20" s="6" t="n">
        <x:f>C20-D20</x:f>
        <x:v>-18000</x:v>
      </x:c>
      <x:c r="F20" s="6" t="n">
        <x:f>F19+E20</x:f>
        <x:v>-316000</x:v>
      </x:c>
      <x:c r="G20" s="6" t="n">
        <x:v>-22000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-336000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4000</x:v>
      </x:c>
      <x:c r="D22" s="6" t="n">
        <x:v>104000</x:v>
      </x:c>
      <x:c r="E22" s="6" t="n">
        <x:f>C22-D22</x:f>
        <x:v>-100000</x:v>
      </x:c>
      <x:c r="F22" s="6" t="n">
        <x:f>F21+E22</x:f>
        <x:v>-436000</x:v>
      </x:c>
      <x:c r="G22" s="6" t="n">
        <x:v>-104000</x:v>
      </x:c>
      <x:c r="H22" s="6" t="n">
        <x:v>106000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41000</x:v>
      </x:c>
      <x:c r="D23" s="6" t="n">
        <x:v>0</x:v>
      </x:c>
      <x:c r="E23" s="6" t="n">
        <x:f>C23-D23</x:f>
        <x:v>41000</x:v>
      </x:c>
      <x:c r="F23" s="6" t="n">
        <x:f>F22+E23</x:f>
        <x:v>-395000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11000</x:v>
      </x:c>
      <x:c r="D24" s="6" t="n">
        <x:v>0</x:v>
      </x:c>
      <x:c r="E24" s="6" t="n">
        <x:f>C24-D24</x:f>
        <x:v>11000</x:v>
      </x:c>
      <x:c r="F24" s="6" t="n">
        <x:f>F23+E24</x:f>
        <x:v>-384000</x:v>
      </x:c>
      <x:c r="G24" s="6" t="n">
        <x:v>-18000</x:v>
      </x:c>
      <x:c r="H24" s="6" t="n">
        <x:v>24000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20000</x:v>
      </x:c>
      <x:c r="D25" s="6" t="n">
        <x:v>9000</x:v>
      </x:c>
      <x:c r="E25" s="6" t="n">
        <x:f>C25-D25</x:f>
        <x:v>11000</x:v>
      </x:c>
      <x:c r="F25" s="6" t="n">
        <x:f>F24+E25</x:f>
        <x:v>-373000</x:v>
      </x:c>
      <x:c r="G25" s="6" t="n">
        <x:v>-20000</x:v>
      </x:c>
      <x:c r="H25" s="6" t="n">
        <x:v>50000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-370000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25000</x:v>
      </x:c>
      <x:c r="D27" s="6" t="n">
        <x:v>26000</x:v>
      </x:c>
      <x:c r="E27" s="6" t="n">
        <x:f>C27-D27</x:f>
        <x:v>-1000</x:v>
      </x:c>
      <x:c r="F27" s="6" t="n">
        <x:f>F26+E27</x:f>
        <x:v>-371000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13000</x:v>
      </x:c>
      <x:c r="D28" s="6" t="n">
        <x:v>28000</x:v>
      </x:c>
      <x:c r="E28" s="6" t="n">
        <x:f>C28-D28</x:f>
        <x:v>-15000</x:v>
      </x:c>
      <x:c r="F28" s="6" t="n">
        <x:f>F27+E28</x:f>
        <x:v>-386000</x:v>
      </x:c>
      <x:c r="G28" s="6" t="n">
        <x:v>-40000</x:v>
      </x:c>
      <x:c r="H28" s="6" t="n">
        <x:v>48000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10000</x:v>
      </x:c>
      <x:c r="D29" s="6" t="n">
        <x:v>0</x:v>
      </x:c>
      <x:c r="E29" s="6" t="n">
        <x:f>C29-D29</x:f>
        <x:v>10000</x:v>
      </x:c>
      <x:c r="F29" s="6" t="n">
        <x:f>F28+E29</x:f>
        <x:v>-376000</x:v>
      </x:c>
      <x:c r="G29" s="6" t="n">
        <x:v>-15000</x:v>
      </x:c>
      <x:c r="H29" s="6" t="n">
        <x:v>17000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-371000</x:v>
      </x:c>
      <x:c r="G30" s="6" t="n">
        <x:v>-34000</x:v>
      </x:c>
      <x:c r="H30" s="6" t="n">
        <x:v>49000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-366000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234000</x:v>
      </x:c>
      <x:c r="D32" s="14" t="n">
        <x:f>SUM(D6:D31)</x:f>
        <x:v>600000</x:v>
      </x:c>
      <x:c r="E32" s="14" t="n">
        <x:f>C32-D32</x:f>
        <x:v>-366000</x:v>
      </x:c>
      <x:c r="F32" s="14" t="n">
        <x:f>F31</x:f>
        <x:v>-366000</x:v>
      </x:c>
      <x:c r="G32" s="14" t="n">
        <x:f>MIN(G6:G31)</x:f>
        <x:v>-104000</x:v>
      </x:c>
      <x:c r="H32" s="14" t="n">
        <x:f>MAX(H6:H31)</x:f>
        <x:v>106000</x:v>
      </x:c>
    </x:row>
  </x:sheetData>
  <x:conditionalFormatting sqref="E6:F31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e56b8dcb79454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玉別20pt追尾・起動含み正・基準S01親占有制限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9000</x:v>
      </x:c>
      <x:c r="D9" s="6" t="n">
        <x:v>6000</x:v>
      </x:c>
      <x:c r="E9" s="6" t="n">
        <x:f>C9-D9</x:f>
        <x:v>3000</x:v>
      </x:c>
      <x:c r="F9" s="6" t="n">
        <x:f>F8+E9</x:f>
        <x:v>-27000</x:v>
      </x:c>
      <x:c r="G9" s="6" t="n">
        <x:v>-26000</x:v>
      </x:c>
      <x:c r="H9" s="6" t="n">
        <x:v>36000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-41000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6000</x:v>
      </x:c>
      <x:c r="D11" s="6" t="n">
        <x:v>40000</x:v>
      </x:c>
      <x:c r="E11" s="6" t="n">
        <x:f>C11-D11</x:f>
        <x:v>-34000</x:v>
      </x:c>
      <x:c r="F11" s="6" t="n">
        <x:f>F10+E11</x:f>
        <x:v>-75000</x:v>
      </x:c>
      <x:c r="G11" s="6" t="n">
        <x:v>-38000</x:v>
      </x:c>
      <x:c r="H11" s="6" t="n">
        <x:v>45000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8000</x:v>
      </x:c>
      <x:c r="D12" s="6" t="n">
        <x:v>57000</x:v>
      </x:c>
      <x:c r="E12" s="6" t="n">
        <x:f>C12-D12</x:f>
        <x:v>-49000</x:v>
      </x:c>
      <x:c r="F12" s="6" t="n">
        <x:f>F11+E12</x:f>
        <x:v>-124000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1000</x:v>
      </x:c>
      <x:c r="D13" s="6" t="n">
        <x:v>55000</x:v>
      </x:c>
      <x:c r="E13" s="6" t="n">
        <x:f>C13-D13</x:f>
        <x:v>-54000</x:v>
      </x:c>
      <x:c r="F13" s="6" t="n">
        <x:f>F12+E13</x:f>
        <x:v>-178000</x:v>
      </x:c>
      <x:c r="G13" s="6" t="n">
        <x:v>-68000</x:v>
      </x:c>
      <x:c r="H13" s="6" t="n">
        <x:v>71000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-176000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13000</x:v>
      </x:c>
      <x:c r="D15" s="6" t="n">
        <x:v>0</x:v>
      </x:c>
      <x:c r="E15" s="6" t="n">
        <x:f>C15-D15</x:f>
        <x:v>13000</x:v>
      </x:c>
      <x:c r="F15" s="6" t="n">
        <x:f>F14+E15</x:f>
        <x:v>-163000</x:v>
      </x:c>
      <x:c r="G15" s="6" t="n">
        <x:v>-14000</x:v>
      </x:c>
      <x:c r="H15" s="6" t="n">
        <x:v>16000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-184000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7000</x:v>
      </x:c>
      <x:c r="D17" s="6" t="n">
        <x:v>28000</x:v>
      </x:c>
      <x:c r="E17" s="6" t="n">
        <x:f>C17-D17</x:f>
        <x:v>-21000</x:v>
      </x:c>
      <x:c r="F17" s="6" t="n">
        <x:f>F16+E17</x:f>
        <x:v>-205000</x:v>
      </x:c>
      <x:c r="G17" s="6" t="n">
        <x:v>-27000</x:v>
      </x:c>
      <x:c r="H17" s="6" t="n">
        <x:v>36000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-228000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-298000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20000</x:v>
      </x:c>
      <x:c r="D20" s="6" t="n">
        <x:v>38000</x:v>
      </x:c>
      <x:c r="E20" s="6" t="n">
        <x:f>C20-D20</x:f>
        <x:v>-18000</x:v>
      </x:c>
      <x:c r="F20" s="6" t="n">
        <x:f>F19+E20</x:f>
        <x:v>-316000</x:v>
      </x:c>
      <x:c r="G20" s="6" t="n">
        <x:v>-22000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-336000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4000</x:v>
      </x:c>
      <x:c r="D22" s="6" t="n">
        <x:v>104000</x:v>
      </x:c>
      <x:c r="E22" s="6" t="n">
        <x:f>C22-D22</x:f>
        <x:v>-100000</x:v>
      </x:c>
      <x:c r="F22" s="6" t="n">
        <x:f>F21+E22</x:f>
        <x:v>-436000</x:v>
      </x:c>
      <x:c r="G22" s="6" t="n">
        <x:v>-104000</x:v>
      </x:c>
      <x:c r="H22" s="6" t="n">
        <x:v>106000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41000</x:v>
      </x:c>
      <x:c r="D23" s="6" t="n">
        <x:v>0</x:v>
      </x:c>
      <x:c r="E23" s="6" t="n">
        <x:f>C23-D23</x:f>
        <x:v>41000</x:v>
      </x:c>
      <x:c r="F23" s="6" t="n">
        <x:f>F22+E23</x:f>
        <x:v>-395000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11000</x:v>
      </x:c>
      <x:c r="D24" s="6" t="n">
        <x:v>0</x:v>
      </x:c>
      <x:c r="E24" s="6" t="n">
        <x:f>C24-D24</x:f>
        <x:v>11000</x:v>
      </x:c>
      <x:c r="F24" s="6" t="n">
        <x:f>F23+E24</x:f>
        <x:v>-384000</x:v>
      </x:c>
      <x:c r="G24" s="6" t="n">
        <x:v>-18000</x:v>
      </x:c>
      <x:c r="H24" s="6" t="n">
        <x:v>24000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20000</x:v>
      </x:c>
      <x:c r="D25" s="6" t="n">
        <x:v>9000</x:v>
      </x:c>
      <x:c r="E25" s="6" t="n">
        <x:f>C25-D25</x:f>
        <x:v>11000</x:v>
      </x:c>
      <x:c r="F25" s="6" t="n">
        <x:f>F24+E25</x:f>
        <x:v>-373000</x:v>
      </x:c>
      <x:c r="G25" s="6" t="n">
        <x:v>-20000</x:v>
      </x:c>
      <x:c r="H25" s="6" t="n">
        <x:v>50000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-370000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25000</x:v>
      </x:c>
      <x:c r="D27" s="6" t="n">
        <x:v>26000</x:v>
      </x:c>
      <x:c r="E27" s="6" t="n">
        <x:f>C27-D27</x:f>
        <x:v>-1000</x:v>
      </x:c>
      <x:c r="F27" s="6" t="n">
        <x:f>F26+E27</x:f>
        <x:v>-371000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13000</x:v>
      </x:c>
      <x:c r="D28" s="6" t="n">
        <x:v>28000</x:v>
      </x:c>
      <x:c r="E28" s="6" t="n">
        <x:f>C28-D28</x:f>
        <x:v>-15000</x:v>
      </x:c>
      <x:c r="F28" s="6" t="n">
        <x:f>F27+E28</x:f>
        <x:v>-386000</x:v>
      </x:c>
      <x:c r="G28" s="6" t="n">
        <x:v>-40000</x:v>
      </x:c>
      <x:c r="H28" s="6" t="n">
        <x:v>48000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10000</x:v>
      </x:c>
      <x:c r="D29" s="6" t="n">
        <x:v>0</x:v>
      </x:c>
      <x:c r="E29" s="6" t="n">
        <x:f>C29-D29</x:f>
        <x:v>10000</x:v>
      </x:c>
      <x:c r="F29" s="6" t="n">
        <x:f>F28+E29</x:f>
        <x:v>-376000</x:v>
      </x:c>
      <x:c r="G29" s="6" t="n">
        <x:v>-15000</x:v>
      </x:c>
      <x:c r="H29" s="6" t="n">
        <x:v>17000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-371000</x:v>
      </x:c>
      <x:c r="G30" s="6" t="n">
        <x:v>-34000</x:v>
      </x:c>
      <x:c r="H30" s="6" t="n">
        <x:v>49000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-366000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234000</x:v>
      </x:c>
      <x:c r="D32" s="14" t="n">
        <x:f>SUM(D6:D31)</x:f>
        <x:v>600000</x:v>
      </x:c>
      <x:c r="E32" s="14" t="n">
        <x:f>C32-D32</x:f>
        <x:v>-366000</x:v>
      </x:c>
      <x:c r="F32" s="14" t="n">
        <x:f>F31</x:f>
        <x:v>-366000</x:v>
      </x:c>
      <x:c r="G32" s="14" t="n">
        <x:f>MIN(G6:G31)</x:f>
        <x:v>-104000</x:v>
      </x:c>
      <x:c r="H32" s="14" t="n">
        <x:f>MAX(H6:H31)</x:f>
        <x:v>106000</x:v>
      </x:c>
    </x:row>
  </x:sheetData>
  <x:conditionalFormatting sqref="E6:F31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f9e2116977428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玉別20pt追尾・起動20pt・元再参加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14000</x:v>
      </x:c>
      <x:c r="D6" s="6" t="n">
        <x:v>0</x:v>
      </x:c>
      <x:c r="E6" s="6" t="n">
        <x:f>C6-D6</x:f>
        <x:v>14000</x:v>
      </x:c>
      <x:c r="F6" s="6" t="n">
        <x:f>E6</x:f>
        <x:v>14000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-16000</x:v>
      </x:c>
      <x:c r="G7" s="6" t="n">
        <x:v>-30000</x:v>
      </x:c>
      <x:c r="H7" s="6" t="n">
        <x:v>40000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-16000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25000</x:v>
      </x:c>
      <x:c r="D9" s="6" t="n">
        <x:v>4000</x:v>
      </x:c>
      <x:c r="E9" s="6" t="n">
        <x:f>C9-D9</x:f>
        <x:v>21000</x:v>
      </x:c>
      <x:c r="F9" s="6" t="n">
        <x:f>F8+E9</x:f>
        <x:v>5000</x:v>
      </x:c>
      <x:c r="G9" s="6" t="n">
        <x:v>-16000</x:v>
      </x:c>
      <x:c r="H9" s="6" t="n">
        <x:v>37000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18000</x:v>
      </x:c>
      <x:c r="D10" s="6" t="n">
        <x:v>16000</x:v>
      </x:c>
      <x:c r="E10" s="6" t="n">
        <x:f>C10-D10</x:f>
        <x:v>2000</x:v>
      </x:c>
      <x:c r="F10" s="6" t="n">
        <x:f>F9+E10</x:f>
        <x:v>7000</x:v>
      </x:c>
      <x:c r="G10" s="6" t="n">
        <x:v>-42000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6000</x:v>
      </x:c>
      <x:c r="D11" s="6" t="n">
        <x:v>56000</x:v>
      </x:c>
      <x:c r="E11" s="6" t="n">
        <x:f>C11-D11</x:f>
        <x:v>-50000</x:v>
      </x:c>
      <x:c r="F11" s="6" t="n">
        <x:f>F10+E11</x:f>
        <x:v>-43000</x:v>
      </x:c>
      <x:c r="G11" s="6" t="n">
        <x:v>-58000</x:v>
      </x:c>
      <x:c r="H11" s="6" t="n">
        <x:v>64000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12000</x:v>
      </x:c>
      <x:c r="D12" s="6" t="n">
        <x:v>51000</x:v>
      </x:c>
      <x:c r="E12" s="6" t="n">
        <x:f>C12-D12</x:f>
        <x:v>-39000</x:v>
      </x:c>
      <x:c r="F12" s="6" t="n">
        <x:f>F11+E12</x:f>
        <x:v>-82000</x:v>
      </x:c>
      <x:c r="G12" s="6" t="n">
        <x:v>-61000</x:v>
      </x:c>
      <x:c r="H12" s="6" t="n">
        <x:v>65000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1000</x:v>
      </x:c>
      <x:c r="D13" s="6" t="n">
        <x:v>55000</x:v>
      </x:c>
      <x:c r="E13" s="6" t="n">
        <x:f>C13-D13</x:f>
        <x:v>-54000</x:v>
      </x:c>
      <x:c r="F13" s="6" t="n">
        <x:f>F12+E13</x:f>
        <x:v>-136000</x:v>
      </x:c>
      <x:c r="G13" s="6" t="n">
        <x:v>-71000</x:v>
      </x:c>
      <x:c r="H13" s="6" t="n">
        <x:v>75000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-136000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18000</x:v>
      </x:c>
      <x:c r="D15" s="6" t="n">
        <x:v>0</x:v>
      </x:c>
      <x:c r="E15" s="6" t="n">
        <x:f>C15-D15</x:f>
        <x:v>18000</x:v>
      </x:c>
      <x:c r="F15" s="6" t="n">
        <x:f>F14+E15</x:f>
        <x:v>-118000</x:v>
      </x:c>
      <x:c r="G15" s="6" t="n">
        <x:v>-14000</x:v>
      </x:c>
      <x:c r="H15" s="6" t="n">
        <x:v>23000</x:v>
      </x:c>
    </x:row>
    <x:row r="16" ht="25" customHeight="1">
      <x:c r="A16" s="2" t="str">
        <x:v>2026-10-05_Day</x:v>
      </x:c>
      <x:c r="B16" s="2" t="str">
        <x:v>上昇</x:v>
      </x:c>
      <x:c r="C16" s="6" t="n">
        <x:v>45000</x:v>
      </x:c>
      <x:c r="D16" s="6" t="n">
        <x:v>31000</x:v>
      </x:c>
      <x:c r="E16" s="6" t="n">
        <x:f>C16-D16</x:f>
        <x:v>14000</x:v>
      </x:c>
      <x:c r="F16" s="6" t="n">
        <x:f>F15+E16</x:f>
        <x:v>-104000</x:v>
      </x:c>
      <x:c r="G16" s="6" t="n">
        <x:v>-27000</x:v>
      </x:c>
      <x:c r="H16" s="6" t="n">
        <x:v>49000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22000</x:v>
      </x:c>
      <x:c r="D17" s="6" t="n">
        <x:v>26000</x:v>
      </x:c>
      <x:c r="E17" s="6" t="n">
        <x:f>C17-D17</x:f>
        <x:v>-4000</x:v>
      </x:c>
      <x:c r="F17" s="6" t="n">
        <x:f>F16+E17</x:f>
        <x:v>-108000</x:v>
      </x:c>
      <x:c r="G17" s="6" t="n">
        <x:v>-16000</x:v>
      </x:c>
      <x:c r="H17" s="6" t="n">
        <x:v>38000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8000</x:v>
      </x:c>
      <x:c r="D18" s="6" t="n">
        <x:v>26000</x:v>
      </x:c>
      <x:c r="E18" s="6" t="n">
        <x:f>C18-D18</x:f>
        <x:v>-18000</x:v>
      </x:c>
      <x:c r="F18" s="6" t="n">
        <x:f>F17+E18</x:f>
        <x:v>-126000</x:v>
      </x:c>
      <x:c r="G18" s="6" t="n">
        <x:v>-33000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7000</x:v>
      </x:c>
      <x:c r="D19" s="6" t="n">
        <x:v>70000</x:v>
      </x:c>
      <x:c r="E19" s="6" t="n">
        <x:f>C19-D19</x:f>
        <x:v>-63000</x:v>
      </x:c>
      <x:c r="F19" s="6" t="n">
        <x:f>F18+E19</x:f>
        <x:v>-189000</x:v>
      </x:c>
      <x:c r="G19" s="6" t="n">
        <x:v>-78000</x:v>
      </x:c>
      <x:c r="H19" s="6" t="n">
        <x:v>88000</x:v>
      </x:c>
    </x:row>
    <x:row r="20" ht="25" customHeight="1">
      <x:c r="A20" s="2" t="str">
        <x:v>2026-10-09_Day</x:v>
      </x:c>
      <x:c r="B20" s="2" t="str">
        <x:v>上昇</x:v>
      </x:c>
      <x:c r="C20" s="6" t="n">
        <x:v>38000</x:v>
      </x:c>
      <x:c r="D20" s="6" t="n">
        <x:v>38000</x:v>
      </x:c>
      <x:c r="E20" s="6" t="n">
        <x:f>C20-D20</x:f>
        <x:v>0</x:v>
      </x:c>
      <x:c r="F20" s="6" t="n">
        <x:f>F19+E20</x:f>
        <x:v>-189000</x:v>
      </x:c>
      <x:c r="G20" s="6" t="n">
        <x:v>-17000</x:v>
      </x:c>
      <x:c r="H20" s="6" t="n">
        <x:v>46000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-209000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28000</x:v>
      </x:c>
      <x:c r="D22" s="6" t="n">
        <x:v>120000</x:v>
      </x:c>
      <x:c r="E22" s="6" t="n">
        <x:f>C22-D22</x:f>
        <x:v>-92000</x:v>
      </x:c>
      <x:c r="F22" s="6" t="n">
        <x:f>F21+E22</x:f>
        <x:v>-301000</x:v>
      </x:c>
      <x:c r="G22" s="6" t="n">
        <x:v>-106000</x:v>
      </x:c>
      <x:c r="H22" s="6" t="n">
        <x:v>112000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45000</x:v>
      </x:c>
      <x:c r="D23" s="6" t="n">
        <x:v>19000</x:v>
      </x:c>
      <x:c r="E23" s="6" t="n">
        <x:f>C23-D23</x:f>
        <x:v>26000</x:v>
      </x:c>
      <x:c r="F23" s="6" t="n">
        <x:f>F22+E23</x:f>
        <x:v>-275000</x:v>
      </x:c>
      <x:c r="G23" s="6" t="n">
        <x:v>-24000</x:v>
      </x:c>
      <x:c r="H23" s="6" t="n">
        <x:v>28000</x:v>
      </x:c>
    </x:row>
    <x:row r="24" ht="25" customHeight="1">
      <x:c r="A24" s="2" t="str">
        <x:v>2026-10-15_Day</x:v>
      </x:c>
      <x:c r="B24" s="2" t="str">
        <x:v>下落</x:v>
      </x:c>
      <x:c r="C24" s="6" t="n">
        <x:v>29000</x:v>
      </x:c>
      <x:c r="D24" s="6" t="n">
        <x:v>0</x:v>
      </x:c>
      <x:c r="E24" s="6" t="n">
        <x:f>C24-D24</x:f>
        <x:v>29000</x:v>
      </x:c>
      <x:c r="F24" s="6" t="n">
        <x:f>F23+E24</x:f>
        <x:v>-246000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57000</x:v>
      </x:c>
      <x:c r="D25" s="6" t="n">
        <x:v>39000</x:v>
      </x:c>
      <x:c r="E25" s="6" t="n">
        <x:f>C25-D25</x:f>
        <x:v>18000</x:v>
      </x:c>
      <x:c r="F25" s="6" t="n">
        <x:f>F24+E25</x:f>
        <x:v>-228000</x:v>
      </x:c>
      <x:c r="G25" s="6" t="n">
        <x:v>-28000</x:v>
      </x:c>
      <x:c r="H25" s="6" t="n">
        <x:v>70000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11000</x:v>
      </x:c>
      <x:c r="D26" s="6" t="n">
        <x:v>0</x:v>
      </x:c>
      <x:c r="E26" s="6" t="n">
        <x:f>C26-D26</x:f>
        <x:v>11000</x:v>
      </x:c>
      <x:c r="F26" s="6" t="n">
        <x:f>F25+E26</x:f>
        <x:v>-217000</x:v>
      </x:c>
      <x:c r="G26" s="6" t="n">
        <x:v>-9000</x:v>
      </x:c>
      <x:c r="H26" s="6" t="n">
        <x:v>26000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54000</x:v>
      </x:c>
      <x:c r="D27" s="6" t="n">
        <x:v>26000</x:v>
      </x:c>
      <x:c r="E27" s="6" t="n">
        <x:f>C27-D27</x:f>
        <x:v>28000</x:v>
      </x:c>
      <x:c r="F27" s="6" t="n">
        <x:f>F26+E27</x:f>
        <x:v>-189000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18000</x:v>
      </x:c>
      <x:c r="D28" s="6" t="n">
        <x:v>62000</x:v>
      </x:c>
      <x:c r="E28" s="6" t="n">
        <x:f>C28-D28</x:f>
        <x:v>-44000</x:v>
      </x:c>
      <x:c r="F28" s="6" t="n">
        <x:f>F27+E28</x:f>
        <x:v>-233000</x:v>
      </x:c>
      <x:c r="G28" s="6" t="n">
        <x:v>-89000</x:v>
      </x:c>
      <x:c r="H28" s="6" t="n">
        <x:v>97000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22000</x:v>
      </x:c>
      <x:c r="D29" s="6" t="n">
        <x:v>0</x:v>
      </x:c>
      <x:c r="E29" s="6" t="n">
        <x:f>C29-D29</x:f>
        <x:v>22000</x:v>
      </x:c>
      <x:c r="F29" s="6" t="n">
        <x:f>F28+E29</x:f>
        <x:v>-211000</x:v>
      </x:c>
      <x:c r="G29" s="6" t="n">
        <x:v>-6000</x:v>
      </x:c>
      <x:c r="H29" s="6" t="n">
        <x:v>17000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23000</x:v>
      </x:c>
      <x:c r="D30" s="6" t="n">
        <x:v>39000</x:v>
      </x:c>
      <x:c r="E30" s="6" t="n">
        <x:f>C30-D30</x:f>
        <x:v>-16000</x:v>
      </x:c>
      <x:c r="F30" s="6" t="n">
        <x:f>F29+E30</x:f>
        <x:v>-227000</x:v>
      </x:c>
      <x:c r="G30" s="6" t="n">
        <x:v>-32000</x:v>
      </x:c>
      <x:c r="H30" s="6" t="n">
        <x:v>49000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15000</x:v>
      </x:c>
      <x:c r="D31" s="6" t="n">
        <x:v>60000</x:v>
      </x:c>
      <x:c r="E31" s="6" t="n">
        <x:f>C31-D31</x:f>
        <x:v>-45000</x:v>
      </x:c>
      <x:c r="F31" s="6" t="n">
        <x:f>F30+E31</x:f>
        <x:v>-272000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521000</x:v>
      </x:c>
      <x:c r="D32" s="14" t="n">
        <x:f>SUM(D6:D31)</x:f>
        <x:v>793000</x:v>
      </x:c>
      <x:c r="E32" s="14" t="n">
        <x:f>C32-D32</x:f>
        <x:v>-272000</x:v>
      </x:c>
      <x:c r="F32" s="14" t="n">
        <x:f>F31</x:f>
        <x:v>-272000</x:v>
      </x:c>
      <x:c r="G32" s="14" t="n">
        <x:f>MIN(G6:G31)</x:f>
        <x:v>-106000</x:v>
      </x:c>
      <x:c r="H32" s="14" t="n">
        <x:f>MAX(H6:H31)</x:f>
        <x:v>112000</x:v>
      </x:c>
    </x:row>
  </x:sheetData>
  <x:conditionalFormatting sqref="E6:F31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d2dc9a1d0b45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玉別20pt追尾・起動20pt・基準S01親占有制限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14000</x:v>
      </x:c>
      <x:c r="D6" s="6" t="n">
        <x:v>0</x:v>
      </x:c>
      <x:c r="E6" s="6" t="n">
        <x:f>C6-D6</x:f>
        <x:v>14000</x:v>
      </x:c>
      <x:c r="F6" s="6" t="n">
        <x:f>E6</x:f>
        <x:v>14000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-16000</x:v>
      </x:c>
      <x:c r="G7" s="6" t="n">
        <x:v>-30000</x:v>
      </x:c>
      <x:c r="H7" s="6" t="n">
        <x:v>40000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-16000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25000</x:v>
      </x:c>
      <x:c r="D9" s="6" t="n">
        <x:v>4000</x:v>
      </x:c>
      <x:c r="E9" s="6" t="n">
        <x:f>C9-D9</x:f>
        <x:v>21000</x:v>
      </x:c>
      <x:c r="F9" s="6" t="n">
        <x:f>F8+E9</x:f>
        <x:v>5000</x:v>
      </x:c>
      <x:c r="G9" s="6" t="n">
        <x:v>-16000</x:v>
      </x:c>
      <x:c r="H9" s="6" t="n">
        <x:v>37000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18000</x:v>
      </x:c>
      <x:c r="D10" s="6" t="n">
        <x:v>16000</x:v>
      </x:c>
      <x:c r="E10" s="6" t="n">
        <x:f>C10-D10</x:f>
        <x:v>2000</x:v>
      </x:c>
      <x:c r="F10" s="6" t="n">
        <x:f>F9+E10</x:f>
        <x:v>7000</x:v>
      </x:c>
      <x:c r="G10" s="6" t="n">
        <x:v>-42000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6000</x:v>
      </x:c>
      <x:c r="D11" s="6" t="n">
        <x:v>56000</x:v>
      </x:c>
      <x:c r="E11" s="6" t="n">
        <x:f>C11-D11</x:f>
        <x:v>-50000</x:v>
      </x:c>
      <x:c r="F11" s="6" t="n">
        <x:f>F10+E11</x:f>
        <x:v>-43000</x:v>
      </x:c>
      <x:c r="G11" s="6" t="n">
        <x:v>-58000</x:v>
      </x:c>
      <x:c r="H11" s="6" t="n">
        <x:v>64000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12000</x:v>
      </x:c>
      <x:c r="D12" s="6" t="n">
        <x:v>51000</x:v>
      </x:c>
      <x:c r="E12" s="6" t="n">
        <x:f>C12-D12</x:f>
        <x:v>-39000</x:v>
      </x:c>
      <x:c r="F12" s="6" t="n">
        <x:f>F11+E12</x:f>
        <x:v>-82000</x:v>
      </x:c>
      <x:c r="G12" s="6" t="n">
        <x:v>-61000</x:v>
      </x:c>
      <x:c r="H12" s="6" t="n">
        <x:v>65000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1000</x:v>
      </x:c>
      <x:c r="D13" s="6" t="n">
        <x:v>55000</x:v>
      </x:c>
      <x:c r="E13" s="6" t="n">
        <x:f>C13-D13</x:f>
        <x:v>-54000</x:v>
      </x:c>
      <x:c r="F13" s="6" t="n">
        <x:f>F12+E13</x:f>
        <x:v>-136000</x:v>
      </x:c>
      <x:c r="G13" s="6" t="n">
        <x:v>-71000</x:v>
      </x:c>
      <x:c r="H13" s="6" t="n">
        <x:v>75000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-136000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18000</x:v>
      </x:c>
      <x:c r="D15" s="6" t="n">
        <x:v>0</x:v>
      </x:c>
      <x:c r="E15" s="6" t="n">
        <x:f>C15-D15</x:f>
        <x:v>18000</x:v>
      </x:c>
      <x:c r="F15" s="6" t="n">
        <x:f>F14+E15</x:f>
        <x:v>-118000</x:v>
      </x:c>
      <x:c r="G15" s="6" t="n">
        <x:v>-14000</x:v>
      </x:c>
      <x:c r="H15" s="6" t="n">
        <x:v>23000</x:v>
      </x:c>
    </x:row>
    <x:row r="16" ht="25" customHeight="1">
      <x:c r="A16" s="2" t="str">
        <x:v>2026-10-05_Day</x:v>
      </x:c>
      <x:c r="B16" s="2" t="str">
        <x:v>上昇</x:v>
      </x:c>
      <x:c r="C16" s="6" t="n">
        <x:v>45000</x:v>
      </x:c>
      <x:c r="D16" s="6" t="n">
        <x:v>31000</x:v>
      </x:c>
      <x:c r="E16" s="6" t="n">
        <x:f>C16-D16</x:f>
        <x:v>14000</x:v>
      </x:c>
      <x:c r="F16" s="6" t="n">
        <x:f>F15+E16</x:f>
        <x:v>-104000</x:v>
      </x:c>
      <x:c r="G16" s="6" t="n">
        <x:v>-27000</x:v>
      </x:c>
      <x:c r="H16" s="6" t="n">
        <x:v>49000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22000</x:v>
      </x:c>
      <x:c r="D17" s="6" t="n">
        <x:v>26000</x:v>
      </x:c>
      <x:c r="E17" s="6" t="n">
        <x:f>C17-D17</x:f>
        <x:v>-4000</x:v>
      </x:c>
      <x:c r="F17" s="6" t="n">
        <x:f>F16+E17</x:f>
        <x:v>-108000</x:v>
      </x:c>
      <x:c r="G17" s="6" t="n">
        <x:v>-16000</x:v>
      </x:c>
      <x:c r="H17" s="6" t="n">
        <x:v>38000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8000</x:v>
      </x:c>
      <x:c r="D18" s="6" t="n">
        <x:v>26000</x:v>
      </x:c>
      <x:c r="E18" s="6" t="n">
        <x:f>C18-D18</x:f>
        <x:v>-18000</x:v>
      </x:c>
      <x:c r="F18" s="6" t="n">
        <x:f>F17+E18</x:f>
        <x:v>-126000</x:v>
      </x:c>
      <x:c r="G18" s="6" t="n">
        <x:v>-33000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7000</x:v>
      </x:c>
      <x:c r="D19" s="6" t="n">
        <x:v>70000</x:v>
      </x:c>
      <x:c r="E19" s="6" t="n">
        <x:f>C19-D19</x:f>
        <x:v>-63000</x:v>
      </x:c>
      <x:c r="F19" s="6" t="n">
        <x:f>F18+E19</x:f>
        <x:v>-189000</x:v>
      </x:c>
      <x:c r="G19" s="6" t="n">
        <x:v>-78000</x:v>
      </x:c>
      <x:c r="H19" s="6" t="n">
        <x:v>88000</x:v>
      </x:c>
    </x:row>
    <x:row r="20" ht="25" customHeight="1">
      <x:c r="A20" s="2" t="str">
        <x:v>2026-10-09_Day</x:v>
      </x:c>
      <x:c r="B20" s="2" t="str">
        <x:v>上昇</x:v>
      </x:c>
      <x:c r="C20" s="6" t="n">
        <x:v>38000</x:v>
      </x:c>
      <x:c r="D20" s="6" t="n">
        <x:v>38000</x:v>
      </x:c>
      <x:c r="E20" s="6" t="n">
        <x:f>C20-D20</x:f>
        <x:v>0</x:v>
      </x:c>
      <x:c r="F20" s="6" t="n">
        <x:f>F19+E20</x:f>
        <x:v>-189000</x:v>
      </x:c>
      <x:c r="G20" s="6" t="n">
        <x:v>-17000</x:v>
      </x:c>
      <x:c r="H20" s="6" t="n">
        <x:v>46000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-209000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28000</x:v>
      </x:c>
      <x:c r="D22" s="6" t="n">
        <x:v>120000</x:v>
      </x:c>
      <x:c r="E22" s="6" t="n">
        <x:f>C22-D22</x:f>
        <x:v>-92000</x:v>
      </x:c>
      <x:c r="F22" s="6" t="n">
        <x:f>F21+E22</x:f>
        <x:v>-301000</x:v>
      </x:c>
      <x:c r="G22" s="6" t="n">
        <x:v>-106000</x:v>
      </x:c>
      <x:c r="H22" s="6" t="n">
        <x:v>112000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45000</x:v>
      </x:c>
      <x:c r="D23" s="6" t="n">
        <x:v>19000</x:v>
      </x:c>
      <x:c r="E23" s="6" t="n">
        <x:f>C23-D23</x:f>
        <x:v>26000</x:v>
      </x:c>
      <x:c r="F23" s="6" t="n">
        <x:f>F22+E23</x:f>
        <x:v>-275000</x:v>
      </x:c>
      <x:c r="G23" s="6" t="n">
        <x:v>-24000</x:v>
      </x:c>
      <x:c r="H23" s="6" t="n">
        <x:v>28000</x:v>
      </x:c>
    </x:row>
    <x:row r="24" ht="25" customHeight="1">
      <x:c r="A24" s="2" t="str">
        <x:v>2026-10-15_Day</x:v>
      </x:c>
      <x:c r="B24" s="2" t="str">
        <x:v>下落</x:v>
      </x:c>
      <x:c r="C24" s="6" t="n">
        <x:v>29000</x:v>
      </x:c>
      <x:c r="D24" s="6" t="n">
        <x:v>0</x:v>
      </x:c>
      <x:c r="E24" s="6" t="n">
        <x:f>C24-D24</x:f>
        <x:v>29000</x:v>
      </x:c>
      <x:c r="F24" s="6" t="n">
        <x:f>F23+E24</x:f>
        <x:v>-246000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57000</x:v>
      </x:c>
      <x:c r="D25" s="6" t="n">
        <x:v>39000</x:v>
      </x:c>
      <x:c r="E25" s="6" t="n">
        <x:f>C25-D25</x:f>
        <x:v>18000</x:v>
      </x:c>
      <x:c r="F25" s="6" t="n">
        <x:f>F24+E25</x:f>
        <x:v>-228000</x:v>
      </x:c>
      <x:c r="G25" s="6" t="n">
        <x:v>-28000</x:v>
      </x:c>
      <x:c r="H25" s="6" t="n">
        <x:v>70000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11000</x:v>
      </x:c>
      <x:c r="D26" s="6" t="n">
        <x:v>0</x:v>
      </x:c>
      <x:c r="E26" s="6" t="n">
        <x:f>C26-D26</x:f>
        <x:v>11000</x:v>
      </x:c>
      <x:c r="F26" s="6" t="n">
        <x:f>F25+E26</x:f>
        <x:v>-217000</x:v>
      </x:c>
      <x:c r="G26" s="6" t="n">
        <x:v>-9000</x:v>
      </x:c>
      <x:c r="H26" s="6" t="n">
        <x:v>26000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54000</x:v>
      </x:c>
      <x:c r="D27" s="6" t="n">
        <x:v>26000</x:v>
      </x:c>
      <x:c r="E27" s="6" t="n">
        <x:f>C27-D27</x:f>
        <x:v>28000</x:v>
      </x:c>
      <x:c r="F27" s="6" t="n">
        <x:f>F26+E27</x:f>
        <x:v>-189000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18000</x:v>
      </x:c>
      <x:c r="D28" s="6" t="n">
        <x:v>62000</x:v>
      </x:c>
      <x:c r="E28" s="6" t="n">
        <x:f>C28-D28</x:f>
        <x:v>-44000</x:v>
      </x:c>
      <x:c r="F28" s="6" t="n">
        <x:f>F27+E28</x:f>
        <x:v>-233000</x:v>
      </x:c>
      <x:c r="G28" s="6" t="n">
        <x:v>-89000</x:v>
      </x:c>
      <x:c r="H28" s="6" t="n">
        <x:v>97000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22000</x:v>
      </x:c>
      <x:c r="D29" s="6" t="n">
        <x:v>0</x:v>
      </x:c>
      <x:c r="E29" s="6" t="n">
        <x:f>C29-D29</x:f>
        <x:v>22000</x:v>
      </x:c>
      <x:c r="F29" s="6" t="n">
        <x:f>F28+E29</x:f>
        <x:v>-211000</x:v>
      </x:c>
      <x:c r="G29" s="6" t="n">
        <x:v>-6000</x:v>
      </x:c>
      <x:c r="H29" s="6" t="n">
        <x:v>17000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23000</x:v>
      </x:c>
      <x:c r="D30" s="6" t="n">
        <x:v>39000</x:v>
      </x:c>
      <x:c r="E30" s="6" t="n">
        <x:f>C30-D30</x:f>
        <x:v>-16000</x:v>
      </x:c>
      <x:c r="F30" s="6" t="n">
        <x:f>F29+E30</x:f>
        <x:v>-227000</x:v>
      </x:c>
      <x:c r="G30" s="6" t="n">
        <x:v>-32000</x:v>
      </x:c>
      <x:c r="H30" s="6" t="n">
        <x:v>49000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15000</x:v>
      </x:c>
      <x:c r="D31" s="6" t="n">
        <x:v>60000</x:v>
      </x:c>
      <x:c r="E31" s="6" t="n">
        <x:f>C31-D31</x:f>
        <x:v>-45000</x:v>
      </x:c>
      <x:c r="F31" s="6" t="n">
        <x:f>F30+E31</x:f>
        <x:v>-272000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521000</x:v>
      </x:c>
      <x:c r="D32" s="14" t="n">
        <x:f>SUM(D6:D31)</x:f>
        <x:v>793000</x:v>
      </x:c>
      <x:c r="E32" s="14" t="n">
        <x:f>C32-D32</x:f>
        <x:v>-272000</x:v>
      </x:c>
      <x:c r="F32" s="14" t="n">
        <x:f>F31</x:f>
        <x:v>-272000</x:v>
      </x:c>
      <x:c r="G32" s="14" t="n">
        <x:f>MIN(G6:G31)</x:f>
        <x:v>-106000</x:v>
      </x:c>
      <x:c r="H32" s="14" t="n">
        <x:f>MAX(H6:H31)</x:f>
        <x:v>112000</x:v>
      </x:c>
    </x:row>
  </x:sheetData>
  <x:conditionalFormatting sqref="E6:F31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55af2bd1b24ed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F09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玉別40pt追尾・起動含み正・元再参加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-32000</x:v>
      </x:c>
      <x:c r="G9" s="6" t="n">
        <x:v>-31000</x:v>
      </x:c>
      <x:c r="H9" s="6" t="n">
        <x:v>39000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-46000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40000</x:v>
      </x:c>
      <x:c r="E11" s="6" t="n">
        <x:f>C11-D11</x:f>
        <x:v>-36000</x:v>
      </x:c>
      <x:c r="F11" s="6" t="n">
        <x:f>F10+E11</x:f>
        <x:v>-82000</x:v>
      </x:c>
      <x:c r="G11" s="6" t="n">
        <x:v>-40000</x:v>
      </x:c>
      <x:c r="H11" s="6" t="n">
        <x:v>46000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2000</x:v>
      </x:c>
      <x:c r="D12" s="6" t="n">
        <x:v>57000</x:v>
      </x:c>
      <x:c r="E12" s="6" t="n">
        <x:f>C12-D12</x:f>
        <x:v>-55000</x:v>
      </x:c>
      <x:c r="F12" s="6" t="n">
        <x:f>F11+E12</x:f>
        <x:v>-137000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-192000</x:v>
      </x:c>
      <x:c r="G13" s="6" t="n">
        <x:v>-69000</x:v>
      </x:c>
      <x:c r="H13" s="6" t="n">
        <x:v>72000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-190000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13000</x:v>
      </x:c>
      <x:c r="D15" s="6" t="n">
        <x:v>0</x:v>
      </x:c>
      <x:c r="E15" s="6" t="n">
        <x:f>C15-D15</x:f>
        <x:v>13000</x:v>
      </x:c>
      <x:c r="F15" s="6" t="n">
        <x:f>F14+E15</x:f>
        <x:v>-177000</x:v>
      </x:c>
      <x:c r="G15" s="6" t="n">
        <x:v>-14000</x:v>
      </x:c>
      <x:c r="H15" s="6" t="n">
        <x:v>19000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11000</x:v>
      </x:c>
      <x:c r="D16" s="6" t="n">
        <x:v>31000</x:v>
      </x:c>
      <x:c r="E16" s="6" t="n">
        <x:f>C16-D16</x:f>
        <x:v>-20000</x:v>
      </x:c>
      <x:c r="F16" s="6" t="n">
        <x:f>F15+E16</x:f>
        <x:v>-197000</x:v>
      </x:c>
      <x:c r="G16" s="6" t="n">
        <x:v>-50000</x:v>
      </x:c>
      <x:c r="H16" s="6" t="n">
        <x:v>50000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1000</x:v>
      </x:c>
      <x:c r="D17" s="6" t="n">
        <x:v>28000</x:v>
      </x:c>
      <x:c r="E17" s="6" t="n">
        <x:f>C17-D17</x:f>
        <x:v>-27000</x:v>
      </x:c>
      <x:c r="F17" s="6" t="n">
        <x:f>F16+E17</x:f>
        <x:v>-224000</x:v>
      </x:c>
      <x:c r="G17" s="6" t="n">
        <x:v>-33000</x:v>
      </x:c>
      <x:c r="H17" s="6" t="n">
        <x:v>42000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-247000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-317000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21000</x:v>
      </x:c>
      <x:c r="D20" s="6" t="n">
        <x:v>38000</x:v>
      </x:c>
      <x:c r="E20" s="6" t="n">
        <x:f>C20-D20</x:f>
        <x:v>-17000</x:v>
      </x:c>
      <x:c r="F20" s="6" t="n">
        <x:f>F19+E20</x:f>
        <x:v>-334000</x:v>
      </x:c>
      <x:c r="G20" s="6" t="n">
        <x:v>-21000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-354000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104000</x:v>
      </x:c>
      <x:c r="E22" s="6" t="n">
        <x:f>C22-D22</x:f>
        <x:v>-104000</x:v>
      </x:c>
      <x:c r="F22" s="6" t="n">
        <x:f>F21+E22</x:f>
        <x:v>-458000</x:v>
      </x:c>
      <x:c r="G22" s="6" t="n">
        <x:v>-108000</x:v>
      </x:c>
      <x:c r="H22" s="6" t="n">
        <x:v>110000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26000</x:v>
      </x:c>
      <x:c r="D23" s="6" t="n">
        <x:v>0</x:v>
      </x:c>
      <x:c r="E23" s="6" t="n">
        <x:f>C23-D23</x:f>
        <x:v>26000</x:v>
      </x:c>
      <x:c r="F23" s="6" t="n">
        <x:f>F22+E23</x:f>
        <x:v>-432000</x:v>
      </x:c>
      <x:c r="G23" s="6" t="n">
        <x:v>-20000</x:v>
      </x:c>
      <x:c r="H23" s="6" t="n">
        <x:v>25000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</x:v>
      </x:c>
      <x:c r="D24" s="6" t="n">
        <x:v>0</x:v>
      </x:c>
      <x:c r="E24" s="6" t="n">
        <x:f>C24-D24</x:f>
        <x:v>9000</x:v>
      </x:c>
      <x:c r="F24" s="6" t="n">
        <x:f>F23+E24</x:f>
        <x:v>-423000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24000</x:v>
      </x:c>
      <x:c r="D25" s="6" t="n">
        <x:v>13000</x:v>
      </x:c>
      <x:c r="E25" s="6" t="n">
        <x:f>C25-D25</x:f>
        <x:v>11000</x:v>
      </x:c>
      <x:c r="F25" s="6" t="n">
        <x:f>F24+E25</x:f>
        <x:v>-412000</x:v>
      </x:c>
      <x:c r="G25" s="6" t="n">
        <x:v>-16000</x:v>
      </x:c>
      <x:c r="H25" s="6" t="n">
        <x:v>55000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-409000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17000</x:v>
      </x:c>
      <x:c r="D27" s="6" t="n">
        <x:v>26000</x:v>
      </x:c>
      <x:c r="E27" s="6" t="n">
        <x:f>C27-D27</x:f>
        <x:v>-9000</x:v>
      </x:c>
      <x:c r="F27" s="6" t="n">
        <x:f>F26+E27</x:f>
        <x:v>-418000</x:v>
      </x:c>
      <x:c r="G27" s="6" t="n">
        <x:v>-24000</x:v>
      </x:c>
      <x:c r="H27" s="6" t="n">
        <x:v>46000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11000</x:v>
      </x:c>
      <x:c r="D28" s="6" t="n">
        <x:v>25000</x:v>
      </x:c>
      <x:c r="E28" s="6" t="n">
        <x:f>C28-D28</x:f>
        <x:v>-14000</x:v>
      </x:c>
      <x:c r="F28" s="6" t="n">
        <x:f>F27+E28</x:f>
        <x:v>-432000</x:v>
      </x:c>
      <x:c r="G28" s="6" t="n">
        <x:v>-39000</x:v>
      </x:c>
      <x:c r="H28" s="6" t="n">
        <x:v>52000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-432000</x:v>
      </x:c>
      <x:c r="G29" s="6" t="n">
        <x:v>-15000</x:v>
      </x:c>
      <x:c r="H29" s="6" t="n">
        <x:v>20000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24000</x:v>
      </x:c>
      <x:c r="D30" s="6" t="n">
        <x:v>11000</x:v>
      </x:c>
      <x:c r="E30" s="6" t="n">
        <x:f>C30-D30</x:f>
        <x:v>13000</x:v>
      </x:c>
      <x:c r="F30" s="6" t="n">
        <x:f>F29+E30</x:f>
        <x:v>-419000</x:v>
      </x:c>
      <x:c r="G30" s="6" t="n">
        <x:v>-24000</x:v>
      </x:c>
      <x:c r="H30" s="6" t="n">
        <x:v>53000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-414000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187000</x:v>
      </x:c>
      <x:c r="D32" s="14" t="n">
        <x:f>SUM(D6:D31)</x:f>
        <x:v>601000</x:v>
      </x:c>
      <x:c r="E32" s="14" t="n">
        <x:f>C32-D32</x:f>
        <x:v>-414000</x:v>
      </x:c>
      <x:c r="F32" s="14" t="n">
        <x:f>F31</x:f>
        <x:v>-414000</x:v>
      </x:c>
      <x:c r="G32" s="14" t="n">
        <x:f>MIN(G6:G31)</x:f>
        <x:v>-108000</x:v>
      </x:c>
      <x:c r="H32" s="14" t="n">
        <x:f>MAX(H6:H31)</x:f>
        <x:v>110000</x:v>
      </x:c>
    </x:row>
  </x:sheetData>
  <x:conditionalFormatting sqref="E6:F31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724c07e5be4a9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F10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玉別40pt追尾・起動含み正・基準S01親占有制限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-32000</x:v>
      </x:c>
      <x:c r="G9" s="6" t="n">
        <x:v>-31000</x:v>
      </x:c>
      <x:c r="H9" s="6" t="n">
        <x:v>39000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-46000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40000</x:v>
      </x:c>
      <x:c r="E11" s="6" t="n">
        <x:f>C11-D11</x:f>
        <x:v>-36000</x:v>
      </x:c>
      <x:c r="F11" s="6" t="n">
        <x:f>F10+E11</x:f>
        <x:v>-82000</x:v>
      </x:c>
      <x:c r="G11" s="6" t="n">
        <x:v>-40000</x:v>
      </x:c>
      <x:c r="H11" s="6" t="n">
        <x:v>46000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2000</x:v>
      </x:c>
      <x:c r="D12" s="6" t="n">
        <x:v>57000</x:v>
      </x:c>
      <x:c r="E12" s="6" t="n">
        <x:f>C12-D12</x:f>
        <x:v>-55000</x:v>
      </x:c>
      <x:c r="F12" s="6" t="n">
        <x:f>F11+E12</x:f>
        <x:v>-137000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-192000</x:v>
      </x:c>
      <x:c r="G13" s="6" t="n">
        <x:v>-69000</x:v>
      </x:c>
      <x:c r="H13" s="6" t="n">
        <x:v>72000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-190000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13000</x:v>
      </x:c>
      <x:c r="D15" s="6" t="n">
        <x:v>0</x:v>
      </x:c>
      <x:c r="E15" s="6" t="n">
        <x:f>C15-D15</x:f>
        <x:v>13000</x:v>
      </x:c>
      <x:c r="F15" s="6" t="n">
        <x:f>F14+E15</x:f>
        <x:v>-177000</x:v>
      </x:c>
      <x:c r="G15" s="6" t="n">
        <x:v>-14000</x:v>
      </x:c>
      <x:c r="H15" s="6" t="n">
        <x:v>19000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11000</x:v>
      </x:c>
      <x:c r="D16" s="6" t="n">
        <x:v>31000</x:v>
      </x:c>
      <x:c r="E16" s="6" t="n">
        <x:f>C16-D16</x:f>
        <x:v>-20000</x:v>
      </x:c>
      <x:c r="F16" s="6" t="n">
        <x:f>F15+E16</x:f>
        <x:v>-197000</x:v>
      </x:c>
      <x:c r="G16" s="6" t="n">
        <x:v>-50000</x:v>
      </x:c>
      <x:c r="H16" s="6" t="n">
        <x:v>50000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1000</x:v>
      </x:c>
      <x:c r="D17" s="6" t="n">
        <x:v>28000</x:v>
      </x:c>
      <x:c r="E17" s="6" t="n">
        <x:f>C17-D17</x:f>
        <x:v>-27000</x:v>
      </x:c>
      <x:c r="F17" s="6" t="n">
        <x:f>F16+E17</x:f>
        <x:v>-224000</x:v>
      </x:c>
      <x:c r="G17" s="6" t="n">
        <x:v>-33000</x:v>
      </x:c>
      <x:c r="H17" s="6" t="n">
        <x:v>42000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-247000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-317000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21000</x:v>
      </x:c>
      <x:c r="D20" s="6" t="n">
        <x:v>38000</x:v>
      </x:c>
      <x:c r="E20" s="6" t="n">
        <x:f>C20-D20</x:f>
        <x:v>-17000</x:v>
      </x:c>
      <x:c r="F20" s="6" t="n">
        <x:f>F19+E20</x:f>
        <x:v>-334000</x:v>
      </x:c>
      <x:c r="G20" s="6" t="n">
        <x:v>-21000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-354000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104000</x:v>
      </x:c>
      <x:c r="E22" s="6" t="n">
        <x:f>C22-D22</x:f>
        <x:v>-104000</x:v>
      </x:c>
      <x:c r="F22" s="6" t="n">
        <x:f>F21+E22</x:f>
        <x:v>-458000</x:v>
      </x:c>
      <x:c r="G22" s="6" t="n">
        <x:v>-108000</x:v>
      </x:c>
      <x:c r="H22" s="6" t="n">
        <x:v>110000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26000</x:v>
      </x:c>
      <x:c r="D23" s="6" t="n">
        <x:v>0</x:v>
      </x:c>
      <x:c r="E23" s="6" t="n">
        <x:f>C23-D23</x:f>
        <x:v>26000</x:v>
      </x:c>
      <x:c r="F23" s="6" t="n">
        <x:f>F22+E23</x:f>
        <x:v>-432000</x:v>
      </x:c>
      <x:c r="G23" s="6" t="n">
        <x:v>-20000</x:v>
      </x:c>
      <x:c r="H23" s="6" t="n">
        <x:v>25000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</x:v>
      </x:c>
      <x:c r="D24" s="6" t="n">
        <x:v>0</x:v>
      </x:c>
      <x:c r="E24" s="6" t="n">
        <x:f>C24-D24</x:f>
        <x:v>9000</x:v>
      </x:c>
      <x:c r="F24" s="6" t="n">
        <x:f>F23+E24</x:f>
        <x:v>-423000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24000</x:v>
      </x:c>
      <x:c r="D25" s="6" t="n">
        <x:v>13000</x:v>
      </x:c>
      <x:c r="E25" s="6" t="n">
        <x:f>C25-D25</x:f>
        <x:v>11000</x:v>
      </x:c>
      <x:c r="F25" s="6" t="n">
        <x:f>F24+E25</x:f>
        <x:v>-412000</x:v>
      </x:c>
      <x:c r="G25" s="6" t="n">
        <x:v>-16000</x:v>
      </x:c>
      <x:c r="H25" s="6" t="n">
        <x:v>55000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-409000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17000</x:v>
      </x:c>
      <x:c r="D27" s="6" t="n">
        <x:v>26000</x:v>
      </x:c>
      <x:c r="E27" s="6" t="n">
        <x:f>C27-D27</x:f>
        <x:v>-9000</x:v>
      </x:c>
      <x:c r="F27" s="6" t="n">
        <x:f>F26+E27</x:f>
        <x:v>-418000</x:v>
      </x:c>
      <x:c r="G27" s="6" t="n">
        <x:v>-24000</x:v>
      </x:c>
      <x:c r="H27" s="6" t="n">
        <x:v>46000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11000</x:v>
      </x:c>
      <x:c r="D28" s="6" t="n">
        <x:v>25000</x:v>
      </x:c>
      <x:c r="E28" s="6" t="n">
        <x:f>C28-D28</x:f>
        <x:v>-14000</x:v>
      </x:c>
      <x:c r="F28" s="6" t="n">
        <x:f>F27+E28</x:f>
        <x:v>-432000</x:v>
      </x:c>
      <x:c r="G28" s="6" t="n">
        <x:v>-39000</x:v>
      </x:c>
      <x:c r="H28" s="6" t="n">
        <x:v>52000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-432000</x:v>
      </x:c>
      <x:c r="G29" s="6" t="n">
        <x:v>-15000</x:v>
      </x:c>
      <x:c r="H29" s="6" t="n">
        <x:v>20000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24000</x:v>
      </x:c>
      <x:c r="D30" s="6" t="n">
        <x:v>11000</x:v>
      </x:c>
      <x:c r="E30" s="6" t="n">
        <x:f>C30-D30</x:f>
        <x:v>13000</x:v>
      </x:c>
      <x:c r="F30" s="6" t="n">
        <x:f>F29+E30</x:f>
        <x:v>-419000</x:v>
      </x:c>
      <x:c r="G30" s="6" t="n">
        <x:v>-24000</x:v>
      </x:c>
      <x:c r="H30" s="6" t="n">
        <x:v>53000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-414000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187000</x:v>
      </x:c>
      <x:c r="D32" s="14" t="n">
        <x:f>SUM(D6:D31)</x:f>
        <x:v>601000</x:v>
      </x:c>
      <x:c r="E32" s="14" t="n">
        <x:f>C32-D32</x:f>
        <x:v>-414000</x:v>
      </x:c>
      <x:c r="F32" s="14" t="n">
        <x:f>F31</x:f>
        <x:v>-414000</x:v>
      </x:c>
      <x:c r="G32" s="14" t="n">
        <x:f>MIN(G6:G31)</x:f>
        <x:v>-108000</x:v>
      </x:c>
      <x:c r="H32" s="14" t="n">
        <x:f>MAX(H6:H31)</x:f>
        <x:v>110000</x:v>
      </x:c>
    </x:row>
  </x:sheetData>
  <x:conditionalFormatting sqref="E6:F31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1b5eaf878a4b2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F11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玉別40pt追尾・起動20pt・元再参加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13000</x:v>
      </x:c>
      <x:c r="D6" s="6" t="n">
        <x:v>0</x:v>
      </x:c>
      <x:c r="E6" s="6" t="n">
        <x:f>C6-D6</x:f>
        <x:v>13000</x:v>
      </x:c>
      <x:c r="F6" s="6" t="n">
        <x:f>E6</x:f>
        <x:v>13000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-17000</x:v>
      </x:c>
      <x:c r="G7" s="6" t="n">
        <x:v>-30000</x:v>
      </x:c>
      <x:c r="H7" s="6" t="n">
        <x:v>40000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7000</x:v>
      </x:c>
      <x:c r="D9" s="6" t="n">
        <x:v>4000</x:v>
      </x:c>
      <x:c r="E9" s="6" t="n">
        <x:f>C9-D9</x:f>
        <x:v>3000</x:v>
      </x:c>
      <x:c r="F9" s="6" t="n">
        <x:f>F8+E9</x:f>
        <x:v>-14000</x:v>
      </x:c>
      <x:c r="G9" s="6" t="n">
        <x:v>-28000</x:v>
      </x:c>
      <x:c r="H9" s="6" t="n">
        <x:v>39000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8000</x:v>
      </x:c>
      <x:c r="D10" s="6" t="n">
        <x:v>16000</x:v>
      </x:c>
      <x:c r="E10" s="6" t="n">
        <x:f>C10-D10</x:f>
        <x:v>-8000</x:v>
      </x:c>
      <x:c r="F10" s="6" t="n">
        <x:f>F9+E10</x:f>
        <x:v>-22000</x:v>
      </x:c>
      <x:c r="G10" s="6" t="n">
        <x:v>-42000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2000</x:v>
      </x:c>
      <x:c r="D11" s="6" t="n">
        <x:v>58000</x:v>
      </x:c>
      <x:c r="E11" s="6" t="n">
        <x:f>C11-D11</x:f>
        <x:v>-56000</x:v>
      </x:c>
      <x:c r="F11" s="6" t="n">
        <x:f>F10+E11</x:f>
        <x:v>-78000</x:v>
      </x:c>
      <x:c r="G11" s="6" t="n">
        <x:v>-60000</x:v>
      </x:c>
      <x:c r="H11" s="6" t="n">
        <x:v>66000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13000</x:v>
      </x:c>
      <x:c r="D12" s="6" t="n">
        <x:v>51000</x:v>
      </x:c>
      <x:c r="E12" s="6" t="n">
        <x:f>C12-D12</x:f>
        <x:v>-38000</x:v>
      </x:c>
      <x:c r="F12" s="6" t="n">
        <x:f>F11+E12</x:f>
        <x:v>-116000</x:v>
      </x:c>
      <x:c r="G12" s="6" t="n">
        <x:v>-59000</x:v>
      </x:c>
      <x:c r="H12" s="6" t="n">
        <x:v>63000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-171000</x:v>
      </x:c>
      <x:c r="G13" s="6" t="n">
        <x:v>-72000</x:v>
      </x:c>
      <x:c r="H13" s="6" t="n">
        <x:v>76000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-171000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10000</x:v>
      </x:c>
      <x:c r="D15" s="6" t="n">
        <x:v>0</x:v>
      </x:c>
      <x:c r="E15" s="6" t="n">
        <x:f>C15-D15</x:f>
        <x:v>10000</x:v>
      </x:c>
      <x:c r="F15" s="6" t="n">
        <x:f>F14+E15</x:f>
        <x:v>-161000</x:v>
      </x:c>
      <x:c r="G15" s="6" t="n">
        <x:v>-14000</x:v>
      </x:c>
      <x:c r="H15" s="6" t="n">
        <x:v>25000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25000</x:v>
      </x:c>
      <x:c r="D16" s="6" t="n">
        <x:v>31000</x:v>
      </x:c>
      <x:c r="E16" s="6" t="n">
        <x:f>C16-D16</x:f>
        <x:v>-6000</x:v>
      </x:c>
      <x:c r="F16" s="6" t="n">
        <x:f>F15+E16</x:f>
        <x:v>-167000</x:v>
      </x:c>
      <x:c r="G16" s="6" t="n">
        <x:v>-36000</x:v>
      </x:c>
      <x:c r="H16" s="6" t="n">
        <x:v>54000</x:v>
      </x:c>
    </x:row>
    <x:row r="17" ht="25" customHeight="1">
      <x:c r="A17" s="2" t="str">
        <x:v>2026-10-06_Day</x:v>
      </x:c>
      <x:c r="B17" s="2" t="str">
        <x:v>上昇</x:v>
      </x:c>
      <x:c r="C17" s="6" t="n">
        <x:v>37000</x:v>
      </x:c>
      <x:c r="D17" s="6" t="n">
        <x:v>26000</x:v>
      </x:c>
      <x:c r="E17" s="6" t="n">
        <x:f>C17-D17</x:f>
        <x:v>11000</x:v>
      </x:c>
      <x:c r="F17" s="6" t="n">
        <x:f>F16+E17</x:f>
        <x:v>-156000</x:v>
      </x:c>
      <x:c r="G17" s="6" t="n">
        <x:v>-16000</x:v>
      </x:c>
      <x:c r="H17" s="6" t="n">
        <x:v>48000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5000</x:v>
      </x:c>
      <x:c r="D18" s="6" t="n">
        <x:v>26000</x:v>
      </x:c>
      <x:c r="E18" s="6" t="n">
        <x:f>C18-D18</x:f>
        <x:v>-21000</x:v>
      </x:c>
      <x:c r="F18" s="6" t="n">
        <x:f>F17+E18</x:f>
        <x:v>-177000</x:v>
      </x:c>
      <x:c r="G18" s="6" t="n">
        <x:v>-34000</x:v>
      </x:c>
      <x:c r="H18" s="6" t="n">
        <x:v>39000</x:v>
      </x:c>
    </x:row>
    <x:row r="19" ht="25" customHeight="1">
      <x:c r="A19" s="2" t="str">
        <x:v>2026-10-08_Day</x:v>
      </x:c>
      <x:c r="B19" s="2" t="str">
        <x:v>下落</x:v>
      </x:c>
      <x:c r="C19" s="6" t="n">
        <x:v>4000</x:v>
      </x:c>
      <x:c r="D19" s="6" t="n">
        <x:v>70000</x:v>
      </x:c>
      <x:c r="E19" s="6" t="n">
        <x:f>C19-D19</x:f>
        <x:v>-66000</x:v>
      </x:c>
      <x:c r="F19" s="6" t="n">
        <x:f>F18+E19</x:f>
        <x:v>-243000</x:v>
      </x:c>
      <x:c r="G19" s="6" t="n">
        <x:v>-81000</x:v>
      </x:c>
      <x:c r="H19" s="6" t="n">
        <x:v>91000</x:v>
      </x:c>
    </x:row>
    <x:row r="20" ht="25" customHeight="1">
      <x:c r="A20" s="2" t="str">
        <x:v>2026-10-09_Day</x:v>
      </x:c>
      <x:c r="B20" s="2" t="str">
        <x:v>上昇</x:v>
      </x:c>
      <x:c r="C20" s="6" t="n">
        <x:v>37000</x:v>
      </x:c>
      <x:c r="D20" s="6" t="n">
        <x:v>38000</x:v>
      </x:c>
      <x:c r="E20" s="6" t="n">
        <x:f>C20-D20</x:f>
        <x:v>-1000</x:v>
      </x:c>
      <x:c r="F20" s="6" t="n">
        <x:f>F19+E20</x:f>
        <x:v>-244000</x:v>
      </x:c>
      <x:c r="G20" s="6" t="n">
        <x:v>-17000</x:v>
      </x:c>
      <x:c r="H20" s="6" t="n">
        <x:v>50000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-264000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19000</x:v>
      </x:c>
      <x:c r="D22" s="6" t="n">
        <x:v>122000</x:v>
      </x:c>
      <x:c r="E22" s="6" t="n">
        <x:f>C22-D22</x:f>
        <x:v>-103000</x:v>
      </x:c>
      <x:c r="F22" s="6" t="n">
        <x:f>F21+E22</x:f>
        <x:v>-367000</x:v>
      </x:c>
      <x:c r="G22" s="6" t="n">
        <x:v>-117000</x:v>
      </x:c>
      <x:c r="H22" s="6" t="n">
        <x:v>123000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25000</x:v>
      </x:c>
      <x:c r="D23" s="6" t="n">
        <x:v>19000</x:v>
      </x:c>
      <x:c r="E23" s="6" t="n">
        <x:f>C23-D23</x:f>
        <x:v>6000</x:v>
      </x:c>
      <x:c r="F23" s="6" t="n">
        <x:f>F22+E23</x:f>
        <x:v>-361000</x:v>
      </x:c>
      <x:c r="G23" s="6" t="n">
        <x:v>-24000</x:v>
      </x:c>
      <x:c r="H23" s="6" t="n">
        <x:v>28000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17000</x:v>
      </x:c>
      <x:c r="D24" s="6" t="n">
        <x:v>0</x:v>
      </x:c>
      <x:c r="E24" s="6" t="n">
        <x:f>C24-D24</x:f>
        <x:v>17000</x:v>
      </x:c>
      <x:c r="F24" s="6" t="n">
        <x:f>F23+E24</x:f>
        <x:v>-344000</x:v>
      </x:c>
      <x:c r="G24" s="6" t="n">
        <x:v>-18000</x:v>
      </x:c>
      <x:c r="H24" s="6" t="n">
        <x:v>36000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118000</x:v>
      </x:c>
      <x:c r="D25" s="6" t="n">
        <x:v>43000</x:v>
      </x:c>
      <x:c r="E25" s="6" t="n">
        <x:f>C25-D25</x:f>
        <x:v>75000</x:v>
      </x:c>
      <x:c r="F25" s="6" t="n">
        <x:f>F24+E25</x:f>
        <x:v>-269000</x:v>
      </x:c>
      <x:c r="G25" s="6" t="n">
        <x:v>-41000</x:v>
      </x:c>
      <x:c r="H25" s="6" t="n">
        <x:v>75000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32000</x:v>
      </x:c>
      <x:c r="D26" s="6" t="n">
        <x:v>0</x:v>
      </x:c>
      <x:c r="E26" s="6" t="n">
        <x:f>C26-D26</x:f>
        <x:v>32000</x:v>
      </x:c>
      <x:c r="F26" s="6" t="n">
        <x:f>F25+E26</x:f>
        <x:v>-237000</x:v>
      </x:c>
      <x:c r="G26" s="6" t="n">
        <x:v>-8000</x:v>
      </x:c>
      <x:c r="H26" s="6" t="n">
        <x:v>32000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19000</x:v>
      </x:c>
      <x:c r="D27" s="6" t="n">
        <x:v>26000</x:v>
      </x:c>
      <x:c r="E27" s="6" t="n">
        <x:f>C27-D27</x:f>
        <x:v>-7000</x:v>
      </x:c>
      <x:c r="F27" s="6" t="n">
        <x:f>F26+E27</x:f>
        <x:v>-244000</x:v>
      </x:c>
      <x:c r="G27" s="6" t="n">
        <x:v>-24000</x:v>
      </x:c>
      <x:c r="H27" s="6" t="n">
        <x:v>46000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22000</x:v>
      </x:c>
      <x:c r="D28" s="6" t="n">
        <x:v>59000</x:v>
      </x:c>
      <x:c r="E28" s="6" t="n">
        <x:f>C28-D28</x:f>
        <x:v>-37000</x:v>
      </x:c>
      <x:c r="F28" s="6" t="n">
        <x:f>F27+E28</x:f>
        <x:v>-281000</x:v>
      </x:c>
      <x:c r="G28" s="6" t="n">
        <x:v>-88000</x:v>
      </x:c>
      <x:c r="H28" s="6" t="n">
        <x:v>101000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20000</x:v>
      </x:c>
      <x:c r="D29" s="6" t="n">
        <x:v>0</x:v>
      </x:c>
      <x:c r="E29" s="6" t="n">
        <x:f>C29-D29</x:f>
        <x:v>20000</x:v>
      </x:c>
      <x:c r="F29" s="6" t="n">
        <x:f>F28+E29</x:f>
        <x:v>-261000</x:v>
      </x:c>
      <x:c r="G29" s="6" t="n">
        <x:v>-6000</x:v>
      </x:c>
      <x:c r="H29" s="6" t="n">
        <x:v>21000</x:v>
      </x:c>
    </x:row>
    <x:row r="30" ht="25" customHeight="1">
      <x:c r="A30" s="2" t="str">
        <x:v>2026-10-23_Day</x:v>
      </x:c>
      <x:c r="B30" s="2" t="str">
        <x:v>上昇</x:v>
      </x:c>
      <x:c r="C30" s="6" t="n">
        <x:v>51000</x:v>
      </x:c>
      <x:c r="D30" s="6" t="n">
        <x:v>41000</x:v>
      </x:c>
      <x:c r="E30" s="6" t="n">
        <x:f>C30-D30</x:f>
        <x:v>10000</x:v>
      </x:c>
      <x:c r="F30" s="6" t="n">
        <x:f>F29+E30</x:f>
        <x:v>-251000</x:v>
      </x:c>
      <x:c r="G30" s="6" t="n">
        <x:v>-10000</x:v>
      </x:c>
      <x:c r="H30" s="6" t="n">
        <x:v>53000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60000</x:v>
      </x:c>
      <x:c r="E31" s="6" t="n">
        <x:f>C31-D31</x:f>
        <x:v>-55000</x:v>
      </x:c>
      <x:c r="F31" s="6" t="n">
        <x:f>F30+E31</x:f>
        <x:v>-306000</x:v>
      </x:c>
      <x:c r="G31" s="6" t="n">
        <x:v>-70000</x:v>
      </x:c>
      <x:c r="H31" s="6" t="n">
        <x:v>80000</x:v>
      </x:c>
    </x:row>
    <x:row r="32" ht="25" customHeight="1">
      <x:c r="A32" s="13" t="str">
        <x:v>累計／場内最悪値</x:v>
      </x:c>
      <x:c r="B32" s="13"/>
      <x:c r="C32" s="14" t="n">
        <x:f>SUM(C6:C31)</x:f>
        <x:v>494000</x:v>
      </x:c>
      <x:c r="D32" s="14" t="n">
        <x:f>SUM(D6:D31)</x:f>
        <x:v>800000</x:v>
      </x:c>
      <x:c r="E32" s="14" t="n">
        <x:f>C32-D32</x:f>
        <x:v>-306000</x:v>
      </x:c>
      <x:c r="F32" s="14" t="n">
        <x:f>F31</x:f>
        <x:v>-306000</x:v>
      </x:c>
      <x:c r="G32" s="14" t="n">
        <x:f>MIN(G6:G31)</x:f>
        <x:v>-117000</x:v>
      </x:c>
      <x:c r="H32" s="14" t="n">
        <x:f>MAX(H6:H31)</x:f>
        <x:v>123000</x:v>
      </x:c>
    </x:row>
  </x:sheetData>
  <x:conditionalFormatting sqref="E6:F31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8c7c48508b48a9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F12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玉別40pt追尾・起動20pt・基準S01親占有制限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13000</x:v>
      </x:c>
      <x:c r="D6" s="6" t="n">
        <x:v>0</x:v>
      </x:c>
      <x:c r="E6" s="6" t="n">
        <x:f>C6-D6</x:f>
        <x:v>13000</x:v>
      </x:c>
      <x:c r="F6" s="6" t="n">
        <x:f>E6</x:f>
        <x:v>13000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-17000</x:v>
      </x:c>
      <x:c r="G7" s="6" t="n">
        <x:v>-30000</x:v>
      </x:c>
      <x:c r="H7" s="6" t="n">
        <x:v>40000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7000</x:v>
      </x:c>
      <x:c r="D9" s="6" t="n">
        <x:v>4000</x:v>
      </x:c>
      <x:c r="E9" s="6" t="n">
        <x:f>C9-D9</x:f>
        <x:v>3000</x:v>
      </x:c>
      <x:c r="F9" s="6" t="n">
        <x:f>F8+E9</x:f>
        <x:v>-14000</x:v>
      </x:c>
      <x:c r="G9" s="6" t="n">
        <x:v>-28000</x:v>
      </x:c>
      <x:c r="H9" s="6" t="n">
        <x:v>39000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8000</x:v>
      </x:c>
      <x:c r="D10" s="6" t="n">
        <x:v>16000</x:v>
      </x:c>
      <x:c r="E10" s="6" t="n">
        <x:f>C10-D10</x:f>
        <x:v>-8000</x:v>
      </x:c>
      <x:c r="F10" s="6" t="n">
        <x:f>F9+E10</x:f>
        <x:v>-22000</x:v>
      </x:c>
      <x:c r="G10" s="6" t="n">
        <x:v>-42000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2000</x:v>
      </x:c>
      <x:c r="D11" s="6" t="n">
        <x:v>58000</x:v>
      </x:c>
      <x:c r="E11" s="6" t="n">
        <x:f>C11-D11</x:f>
        <x:v>-56000</x:v>
      </x:c>
      <x:c r="F11" s="6" t="n">
        <x:f>F10+E11</x:f>
        <x:v>-78000</x:v>
      </x:c>
      <x:c r="G11" s="6" t="n">
        <x:v>-60000</x:v>
      </x:c>
      <x:c r="H11" s="6" t="n">
        <x:v>66000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13000</x:v>
      </x:c>
      <x:c r="D12" s="6" t="n">
        <x:v>51000</x:v>
      </x:c>
      <x:c r="E12" s="6" t="n">
        <x:f>C12-D12</x:f>
        <x:v>-38000</x:v>
      </x:c>
      <x:c r="F12" s="6" t="n">
        <x:f>F11+E12</x:f>
        <x:v>-116000</x:v>
      </x:c>
      <x:c r="G12" s="6" t="n">
        <x:v>-59000</x:v>
      </x:c>
      <x:c r="H12" s="6" t="n">
        <x:v>63000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-171000</x:v>
      </x:c>
      <x:c r="G13" s="6" t="n">
        <x:v>-72000</x:v>
      </x:c>
      <x:c r="H13" s="6" t="n">
        <x:v>76000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-171000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10000</x:v>
      </x:c>
      <x:c r="D15" s="6" t="n">
        <x:v>0</x:v>
      </x:c>
      <x:c r="E15" s="6" t="n">
        <x:f>C15-D15</x:f>
        <x:v>10000</x:v>
      </x:c>
      <x:c r="F15" s="6" t="n">
        <x:f>F14+E15</x:f>
        <x:v>-161000</x:v>
      </x:c>
      <x:c r="G15" s="6" t="n">
        <x:v>-14000</x:v>
      </x:c>
      <x:c r="H15" s="6" t="n">
        <x:v>25000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25000</x:v>
      </x:c>
      <x:c r="D16" s="6" t="n">
        <x:v>31000</x:v>
      </x:c>
      <x:c r="E16" s="6" t="n">
        <x:f>C16-D16</x:f>
        <x:v>-6000</x:v>
      </x:c>
      <x:c r="F16" s="6" t="n">
        <x:f>F15+E16</x:f>
        <x:v>-167000</x:v>
      </x:c>
      <x:c r="G16" s="6" t="n">
        <x:v>-36000</x:v>
      </x:c>
      <x:c r="H16" s="6" t="n">
        <x:v>54000</x:v>
      </x:c>
    </x:row>
    <x:row r="17" ht="25" customHeight="1">
      <x:c r="A17" s="2" t="str">
        <x:v>2026-10-06_Day</x:v>
      </x:c>
      <x:c r="B17" s="2" t="str">
        <x:v>上昇</x:v>
      </x:c>
      <x:c r="C17" s="6" t="n">
        <x:v>37000</x:v>
      </x:c>
      <x:c r="D17" s="6" t="n">
        <x:v>26000</x:v>
      </x:c>
      <x:c r="E17" s="6" t="n">
        <x:f>C17-D17</x:f>
        <x:v>11000</x:v>
      </x:c>
      <x:c r="F17" s="6" t="n">
        <x:f>F16+E17</x:f>
        <x:v>-156000</x:v>
      </x:c>
      <x:c r="G17" s="6" t="n">
        <x:v>-16000</x:v>
      </x:c>
      <x:c r="H17" s="6" t="n">
        <x:v>48000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5000</x:v>
      </x:c>
      <x:c r="D18" s="6" t="n">
        <x:v>26000</x:v>
      </x:c>
      <x:c r="E18" s="6" t="n">
        <x:f>C18-D18</x:f>
        <x:v>-21000</x:v>
      </x:c>
      <x:c r="F18" s="6" t="n">
        <x:f>F17+E18</x:f>
        <x:v>-177000</x:v>
      </x:c>
      <x:c r="G18" s="6" t="n">
        <x:v>-34000</x:v>
      </x:c>
      <x:c r="H18" s="6" t="n">
        <x:v>39000</x:v>
      </x:c>
    </x:row>
    <x:row r="19" ht="25" customHeight="1">
      <x:c r="A19" s="2" t="str">
        <x:v>2026-10-08_Day</x:v>
      </x:c>
      <x:c r="B19" s="2" t="str">
        <x:v>下落</x:v>
      </x:c>
      <x:c r="C19" s="6" t="n">
        <x:v>4000</x:v>
      </x:c>
      <x:c r="D19" s="6" t="n">
        <x:v>70000</x:v>
      </x:c>
      <x:c r="E19" s="6" t="n">
        <x:f>C19-D19</x:f>
        <x:v>-66000</x:v>
      </x:c>
      <x:c r="F19" s="6" t="n">
        <x:f>F18+E19</x:f>
        <x:v>-243000</x:v>
      </x:c>
      <x:c r="G19" s="6" t="n">
        <x:v>-81000</x:v>
      </x:c>
      <x:c r="H19" s="6" t="n">
        <x:v>91000</x:v>
      </x:c>
    </x:row>
    <x:row r="20" ht="25" customHeight="1">
      <x:c r="A20" s="2" t="str">
        <x:v>2026-10-09_Day</x:v>
      </x:c>
      <x:c r="B20" s="2" t="str">
        <x:v>上昇</x:v>
      </x:c>
      <x:c r="C20" s="6" t="n">
        <x:v>37000</x:v>
      </x:c>
      <x:c r="D20" s="6" t="n">
        <x:v>38000</x:v>
      </x:c>
      <x:c r="E20" s="6" t="n">
        <x:f>C20-D20</x:f>
        <x:v>-1000</x:v>
      </x:c>
      <x:c r="F20" s="6" t="n">
        <x:f>F19+E20</x:f>
        <x:v>-244000</x:v>
      </x:c>
      <x:c r="G20" s="6" t="n">
        <x:v>-17000</x:v>
      </x:c>
      <x:c r="H20" s="6" t="n">
        <x:v>50000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-264000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19000</x:v>
      </x:c>
      <x:c r="D22" s="6" t="n">
        <x:v>122000</x:v>
      </x:c>
      <x:c r="E22" s="6" t="n">
        <x:f>C22-D22</x:f>
        <x:v>-103000</x:v>
      </x:c>
      <x:c r="F22" s="6" t="n">
        <x:f>F21+E22</x:f>
        <x:v>-367000</x:v>
      </x:c>
      <x:c r="G22" s="6" t="n">
        <x:v>-117000</x:v>
      </x:c>
      <x:c r="H22" s="6" t="n">
        <x:v>123000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25000</x:v>
      </x:c>
      <x:c r="D23" s="6" t="n">
        <x:v>19000</x:v>
      </x:c>
      <x:c r="E23" s="6" t="n">
        <x:f>C23-D23</x:f>
        <x:v>6000</x:v>
      </x:c>
      <x:c r="F23" s="6" t="n">
        <x:f>F22+E23</x:f>
        <x:v>-361000</x:v>
      </x:c>
      <x:c r="G23" s="6" t="n">
        <x:v>-24000</x:v>
      </x:c>
      <x:c r="H23" s="6" t="n">
        <x:v>28000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17000</x:v>
      </x:c>
      <x:c r="D24" s="6" t="n">
        <x:v>0</x:v>
      </x:c>
      <x:c r="E24" s="6" t="n">
        <x:f>C24-D24</x:f>
        <x:v>17000</x:v>
      </x:c>
      <x:c r="F24" s="6" t="n">
        <x:f>F23+E24</x:f>
        <x:v>-344000</x:v>
      </x:c>
      <x:c r="G24" s="6" t="n">
        <x:v>-18000</x:v>
      </x:c>
      <x:c r="H24" s="6" t="n">
        <x:v>36000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118000</x:v>
      </x:c>
      <x:c r="D25" s="6" t="n">
        <x:v>43000</x:v>
      </x:c>
      <x:c r="E25" s="6" t="n">
        <x:f>C25-D25</x:f>
        <x:v>75000</x:v>
      </x:c>
      <x:c r="F25" s="6" t="n">
        <x:f>F24+E25</x:f>
        <x:v>-269000</x:v>
      </x:c>
      <x:c r="G25" s="6" t="n">
        <x:v>-41000</x:v>
      </x:c>
      <x:c r="H25" s="6" t="n">
        <x:v>75000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32000</x:v>
      </x:c>
      <x:c r="D26" s="6" t="n">
        <x:v>0</x:v>
      </x:c>
      <x:c r="E26" s="6" t="n">
        <x:f>C26-D26</x:f>
        <x:v>32000</x:v>
      </x:c>
      <x:c r="F26" s="6" t="n">
        <x:f>F25+E26</x:f>
        <x:v>-237000</x:v>
      </x:c>
      <x:c r="G26" s="6" t="n">
        <x:v>-8000</x:v>
      </x:c>
      <x:c r="H26" s="6" t="n">
        <x:v>32000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19000</x:v>
      </x:c>
      <x:c r="D27" s="6" t="n">
        <x:v>26000</x:v>
      </x:c>
      <x:c r="E27" s="6" t="n">
        <x:f>C27-D27</x:f>
        <x:v>-7000</x:v>
      </x:c>
      <x:c r="F27" s="6" t="n">
        <x:f>F26+E27</x:f>
        <x:v>-244000</x:v>
      </x:c>
      <x:c r="G27" s="6" t="n">
        <x:v>-24000</x:v>
      </x:c>
      <x:c r="H27" s="6" t="n">
        <x:v>46000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22000</x:v>
      </x:c>
      <x:c r="D28" s="6" t="n">
        <x:v>59000</x:v>
      </x:c>
      <x:c r="E28" s="6" t="n">
        <x:f>C28-D28</x:f>
        <x:v>-37000</x:v>
      </x:c>
      <x:c r="F28" s="6" t="n">
        <x:f>F27+E28</x:f>
        <x:v>-281000</x:v>
      </x:c>
      <x:c r="G28" s="6" t="n">
        <x:v>-88000</x:v>
      </x:c>
      <x:c r="H28" s="6" t="n">
        <x:v>101000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20000</x:v>
      </x:c>
      <x:c r="D29" s="6" t="n">
        <x:v>0</x:v>
      </x:c>
      <x:c r="E29" s="6" t="n">
        <x:f>C29-D29</x:f>
        <x:v>20000</x:v>
      </x:c>
      <x:c r="F29" s="6" t="n">
        <x:f>F28+E29</x:f>
        <x:v>-261000</x:v>
      </x:c>
      <x:c r="G29" s="6" t="n">
        <x:v>-6000</x:v>
      </x:c>
      <x:c r="H29" s="6" t="n">
        <x:v>21000</x:v>
      </x:c>
    </x:row>
    <x:row r="30" ht="25" customHeight="1">
      <x:c r="A30" s="2" t="str">
        <x:v>2026-10-23_Day</x:v>
      </x:c>
      <x:c r="B30" s="2" t="str">
        <x:v>上昇</x:v>
      </x:c>
      <x:c r="C30" s="6" t="n">
        <x:v>51000</x:v>
      </x:c>
      <x:c r="D30" s="6" t="n">
        <x:v>41000</x:v>
      </x:c>
      <x:c r="E30" s="6" t="n">
        <x:f>C30-D30</x:f>
        <x:v>10000</x:v>
      </x:c>
      <x:c r="F30" s="6" t="n">
        <x:f>F29+E30</x:f>
        <x:v>-251000</x:v>
      </x:c>
      <x:c r="G30" s="6" t="n">
        <x:v>-10000</x:v>
      </x:c>
      <x:c r="H30" s="6" t="n">
        <x:v>53000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60000</x:v>
      </x:c>
      <x:c r="E31" s="6" t="n">
        <x:f>C31-D31</x:f>
        <x:v>-55000</x:v>
      </x:c>
      <x:c r="F31" s="6" t="n">
        <x:f>F30+E31</x:f>
        <x:v>-306000</x:v>
      </x:c>
      <x:c r="G31" s="6" t="n">
        <x:v>-70000</x:v>
      </x:c>
      <x:c r="H31" s="6" t="n">
        <x:v>80000</x:v>
      </x:c>
    </x:row>
    <x:row r="32" ht="25" customHeight="1">
      <x:c r="A32" s="13" t="str">
        <x:v>累計／場内最悪値</x:v>
      </x:c>
      <x:c r="B32" s="13"/>
      <x:c r="C32" s="14" t="n">
        <x:f>SUM(C6:C31)</x:f>
        <x:v>494000</x:v>
      </x:c>
      <x:c r="D32" s="14" t="n">
        <x:f>SUM(D6:D31)</x:f>
        <x:v>800000</x:v>
      </x:c>
      <x:c r="E32" s="14" t="n">
        <x:f>C32-D32</x:f>
        <x:v>-306000</x:v>
      </x:c>
      <x:c r="F32" s="14" t="n">
        <x:f>F31</x:f>
        <x:v>-306000</x:v>
      </x:c>
      <x:c r="G32" s="14" t="n">
        <x:f>MIN(G6:G31)</x:f>
        <x:v>-117000</x:v>
      </x:c>
      <x:c r="H32" s="14" t="n">
        <x:f>MAX(H6:H31)</x:f>
        <x:v>123000</x:v>
      </x:c>
    </x:row>
  </x:sheetData>
  <x:conditionalFormatting sqref="E6:F31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943938bde64de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F13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玉別80pt追尾・起動含み正・元再参加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-32000</x:v>
      </x:c>
      <x:c r="G9" s="6" t="n">
        <x:v>-31000</x:v>
      </x:c>
      <x:c r="H9" s="6" t="n">
        <x:v>43000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-46000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40000</x:v>
      </x:c>
      <x:c r="E11" s="6" t="n">
        <x:f>C11-D11</x:f>
        <x:v>-36000</x:v>
      </x:c>
      <x:c r="F11" s="6" t="n">
        <x:f>F10+E11</x:f>
        <x:v>-82000</x:v>
      </x:c>
      <x:c r="G11" s="6" t="n">
        <x:v>-40000</x:v>
      </x:c>
      <x:c r="H11" s="6" t="n">
        <x:v>46000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2000</x:v>
      </x:c>
      <x:c r="D12" s="6" t="n">
        <x:v>57000</x:v>
      </x:c>
      <x:c r="E12" s="6" t="n">
        <x:f>C12-D12</x:f>
        <x:v>-55000</x:v>
      </x:c>
      <x:c r="F12" s="6" t="n">
        <x:f>F11+E12</x:f>
        <x:v>-137000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-192000</x:v>
      </x:c>
      <x:c r="G13" s="6" t="n">
        <x:v>-69000</x:v>
      </x:c>
      <x:c r="H13" s="6" t="n">
        <x:v>72000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-190000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11000</x:v>
      </x:c>
      <x:c r="D15" s="6" t="n">
        <x:v>0</x:v>
      </x:c>
      <x:c r="E15" s="6" t="n">
        <x:f>C15-D15</x:f>
        <x:v>11000</x:v>
      </x:c>
      <x:c r="F15" s="6" t="n">
        <x:f>F14+E15</x:f>
        <x:v>-179000</x:v>
      </x:c>
      <x:c r="G15" s="6" t="n">
        <x:v>-14000</x:v>
      </x:c>
      <x:c r="H15" s="6" t="n">
        <x:v>21000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-200000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28000</x:v>
      </x:c>
      <x:c r="E17" s="6" t="n">
        <x:f>C17-D17</x:f>
        <x:v>-28000</x:v>
      </x:c>
      <x:c r="F17" s="6" t="n">
        <x:f>F16+E17</x:f>
        <x:v>-228000</x:v>
      </x:c>
      <x:c r="G17" s="6" t="n">
        <x:v>-34000</x:v>
      </x:c>
      <x:c r="H17" s="6" t="n">
        <x:v>43000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-251000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-321000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22000</x:v>
      </x:c>
      <x:c r="D20" s="6" t="n">
        <x:v>38000</x:v>
      </x:c>
      <x:c r="E20" s="6" t="n">
        <x:f>C20-D20</x:f>
        <x:v>-16000</x:v>
      </x:c>
      <x:c r="F20" s="6" t="n">
        <x:f>F19+E20</x:f>
        <x:v>-337000</x:v>
      </x:c>
      <x:c r="G20" s="6" t="n">
        <x:v>-20000</x:v>
      </x:c>
      <x:c r="H20" s="6" t="n">
        <x:v>47000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-357000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104000</x:v>
      </x:c>
      <x:c r="E22" s="6" t="n">
        <x:f>C22-D22</x:f>
        <x:v>-104000</x:v>
      </x:c>
      <x:c r="F22" s="6" t="n">
        <x:f>F21+E22</x:f>
        <x:v>-461000</x:v>
      </x:c>
      <x:c r="G22" s="6" t="n">
        <x:v>-108000</x:v>
      </x:c>
      <x:c r="H22" s="6" t="n">
        <x:v>110000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153000</x:v>
      </x:c>
      <x:c r="D23" s="6" t="n">
        <x:v>0</x:v>
      </x:c>
      <x:c r="E23" s="6" t="n">
        <x:f>C23-D23</x:f>
        <x:v>153000</x:v>
      </x:c>
      <x:c r="F23" s="6" t="n">
        <x:f>F22+E23</x:f>
        <x:v>-308000</x:v>
      </x:c>
      <x:c r="G23" s="6" t="n">
        <x:v>-20000</x:v>
      </x:c>
      <x:c r="H23" s="6" t="n">
        <x:v>35000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</x:v>
      </x:c>
      <x:c r="D24" s="6" t="n">
        <x:v>0</x:v>
      </x:c>
      <x:c r="E24" s="6" t="n">
        <x:f>C24-D24</x:f>
        <x:v>9000</x:v>
      </x:c>
      <x:c r="F24" s="6" t="n">
        <x:f>F23+E24</x:f>
        <x:v>-299000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26000</x:v>
      </x:c>
      <x:c r="D25" s="6" t="n">
        <x:v>15000</x:v>
      </x:c>
      <x:c r="E25" s="6" t="n">
        <x:f>C25-D25</x:f>
        <x:v>11000</x:v>
      </x:c>
      <x:c r="F25" s="6" t="n">
        <x:f>F24+E25</x:f>
        <x:v>-288000</x:v>
      </x:c>
      <x:c r="G25" s="6" t="n">
        <x:v>-14000</x:v>
      </x:c>
      <x:c r="H25" s="6" t="n">
        <x:v>56000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-285000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</x:v>
      </x:c>
      <x:c r="D27" s="6" t="n">
        <x:v>26000</x:v>
      </x:c>
      <x:c r="E27" s="6" t="n">
        <x:f>C27-D27</x:f>
        <x:v>-14000</x:v>
      </x:c>
      <x:c r="F27" s="6" t="n">
        <x:f>F26+E27</x:f>
        <x:v>-299000</x:v>
      </x:c>
      <x:c r="G27" s="6" t="n">
        <x:v>-24000</x:v>
      </x:c>
      <x:c r="H27" s="6" t="n">
        <x:v>49000</x:v>
      </x:c>
    </x:row>
    <x:row r="28" ht="25" customHeight="1">
      <x:c r="A28" s="2" t="str">
        <x:v>2026-10-21_Day</x:v>
      </x:c>
      <x:c r="B28" s="2" t="str">
        <x:v>下落</x:v>
      </x:c>
      <x:c r="C28" s="6" t="n">
        <x:v>7000</x:v>
      </x:c>
      <x:c r="D28" s="6" t="n">
        <x:v>25000</x:v>
      </x:c>
      <x:c r="E28" s="6" t="n">
        <x:f>C28-D28</x:f>
        <x:v>-18000</x:v>
      </x:c>
      <x:c r="F28" s="6" t="n">
        <x:f>F27+E28</x:f>
        <x:v>-317000</x:v>
      </x:c>
      <x:c r="G28" s="6" t="n">
        <x:v>-43000</x:v>
      </x:c>
      <x:c r="H28" s="6" t="n">
        <x:v>56000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-317000</x:v>
      </x:c>
      <x:c r="G29" s="6" t="n">
        <x:v>-15000</x:v>
      </x:c>
      <x:c r="H29" s="6" t="n">
        <x:v>20000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-312000</x:v>
      </x:c>
      <x:c r="G30" s="6" t="n">
        <x:v>-32000</x:v>
      </x:c>
      <x:c r="H30" s="6" t="n">
        <x:v>55000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-307000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296000</x:v>
      </x:c>
      <x:c r="D32" s="14" t="n">
        <x:f>SUM(D6:D31)</x:f>
        <x:v>603000</x:v>
      </x:c>
      <x:c r="E32" s="14" t="n">
        <x:f>C32-D32</x:f>
        <x:v>-307000</x:v>
      </x:c>
      <x:c r="F32" s="14" t="n">
        <x:f>F31</x:f>
        <x:v>-307000</x:v>
      </x:c>
      <x:c r="G32" s="14" t="n">
        <x:f>MIN(G6:G31)</x:f>
        <x:v>-108000</x:v>
      </x:c>
      <x:c r="H32" s="14" t="n">
        <x:f>MAX(H6:H31)</x:f>
        <x:v>110000</x:v>
      </x:c>
    </x:row>
  </x:sheetData>
  <x:conditionalFormatting sqref="E6:F31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8786977f77487d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F14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玉別80pt追尾・起動含み正・基準S01親占有制限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-32000</x:v>
      </x:c>
      <x:c r="G9" s="6" t="n">
        <x:v>-31000</x:v>
      </x:c>
      <x:c r="H9" s="6" t="n">
        <x:v>43000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-46000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40000</x:v>
      </x:c>
      <x:c r="E11" s="6" t="n">
        <x:f>C11-D11</x:f>
        <x:v>-36000</x:v>
      </x:c>
      <x:c r="F11" s="6" t="n">
        <x:f>F10+E11</x:f>
        <x:v>-82000</x:v>
      </x:c>
      <x:c r="G11" s="6" t="n">
        <x:v>-40000</x:v>
      </x:c>
      <x:c r="H11" s="6" t="n">
        <x:v>46000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2000</x:v>
      </x:c>
      <x:c r="D12" s="6" t="n">
        <x:v>57000</x:v>
      </x:c>
      <x:c r="E12" s="6" t="n">
        <x:f>C12-D12</x:f>
        <x:v>-55000</x:v>
      </x:c>
      <x:c r="F12" s="6" t="n">
        <x:f>F11+E12</x:f>
        <x:v>-137000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-192000</x:v>
      </x:c>
      <x:c r="G13" s="6" t="n">
        <x:v>-69000</x:v>
      </x:c>
      <x:c r="H13" s="6" t="n">
        <x:v>72000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-190000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11000</x:v>
      </x:c>
      <x:c r="D15" s="6" t="n">
        <x:v>0</x:v>
      </x:c>
      <x:c r="E15" s="6" t="n">
        <x:f>C15-D15</x:f>
        <x:v>11000</x:v>
      </x:c>
      <x:c r="F15" s="6" t="n">
        <x:f>F14+E15</x:f>
        <x:v>-179000</x:v>
      </x:c>
      <x:c r="G15" s="6" t="n">
        <x:v>-14000</x:v>
      </x:c>
      <x:c r="H15" s="6" t="n">
        <x:v>21000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-200000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28000</x:v>
      </x:c>
      <x:c r="E17" s="6" t="n">
        <x:f>C17-D17</x:f>
        <x:v>-28000</x:v>
      </x:c>
      <x:c r="F17" s="6" t="n">
        <x:f>F16+E17</x:f>
        <x:v>-228000</x:v>
      </x:c>
      <x:c r="G17" s="6" t="n">
        <x:v>-34000</x:v>
      </x:c>
      <x:c r="H17" s="6" t="n">
        <x:v>43000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-251000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-321000</x:v>
      </x:c>
      <x:c r="G19" s="6" t="n">
        <x:v>-85000</x:v>
      </x:c>
      <x:c r="H19" s="6" t="n">
        <x:v>90000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22000</x:v>
      </x:c>
      <x:c r="D20" s="6" t="n">
        <x:v>38000</x:v>
      </x:c>
      <x:c r="E20" s="6" t="n">
        <x:f>C20-D20</x:f>
        <x:v>-16000</x:v>
      </x:c>
      <x:c r="F20" s="6" t="n">
        <x:f>F19+E20</x:f>
        <x:v>-337000</x:v>
      </x:c>
      <x:c r="G20" s="6" t="n">
        <x:v>-20000</x:v>
      </x:c>
      <x:c r="H20" s="6" t="n">
        <x:v>47000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-357000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104000</x:v>
      </x:c>
      <x:c r="E22" s="6" t="n">
        <x:f>C22-D22</x:f>
        <x:v>-104000</x:v>
      </x:c>
      <x:c r="F22" s="6" t="n">
        <x:f>F21+E22</x:f>
        <x:v>-461000</x:v>
      </x:c>
      <x:c r="G22" s="6" t="n">
        <x:v>-108000</x:v>
      </x:c>
      <x:c r="H22" s="6" t="n">
        <x:v>110000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153000</x:v>
      </x:c>
      <x:c r="D23" s="6" t="n">
        <x:v>0</x:v>
      </x:c>
      <x:c r="E23" s="6" t="n">
        <x:f>C23-D23</x:f>
        <x:v>153000</x:v>
      </x:c>
      <x:c r="F23" s="6" t="n">
        <x:f>F22+E23</x:f>
        <x:v>-308000</x:v>
      </x:c>
      <x:c r="G23" s="6" t="n">
        <x:v>-20000</x:v>
      </x:c>
      <x:c r="H23" s="6" t="n">
        <x:v>35000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</x:v>
      </x:c>
      <x:c r="D24" s="6" t="n">
        <x:v>0</x:v>
      </x:c>
      <x:c r="E24" s="6" t="n">
        <x:f>C24-D24</x:f>
        <x:v>9000</x:v>
      </x:c>
      <x:c r="F24" s="6" t="n">
        <x:f>F23+E24</x:f>
        <x:v>-299000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26000</x:v>
      </x:c>
      <x:c r="D25" s="6" t="n">
        <x:v>15000</x:v>
      </x:c>
      <x:c r="E25" s="6" t="n">
        <x:f>C25-D25</x:f>
        <x:v>11000</x:v>
      </x:c>
      <x:c r="F25" s="6" t="n">
        <x:f>F24+E25</x:f>
        <x:v>-288000</x:v>
      </x:c>
      <x:c r="G25" s="6" t="n">
        <x:v>-14000</x:v>
      </x:c>
      <x:c r="H25" s="6" t="n">
        <x:v>56000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-285000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</x:v>
      </x:c>
      <x:c r="D27" s="6" t="n">
        <x:v>26000</x:v>
      </x:c>
      <x:c r="E27" s="6" t="n">
        <x:f>C27-D27</x:f>
        <x:v>-14000</x:v>
      </x:c>
      <x:c r="F27" s="6" t="n">
        <x:f>F26+E27</x:f>
        <x:v>-299000</x:v>
      </x:c>
      <x:c r="G27" s="6" t="n">
        <x:v>-24000</x:v>
      </x:c>
      <x:c r="H27" s="6" t="n">
        <x:v>49000</x:v>
      </x:c>
    </x:row>
    <x:row r="28" ht="25" customHeight="1">
      <x:c r="A28" s="2" t="str">
        <x:v>2026-10-21_Day</x:v>
      </x:c>
      <x:c r="B28" s="2" t="str">
        <x:v>下落</x:v>
      </x:c>
      <x:c r="C28" s="6" t="n">
        <x:v>7000</x:v>
      </x:c>
      <x:c r="D28" s="6" t="n">
        <x:v>25000</x:v>
      </x:c>
      <x:c r="E28" s="6" t="n">
        <x:f>C28-D28</x:f>
        <x:v>-18000</x:v>
      </x:c>
      <x:c r="F28" s="6" t="n">
        <x:f>F27+E28</x:f>
        <x:v>-317000</x:v>
      </x:c>
      <x:c r="G28" s="6" t="n">
        <x:v>-43000</x:v>
      </x:c>
      <x:c r="H28" s="6" t="n">
        <x:v>56000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-317000</x:v>
      </x:c>
      <x:c r="G29" s="6" t="n">
        <x:v>-15000</x:v>
      </x:c>
      <x:c r="H29" s="6" t="n">
        <x:v>20000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-312000</x:v>
      </x:c>
      <x:c r="G30" s="6" t="n">
        <x:v>-32000</x:v>
      </x:c>
      <x:c r="H30" s="6" t="n">
        <x:v>55000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-307000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296000</x:v>
      </x:c>
      <x:c r="D32" s="14" t="n">
        <x:f>SUM(D6:D31)</x:f>
        <x:v>603000</x:v>
      </x:c>
      <x:c r="E32" s="14" t="n">
        <x:f>C32-D32</x:f>
        <x:v>-307000</x:v>
      </x:c>
      <x:c r="F32" s="14" t="n">
        <x:f>F31</x:f>
        <x:v>-307000</x:v>
      </x:c>
      <x:c r="G32" s="14" t="n">
        <x:f>MIN(G6:G31)</x:f>
        <x:v>-108000</x:v>
      </x:c>
      <x:c r="H32" s="14" t="n">
        <x:f>MAX(H6:H31)</x:f>
        <x:v>110000</x:v>
      </x:c>
    </x:row>
  </x:sheetData>
  <x:conditionalFormatting sqref="E6:F31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dce66a18cc4d59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F15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玉別80pt追尾・起動20pt・元再参加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9000</x:v>
      </x:c>
      <x:c r="D6" s="6" t="n">
        <x:v>0</x:v>
      </x:c>
      <x:c r="E6" s="6" t="n">
        <x:f>C6-D6</x:f>
        <x:v>9000</x:v>
      </x:c>
      <x:c r="F6" s="6" t="n">
        <x:f>E6</x:f>
        <x:v>9000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-21000</x:v>
      </x:c>
      <x:c r="G7" s="6" t="n">
        <x:v>-30000</x:v>
      </x:c>
      <x:c r="H7" s="6" t="n">
        <x:v>40000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-21000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8000</x:v>
      </x:c>
      <x:c r="D9" s="6" t="n">
        <x:v>4000</x:v>
      </x:c>
      <x:c r="E9" s="6" t="n">
        <x:f>C9-D9</x:f>
        <x:v>4000</x:v>
      </x:c>
      <x:c r="F9" s="6" t="n">
        <x:f>F8+E9</x:f>
        <x:v>-17000</x:v>
      </x:c>
      <x:c r="G9" s="6" t="n">
        <x:v>-30000</x:v>
      </x:c>
      <x:c r="H9" s="6" t="n">
        <x:v>42000</x:v>
      </x:c>
    </x:row>
    <x:row r="10" ht="25" customHeight="1">
      <x:c r="A10" s="2" t="str">
        <x:v>2026-09-25_Day</x:v>
      </x:c>
      <x:c r="B10" s="2" t="str">
        <x:v>上昇</x:v>
      </x:c>
      <x:c r="C10" s="6" t="n">
        <x:v>8000</x:v>
      </x:c>
      <x:c r="D10" s="6" t="n">
        <x:v>16000</x:v>
      </x:c>
      <x:c r="E10" s="6" t="n">
        <x:f>C10-D10</x:f>
        <x:v>-8000</x:v>
      </x:c>
      <x:c r="F10" s="6" t="n">
        <x:f>F9+E10</x:f>
        <x:v>-25000</x:v>
      </x:c>
      <x:c r="G10" s="6" t="n">
        <x:v>-42000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2000</x:v>
      </x:c>
      <x:c r="D11" s="6" t="n">
        <x:v>58000</x:v>
      </x:c>
      <x:c r="E11" s="6" t="n">
        <x:f>C11-D11</x:f>
        <x:v>-56000</x:v>
      </x:c>
      <x:c r="F11" s="6" t="n">
        <x:f>F10+E11</x:f>
        <x:v>-81000</x:v>
      </x:c>
      <x:c r="G11" s="6" t="n">
        <x:v>-60000</x:v>
      </x:c>
      <x:c r="H11" s="6" t="n">
        <x:v>66000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13000</x:v>
      </x:c>
      <x:c r="D12" s="6" t="n">
        <x:v>47000</x:v>
      </x:c>
      <x:c r="E12" s="6" t="n">
        <x:f>C12-D12</x:f>
        <x:v>-34000</x:v>
      </x:c>
      <x:c r="F12" s="6" t="n">
        <x:f>F11+E12</x:f>
        <x:v>-115000</x:v>
      </x:c>
      <x:c r="G12" s="6" t="n">
        <x:v>-59000</x:v>
      </x:c>
      <x:c r="H12" s="6" t="n">
        <x:v>63000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-170000</x:v>
      </x:c>
      <x:c r="G13" s="6" t="n">
        <x:v>-72000</x:v>
      </x:c>
      <x:c r="H13" s="6" t="n">
        <x:v>76000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-170000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5000</x:v>
      </x:c>
      <x:c r="D15" s="6" t="n">
        <x:v>0</x:v>
      </x:c>
      <x:c r="E15" s="6" t="n">
        <x:f>C15-D15</x:f>
        <x:v>5000</x:v>
      </x:c>
      <x:c r="F15" s="6" t="n">
        <x:f>F14+E15</x:f>
        <x:v>-165000</x:v>
      </x:c>
      <x:c r="G15" s="6" t="n">
        <x:v>-14000</x:v>
      </x:c>
      <x:c r="H15" s="6" t="n">
        <x:v>25000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-186000</x:v>
      </x:c>
      <x:c r="G16" s="6" t="n">
        <x:v>-51000</x:v>
      </x:c>
      <x:c r="H16" s="6" t="n">
        <x:v>65000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105000</x:v>
      </x:c>
      <x:c r="D17" s="6" t="n">
        <x:v>26000</x:v>
      </x:c>
      <x:c r="E17" s="6" t="n">
        <x:f>C17-D17</x:f>
        <x:v>79000</x:v>
      </x:c>
      <x:c r="F17" s="6" t="n">
        <x:f>F16+E17</x:f>
        <x:v>-107000</x:v>
      </x:c>
      <x:c r="G17" s="6" t="n">
        <x:v>-16000</x:v>
      </x:c>
      <x:c r="H17" s="6" t="n">
        <x:v>48000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5000</x:v>
      </x:c>
      <x:c r="D18" s="6" t="n">
        <x:v>26000</x:v>
      </x:c>
      <x:c r="E18" s="6" t="n">
        <x:f>C18-D18</x:f>
        <x:v>-21000</x:v>
      </x:c>
      <x:c r="F18" s="6" t="n">
        <x:f>F17+E18</x:f>
        <x:v>-128000</x:v>
      </x:c>
      <x:c r="G18" s="6" t="n">
        <x:v>-34000</x:v>
      </x:c>
      <x:c r="H18" s="6" t="n">
        <x:v>39000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-198000</x:v>
      </x:c>
      <x:c r="G19" s="6" t="n">
        <x:v>-85000</x:v>
      </x:c>
      <x:c r="H19" s="6" t="n">
        <x:v>95000</x:v>
      </x:c>
    </x:row>
    <x:row r="20" ht="25" customHeight="1">
      <x:c r="A20" s="2" t="str">
        <x:v>2026-10-09_Day</x:v>
      </x:c>
      <x:c r="B20" s="2" t="str">
        <x:v>上昇</x:v>
      </x:c>
      <x:c r="C20" s="6" t="n">
        <x:v>44000</x:v>
      </x:c>
      <x:c r="D20" s="6" t="n">
        <x:v>38000</x:v>
      </x:c>
      <x:c r="E20" s="6" t="n">
        <x:f>C20-D20</x:f>
        <x:v>6000</x:v>
      </x:c>
      <x:c r="F20" s="6" t="n">
        <x:f>F19+E20</x:f>
        <x:v>-192000</x:v>
      </x:c>
      <x:c r="G20" s="6" t="n">
        <x:v>-16000</x:v>
      </x:c>
      <x:c r="H20" s="6" t="n">
        <x:v>58000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-212000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9000</x:v>
      </x:c>
      <x:c r="D22" s="6" t="n">
        <x:v>122000</x:v>
      </x:c>
      <x:c r="E22" s="6" t="n">
        <x:f>C22-D22</x:f>
        <x:v>-113000</x:v>
      </x:c>
      <x:c r="F22" s="6" t="n">
        <x:f>F21+E22</x:f>
        <x:v>-325000</x:v>
      </x:c>
      <x:c r="G22" s="6" t="n">
        <x:v>-117000</x:v>
      </x:c>
      <x:c r="H22" s="6" t="n">
        <x:v>123000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152000</x:v>
      </x:c>
      <x:c r="D23" s="6" t="n">
        <x:v>19000</x:v>
      </x:c>
      <x:c r="E23" s="6" t="n">
        <x:f>C23-D23</x:f>
        <x:v>133000</x:v>
      </x:c>
      <x:c r="F23" s="6" t="n">
        <x:f>F22+E23</x:f>
        <x:v>-192000</x:v>
      </x:c>
      <x:c r="G23" s="6" t="n">
        <x:v>-24000</x:v>
      </x:c>
      <x:c r="H23" s="6" t="n">
        <x:v>35000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2000</x:v>
      </x:c>
      <x:c r="D24" s="6" t="n">
        <x:v>0</x:v>
      </x:c>
      <x:c r="E24" s="6" t="n">
        <x:f>C24-D24</x:f>
        <x:v>2000</x:v>
      </x:c>
      <x:c r="F24" s="6" t="n">
        <x:f>F23+E24</x:f>
        <x:v>-190000</x:v>
      </x:c>
      <x:c r="G24" s="6" t="n">
        <x:v>-18000</x:v>
      </x:c>
      <x:c r="H24" s="6" t="n">
        <x:v>51000</x:v>
      </x:c>
    </x:row>
    <x:row r="25" ht="25" customHeight="1">
      <x:c r="A25" s="2" t="str">
        <x:v>2026-10-16_Day</x:v>
      </x:c>
      <x:c r="B25" s="2" t="str">
        <x:v>上昇</x:v>
      </x:c>
      <x:c r="C25" s="6" t="n">
        <x:v>91000</x:v>
      </x:c>
      <x:c r="D25" s="6" t="n">
        <x:v>45000</x:v>
      </x:c>
      <x:c r="E25" s="6" t="n">
        <x:f>C25-D25</x:f>
        <x:v>46000</x:v>
      </x:c>
      <x:c r="F25" s="6" t="n">
        <x:f>F24+E25</x:f>
        <x:v>-144000</x:v>
      </x:c>
      <x:c r="G25" s="6" t="n">
        <x:v>-41000</x:v>
      </x:c>
      <x:c r="H25" s="6" t="n">
        <x:v>78000</x:v>
      </x:c>
    </x:row>
    <x:row r="26" ht="25" customHeight="1">
      <x:c r="A26" s="2" t="str">
        <x:v>2026-10-19_Day</x:v>
      </x:c>
      <x:c r="B26" s="2" t="str">
        <x:v>上昇</x:v>
      </x:c>
      <x:c r="C26" s="6" t="n">
        <x:v>41000</x:v>
      </x:c>
      <x:c r="D26" s="6" t="n">
        <x:v>0</x:v>
      </x:c>
      <x:c r="E26" s="6" t="n">
        <x:f>C26-D26</x:f>
        <x:v>41000</x:v>
      </x:c>
      <x:c r="F26" s="6" t="n">
        <x:f>F25+E26</x:f>
        <x:v>-103000</x:v>
      </x:c>
      <x:c r="G26" s="6" t="n">
        <x:v>-8000</x:v>
      </x:c>
      <x:c r="H26" s="6" t="n">
        <x:v>41000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14000</x:v>
      </x:c>
      <x:c r="D27" s="6" t="n">
        <x:v>26000</x:v>
      </x:c>
      <x:c r="E27" s="6" t="n">
        <x:f>C27-D27</x:f>
        <x:v>-12000</x:v>
      </x:c>
      <x:c r="F27" s="6" t="n">
        <x:f>F26+E27</x:f>
        <x:v>-115000</x:v>
      </x:c>
      <x:c r="G27" s="6" t="n">
        <x:v>-24000</x:v>
      </x:c>
      <x:c r="H27" s="6" t="n">
        <x:v>47000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18000</x:v>
      </x:c>
      <x:c r="D28" s="6" t="n">
        <x:v>59000</x:v>
      </x:c>
      <x:c r="E28" s="6" t="n">
        <x:f>C28-D28</x:f>
        <x:v>-41000</x:v>
      </x:c>
      <x:c r="F28" s="6" t="n">
        <x:f>F27+E28</x:f>
        <x:v>-156000</x:v>
      </x:c>
      <x:c r="G28" s="6" t="n">
        <x:v>-92000</x:v>
      </x:c>
      <x:c r="H28" s="6" t="n">
        <x:v>105000</x:v>
      </x:c>
    </x:row>
    <x:row r="29" ht="25" customHeight="1">
      <x:c r="A29" s="2" t="str">
        <x:v>2026-10-22_Day</x:v>
      </x:c>
      <x:c r="B29" s="2" t="str">
        <x:v>下落</x:v>
      </x:c>
      <x:c r="C29" s="6" t="n">
        <x:v>52000</x:v>
      </x:c>
      <x:c r="D29" s="6" t="n">
        <x:v>0</x:v>
      </x:c>
      <x:c r="E29" s="6" t="n">
        <x:f>C29-D29</x:f>
        <x:v>52000</x:v>
      </x:c>
      <x:c r="F29" s="6" t="n">
        <x:f>F28+E29</x:f>
        <x:v>-104000</x:v>
      </x:c>
      <x:c r="G29" s="6" t="n">
        <x:v>-6000</x:v>
      </x:c>
      <x:c r="H29" s="6" t="n">
        <x:v>23000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34000</x:v>
      </x:c>
      <x:c r="D30" s="6" t="n">
        <x:v>41000</x:v>
      </x:c>
      <x:c r="E30" s="6" t="n">
        <x:f>C30-D30</x:f>
        <x:v>-7000</x:v>
      </x:c>
      <x:c r="F30" s="6" t="n">
        <x:f>F29+E30</x:f>
        <x:v>-111000</x:v>
      </x:c>
      <x:c r="G30" s="6" t="n">
        <x:v>-24000</x:v>
      </x:c>
      <x:c r="H30" s="6" t="n">
        <x:v>55000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60000</x:v>
      </x:c>
      <x:c r="E31" s="6" t="n">
        <x:f>C31-D31</x:f>
        <x:v>-60000</x:v>
      </x:c>
      <x:c r="F31" s="6" t="n">
        <x:f>F30+E31</x:f>
        <x:v>-171000</x:v>
      </x:c>
      <x:c r="G31" s="6" t="n">
        <x:v>-70000</x:v>
      </x:c>
      <x:c r="H31" s="6" t="n">
        <x:v>85000</x:v>
      </x:c>
    </x:row>
    <x:row r="32" ht="25" customHeight="1">
      <x:c r="A32" s="13" t="str">
        <x:v>累計／場内最悪値</x:v>
      </x:c>
      <x:c r="B32" s="13"/>
      <x:c r="C32" s="14" t="n">
        <x:f>SUM(C6:C31)</x:f>
        <x:v>627000</x:v>
      </x:c>
      <x:c r="D32" s="14" t="n">
        <x:f>SUM(D6:D31)</x:f>
        <x:v>798000</x:v>
      </x:c>
      <x:c r="E32" s="14" t="n">
        <x:f>C32-D32</x:f>
        <x:v>-171000</x:v>
      </x:c>
      <x:c r="F32" s="14" t="n">
        <x:f>F31</x:f>
        <x:v>-171000</x:v>
      </x:c>
      <x:c r="G32" s="14" t="n">
        <x:f>MIN(G6:G31)</x:f>
        <x:v>-117000</x:v>
      </x:c>
      <x:c r="H32" s="14" t="n">
        <x:f>MAX(H6:H31)</x:f>
        <x:v>123000</x:v>
      </x:c>
    </x:row>
  </x:sheetData>
  <x:conditionalFormatting sqref="E6:F31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2946e147374d7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F16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玉別80pt追尾・起動20pt・基準S01親占有制限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9000</x:v>
      </x:c>
      <x:c r="D6" s="6" t="n">
        <x:v>0</x:v>
      </x:c>
      <x:c r="E6" s="6" t="n">
        <x:f>C6-D6</x:f>
        <x:v>9000</x:v>
      </x:c>
      <x:c r="F6" s="6" t="n">
        <x:f>E6</x:f>
        <x:v>9000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-21000</x:v>
      </x:c>
      <x:c r="G7" s="6" t="n">
        <x:v>-30000</x:v>
      </x:c>
      <x:c r="H7" s="6" t="n">
        <x:v>40000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-21000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8000</x:v>
      </x:c>
      <x:c r="D9" s="6" t="n">
        <x:v>4000</x:v>
      </x:c>
      <x:c r="E9" s="6" t="n">
        <x:f>C9-D9</x:f>
        <x:v>4000</x:v>
      </x:c>
      <x:c r="F9" s="6" t="n">
        <x:f>F8+E9</x:f>
        <x:v>-17000</x:v>
      </x:c>
      <x:c r="G9" s="6" t="n">
        <x:v>-30000</x:v>
      </x:c>
      <x:c r="H9" s="6" t="n">
        <x:v>42000</x:v>
      </x:c>
    </x:row>
    <x:row r="10" ht="25" customHeight="1">
      <x:c r="A10" s="2" t="str">
        <x:v>2026-09-25_Day</x:v>
      </x:c>
      <x:c r="B10" s="2" t="str">
        <x:v>上昇</x:v>
      </x:c>
      <x:c r="C10" s="6" t="n">
        <x:v>8000</x:v>
      </x:c>
      <x:c r="D10" s="6" t="n">
        <x:v>16000</x:v>
      </x:c>
      <x:c r="E10" s="6" t="n">
        <x:f>C10-D10</x:f>
        <x:v>-8000</x:v>
      </x:c>
      <x:c r="F10" s="6" t="n">
        <x:f>F9+E10</x:f>
        <x:v>-25000</x:v>
      </x:c>
      <x:c r="G10" s="6" t="n">
        <x:v>-42000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2000</x:v>
      </x:c>
      <x:c r="D11" s="6" t="n">
        <x:v>58000</x:v>
      </x:c>
      <x:c r="E11" s="6" t="n">
        <x:f>C11-D11</x:f>
        <x:v>-56000</x:v>
      </x:c>
      <x:c r="F11" s="6" t="n">
        <x:f>F10+E11</x:f>
        <x:v>-81000</x:v>
      </x:c>
      <x:c r="G11" s="6" t="n">
        <x:v>-60000</x:v>
      </x:c>
      <x:c r="H11" s="6" t="n">
        <x:v>66000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13000</x:v>
      </x:c>
      <x:c r="D12" s="6" t="n">
        <x:v>47000</x:v>
      </x:c>
      <x:c r="E12" s="6" t="n">
        <x:f>C12-D12</x:f>
        <x:v>-34000</x:v>
      </x:c>
      <x:c r="F12" s="6" t="n">
        <x:f>F11+E12</x:f>
        <x:v>-115000</x:v>
      </x:c>
      <x:c r="G12" s="6" t="n">
        <x:v>-59000</x:v>
      </x:c>
      <x:c r="H12" s="6" t="n">
        <x:v>63000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-170000</x:v>
      </x:c>
      <x:c r="G13" s="6" t="n">
        <x:v>-72000</x:v>
      </x:c>
      <x:c r="H13" s="6" t="n">
        <x:v>76000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-170000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5000</x:v>
      </x:c>
      <x:c r="D15" s="6" t="n">
        <x:v>0</x:v>
      </x:c>
      <x:c r="E15" s="6" t="n">
        <x:f>C15-D15</x:f>
        <x:v>5000</x:v>
      </x:c>
      <x:c r="F15" s="6" t="n">
        <x:f>F14+E15</x:f>
        <x:v>-165000</x:v>
      </x:c>
      <x:c r="G15" s="6" t="n">
        <x:v>-14000</x:v>
      </x:c>
      <x:c r="H15" s="6" t="n">
        <x:v>25000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-186000</x:v>
      </x:c>
      <x:c r="G16" s="6" t="n">
        <x:v>-51000</x:v>
      </x:c>
      <x:c r="H16" s="6" t="n">
        <x:v>65000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105000</x:v>
      </x:c>
      <x:c r="D17" s="6" t="n">
        <x:v>26000</x:v>
      </x:c>
      <x:c r="E17" s="6" t="n">
        <x:f>C17-D17</x:f>
        <x:v>79000</x:v>
      </x:c>
      <x:c r="F17" s="6" t="n">
        <x:f>F16+E17</x:f>
        <x:v>-107000</x:v>
      </x:c>
      <x:c r="G17" s="6" t="n">
        <x:v>-16000</x:v>
      </x:c>
      <x:c r="H17" s="6" t="n">
        <x:v>48000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5000</x:v>
      </x:c>
      <x:c r="D18" s="6" t="n">
        <x:v>26000</x:v>
      </x:c>
      <x:c r="E18" s="6" t="n">
        <x:f>C18-D18</x:f>
        <x:v>-21000</x:v>
      </x:c>
      <x:c r="F18" s="6" t="n">
        <x:f>F17+E18</x:f>
        <x:v>-128000</x:v>
      </x:c>
      <x:c r="G18" s="6" t="n">
        <x:v>-34000</x:v>
      </x:c>
      <x:c r="H18" s="6" t="n">
        <x:v>39000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70000</x:v>
      </x:c>
      <x:c r="E19" s="6" t="n">
        <x:f>C19-D19</x:f>
        <x:v>-70000</x:v>
      </x:c>
      <x:c r="F19" s="6" t="n">
        <x:f>F18+E19</x:f>
        <x:v>-198000</x:v>
      </x:c>
      <x:c r="G19" s="6" t="n">
        <x:v>-85000</x:v>
      </x:c>
      <x:c r="H19" s="6" t="n">
        <x:v>95000</x:v>
      </x:c>
    </x:row>
    <x:row r="20" ht="25" customHeight="1">
      <x:c r="A20" s="2" t="str">
        <x:v>2026-10-09_Day</x:v>
      </x:c>
      <x:c r="B20" s="2" t="str">
        <x:v>上昇</x:v>
      </x:c>
      <x:c r="C20" s="6" t="n">
        <x:v>44000</x:v>
      </x:c>
      <x:c r="D20" s="6" t="n">
        <x:v>38000</x:v>
      </x:c>
      <x:c r="E20" s="6" t="n">
        <x:f>C20-D20</x:f>
        <x:v>6000</x:v>
      </x:c>
      <x:c r="F20" s="6" t="n">
        <x:f>F19+E20</x:f>
        <x:v>-192000</x:v>
      </x:c>
      <x:c r="G20" s="6" t="n">
        <x:v>-16000</x:v>
      </x:c>
      <x:c r="H20" s="6" t="n">
        <x:v>58000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25000</x:v>
      </x:c>
      <x:c r="E21" s="6" t="n">
        <x:f>C21-D21</x:f>
        <x:v>-20000</x:v>
      </x:c>
      <x:c r="F21" s="6" t="n">
        <x:f>F20+E21</x:f>
        <x:v>-212000</x:v>
      </x:c>
      <x:c r="G21" s="6" t="n">
        <x:v>-20000</x:v>
      </x:c>
      <x:c r="H21" s="6" t="n">
        <x:v>35000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9000</x:v>
      </x:c>
      <x:c r="D22" s="6" t="n">
        <x:v>122000</x:v>
      </x:c>
      <x:c r="E22" s="6" t="n">
        <x:f>C22-D22</x:f>
        <x:v>-113000</x:v>
      </x:c>
      <x:c r="F22" s="6" t="n">
        <x:f>F21+E22</x:f>
        <x:v>-325000</x:v>
      </x:c>
      <x:c r="G22" s="6" t="n">
        <x:v>-117000</x:v>
      </x:c>
      <x:c r="H22" s="6" t="n">
        <x:v>123000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152000</x:v>
      </x:c>
      <x:c r="D23" s="6" t="n">
        <x:v>19000</x:v>
      </x:c>
      <x:c r="E23" s="6" t="n">
        <x:f>C23-D23</x:f>
        <x:v>133000</x:v>
      </x:c>
      <x:c r="F23" s="6" t="n">
        <x:f>F22+E23</x:f>
        <x:v>-192000</x:v>
      </x:c>
      <x:c r="G23" s="6" t="n">
        <x:v>-24000</x:v>
      </x:c>
      <x:c r="H23" s="6" t="n">
        <x:v>35000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2000</x:v>
      </x:c>
      <x:c r="D24" s="6" t="n">
        <x:v>0</x:v>
      </x:c>
      <x:c r="E24" s="6" t="n">
        <x:f>C24-D24</x:f>
        <x:v>2000</x:v>
      </x:c>
      <x:c r="F24" s="6" t="n">
        <x:f>F23+E24</x:f>
        <x:v>-190000</x:v>
      </x:c>
      <x:c r="G24" s="6" t="n">
        <x:v>-18000</x:v>
      </x:c>
      <x:c r="H24" s="6" t="n">
        <x:v>51000</x:v>
      </x:c>
    </x:row>
    <x:row r="25" ht="25" customHeight="1">
      <x:c r="A25" s="2" t="str">
        <x:v>2026-10-16_Day</x:v>
      </x:c>
      <x:c r="B25" s="2" t="str">
        <x:v>上昇</x:v>
      </x:c>
      <x:c r="C25" s="6" t="n">
        <x:v>91000</x:v>
      </x:c>
      <x:c r="D25" s="6" t="n">
        <x:v>45000</x:v>
      </x:c>
      <x:c r="E25" s="6" t="n">
        <x:f>C25-D25</x:f>
        <x:v>46000</x:v>
      </x:c>
      <x:c r="F25" s="6" t="n">
        <x:f>F24+E25</x:f>
        <x:v>-144000</x:v>
      </x:c>
      <x:c r="G25" s="6" t="n">
        <x:v>-41000</x:v>
      </x:c>
      <x:c r="H25" s="6" t="n">
        <x:v>78000</x:v>
      </x:c>
    </x:row>
    <x:row r="26" ht="25" customHeight="1">
      <x:c r="A26" s="2" t="str">
        <x:v>2026-10-19_Day</x:v>
      </x:c>
      <x:c r="B26" s="2" t="str">
        <x:v>上昇</x:v>
      </x:c>
      <x:c r="C26" s="6" t="n">
        <x:v>41000</x:v>
      </x:c>
      <x:c r="D26" s="6" t="n">
        <x:v>0</x:v>
      </x:c>
      <x:c r="E26" s="6" t="n">
        <x:f>C26-D26</x:f>
        <x:v>41000</x:v>
      </x:c>
      <x:c r="F26" s="6" t="n">
        <x:f>F25+E26</x:f>
        <x:v>-103000</x:v>
      </x:c>
      <x:c r="G26" s="6" t="n">
        <x:v>-8000</x:v>
      </x:c>
      <x:c r="H26" s="6" t="n">
        <x:v>41000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14000</x:v>
      </x:c>
      <x:c r="D27" s="6" t="n">
        <x:v>26000</x:v>
      </x:c>
      <x:c r="E27" s="6" t="n">
        <x:f>C27-D27</x:f>
        <x:v>-12000</x:v>
      </x:c>
      <x:c r="F27" s="6" t="n">
        <x:f>F26+E27</x:f>
        <x:v>-115000</x:v>
      </x:c>
      <x:c r="G27" s="6" t="n">
        <x:v>-24000</x:v>
      </x:c>
      <x:c r="H27" s="6" t="n">
        <x:v>47000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18000</x:v>
      </x:c>
      <x:c r="D28" s="6" t="n">
        <x:v>59000</x:v>
      </x:c>
      <x:c r="E28" s="6" t="n">
        <x:f>C28-D28</x:f>
        <x:v>-41000</x:v>
      </x:c>
      <x:c r="F28" s="6" t="n">
        <x:f>F27+E28</x:f>
        <x:v>-156000</x:v>
      </x:c>
      <x:c r="G28" s="6" t="n">
        <x:v>-92000</x:v>
      </x:c>
      <x:c r="H28" s="6" t="n">
        <x:v>105000</x:v>
      </x:c>
    </x:row>
    <x:row r="29" ht="25" customHeight="1">
      <x:c r="A29" s="2" t="str">
        <x:v>2026-10-22_Day</x:v>
      </x:c>
      <x:c r="B29" s="2" t="str">
        <x:v>下落</x:v>
      </x:c>
      <x:c r="C29" s="6" t="n">
        <x:v>52000</x:v>
      </x:c>
      <x:c r="D29" s="6" t="n">
        <x:v>0</x:v>
      </x:c>
      <x:c r="E29" s="6" t="n">
        <x:f>C29-D29</x:f>
        <x:v>52000</x:v>
      </x:c>
      <x:c r="F29" s="6" t="n">
        <x:f>F28+E29</x:f>
        <x:v>-104000</x:v>
      </x:c>
      <x:c r="G29" s="6" t="n">
        <x:v>-6000</x:v>
      </x:c>
      <x:c r="H29" s="6" t="n">
        <x:v>23000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34000</x:v>
      </x:c>
      <x:c r="D30" s="6" t="n">
        <x:v>41000</x:v>
      </x:c>
      <x:c r="E30" s="6" t="n">
        <x:f>C30-D30</x:f>
        <x:v>-7000</x:v>
      </x:c>
      <x:c r="F30" s="6" t="n">
        <x:f>F29+E30</x:f>
        <x:v>-111000</x:v>
      </x:c>
      <x:c r="G30" s="6" t="n">
        <x:v>-24000</x:v>
      </x:c>
      <x:c r="H30" s="6" t="n">
        <x:v>55000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60000</x:v>
      </x:c>
      <x:c r="E31" s="6" t="n">
        <x:f>C31-D31</x:f>
        <x:v>-60000</x:v>
      </x:c>
      <x:c r="F31" s="6" t="n">
        <x:f>F30+E31</x:f>
        <x:v>-171000</x:v>
      </x:c>
      <x:c r="G31" s="6" t="n">
        <x:v>-70000</x:v>
      </x:c>
      <x:c r="H31" s="6" t="n">
        <x:v>85000</x:v>
      </x:c>
    </x:row>
    <x:row r="32" ht="25" customHeight="1">
      <x:c r="A32" s="13" t="str">
        <x:v>累計／場内最悪値</x:v>
      </x:c>
      <x:c r="B32" s="13"/>
      <x:c r="C32" s="14" t="n">
        <x:f>SUM(C6:C31)</x:f>
        <x:v>627000</x:v>
      </x:c>
      <x:c r="D32" s="14" t="n">
        <x:f>SUM(D6:D31)</x:f>
        <x:v>798000</x:v>
      </x:c>
      <x:c r="E32" s="14" t="n">
        <x:f>C32-D32</x:f>
        <x:v>-171000</x:v>
      </x:c>
      <x:c r="F32" s="14" t="n">
        <x:f>F31</x:f>
        <x:v>-171000</x:v>
      </x:c>
      <x:c r="G32" s="14" t="n">
        <x:f>MIN(G6:G31)</x:f>
        <x:v>-117000</x:v>
      </x:c>
      <x:c r="H32" s="14" t="n">
        <x:f>MAX(H6:H31)</x:f>
        <x:v>123000</x:v>
      </x:c>
    </x:row>
  </x:sheetData>
  <x:conditionalFormatting sqref="E6:F31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1a4df38a2140bf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確定2分の順行を確認して新規・出口はS01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4000</x:v>
      </x:c>
      <x:c r="D6" s="6" t="n">
        <x:v>0</x:v>
      </x:c>
      <x:c r="E6" s="6" t="n">
        <x:f>C6-D6</x:f>
        <x:v>4000</x:v>
      </x:c>
      <x:c r="F6" s="6" t="n">
        <x:f>E6</x:f>
        <x:v>4000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-26000</x:v>
      </x:c>
      <x:c r="G7" s="6" t="n">
        <x:v>-30000</x:v>
      </x:c>
      <x:c r="H7" s="6" t="n">
        <x:v>30000</x:v>
      </x:c>
    </x:row>
    <x:row r="8" ht="25" customHeight="1">
      <x:c r="A8" s="2" t="str">
        <x:v>2026-09-23_Day</x:v>
      </x:c>
      <x:c r="B8" s="2" t="str">
        <x:v>下落</x:v>
      </x:c>
      <x:c r="C8" s="6" t="n">
        <x:v>50000</x:v>
      </x:c>
      <x:c r="D8" s="6" t="n">
        <x:v>0</x:v>
      </x:c>
      <x:c r="E8" s="6" t="n">
        <x:f>C8-D8</x:f>
        <x:v>50000</x:v>
      </x:c>
      <x:c r="F8" s="6" t="n">
        <x:f>F7+E8</x:f>
        <x:v>24000</x:v>
      </x:c>
      <x:c r="G8" s="6" t="n">
        <x:v>-15000</x:v>
      </x:c>
      <x:c r="H8" s="6" t="n">
        <x:v>40000</x:v>
      </x:c>
    </x:row>
    <x:row r="9" ht="25" customHeight="1">
      <x:c r="A9" s="2" t="str">
        <x:v>2026-09-24_Day</x:v>
      </x:c>
      <x:c r="B9" s="2" t="str">
        <x:v>下落</x:v>
      </x:c>
      <x:c r="C9" s="6" t="n">
        <x:v>175000</x:v>
      </x:c>
      <x:c r="D9" s="6" t="n">
        <x:v>0</x:v>
      </x:c>
      <x:c r="E9" s="6" t="n">
        <x:f>C9-D9</x:f>
        <x:v>175000</x:v>
      </x:c>
      <x:c r="F9" s="6" t="n">
        <x:f>F8+E9</x:f>
        <x:v>199000</x:v>
      </x:c>
      <x:c r="G9" s="6" t="n">
        <x:v>-14000</x:v>
      </x:c>
      <x:c r="H9" s="6" t="n">
        <x:v>73000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151000</x:v>
      </x:c>
      <x:c r="D10" s="6" t="n">
        <x:v>16000</x:v>
      </x:c>
      <x:c r="E10" s="6" t="n">
        <x:f>C10-D10</x:f>
        <x:v>135000</x:v>
      </x:c>
      <x:c r="F10" s="6" t="n">
        <x:f>F9+E10</x:f>
        <x:v>334000</x:v>
      </x:c>
      <x:c r="G10" s="6" t="n">
        <x:v>-10000</x:v>
      </x:c>
      <x:c r="H10" s="6" t="n">
        <x:v>81000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19000</x:v>
      </x:c>
      <x:c r="D11" s="6" t="n">
        <x:v>62000</x:v>
      </x:c>
      <x:c r="E11" s="6" t="n">
        <x:f>C11-D11</x:f>
        <x:v>-43000</x:v>
      </x:c>
      <x:c r="F11" s="6" t="n">
        <x:f>F10+E11</x:f>
        <x:v>291000</x:v>
      </x:c>
      <x:c r="G11" s="6" t="n">
        <x:v>-45000</x:v>
      </x:c>
      <x:c r="H11" s="6" t="n">
        <x:v>84000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206000</x:v>
      </x:c>
      <x:c r="D12" s="6" t="n">
        <x:v>125000</x:v>
      </x:c>
      <x:c r="E12" s="6" t="n">
        <x:f>C12-D12</x:f>
        <x:v>81000</x:v>
      </x:c>
      <x:c r="F12" s="6" t="n">
        <x:f>F11+E12</x:f>
        <x:v>372000</x:v>
      </x:c>
      <x:c r="G12" s="6" t="n">
        <x:v>-125000</x:v>
      </x:c>
      <x:c r="H12" s="6" t="n">
        <x:v>218000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19000</x:v>
      </x:c>
      <x:c r="D13" s="6" t="n">
        <x:v>20000</x:v>
      </x:c>
      <x:c r="E13" s="6" t="n">
        <x:f>C13-D13</x:f>
        <x:v>-1000</x:v>
      </x:c>
      <x:c r="F13" s="6" t="n">
        <x:f>F12+E13</x:f>
        <x:v>371000</x:v>
      </x:c>
      <x:c r="G13" s="6" t="n">
        <x:v>-19000</x:v>
      </x:c>
      <x:c r="H13" s="6" t="n">
        <x:v>38000</x:v>
      </x:c>
    </x:row>
    <x:row r="14" ht="25" customHeight="1">
      <x:c r="A14" s="2" t="str">
        <x:v>2026-10-01_Day</x:v>
      </x:c>
      <x:c r="B14" s="2" t="str">
        <x:v>上昇</x:v>
      </x:c>
      <x:c r="C14" s="6" t="n">
        <x:v>8000</x:v>
      </x:c>
      <x:c r="D14" s="6" t="n">
        <x:v>110000</x:v>
      </x:c>
      <x:c r="E14" s="6" t="n">
        <x:f>C14-D14</x:f>
        <x:v>-102000</x:v>
      </x:c>
      <x:c r="F14" s="6" t="n">
        <x:f>F13+E14</x:f>
        <x:v>269000</x:v>
      </x:c>
      <x:c r="G14" s="6" t="n">
        <x:v>-102000</x:v>
      </x:c>
      <x:c r="H14" s="6" t="n">
        <x:v>112000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31000</x:v>
      </x:c>
      <x:c r="D15" s="6" t="n">
        <x:v>8000</x:v>
      </x:c>
      <x:c r="E15" s="6" t="n">
        <x:f>C15-D15</x:f>
        <x:v>23000</x:v>
      </x:c>
      <x:c r="F15" s="6" t="n">
        <x:f>F14+E15</x:f>
        <x:v>292000</x:v>
      </x:c>
      <x:c r="G15" s="6" t="n">
        <x:v>-16000</x:v>
      </x:c>
      <x:c r="H15" s="6" t="n">
        <x:v>65000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86000</x:v>
      </x:c>
      <x:c r="D16" s="6" t="n">
        <x:v>106000</x:v>
      </x:c>
      <x:c r="E16" s="6" t="n">
        <x:f>C16-D16</x:f>
        <x:v>-20000</x:v>
      </x:c>
      <x:c r="F16" s="6" t="n">
        <x:f>F15+E16</x:f>
        <x:v>272000</x:v>
      </x:c>
      <x:c r="G16" s="6" t="n">
        <x:v>-65000</x:v>
      </x:c>
      <x:c r="H16" s="6" t="n">
        <x:v>100000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27000</x:v>
      </x:c>
      <x:c r="D17" s="6" t="n">
        <x:v>160000</x:v>
      </x:c>
      <x:c r="E17" s="6" t="n">
        <x:f>C17-D17</x:f>
        <x:v>-133000</x:v>
      </x:c>
      <x:c r="F17" s="6" t="n">
        <x:f>F16+E17</x:f>
        <x:v>139000</x:v>
      </x:c>
      <x:c r="G17" s="6" t="n">
        <x:v>-133000</x:v>
      </x:c>
      <x:c r="H17" s="6" t="n">
        <x:v>157000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128000</x:v>
      </x:c>
      <x:c r="D18" s="6" t="n">
        <x:v>46000</x:v>
      </x:c>
      <x:c r="E18" s="6" t="n">
        <x:f>C18-D18</x:f>
        <x:v>82000</x:v>
      </x:c>
      <x:c r="F18" s="6" t="n">
        <x:f>F17+E18</x:f>
        <x:v>221000</x:v>
      </x:c>
      <x:c r="G18" s="6" t="n">
        <x:v>-6000</x:v>
      </x:c>
      <x:c r="H18" s="6" t="n">
        <x:v>62000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111000</x:v>
      </x:c>
      <x:c r="D19" s="6" t="n">
        <x:v>0</x:v>
      </x:c>
      <x:c r="E19" s="6" t="n">
        <x:f>C19-D19</x:f>
        <x:v>111000</x:v>
      </x:c>
      <x:c r="F19" s="6" t="n">
        <x:f>F18+E19</x:f>
        <x:v>332000</x:v>
      </x:c>
      <x:c r="G19" s="6" t="n">
        <x:v>-26000</x:v>
      </x:c>
      <x:c r="H19" s="6" t="n">
        <x:v>30000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128000</x:v>
      </x:c>
      <x:c r="D20" s="6" t="n">
        <x:v>65000</x:v>
      </x:c>
      <x:c r="E20" s="6" t="n">
        <x:f>C20-D20</x:f>
        <x:v>63000</x:v>
      </x:c>
      <x:c r="F20" s="6" t="n">
        <x:f>F19+E20</x:f>
        <x:v>395000</x:v>
      </x:c>
      <x:c r="G20" s="6" t="n">
        <x:v>-33000</x:v>
      </x:c>
      <x:c r="H20" s="6" t="n">
        <x:v>98000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4000</x:v>
      </x:c>
      <x:c r="D21" s="6" t="n">
        <x:v>0</x:v>
      </x:c>
      <x:c r="E21" s="6" t="n">
        <x:f>C21-D21</x:f>
        <x:v>4000</x:v>
      </x:c>
      <x:c r="F21" s="6" t="n">
        <x:f>F20+E21</x:f>
        <x:v>399000</x:v>
      </x:c>
      <x:c r="G21" s="6" t="n">
        <x:v>-6000</x:v>
      </x:c>
      <x:c r="H21" s="6" t="n">
        <x:v>8000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100000</x:v>
      </x:c>
      <x:c r="D22" s="6" t="n">
        <x:v>136000</x:v>
      </x:c>
      <x:c r="E22" s="6" t="n">
        <x:f>C22-D22</x:f>
        <x:v>-36000</x:v>
      </x:c>
      <x:c r="F22" s="6" t="n">
        <x:f>F21+E22</x:f>
        <x:v>363000</x:v>
      </x:c>
      <x:c r="G22" s="6" t="n">
        <x:v>-105000</x:v>
      </x:c>
      <x:c r="H22" s="6" t="n">
        <x:v>134000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149000</x:v>
      </x:c>
      <x:c r="D23" s="6" t="n">
        <x:v>43000</x:v>
      </x:c>
      <x:c r="E23" s="6" t="n">
        <x:f>C23-D23</x:f>
        <x:v>106000</x:v>
      </x:c>
      <x:c r="F23" s="6" t="n">
        <x:f>F22+E23</x:f>
        <x:v>469000</x:v>
      </x:c>
      <x:c r="G23" s="6" t="n">
        <x:v>-58000</x:v>
      </x:c>
      <x:c r="H23" s="6" t="n">
        <x:v>75000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302000</x:v>
      </x:c>
      <x:c r="D24" s="6" t="n">
        <x:v>66000</x:v>
      </x:c>
      <x:c r="E24" s="6" t="n">
        <x:f>C24-D24</x:f>
        <x:v>236000</x:v>
      </x:c>
      <x:c r="F24" s="6" t="n">
        <x:f>F23+E24</x:f>
        <x:v>705000</x:v>
      </x:c>
      <x:c r="G24" s="6" t="n">
        <x:v>-68000</x:v>
      </x:c>
      <x:c r="H24" s="6" t="n">
        <x:v>118000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22000</x:v>
      </x:c>
      <x:c r="D25" s="6" t="n">
        <x:v>103000</x:v>
      </x:c>
      <x:c r="E25" s="6" t="n">
        <x:f>C25-D25</x:f>
        <x:v>-81000</x:v>
      </x:c>
      <x:c r="F25" s="6" t="n">
        <x:f>F24+E25</x:f>
        <x:v>624000</x:v>
      </x:c>
      <x:c r="G25" s="6" t="n">
        <x:v>-81000</x:v>
      </x:c>
      <x:c r="H25" s="6" t="n">
        <x:v>103000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329000</x:v>
      </x:c>
      <x:c r="D26" s="6" t="n">
        <x:v>0</x:v>
      </x:c>
      <x:c r="E26" s="6" t="n">
        <x:f>C26-D26</x:f>
        <x:v>329000</x:v>
      </x:c>
      <x:c r="F26" s="6" t="n">
        <x:f>F25+E26</x:f>
        <x:v>953000</x:v>
      </x:c>
      <x:c r="G26" s="6" t="n">
        <x:v>-8000</x:v>
      </x:c>
      <x:c r="H26" s="6" t="n">
        <x:v>192000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120000</x:v>
      </x:c>
      <x:c r="D27" s="6" t="n">
        <x:v>98000</x:v>
      </x:c>
      <x:c r="E27" s="6" t="n">
        <x:f>C27-D27</x:f>
        <x:v>22000</x:v>
      </x:c>
      <x:c r="F27" s="6" t="n">
        <x:f>F26+E27</x:f>
        <x:v>975000</x:v>
      </x:c>
      <x:c r="G27" s="6" t="n">
        <x:v>-63000</x:v>
      </x:c>
      <x:c r="H27" s="6" t="n">
        <x:v>157000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80000</x:v>
      </x:c>
      <x:c r="D28" s="6" t="n">
        <x:v>68000</x:v>
      </x:c>
      <x:c r="E28" s="6" t="n">
        <x:f>C28-D28</x:f>
        <x:v>12000</x:v>
      </x:c>
      <x:c r="F28" s="6" t="n">
        <x:f>F27+E28</x:f>
        <x:v>987000</x:v>
      </x:c>
      <x:c r="G28" s="6" t="n">
        <x:v>-78000</x:v>
      </x:c>
      <x:c r="H28" s="6" t="n">
        <x:v>91000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38000</x:v>
      </x:c>
      <x:c r="D29" s="6" t="n">
        <x:v>0</x:v>
      </x:c>
      <x:c r="E29" s="6" t="n">
        <x:f>C29-D29</x:f>
        <x:v>38000</x:v>
      </x:c>
      <x:c r="F29" s="6" t="n">
        <x:f>F28+E29</x:f>
        <x:v>1025000</x:v>
      </x:c>
      <x:c r="G29" s="6" t="n">
        <x:v>-6000</x:v>
      </x:c>
      <x:c r="H29" s="6" t="n">
        <x:v>38000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332000</x:v>
      </x:c>
      <x:c r="D30" s="6" t="n">
        <x:v>44000</x:v>
      </x:c>
      <x:c r="E30" s="6" t="n">
        <x:f>C30-D30</x:f>
        <x:v>288000</x:v>
      </x:c>
      <x:c r="F30" s="6" t="n">
        <x:f>F29+E30</x:f>
        <x:v>1313000</x:v>
      </x:c>
      <x:c r="G30" s="6" t="n">
        <x:v>-24000</x:v>
      </x:c>
      <x:c r="H30" s="6" t="n">
        <x:v>82000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160000</x:v>
      </x:c>
      <x:c r="D31" s="6" t="n">
        <x:v>130000</x:v>
      </x:c>
      <x:c r="E31" s="6" t="n">
        <x:f>C31-D31</x:f>
        <x:v>30000</x:v>
      </x:c>
      <x:c r="F31" s="6" t="n">
        <x:f>F30+E31</x:f>
        <x:v>1343000</x:v>
      </x:c>
      <x:c r="G31" s="6" t="n">
        <x:v>-66000</x:v>
      </x:c>
      <x:c r="H31" s="6" t="n">
        <x:v>194000</x:v>
      </x:c>
    </x:row>
    <x:row r="32" ht="25" customHeight="1">
      <x:c r="A32" s="13" t="str">
        <x:v>累計／場内最悪値</x:v>
      </x:c>
      <x:c r="B32" s="13"/>
      <x:c r="C32" s="14" t="n">
        <x:f>SUM(C6:C31)</x:f>
        <x:v>2779000</x:v>
      </x:c>
      <x:c r="D32" s="14" t="n">
        <x:f>SUM(D6:D31)</x:f>
        <x:v>1436000</x:v>
      </x:c>
      <x:c r="E32" s="14" t="n">
        <x:f>C32-D32</x:f>
        <x:v>1343000</x:v>
      </x:c>
      <x:c r="F32" s="14" t="n">
        <x:f>F31</x:f>
        <x:v>1343000</x:v>
      </x:c>
      <x:c r="G32" s="14" t="n">
        <x:f>MIN(G6:G31)</x:f>
        <x:v>-133000</x:v>
      </x:c>
      <x:c r="H32" s="14" t="n">
        <x:f>MAX(H6:H31)</x:f>
        <x:v>218000</x:v>
      </x:c>
    </x:row>
  </x:sheetData>
  <x:conditionalFormatting sqref="E6:F31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5616acb1814eba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確定2分の順行を確認して新規・20pt利益追尾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-4000</x:v>
      </x:c>
      <x:c r="H6" s="6" t="n">
        <x:v>4000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9000</x:v>
      </x:c>
      <x:c r="D9" s="6" t="n">
        <x:v>6000</x:v>
      </x:c>
      <x:c r="E9" s="6" t="n">
        <x:f>C9-D9</x:f>
        <x:v>3000</x:v>
      </x:c>
      <x:c r="F9" s="6" t="n">
        <x:f>F8+E9</x:f>
        <x:v>-27000</x:v>
      </x:c>
      <x:c r="G9" s="6" t="n">
        <x:v>-10000</x:v>
      </x:c>
      <x:c r="H9" s="6" t="n">
        <x:v>12000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-41000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6000</x:v>
      </x:c>
      <x:c r="D11" s="6" t="n">
        <x:v>40000</x:v>
      </x:c>
      <x:c r="E11" s="6" t="n">
        <x:f>C11-D11</x:f>
        <x:v>-34000</x:v>
      </x:c>
      <x:c r="F11" s="6" t="n">
        <x:f>F10+E11</x:f>
        <x:v>-75000</x:v>
      </x:c>
      <x:c r="G11" s="6" t="n">
        <x:v>-38000</x:v>
      </x:c>
      <x:c r="H11" s="6" t="n">
        <x:v>44000</x:v>
      </x:c>
    </x:row>
    <x:row r="12" ht="25" customHeight="1">
      <x:c r="A12" s="2" t="str">
        <x:v>2026-09-29_Day</x:v>
      </x:c>
      <x:c r="B12" s="2" t="str">
        <x:v>下落</x:v>
      </x:c>
      <x:c r="C12" s="6" t="n">
        <x:v>8000</x:v>
      </x:c>
      <x:c r="D12" s="6" t="n">
        <x:v>57000</x:v>
      </x:c>
      <x:c r="E12" s="6" t="n">
        <x:f>C12-D12</x:f>
        <x:v>-49000</x:v>
      </x:c>
      <x:c r="F12" s="6" t="n">
        <x:f>F11+E12</x:f>
        <x:v>-124000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1000</x:v>
      </x:c>
      <x:c r="D13" s="6" t="n">
        <x:v>0</x:v>
      </x:c>
      <x:c r="E13" s="6" t="n">
        <x:f>C13-D13</x:f>
        <x:v>1000</x:v>
      </x:c>
      <x:c r="F13" s="6" t="n">
        <x:f>F12+E13</x:f>
        <x:v>-123000</x:v>
      </x:c>
      <x:c r="G13" s="6" t="n">
        <x:v>-13000</x:v>
      </x:c>
      <x:c r="H13" s="6" t="n">
        <x:v>16000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-121000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8000</x:v>
      </x:c>
      <x:c r="D15" s="6" t="n">
        <x:v>0</x:v>
      </x:c>
      <x:c r="E15" s="6" t="n">
        <x:f>C15-D15</x:f>
        <x:v>8000</x:v>
      </x:c>
      <x:c r="F15" s="6" t="n">
        <x:f>F14+E15</x:f>
        <x:v>-113000</x:v>
      </x:c>
      <x:c r="G15" s="6" t="n">
        <x:v>-14000</x:v>
      </x:c>
      <x:c r="H15" s="6" t="n">
        <x:v>15000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16000</x:v>
      </x:c>
      <x:c r="E16" s="6" t="n">
        <x:f>C16-D16</x:f>
        <x:v>-6000</x:v>
      </x:c>
      <x:c r="F16" s="6" t="n">
        <x:f>F15+E16</x:f>
        <x:v>-119000</x:v>
      </x:c>
      <x:c r="G16" s="6" t="n">
        <x:v>-36000</x:v>
      </x:c>
      <x:c r="H16" s="6" t="n">
        <x:v>36000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7000</x:v>
      </x:c>
      <x:c r="D17" s="6" t="n">
        <x:v>28000</x:v>
      </x:c>
      <x:c r="E17" s="6" t="n">
        <x:f>C17-D17</x:f>
        <x:v>-21000</x:v>
      </x:c>
      <x:c r="F17" s="6" t="n">
        <x:f>F16+E17</x:f>
        <x:v>-140000</x:v>
      </x:c>
      <x:c r="G17" s="6" t="n">
        <x:v>-27000</x:v>
      </x:c>
      <x:c r="H17" s="6" t="n">
        <x:v>36000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-163000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0</x:v>
      </x:c>
      <x:c r="E19" s="6" t="n">
        <x:f>C19-D19</x:f>
        <x:v>0</x:v>
      </x:c>
      <x:c r="F19" s="6" t="n">
        <x:f>F18+E19</x:f>
        <x:v>-163000</x:v>
      </x:c>
      <x:c r="G19" s="6" t="n">
        <x:v>-15000</x:v>
      </x:c>
      <x:c r="H19" s="6" t="n">
        <x:v>17000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20000</x:v>
      </x:c>
      <x:c r="D20" s="6" t="n">
        <x:v>38000</x:v>
      </x:c>
      <x:c r="E20" s="6" t="n">
        <x:f>C20-D20</x:f>
        <x:v>-18000</x:v>
      </x:c>
      <x:c r="F20" s="6" t="n">
        <x:f>F19+E20</x:f>
        <x:v>-181000</x:v>
      </x:c>
      <x:c r="G20" s="6" t="n">
        <x:v>-22000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-181000</x:v>
      </x:c>
      <x:c r="G21" s="6" t="n">
        <x:v>-6000</x:v>
      </x:c>
      <x:c r="H21" s="6" t="n">
        <x:v>6000</x:v>
      </x:c>
    </x:row>
    <x:row r="22" ht="25" customHeight="1">
      <x:c r="A22" s="2" t="str">
        <x:v>2026-10-13_Day</x:v>
      </x:c>
      <x:c r="B22" s="2" t="str">
        <x:v>下落</x:v>
      </x:c>
      <x:c r="C22" s="6" t="n">
        <x:v>4000</x:v>
      </x:c>
      <x:c r="D22" s="6" t="n">
        <x:v>104000</x:v>
      </x:c>
      <x:c r="E22" s="6" t="n">
        <x:f>C22-D22</x:f>
        <x:v>-100000</x:v>
      </x:c>
      <x:c r="F22" s="6" t="n">
        <x:f>F21+E22</x:f>
        <x:v>-281000</x:v>
      </x:c>
      <x:c r="G22" s="6" t="n">
        <x:v>-104000</x:v>
      </x:c>
      <x:c r="H22" s="6" t="n">
        <x:v>106000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41000</x:v>
      </x:c>
      <x:c r="D23" s="6" t="n">
        <x:v>0</x:v>
      </x:c>
      <x:c r="E23" s="6" t="n">
        <x:f>C23-D23</x:f>
        <x:v>41000</x:v>
      </x:c>
      <x:c r="F23" s="6" t="n">
        <x:f>F22+E23</x:f>
        <x:v>-240000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11000</x:v>
      </x:c>
      <x:c r="D24" s="6" t="n">
        <x:v>0</x:v>
      </x:c>
      <x:c r="E24" s="6" t="n">
        <x:f>C24-D24</x:f>
        <x:v>11000</x:v>
      </x:c>
      <x:c r="F24" s="6" t="n">
        <x:f>F23+E24</x:f>
        <x:v>-229000</x:v>
      </x:c>
      <x:c r="G24" s="6" t="n">
        <x:v>-18000</x:v>
      </x:c>
      <x:c r="H24" s="6" t="n">
        <x:v>24000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10000</x:v>
      </x:c>
      <x:c r="D25" s="6" t="n">
        <x:v>9000</x:v>
      </x:c>
      <x:c r="E25" s="6" t="n">
        <x:f>C25-D25</x:f>
        <x:v>1000</x:v>
      </x:c>
      <x:c r="F25" s="6" t="n">
        <x:f>F24+E25</x:f>
        <x:v>-228000</x:v>
      </x:c>
      <x:c r="G25" s="6" t="n">
        <x:v>-10000</x:v>
      </x:c>
      <x:c r="H25" s="6" t="n">
        <x:v>24000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-225000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15000</x:v>
      </x:c>
      <x:c r="D27" s="6" t="n">
        <x:v>26000</x:v>
      </x:c>
      <x:c r="E27" s="6" t="n">
        <x:f>C27-D27</x:f>
        <x:v>-11000</x:v>
      </x:c>
      <x:c r="F27" s="6" t="n">
        <x:f>F26+E27</x:f>
        <x:v>-236000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</x:v>
      </x:c>
      <x:c r="D28" s="6" t="n">
        <x:v>3000</x:v>
      </x:c>
      <x:c r="E28" s="6" t="n">
        <x:f>C28-D28</x:f>
        <x:v>5000</x:v>
      </x:c>
      <x:c r="F28" s="6" t="n">
        <x:f>F27+E28</x:f>
        <x:v>-231000</x:v>
      </x:c>
      <x:c r="G28" s="6" t="n">
        <x:v>-20000</x:v>
      </x:c>
      <x:c r="H28" s="6" t="n">
        <x:v>26000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-231000</x:v>
      </x:c>
      <x:c r="G29" s="6" t="n">
        <x:v>-7000</x:v>
      </x:c>
      <x:c r="H29" s="6" t="n">
        <x:v>9000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-226000</x:v>
      </x:c>
      <x:c r="G30" s="6" t="n">
        <x:v>-34000</x:v>
      </x:c>
      <x:c r="H30" s="6" t="n">
        <x:v>49000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-221000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189000</x:v>
      </x:c>
      <x:c r="D32" s="14" t="n">
        <x:f>SUM(D6:D31)</x:f>
        <x:v>410000</x:v>
      </x:c>
      <x:c r="E32" s="14" t="n">
        <x:f>C32-D32</x:f>
        <x:v>-221000</x:v>
      </x:c>
      <x:c r="F32" s="14" t="n">
        <x:f>F31</x:f>
        <x:v>-221000</x:v>
      </x:c>
      <x:c r="G32" s="14" t="n">
        <x:f>MIN(G6:G31)</x:f>
        <x:v>-104000</x:v>
      </x:c>
      <x:c r="H32" s="14" t="n">
        <x:f>MAX(H6:H31)</x:f>
        <x:v>106000</x:v>
      </x:c>
    </x:row>
  </x:sheetData>
  <x:conditionalFormatting sqref="E6:F31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f2875fa4f94ef4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確定2分の順行を確認して新規・40pt利益追尾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-4000</x:v>
      </x:c>
      <x:c r="H6" s="6" t="n">
        <x:v>4000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-30000</x:v>
      </x:c>
      <x:c r="G7" s="6" t="n">
        <x:v>-30000</x:v>
      </x:c>
      <x:c r="H7" s="6" t="n">
        <x:v>30000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-30000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-32000</x:v>
      </x:c>
      <x:c r="G9" s="6" t="n">
        <x:v>-10000</x:v>
      </x:c>
      <x:c r="H9" s="6" t="n">
        <x:v>14000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-46000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40000</x:v>
      </x:c>
      <x:c r="E11" s="6" t="n">
        <x:f>C11-D11</x:f>
        <x:v>-36000</x:v>
      </x:c>
      <x:c r="F11" s="6" t="n">
        <x:f>F10+E11</x:f>
        <x:v>-82000</x:v>
      </x:c>
      <x:c r="G11" s="6" t="n">
        <x:v>-40000</x:v>
      </x:c>
      <x:c r="H11" s="6" t="n">
        <x:v>46000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2000</x:v>
      </x:c>
      <x:c r="D12" s="6" t="n">
        <x:v>57000</x:v>
      </x:c>
      <x:c r="E12" s="6" t="n">
        <x:f>C12-D12</x:f>
        <x:v>-55000</x:v>
      </x:c>
      <x:c r="F12" s="6" t="n">
        <x:f>F11+E12</x:f>
        <x:v>-137000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-137000</x:v>
      </x:c>
      <x:c r="G13" s="6" t="n">
        <x:v>-14000</x:v>
      </x:c>
      <x:c r="H13" s="6" t="n">
        <x:v>17000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-135000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8000</x:v>
      </x:c>
      <x:c r="D15" s="6" t="n">
        <x:v>0</x:v>
      </x:c>
      <x:c r="E15" s="6" t="n">
        <x:f>C15-D15</x:f>
        <x:v>8000</x:v>
      </x:c>
      <x:c r="F15" s="6" t="n">
        <x:f>F14+E15</x:f>
        <x:v>-127000</x:v>
      </x:c>
      <x:c r="G15" s="6" t="n">
        <x:v>-14000</x:v>
      </x:c>
      <x:c r="H15" s="6" t="n">
        <x:v>17000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11000</x:v>
      </x:c>
      <x:c r="D16" s="6" t="n">
        <x:v>16000</x:v>
      </x:c>
      <x:c r="E16" s="6" t="n">
        <x:f>C16-D16</x:f>
        <x:v>-5000</x:v>
      </x:c>
      <x:c r="F16" s="6" t="n">
        <x:f>F15+E16</x:f>
        <x:v>-132000</x:v>
      </x:c>
      <x:c r="G16" s="6" t="n">
        <x:v>-35000</x:v>
      </x:c>
      <x:c r="H16" s="6" t="n">
        <x:v>35000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1000</x:v>
      </x:c>
      <x:c r="D17" s="6" t="n">
        <x:v>28000</x:v>
      </x:c>
      <x:c r="E17" s="6" t="n">
        <x:f>C17-D17</x:f>
        <x:v>-27000</x:v>
      </x:c>
      <x:c r="F17" s="6" t="n">
        <x:f>F16+E17</x:f>
        <x:v>-159000</x:v>
      </x:c>
      <x:c r="G17" s="6" t="n">
        <x:v>-33000</x:v>
      </x:c>
      <x:c r="H17" s="6" t="n">
        <x:v>42000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-182000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0</x:v>
      </x:c>
      <x:c r="E19" s="6" t="n">
        <x:f>C19-D19</x:f>
        <x:v>0</x:v>
      </x:c>
      <x:c r="F19" s="6" t="n">
        <x:f>F18+E19</x:f>
        <x:v>-182000</x:v>
      </x:c>
      <x:c r="G19" s="6" t="n">
        <x:v>-15000</x:v>
      </x:c>
      <x:c r="H19" s="6" t="n">
        <x:v>17000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21000</x:v>
      </x:c>
      <x:c r="D20" s="6" t="n">
        <x:v>38000</x:v>
      </x:c>
      <x:c r="E20" s="6" t="n">
        <x:f>C20-D20</x:f>
        <x:v>-17000</x:v>
      </x:c>
      <x:c r="F20" s="6" t="n">
        <x:f>F19+E20</x:f>
        <x:v>-199000</x:v>
      </x:c>
      <x:c r="G20" s="6" t="n">
        <x:v>-21000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-199000</x:v>
      </x:c>
      <x:c r="G21" s="6" t="n">
        <x:v>-6000</x:v>
      </x:c>
      <x:c r="H21" s="6" t="n">
        <x:v>6000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104000</x:v>
      </x:c>
      <x:c r="E22" s="6" t="n">
        <x:f>C22-D22</x:f>
        <x:v>-104000</x:v>
      </x:c>
      <x:c r="F22" s="6" t="n">
        <x:f>F21+E22</x:f>
        <x:v>-303000</x:v>
      </x:c>
      <x:c r="G22" s="6" t="n">
        <x:v>-108000</x:v>
      </x:c>
      <x:c r="H22" s="6" t="n">
        <x:v>110000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26000</x:v>
      </x:c>
      <x:c r="D23" s="6" t="n">
        <x:v>0</x:v>
      </x:c>
      <x:c r="E23" s="6" t="n">
        <x:f>C23-D23</x:f>
        <x:v>26000</x:v>
      </x:c>
      <x:c r="F23" s="6" t="n">
        <x:f>F22+E23</x:f>
        <x:v>-277000</x:v>
      </x:c>
      <x:c r="G23" s="6" t="n">
        <x:v>-20000</x:v>
      </x:c>
      <x:c r="H23" s="6" t="n">
        <x:v>25000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</x:v>
      </x:c>
      <x:c r="D24" s="6" t="n">
        <x:v>0</x:v>
      </x:c>
      <x:c r="E24" s="6" t="n">
        <x:f>C24-D24</x:f>
        <x:v>9000</x:v>
      </x:c>
      <x:c r="F24" s="6" t="n">
        <x:f>F23+E24</x:f>
        <x:v>-268000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19000</x:v>
      </x:c>
      <x:c r="D25" s="6" t="n">
        <x:v>13000</x:v>
      </x:c>
      <x:c r="E25" s="6" t="n">
        <x:f>C25-D25</x:f>
        <x:v>6000</x:v>
      </x:c>
      <x:c r="F25" s="6" t="n">
        <x:f>F24+E25</x:f>
        <x:v>-262000</x:v>
      </x:c>
      <x:c r="G25" s="6" t="n">
        <x:v>-14000</x:v>
      </x:c>
      <x:c r="H25" s="6" t="n">
        <x:v>29000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-259000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</x:v>
      </x:c>
      <x:c r="D27" s="6" t="n">
        <x:v>26000</x:v>
      </x:c>
      <x:c r="E27" s="6" t="n">
        <x:f>C27-D27</x:f>
        <x:v>-14000</x:v>
      </x:c>
      <x:c r="F27" s="6" t="n">
        <x:f>F26+E27</x:f>
        <x:v>-273000</x:v>
      </x:c>
      <x:c r="G27" s="6" t="n">
        <x:v>-24000</x:v>
      </x:c>
      <x:c r="H27" s="6" t="n">
        <x:v>46000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6000</x:v>
      </x:c>
      <x:c r="D28" s="6" t="n">
        <x:v>0</x:v>
      </x:c>
      <x:c r="E28" s="6" t="n">
        <x:f>C28-D28</x:f>
        <x:v>6000</x:v>
      </x:c>
      <x:c r="F28" s="6" t="n">
        <x:f>F27+E28</x:f>
        <x:v>-267000</x:v>
      </x:c>
      <x:c r="G28" s="6" t="n">
        <x:v>-20000</x:v>
      </x:c>
      <x:c r="H28" s="6" t="n">
        <x:v>26000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-267000</x:v>
      </x:c>
      <x:c r="G29" s="6" t="n">
        <x:v>-7000</x:v>
      </x:c>
      <x:c r="H29" s="6" t="n">
        <x:v>9000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24000</x:v>
      </x:c>
      <x:c r="D30" s="6" t="n">
        <x:v>11000</x:v>
      </x:c>
      <x:c r="E30" s="6" t="n">
        <x:f>C30-D30</x:f>
        <x:v>13000</x:v>
      </x:c>
      <x:c r="F30" s="6" t="n">
        <x:f>F29+E30</x:f>
        <x:v>-254000</x:v>
      </x:c>
      <x:c r="G30" s="6" t="n">
        <x:v>-24000</x:v>
      </x:c>
      <x:c r="H30" s="6" t="n">
        <x:v>53000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-249000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162000</x:v>
      </x:c>
      <x:c r="D32" s="14" t="n">
        <x:f>SUM(D6:D31)</x:f>
        <x:v>411000</x:v>
      </x:c>
      <x:c r="E32" s="14" t="n">
        <x:f>C32-D32</x:f>
        <x:v>-249000</x:v>
      </x:c>
      <x:c r="F32" s="14" t="n">
        <x:f>F31</x:f>
        <x:v>-249000</x:v>
      </x:c>
      <x:c r="G32" s="14" t="n">
        <x:f>MIN(G6:G31)</x:f>
        <x:v>-108000</x:v>
      </x:c>
      <x:c r="H32" s="14" t="n">
        <x:f>MAX(H6:H31)</x:f>
        <x:v>110000</x:v>
      </x:c>
    </x:row>
  </x:sheetData>
  <x:conditionalFormatting sqref="E6:F31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4185b0f3104c81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完成1分足が2本連続順行なら新規・出口はS01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4000</x:v>
      </x:c>
      <x:c r="D6" s="6" t="n">
        <x:v>0</x:v>
      </x:c>
      <x:c r="E6" s="6" t="n">
        <x:f>C6-D6</x:f>
        <x:v>4000</x:v>
      </x:c>
      <x:c r="F6" s="6" t="n">
        <x:f>E6</x:f>
        <x:v>4000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4000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4000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111000</x:v>
      </x:c>
      <x:c r="D9" s="6" t="n">
        <x:v>0</x:v>
      </x:c>
      <x:c r="E9" s="6" t="n">
        <x:f>C9-D9</x:f>
        <x:v>111000</x:v>
      </x:c>
      <x:c r="F9" s="6" t="n">
        <x:f>F8+E9</x:f>
        <x:v>115000</x:v>
      </x:c>
      <x:c r="G9" s="6" t="n">
        <x:v>-14000</x:v>
      </x:c>
      <x:c r="H9" s="6" t="n">
        <x:v>73000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151000</x:v>
      </x:c>
      <x:c r="D10" s="6" t="n">
        <x:v>16000</x:v>
      </x:c>
      <x:c r="E10" s="6" t="n">
        <x:f>C10-D10</x:f>
        <x:v>135000</x:v>
      </x:c>
      <x:c r="F10" s="6" t="n">
        <x:f>F9+E10</x:f>
        <x:v>250000</x:v>
      </x:c>
      <x:c r="G10" s="6" t="n">
        <x:v>-10000</x:v>
      </x:c>
      <x:c r="H10" s="6" t="n">
        <x:v>81000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19000</x:v>
      </x:c>
      <x:c r="D11" s="6" t="n">
        <x:v>62000</x:v>
      </x:c>
      <x:c r="E11" s="6" t="n">
        <x:f>C11-D11</x:f>
        <x:v>-43000</x:v>
      </x:c>
      <x:c r="F11" s="6" t="n">
        <x:f>F10+E11</x:f>
        <x:v>207000</x:v>
      </x:c>
      <x:c r="G11" s="6" t="n">
        <x:v>-45000</x:v>
      </x:c>
      <x:c r="H11" s="6" t="n">
        <x:v>84000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15000</x:v>
      </x:c>
      <x:c r="D12" s="6" t="n">
        <x:v>125000</x:v>
      </x:c>
      <x:c r="E12" s="6" t="n">
        <x:f>C12-D12</x:f>
        <x:v>-110000</x:v>
      </x:c>
      <x:c r="F12" s="6" t="n">
        <x:f>F11+E12</x:f>
        <x:v>97000</x:v>
      </x:c>
      <x:c r="G12" s="6" t="n">
        <x:v>-118000</x:v>
      </x:c>
      <x:c r="H12" s="6" t="n">
        <x:v>132000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19000</x:v>
      </x:c>
      <x:c r="D13" s="6" t="n">
        <x:v>20000</x:v>
      </x:c>
      <x:c r="E13" s="6" t="n">
        <x:f>C13-D13</x:f>
        <x:v>-1000</x:v>
      </x:c>
      <x:c r="F13" s="6" t="n">
        <x:f>F12+E13</x:f>
        <x:v>96000</x:v>
      </x:c>
      <x:c r="G13" s="6" t="n">
        <x:v>-19000</x:v>
      </x:c>
      <x:c r="H13" s="6" t="n">
        <x:v>38000</x:v>
      </x:c>
    </x:row>
    <x:row r="14" ht="25" customHeight="1">
      <x:c r="A14" s="2" t="str">
        <x:v>2026-10-01_Day</x:v>
      </x:c>
      <x:c r="B14" s="2" t="str">
        <x:v>上昇</x:v>
      </x:c>
      <x:c r="C14" s="6" t="n">
        <x:v>8000</x:v>
      </x:c>
      <x:c r="D14" s="6" t="n">
        <x:v>110000</x:v>
      </x:c>
      <x:c r="E14" s="6" t="n">
        <x:f>C14-D14</x:f>
        <x:v>-102000</x:v>
      </x:c>
      <x:c r="F14" s="6" t="n">
        <x:f>F13+E14</x:f>
        <x:v>-6000</x:v>
      </x:c>
      <x:c r="G14" s="6" t="n">
        <x:v>-102000</x:v>
      </x:c>
      <x:c r="H14" s="6" t="n">
        <x:v>112000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31000</x:v>
      </x:c>
      <x:c r="D15" s="6" t="n">
        <x:v>8000</x:v>
      </x:c>
      <x:c r="E15" s="6" t="n">
        <x:f>C15-D15</x:f>
        <x:v>23000</x:v>
      </x:c>
      <x:c r="F15" s="6" t="n">
        <x:f>F14+E15</x:f>
        <x:v>17000</x:v>
      </x:c>
      <x:c r="G15" s="6" t="n">
        <x:v>-16000</x:v>
      </x:c>
      <x:c r="H15" s="6" t="n">
        <x:v>65000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86000</x:v>
      </x:c>
      <x:c r="D16" s="6" t="n">
        <x:v>46000</x:v>
      </x:c>
      <x:c r="E16" s="6" t="n">
        <x:f>C16-D16</x:f>
        <x:v>40000</x:v>
      </x:c>
      <x:c r="F16" s="6" t="n">
        <x:f>F15+E16</x:f>
        <x:v>57000</x:v>
      </x:c>
      <x:c r="G16" s="6" t="n">
        <x:v>-22000</x:v>
      </x:c>
      <x:c r="H16" s="6" t="n">
        <x:v>86000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27000</x:v>
      </x:c>
      <x:c r="D17" s="6" t="n">
        <x:v>110000</x:v>
      </x:c>
      <x:c r="E17" s="6" t="n">
        <x:f>C17-D17</x:f>
        <x:v>-83000</x:v>
      </x:c>
      <x:c r="F17" s="6" t="n">
        <x:f>F16+E17</x:f>
        <x:v>-26000</x:v>
      </x:c>
      <x:c r="G17" s="6" t="n">
        <x:v>-83000</x:v>
      </x:c>
      <x:c r="H17" s="6" t="n">
        <x:v>142000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128000</x:v>
      </x:c>
      <x:c r="D18" s="6" t="n">
        <x:v>26000</x:v>
      </x:c>
      <x:c r="E18" s="6" t="n">
        <x:f>C18-D18</x:f>
        <x:v>102000</x:v>
      </x:c>
      <x:c r="F18" s="6" t="n">
        <x:f>F17+E18</x:f>
        <x:v>76000</x:v>
      </x:c>
      <x:c r="G18" s="6" t="n">
        <x:v>-6000</x:v>
      </x:c>
      <x:c r="H18" s="6" t="n">
        <x:v>42000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12000</x:v>
      </x:c>
      <x:c r="D19" s="6" t="n">
        <x:v>0</x:v>
      </x:c>
      <x:c r="E19" s="6" t="n">
        <x:f>C19-D19</x:f>
        <x:v>12000</x:v>
      </x:c>
      <x:c r="F19" s="6" t="n">
        <x:f>F18+E19</x:f>
        <x:v>88000</x:v>
      </x:c>
      <x:c r="G19" s="6" t="n">
        <x:v>-26000</x:v>
      </x:c>
      <x:c r="H19" s="6" t="n">
        <x:v>28000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24000</x:v>
      </x:c>
      <x:c r="D20" s="6" t="n">
        <x:v>65000</x:v>
      </x:c>
      <x:c r="E20" s="6" t="n">
        <x:f>C20-D20</x:f>
        <x:v>-41000</x:v>
      </x:c>
      <x:c r="F20" s="6" t="n">
        <x:f>F19+E20</x:f>
        <x:v>47000</x:v>
      </x:c>
      <x:c r="G20" s="6" t="n">
        <x:v>-41000</x:v>
      </x:c>
      <x:c r="H20" s="6" t="n">
        <x:v>106000</x:v>
      </x:c>
    </x:row>
    <x:row r="21" ht="25" customHeight="1">
      <x:c r="A21" s="2" t="str">
        <x:v>2026-10-12_Day</x:v>
      </x:c>
      <x:c r="B21" s="2" t="str">
        <x:v>下落</x:v>
      </x:c>
      <x:c r="C21" s="6" t="n">
        <x:v>4000</x:v>
      </x:c>
      <x:c r="D21" s="6" t="n">
        <x:v>0</x:v>
      </x:c>
      <x:c r="E21" s="6" t="n">
        <x:f>C21-D21</x:f>
        <x:v>4000</x:v>
      </x:c>
      <x:c r="F21" s="6" t="n">
        <x:f>F20+E21</x:f>
        <x:v>51000</x:v>
      </x:c>
      <x:c r="G21" s="6" t="n">
        <x:v>-6000</x:v>
      </x:c>
      <x:c r="H21" s="6" t="n">
        <x:v>8000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100000</x:v>
      </x:c>
      <x:c r="D22" s="6" t="n">
        <x:v>136000</x:v>
      </x:c>
      <x:c r="E22" s="6" t="n">
        <x:f>C22-D22</x:f>
        <x:v>-36000</x:v>
      </x:c>
      <x:c r="F22" s="6" t="n">
        <x:f>F21+E22</x:f>
        <x:v>15000</x:v>
      </x:c>
      <x:c r="G22" s="6" t="n">
        <x:v>-105000</x:v>
      </x:c>
      <x:c r="H22" s="6" t="n">
        <x:v>134000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43000</x:v>
      </x:c>
      <x:c r="E23" s="6" t="n">
        <x:f>C23-D23</x:f>
        <x:v>-43000</x:v>
      </x:c>
      <x:c r="F23" s="6" t="n">
        <x:f>F22+E23</x:f>
        <x:v>-28000</x:v>
      </x:c>
      <x:c r="G23" s="6" t="n">
        <x:v>-43000</x:v>
      </x:c>
      <x:c r="H23" s="6" t="n">
        <x:v>60000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20000</x:v>
      </x:c>
      <x:c r="D24" s="6" t="n">
        <x:v>66000</x:v>
      </x:c>
      <x:c r="E24" s="6" t="n">
        <x:f>C24-D24</x:f>
        <x:v>-46000</x:v>
      </x:c>
      <x:c r="F24" s="6" t="n">
        <x:f>F23+E24</x:f>
        <x:v>-74000</x:v>
      </x:c>
      <x:c r="G24" s="6" t="n">
        <x:v>-64000</x:v>
      </x:c>
      <x:c r="H24" s="6" t="n">
        <x:v>100000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22000</x:v>
      </x:c>
      <x:c r="D25" s="6" t="n">
        <x:v>68000</x:v>
      </x:c>
      <x:c r="E25" s="6" t="n">
        <x:f>C25-D25</x:f>
        <x:v>-46000</x:v>
      </x:c>
      <x:c r="F25" s="6" t="n">
        <x:f>F24+E25</x:f>
        <x:v>-120000</x:v>
      </x:c>
      <x:c r="G25" s="6" t="n">
        <x:v>-46000</x:v>
      </x:c>
      <x:c r="H25" s="6" t="n">
        <x:v>85000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329000</x:v>
      </x:c>
      <x:c r="D26" s="6" t="n">
        <x:v>0</x:v>
      </x:c>
      <x:c r="E26" s="6" t="n">
        <x:f>C26-D26</x:f>
        <x:v>329000</x:v>
      </x:c>
      <x:c r="F26" s="6" t="n">
        <x:f>F25+E26</x:f>
        <x:v>209000</x:v>
      </x:c>
      <x:c r="G26" s="6" t="n">
        <x:v>-8000</x:v>
      </x:c>
      <x:c r="H26" s="6" t="n">
        <x:v>192000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120000</x:v>
      </x:c>
      <x:c r="D27" s="6" t="n">
        <x:v>98000</x:v>
      </x:c>
      <x:c r="E27" s="6" t="n">
        <x:f>C27-D27</x:f>
        <x:v>22000</x:v>
      </x:c>
      <x:c r="F27" s="6" t="n">
        <x:f>F26+E27</x:f>
        <x:v>231000</x:v>
      </x:c>
      <x:c r="G27" s="6" t="n">
        <x:v>-63000</x:v>
      </x:c>
      <x:c r="H27" s="6" t="n">
        <x:v>157000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22000</x:v>
      </x:c>
      <x:c r="D28" s="6" t="n">
        <x:v>68000</x:v>
      </x:c>
      <x:c r="E28" s="6" t="n">
        <x:f>C28-D28</x:f>
        <x:v>-46000</x:v>
      </x:c>
      <x:c r="F28" s="6" t="n">
        <x:f>F27+E28</x:f>
        <x:v>185000</x:v>
      </x:c>
      <x:c r="G28" s="6" t="n">
        <x:v>-89000</x:v>
      </x:c>
      <x:c r="H28" s="6" t="n">
        <x:v>102000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38000</x:v>
      </x:c>
      <x:c r="D29" s="6" t="n">
        <x:v>0</x:v>
      </x:c>
      <x:c r="E29" s="6" t="n">
        <x:f>C29-D29</x:f>
        <x:v>38000</x:v>
      </x:c>
      <x:c r="F29" s="6" t="n">
        <x:f>F28+E29</x:f>
        <x:v>223000</x:v>
      </x:c>
      <x:c r="G29" s="6" t="n">
        <x:v>-6000</x:v>
      </x:c>
      <x:c r="H29" s="6" t="n">
        <x:v>38000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240000</x:v>
      </x:c>
      <x:c r="D30" s="6" t="n">
        <x:v>44000</x:v>
      </x:c>
      <x:c r="E30" s="6" t="n">
        <x:f>C30-D30</x:f>
        <x:v>196000</x:v>
      </x:c>
      <x:c r="F30" s="6" t="n">
        <x:f>F29+E30</x:f>
        <x:v>419000</x:v>
      </x:c>
      <x:c r="G30" s="6" t="n">
        <x:v>-24000</x:v>
      </x:c>
      <x:c r="H30" s="6" t="n">
        <x:v>82000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160000</x:v>
      </x:c>
      <x:c r="D31" s="6" t="n">
        <x:v>70000</x:v>
      </x:c>
      <x:c r="E31" s="6" t="n">
        <x:f>C31-D31</x:f>
        <x:v>90000</x:v>
      </x:c>
      <x:c r="F31" s="6" t="n">
        <x:f>F30+E31</x:f>
        <x:v>509000</x:v>
      </x:c>
      <x:c r="G31" s="6" t="n">
        <x:v>-20000</x:v>
      </x:c>
      <x:c r="H31" s="6" t="n">
        <x:v>148000</x:v>
      </x:c>
    </x:row>
    <x:row r="32" ht="25" customHeight="1">
      <x:c r="A32" s="13" t="str">
        <x:v>累計／場内最悪値</x:v>
      </x:c>
      <x:c r="B32" s="13"/>
      <x:c r="C32" s="14" t="n">
        <x:f>SUM(C6:C31)</x:f>
        <x:v>1690000</x:v>
      </x:c>
      <x:c r="D32" s="14" t="n">
        <x:f>SUM(D6:D31)</x:f>
        <x:v>1181000</x:v>
      </x:c>
      <x:c r="E32" s="14" t="n">
        <x:f>C32-D32</x:f>
        <x:v>509000</x:v>
      </x:c>
      <x:c r="F32" s="14" t="n">
        <x:f>F31</x:f>
        <x:v>509000</x:v>
      </x:c>
      <x:c r="G32" s="14" t="n">
        <x:f>MIN(G6:G31)</x:f>
        <x:v>-118000</x:v>
      </x:c>
      <x:c r="H32" s="14" t="n">
        <x:f>MAX(H6:H31)</x:f>
        <x:v>192000</x:v>
      </x:c>
    </x:row>
  </x:sheetData>
  <x:conditionalFormatting sqref="E6:F31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455d6062e34dd6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完成1分足が2本連続順行なら新規・20pt利益追尾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-4000</x:v>
      </x:c>
      <x:c r="H6" s="6" t="n">
        <x:v>4000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9000</x:v>
      </x:c>
      <x:c r="D9" s="6" t="n">
        <x:v>6000</x:v>
      </x:c>
      <x:c r="E9" s="6" t="n">
        <x:f>C9-D9</x:f>
        <x:v>3000</x:v>
      </x:c>
      <x:c r="F9" s="6" t="n">
        <x:f>F8+E9</x:f>
        <x:v>3000</x:v>
      </x:c>
      <x:c r="G9" s="6" t="n">
        <x:v>-10000</x:v>
      </x:c>
      <x:c r="H9" s="6" t="n">
        <x:v>12000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-11000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6000</x:v>
      </x:c>
      <x:c r="D11" s="6" t="n">
        <x:v>40000</x:v>
      </x:c>
      <x:c r="E11" s="6" t="n">
        <x:f>C11-D11</x:f>
        <x:v>-34000</x:v>
      </x:c>
      <x:c r="F11" s="6" t="n">
        <x:f>F10+E11</x:f>
        <x:v>-45000</x:v>
      </x:c>
      <x:c r="G11" s="6" t="n">
        <x:v>-38000</x:v>
      </x:c>
      <x:c r="H11" s="6" t="n">
        <x:v>44000</x:v>
      </x:c>
    </x:row>
    <x:row r="12" ht="25" customHeight="1">
      <x:c r="A12" s="2" t="str">
        <x:v>2026-09-29_Day</x:v>
      </x:c>
      <x:c r="B12" s="2" t="str">
        <x:v>下落</x:v>
      </x:c>
      <x:c r="C12" s="6" t="n">
        <x:v>3000</x:v>
      </x:c>
      <x:c r="D12" s="6" t="n">
        <x:v>57000</x:v>
      </x:c>
      <x:c r="E12" s="6" t="n">
        <x:f>C12-D12</x:f>
        <x:v>-54000</x:v>
      </x:c>
      <x:c r="F12" s="6" t="n">
        <x:f>F11+E12</x:f>
        <x:v>-99000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1000</x:v>
      </x:c>
      <x:c r="D13" s="6" t="n">
        <x:v>0</x:v>
      </x:c>
      <x:c r="E13" s="6" t="n">
        <x:f>C13-D13</x:f>
        <x:v>1000</x:v>
      </x:c>
      <x:c r="F13" s="6" t="n">
        <x:f>F12+E13</x:f>
        <x:v>-98000</x:v>
      </x:c>
      <x:c r="G13" s="6" t="n">
        <x:v>-13000</x:v>
      </x:c>
      <x:c r="H13" s="6" t="n">
        <x:v>16000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-96000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8000</x:v>
      </x:c>
      <x:c r="D15" s="6" t="n">
        <x:v>0</x:v>
      </x:c>
      <x:c r="E15" s="6" t="n">
        <x:f>C15-D15</x:f>
        <x:v>8000</x:v>
      </x:c>
      <x:c r="F15" s="6" t="n">
        <x:f>F14+E15</x:f>
        <x:v>-88000</x:v>
      </x:c>
      <x:c r="G15" s="6" t="n">
        <x:v>-14000</x:v>
      </x:c>
      <x:c r="H15" s="6" t="n">
        <x:v>15000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5000</x:v>
      </x:c>
      <x:c r="D16" s="6" t="n">
        <x:v>16000</x:v>
      </x:c>
      <x:c r="E16" s="6" t="n">
        <x:f>C16-D16</x:f>
        <x:v>-11000</x:v>
      </x:c>
      <x:c r="F16" s="6" t="n">
        <x:f>F15+E16</x:f>
        <x:v>-99000</x:v>
      </x:c>
      <x:c r="G16" s="6" t="n">
        <x:v>-41000</x:v>
      </x:c>
      <x:c r="H16" s="6" t="n">
        <x:v>41000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2000</x:v>
      </x:c>
      <x:c r="D17" s="6" t="n">
        <x:v>28000</x:v>
      </x:c>
      <x:c r="E17" s="6" t="n">
        <x:f>C17-D17</x:f>
        <x:v>-26000</x:v>
      </x:c>
      <x:c r="F17" s="6" t="n">
        <x:f>F16+E17</x:f>
        <x:v>-125000</x:v>
      </x:c>
      <x:c r="G17" s="6" t="n">
        <x:v>-32000</x:v>
      </x:c>
      <x:c r="H17" s="6" t="n">
        <x:v>34000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-148000</x:v>
      </x:c>
      <x:c r="G18" s="6" t="n">
        <x:v>-30000</x:v>
      </x:c>
      <x:c r="H18" s="6" t="n">
        <x:v>32000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0</x:v>
      </x:c>
      <x:c r="E19" s="6" t="n">
        <x:f>C19-D19</x:f>
        <x:v>0</x:v>
      </x:c>
      <x:c r="F19" s="6" t="n">
        <x:f>F18+E19</x:f>
        <x:v>-148000</x:v>
      </x:c>
      <x:c r="G19" s="6" t="n">
        <x:v>-4000</x:v>
      </x:c>
      <x:c r="H19" s="6" t="n">
        <x:v>6000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20000</x:v>
      </x:c>
      <x:c r="D20" s="6" t="n">
        <x:v>38000</x:v>
      </x:c>
      <x:c r="E20" s="6" t="n">
        <x:f>C20-D20</x:f>
        <x:v>-18000</x:v>
      </x:c>
      <x:c r="F20" s="6" t="n">
        <x:f>F19+E20</x:f>
        <x:v>-166000</x:v>
      </x:c>
      <x:c r="G20" s="6" t="n">
        <x:v>-22000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-166000</x:v>
      </x:c>
      <x:c r="G21" s="6" t="n">
        <x:v>-6000</x:v>
      </x:c>
      <x:c r="H21" s="6" t="n">
        <x:v>6000</x:v>
      </x:c>
    </x:row>
    <x:row r="22" ht="25" customHeight="1">
      <x:c r="A22" s="2" t="str">
        <x:v>2026-10-13_Day</x:v>
      </x:c>
      <x:c r="B22" s="2" t="str">
        <x:v>下落</x:v>
      </x:c>
      <x:c r="C22" s="6" t="n">
        <x:v>4000</x:v>
      </x:c>
      <x:c r="D22" s="6" t="n">
        <x:v>104000</x:v>
      </x:c>
      <x:c r="E22" s="6" t="n">
        <x:f>C22-D22</x:f>
        <x:v>-100000</x:v>
      </x:c>
      <x:c r="F22" s="6" t="n">
        <x:f>F21+E22</x:f>
        <x:v>-266000</x:v>
      </x:c>
      <x:c r="G22" s="6" t="n">
        <x:v>-104000</x:v>
      </x:c>
      <x:c r="H22" s="6" t="n">
        <x:v>106000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1000</x:v>
      </x:c>
      <x:c r="D23" s="6" t="n">
        <x:v>0</x:v>
      </x:c>
      <x:c r="E23" s="6" t="n">
        <x:f>C23-D23</x:f>
        <x:v>1000</x:v>
      </x:c>
      <x:c r="F23" s="6" t="n">
        <x:f>F22+E23</x:f>
        <x:v>-265000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6000</x:v>
      </x:c>
      <x:c r="D24" s="6" t="n">
        <x:v>0</x:v>
      </x:c>
      <x:c r="E24" s="6" t="n">
        <x:f>C24-D24</x:f>
        <x:v>6000</x:v>
      </x:c>
      <x:c r="F24" s="6" t="n">
        <x:f>F23+E24</x:f>
        <x:v>-259000</x:v>
      </x:c>
      <x:c r="G24" s="6" t="n">
        <x:v>-18000</x:v>
      </x:c>
      <x:c r="H24" s="6" t="n">
        <x:v>20000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5000</x:v>
      </x:c>
      <x:c r="D25" s="6" t="n">
        <x:v>9000</x:v>
      </x:c>
      <x:c r="E25" s="6" t="n">
        <x:f>C25-D25</x:f>
        <x:v>-4000</x:v>
      </x:c>
      <x:c r="F25" s="6" t="n">
        <x:f>F24+E25</x:f>
        <x:v>-263000</x:v>
      </x:c>
      <x:c r="G25" s="6" t="n">
        <x:v>-14000</x:v>
      </x:c>
      <x:c r="H25" s="6" t="n">
        <x:v>19000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-260000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15000</x:v>
      </x:c>
      <x:c r="D27" s="6" t="n">
        <x:v>26000</x:v>
      </x:c>
      <x:c r="E27" s="6" t="n">
        <x:f>C27-D27</x:f>
        <x:v>-11000</x:v>
      </x:c>
      <x:c r="F27" s="6" t="n">
        <x:f>F26+E27</x:f>
        <x:v>-271000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</x:v>
      </x:c>
      <x:c r="D28" s="6" t="n">
        <x:v>3000</x:v>
      </x:c>
      <x:c r="E28" s="6" t="n">
        <x:f>C28-D28</x:f>
        <x:v>5000</x:v>
      </x:c>
      <x:c r="F28" s="6" t="n">
        <x:f>F27+E28</x:f>
        <x:v>-266000</x:v>
      </x:c>
      <x:c r="G28" s="6" t="n">
        <x:v>-20000</x:v>
      </x:c>
      <x:c r="H28" s="6" t="n">
        <x:v>20000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-266000</x:v>
      </x:c>
      <x:c r="G29" s="6" t="n">
        <x:v>-7000</x:v>
      </x:c>
      <x:c r="H29" s="6" t="n">
        <x:v>9000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-261000</x:v>
      </x:c>
      <x:c r="G30" s="6" t="n">
        <x:v>-13000</x:v>
      </x:c>
      <x:c r="H30" s="6" t="n">
        <x:v>19000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0</x:v>
      </x:c>
      <x:c r="E31" s="6" t="n">
        <x:f>C31-D31</x:f>
        <x:v>0</x:v>
      </x:c>
      <x:c r="F31" s="6" t="n">
        <x:f>F30+E31</x:f>
        <x:v>-261000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119000</x:v>
      </x:c>
      <x:c r="D32" s="14" t="n">
        <x:f>SUM(D6:D31)</x:f>
        <x:v>380000</x:v>
      </x:c>
      <x:c r="E32" s="14" t="n">
        <x:f>C32-D32</x:f>
        <x:v>-261000</x:v>
      </x:c>
      <x:c r="F32" s="14" t="n">
        <x:f>F31</x:f>
        <x:v>-261000</x:v>
      </x:c>
      <x:c r="G32" s="14" t="n">
        <x:f>MIN(G6:G31)</x:f>
        <x:v>-104000</x:v>
      </x:c>
      <x:c r="H32" s="14" t="n">
        <x:f>MAX(H6:H31)</x:f>
        <x:v>106000</x:v>
      </x:c>
    </x:row>
  </x:sheetData>
  <x:conditionalFormatting sqref="E6:F31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b88679f5d44e68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完成1分足が2本連続順行なら新規・40pt利益追尾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-4000</x:v>
      </x:c>
      <x:c r="H6" s="6" t="n">
        <x:v>4000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-2000</x:v>
      </x:c>
      <x:c r="G9" s="6" t="n">
        <x:v>-10000</x:v>
      </x:c>
      <x:c r="H9" s="6" t="n">
        <x:v>14000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-16000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40000</x:v>
      </x:c>
      <x:c r="E11" s="6" t="n">
        <x:f>C11-D11</x:f>
        <x:v>-36000</x:v>
      </x:c>
      <x:c r="F11" s="6" t="n">
        <x:f>F10+E11</x:f>
        <x:v>-52000</x:v>
      </x:c>
      <x:c r="G11" s="6" t="n">
        <x:v>-40000</x:v>
      </x:c>
      <x:c r="H11" s="6" t="n">
        <x:v>46000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2000</x:v>
      </x:c>
      <x:c r="D12" s="6" t="n">
        <x:v>57000</x:v>
      </x:c>
      <x:c r="E12" s="6" t="n">
        <x:f>C12-D12</x:f>
        <x:v>-55000</x:v>
      </x:c>
      <x:c r="F12" s="6" t="n">
        <x:f>F11+E12</x:f>
        <x:v>-107000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-107000</x:v>
      </x:c>
      <x:c r="G13" s="6" t="n">
        <x:v>-14000</x:v>
      </x:c>
      <x:c r="H13" s="6" t="n">
        <x:v>17000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-105000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8000</x:v>
      </x:c>
      <x:c r="D15" s="6" t="n">
        <x:v>0</x:v>
      </x:c>
      <x:c r="E15" s="6" t="n">
        <x:f>C15-D15</x:f>
        <x:v>8000</x:v>
      </x:c>
      <x:c r="F15" s="6" t="n">
        <x:f>F14+E15</x:f>
        <x:v>-97000</x:v>
      </x:c>
      <x:c r="G15" s="6" t="n">
        <x:v>-14000</x:v>
      </x:c>
      <x:c r="H15" s="6" t="n">
        <x:v>17000</x:v>
      </x:c>
    </x:row>
    <x:row r="16" ht="25" customHeight="1">
      <x:c r="A16" s="2" t="str">
        <x:v>2026-10-05_Day</x:v>
      </x:c>
      <x:c r="B16" s="2" t="str">
        <x:v>上昇</x:v>
      </x:c>
      <x:c r="C16" s="6" t="n">
        <x:v>6000</x:v>
      </x:c>
      <x:c r="D16" s="6" t="n">
        <x:v>16000</x:v>
      </x:c>
      <x:c r="E16" s="6" t="n">
        <x:f>C16-D16</x:f>
        <x:v>-10000</x:v>
      </x:c>
      <x:c r="F16" s="6" t="n">
        <x:f>F15+E16</x:f>
        <x:v>-107000</x:v>
      </x:c>
      <x:c r="G16" s="6" t="n">
        <x:v>-40000</x:v>
      </x:c>
      <x:c r="H16" s="6" t="n">
        <x:v>40000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1000</x:v>
      </x:c>
      <x:c r="D17" s="6" t="n">
        <x:v>28000</x:v>
      </x:c>
      <x:c r="E17" s="6" t="n">
        <x:f>C17-D17</x:f>
        <x:v>-27000</x:v>
      </x:c>
      <x:c r="F17" s="6" t="n">
        <x:f>F16+E17</x:f>
        <x:v>-134000</x:v>
      </x:c>
      <x:c r="G17" s="6" t="n">
        <x:v>-33000</x:v>
      </x:c>
      <x:c r="H17" s="6" t="n">
        <x:v>35000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-157000</x:v>
      </x:c>
      <x:c r="G18" s="6" t="n">
        <x:v>-30000</x:v>
      </x:c>
      <x:c r="H18" s="6" t="n">
        <x:v>32000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0</x:v>
      </x:c>
      <x:c r="E19" s="6" t="n">
        <x:f>C19-D19</x:f>
        <x:v>0</x:v>
      </x:c>
      <x:c r="F19" s="6" t="n">
        <x:f>F18+E19</x:f>
        <x:v>-157000</x:v>
      </x:c>
      <x:c r="G19" s="6" t="n">
        <x:v>-4000</x:v>
      </x:c>
      <x:c r="H19" s="6" t="n">
        <x:v>6000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21000</x:v>
      </x:c>
      <x:c r="D20" s="6" t="n">
        <x:v>38000</x:v>
      </x:c>
      <x:c r="E20" s="6" t="n">
        <x:f>C20-D20</x:f>
        <x:v>-17000</x:v>
      </x:c>
      <x:c r="F20" s="6" t="n">
        <x:f>F19+E20</x:f>
        <x:v>-174000</x:v>
      </x:c>
      <x:c r="G20" s="6" t="n">
        <x:v>-21000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-174000</x:v>
      </x:c>
      <x:c r="G21" s="6" t="n">
        <x:v>-6000</x:v>
      </x:c>
      <x:c r="H21" s="6" t="n">
        <x:v>6000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104000</x:v>
      </x:c>
      <x:c r="E22" s="6" t="n">
        <x:f>C22-D22</x:f>
        <x:v>-104000</x:v>
      </x:c>
      <x:c r="F22" s="6" t="n">
        <x:f>F21+E22</x:f>
        <x:v>-278000</x:v>
      </x:c>
      <x:c r="G22" s="6" t="n">
        <x:v>-108000</x:v>
      </x:c>
      <x:c r="H22" s="6" t="n">
        <x:v>110000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1000</x:v>
      </x:c>
      <x:c r="D23" s="6" t="n">
        <x:v>0</x:v>
      </x:c>
      <x:c r="E23" s="6" t="n">
        <x:f>C23-D23</x:f>
        <x:v>1000</x:v>
      </x:c>
      <x:c r="F23" s="6" t="n">
        <x:f>F22+E23</x:f>
        <x:v>-277000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4000</x:v>
      </x:c>
      <x:c r="D24" s="6" t="n">
        <x:v>0</x:v>
      </x:c>
      <x:c r="E24" s="6" t="n">
        <x:f>C24-D24</x:f>
        <x:v>4000</x:v>
      </x:c>
      <x:c r="F24" s="6" t="n">
        <x:f>F23+E24</x:f>
        <x:v>-273000</x:v>
      </x:c>
      <x:c r="G24" s="6" t="n">
        <x:v>-18000</x:v>
      </x:c>
      <x:c r="H24" s="6" t="n">
        <x:v>22000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19000</x:v>
      </x:c>
      <x:c r="D25" s="6" t="n">
        <x:v>13000</x:v>
      </x:c>
      <x:c r="E25" s="6" t="n">
        <x:f>C25-D25</x:f>
        <x:v>6000</x:v>
      </x:c>
      <x:c r="F25" s="6" t="n">
        <x:f>F24+E25</x:f>
        <x:v>-267000</x:v>
      </x:c>
      <x:c r="G25" s="6" t="n">
        <x:v>-14000</x:v>
      </x:c>
      <x:c r="H25" s="6" t="n">
        <x:v>23000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-264000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</x:v>
      </x:c>
      <x:c r="D27" s="6" t="n">
        <x:v>26000</x:v>
      </x:c>
      <x:c r="E27" s="6" t="n">
        <x:f>C27-D27</x:f>
        <x:v>-14000</x:v>
      </x:c>
      <x:c r="F27" s="6" t="n">
        <x:f>F26+E27</x:f>
        <x:v>-278000</x:v>
      </x:c>
      <x:c r="G27" s="6" t="n">
        <x:v>-24000</x:v>
      </x:c>
      <x:c r="H27" s="6" t="n">
        <x:v>46000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6000</x:v>
      </x:c>
      <x:c r="D28" s="6" t="n">
        <x:v>0</x:v>
      </x:c>
      <x:c r="E28" s="6" t="n">
        <x:f>C28-D28</x:f>
        <x:v>6000</x:v>
      </x:c>
      <x:c r="F28" s="6" t="n">
        <x:f>F27+E28</x:f>
        <x:v>-272000</x:v>
      </x:c>
      <x:c r="G28" s="6" t="n">
        <x:v>-20000</x:v>
      </x:c>
      <x:c r="H28" s="6" t="n">
        <x:v>24000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-272000</x:v>
      </x:c>
      <x:c r="G29" s="6" t="n">
        <x:v>-7000</x:v>
      </x:c>
      <x:c r="H29" s="6" t="n">
        <x:v>9000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24000</x:v>
      </x:c>
      <x:c r="D30" s="6" t="n">
        <x:v>11000</x:v>
      </x:c>
      <x:c r="E30" s="6" t="n">
        <x:f>C30-D30</x:f>
        <x:v>13000</x:v>
      </x:c>
      <x:c r="F30" s="6" t="n">
        <x:f>F29+E30</x:f>
        <x:v>-259000</x:v>
      </x:c>
      <x:c r="G30" s="6" t="n">
        <x:v>-9000</x:v>
      </x:c>
      <x:c r="H30" s="6" t="n">
        <x:v>21000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0</x:v>
      </x:c>
      <x:c r="E31" s="6" t="n">
        <x:f>C31-D31</x:f>
        <x:v>0</x:v>
      </x:c>
      <x:c r="F31" s="6" t="n">
        <x:f>F30+E31</x:f>
        <x:v>-259000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122000</x:v>
      </x:c>
      <x:c r="D32" s="14" t="n">
        <x:f>SUM(D6:D31)</x:f>
        <x:v>381000</x:v>
      </x:c>
      <x:c r="E32" s="14" t="n">
        <x:f>C32-D32</x:f>
        <x:v>-259000</x:v>
      </x:c>
      <x:c r="F32" s="14" t="n">
        <x:f>F31</x:f>
        <x:v>-259000</x:v>
      </x:c>
      <x:c r="G32" s="14" t="n">
        <x:f>MIN(G6:G31)</x:f>
        <x:v>-108000</x:v>
      </x:c>
      <x:c r="H32" s="14" t="n">
        <x:f>MAX(H6:H31)</x:f>
        <x:v>110000</x:v>
      </x:c>
    </x:row>
  </x:sheetData>
  <x:conditionalFormatting sqref="E6:F31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d246a8328c4456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急伸後の停滞を見送る・出口はS01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40000</x:v>
      </x:c>
      <x:c r="E7" s="6" t="n">
        <x:f>C7-D7</x:f>
        <x:v>-40000</x:v>
      </x:c>
      <x:c r="F7" s="6" t="n">
        <x:f>F6+E7</x:f>
        <x:v>-10000</x:v>
      </x:c>
      <x:c r="G7" s="6" t="n">
        <x:v>-40000</x:v>
      </x:c>
      <x:c r="H7" s="6" t="n">
        <x:v>50000</x:v>
      </x:c>
    </x:row>
    <x:row r="8" ht="25" customHeight="1">
      <x:c r="A8" s="2" t="str">
        <x:v>2026-09-23_Day</x:v>
      </x:c>
      <x:c r="B8" s="2" t="str">
        <x:v>下落</x:v>
      </x:c>
      <x:c r="C8" s="6" t="n">
        <x:v>50000</x:v>
      </x:c>
      <x:c r="D8" s="6" t="n">
        <x:v>0</x:v>
      </x:c>
      <x:c r="E8" s="6" t="n">
        <x:f>C8-D8</x:f>
        <x:v>50000</x:v>
      </x:c>
      <x:c r="F8" s="6" t="n">
        <x:f>F7+E8</x:f>
        <x:v>40000</x:v>
      </x:c>
      <x:c r="G8" s="6" t="n">
        <x:v>-15000</x:v>
      </x:c>
      <x:c r="H8" s="6" t="n">
        <x:v>40000</x:v>
      </x:c>
    </x:row>
    <x:row r="9" ht="25" customHeight="1">
      <x:c r="A9" s="2" t="str">
        <x:v>2026-09-24_Day</x:v>
      </x:c>
      <x:c r="B9" s="2" t="str">
        <x:v>下落</x:v>
      </x:c>
      <x:c r="C9" s="6" t="n">
        <x:v>175000</x:v>
      </x:c>
      <x:c r="D9" s="6" t="n">
        <x:v>60000</x:v>
      </x:c>
      <x:c r="E9" s="6" t="n">
        <x:f>C9-D9</x:f>
        <x:v>115000</x:v>
      </x:c>
      <x:c r="F9" s="6" t="n">
        <x:f>F8+E9</x:f>
        <x:v>155000</x:v>
      </x:c>
      <x:c r="G9" s="6" t="n">
        <x:v>-14000</x:v>
      </x:c>
      <x:c r="H9" s="6" t="n">
        <x:v>143000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151000</x:v>
      </x:c>
      <x:c r="D10" s="6" t="n">
        <x:v>16000</x:v>
      </x:c>
      <x:c r="E10" s="6" t="n">
        <x:f>C10-D10</x:f>
        <x:v>135000</x:v>
      </x:c>
      <x:c r="F10" s="6" t="n">
        <x:f>F9+E10</x:f>
        <x:v>290000</x:v>
      </x:c>
      <x:c r="G10" s="6" t="n">
        <x:v>-10000</x:v>
      </x:c>
      <x:c r="H10" s="6" t="n">
        <x:v>81000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19000</x:v>
      </x:c>
      <x:c r="D11" s="6" t="n">
        <x:v>137000</x:v>
      </x:c>
      <x:c r="E11" s="6" t="n">
        <x:f>C11-D11</x:f>
        <x:v>-118000</x:v>
      </x:c>
      <x:c r="F11" s="6" t="n">
        <x:f>F10+E11</x:f>
        <x:v>172000</x:v>
      </x:c>
      <x:c r="G11" s="6" t="n">
        <x:v>-120000</x:v>
      </x:c>
      <x:c r="H11" s="6" t="n">
        <x:v>159000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206000</x:v>
      </x:c>
      <x:c r="D12" s="6" t="n">
        <x:v>125000</x:v>
      </x:c>
      <x:c r="E12" s="6" t="n">
        <x:f>C12-D12</x:f>
        <x:v>81000</x:v>
      </x:c>
      <x:c r="F12" s="6" t="n">
        <x:f>F11+E12</x:f>
        <x:v>253000</x:v>
      </x:c>
      <x:c r="G12" s="6" t="n">
        <x:v>-125000</x:v>
      </x:c>
      <x:c r="H12" s="6" t="n">
        <x:v>218000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194000</x:v>
      </x:c>
      <x:c r="D13" s="6" t="n">
        <x:v>75000</x:v>
      </x:c>
      <x:c r="E13" s="6" t="n">
        <x:f>C13-D13</x:f>
        <x:v>119000</x:v>
      </x:c>
      <x:c r="F13" s="6" t="n">
        <x:f>F12+E13</x:f>
        <x:v>372000</x:v>
      </x:c>
      <x:c r="G13" s="6" t="n">
        <x:v>-72000</x:v>
      </x:c>
      <x:c r="H13" s="6" t="n">
        <x:v>91000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248000</x:v>
      </x:c>
      <x:c r="D14" s="6" t="n">
        <x:v>110000</x:v>
      </x:c>
      <x:c r="E14" s="6" t="n">
        <x:f>C14-D14</x:f>
        <x:v>138000</x:v>
      </x:c>
      <x:c r="F14" s="6" t="n">
        <x:f>F13+E14</x:f>
        <x:v>510000</x:v>
      </x:c>
      <x:c r="G14" s="6" t="n">
        <x:v>-72000</x:v>
      </x:c>
      <x:c r="H14" s="6" t="n">
        <x:v>90000</x:v>
      </x:c>
    </x:row>
    <x:row r="15" ht="25" customHeight="1">
      <x:c r="A15" s="2" t="str">
        <x:v>2026-10-02_Day</x:v>
      </x:c>
      <x:c r="B15" s="2" t="str">
        <x:v>上昇</x:v>
      </x:c>
      <x:c r="C15" s="6" t="n">
        <x:v>31000</x:v>
      </x:c>
      <x:c r="D15" s="6" t="n">
        <x:v>8000</x:v>
      </x:c>
      <x:c r="E15" s="6" t="n">
        <x:f>C15-D15</x:f>
        <x:v>23000</x:v>
      </x:c>
      <x:c r="F15" s="6" t="n">
        <x:f>F14+E15</x:f>
        <x:v>533000</x:v>
      </x:c>
      <x:c r="G15" s="6" t="n">
        <x:v>-16000</x:v>
      </x:c>
      <x:c r="H15" s="6" t="n">
        <x:v>65000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86000</x:v>
      </x:c>
      <x:c r="D16" s="6" t="n">
        <x:v>121000</x:v>
      </x:c>
      <x:c r="E16" s="6" t="n">
        <x:f>C16-D16</x:f>
        <x:v>-35000</x:v>
      </x:c>
      <x:c r="F16" s="6" t="n">
        <x:f>F15+E16</x:f>
        <x:v>498000</x:v>
      </x:c>
      <x:c r="G16" s="6" t="n">
        <x:v>-80000</x:v>
      </x:c>
      <x:c r="H16" s="6" t="n">
        <x:v>115000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142000</x:v>
      </x:c>
      <x:c r="D17" s="6" t="n">
        <x:v>160000</x:v>
      </x:c>
      <x:c r="E17" s="6" t="n">
        <x:f>C17-D17</x:f>
        <x:v>-18000</x:v>
      </x:c>
      <x:c r="F17" s="6" t="n">
        <x:f>F16+E17</x:f>
        <x:v>480000</x:v>
      </x:c>
      <x:c r="G17" s="6" t="n">
        <x:v>-74000</x:v>
      </x:c>
      <x:c r="H17" s="6" t="n">
        <x:v>98000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167000</x:v>
      </x:c>
      <x:c r="D18" s="6" t="n">
        <x:v>46000</x:v>
      </x:c>
      <x:c r="E18" s="6" t="n">
        <x:f>C18-D18</x:f>
        <x:v>121000</x:v>
      </x:c>
      <x:c r="F18" s="6" t="n">
        <x:f>F17+E18</x:f>
        <x:v>601000</x:v>
      </x:c>
      <x:c r="G18" s="6" t="n">
        <x:v>-6000</x:v>
      </x:c>
      <x:c r="H18" s="6" t="n">
        <x:v>62000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126000</x:v>
      </x:c>
      <x:c r="D19" s="6" t="n">
        <x:v>20000</x:v>
      </x:c>
      <x:c r="E19" s="6" t="n">
        <x:f>C19-D19</x:f>
        <x:v>106000</x:v>
      </x:c>
      <x:c r="F19" s="6" t="n">
        <x:f>F18+E19</x:f>
        <x:v>707000</x:v>
      </x:c>
      <x:c r="G19" s="6" t="n">
        <x:v>-26000</x:v>
      </x:c>
      <x:c r="H19" s="6" t="n">
        <x:v>49000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128000</x:v>
      </x:c>
      <x:c r="D20" s="6" t="n">
        <x:v>65000</x:v>
      </x:c>
      <x:c r="E20" s="6" t="n">
        <x:f>C20-D20</x:f>
        <x:v>63000</x:v>
      </x:c>
      <x:c r="F20" s="6" t="n">
        <x:f>F19+E20</x:f>
        <x:v>770000</x:v>
      </x:c>
      <x:c r="G20" s="6" t="n">
        <x:v>-33000</x:v>
      </x:c>
      <x:c r="H20" s="6" t="n">
        <x:v>98000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65000</x:v>
      </x:c>
      <x:c r="D21" s="6" t="n">
        <x:v>0</x:v>
      </x:c>
      <x:c r="E21" s="6" t="n">
        <x:f>C21-D21</x:f>
        <x:v>65000</x:v>
      </x:c>
      <x:c r="F21" s="6" t="n">
        <x:f>F20+E21</x:f>
        <x:v>835000</x:v>
      </x:c>
      <x:c r="G21" s="6" t="n">
        <x:v>-31000</x:v>
      </x:c>
      <x:c r="H21" s="6" t="n">
        <x:v>70000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208000</x:v>
      </x:c>
      <x:c r="D22" s="6" t="n">
        <x:v>151000</x:v>
      </x:c>
      <x:c r="E22" s="6" t="n">
        <x:f>C22-D22</x:f>
        <x:v>57000</x:v>
      </x:c>
      <x:c r="F22" s="6" t="n">
        <x:f>F21+E22</x:f>
        <x:v>892000</x:v>
      </x:c>
      <x:c r="G22" s="6" t="n">
        <x:v>-36000</x:v>
      </x:c>
      <x:c r="H22" s="6" t="n">
        <x:v>113000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149000</x:v>
      </x:c>
      <x:c r="D23" s="6" t="n">
        <x:v>48000</x:v>
      </x:c>
      <x:c r="E23" s="6" t="n">
        <x:f>C23-D23</x:f>
        <x:v>101000</x:v>
      </x:c>
      <x:c r="F23" s="6" t="n">
        <x:f>F22+E23</x:f>
        <x:v>993000</x:v>
      </x:c>
      <x:c r="G23" s="6" t="n">
        <x:v>-58000</x:v>
      </x:c>
      <x:c r="H23" s="6" t="n">
        <x:v>75000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302000</x:v>
      </x:c>
      <x:c r="D24" s="6" t="n">
        <x:v>66000</x:v>
      </x:c>
      <x:c r="E24" s="6" t="n">
        <x:f>C24-D24</x:f>
        <x:v>236000</x:v>
      </x:c>
      <x:c r="F24" s="6" t="n">
        <x:f>F23+E24</x:f>
        <x:v>1229000</x:v>
      </x:c>
      <x:c r="G24" s="6" t="n">
        <x:v>-68000</x:v>
      </x:c>
      <x:c r="H24" s="6" t="n">
        <x:v>118000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84000</x:v>
      </x:c>
      <x:c r="D25" s="6" t="n">
        <x:v>173000</x:v>
      </x:c>
      <x:c r="E25" s="6" t="n">
        <x:f>C25-D25</x:f>
        <x:v>-89000</x:v>
      </x:c>
      <x:c r="F25" s="6" t="n">
        <x:f>F24+E25</x:f>
        <x:v>1140000</x:v>
      </x:c>
      <x:c r="G25" s="6" t="n">
        <x:v>-156000</x:v>
      </x:c>
      <x:c r="H25" s="6" t="n">
        <x:v>178000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329000</x:v>
      </x:c>
      <x:c r="D26" s="6" t="n">
        <x:v>0</x:v>
      </x:c>
      <x:c r="E26" s="6" t="n">
        <x:f>C26-D26</x:f>
        <x:v>329000</x:v>
      </x:c>
      <x:c r="F26" s="6" t="n">
        <x:f>F25+E26</x:f>
        <x:v>1469000</x:v>
      </x:c>
      <x:c r="G26" s="6" t="n">
        <x:v>-8000</x:v>
      </x:c>
      <x:c r="H26" s="6" t="n">
        <x:v>192000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120000</x:v>
      </x:c>
      <x:c r="D27" s="6" t="n">
        <x:v>178000</x:v>
      </x:c>
      <x:c r="E27" s="6" t="n">
        <x:f>C27-D27</x:f>
        <x:v>-58000</x:v>
      </x:c>
      <x:c r="F27" s="6" t="n">
        <x:f>F26+E27</x:f>
        <x:v>1411000</x:v>
      </x:c>
      <x:c r="G27" s="6" t="n">
        <x:v>-143000</x:v>
      </x:c>
      <x:c r="H27" s="6" t="n">
        <x:v>237000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80000</x:v>
      </x:c>
      <x:c r="D28" s="6" t="n">
        <x:v>138000</x:v>
      </x:c>
      <x:c r="E28" s="6" t="n">
        <x:f>C28-D28</x:f>
        <x:v>-58000</x:v>
      </x:c>
      <x:c r="F28" s="6" t="n">
        <x:f>F27+E28</x:f>
        <x:v>1353000</x:v>
      </x:c>
      <x:c r="G28" s="6" t="n">
        <x:v>-148000</x:v>
      </x:c>
      <x:c r="H28" s="6" t="n">
        <x:v>161000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38000</x:v>
      </x:c>
      <x:c r="D29" s="6" t="n">
        <x:v>0</x:v>
      </x:c>
      <x:c r="E29" s="6" t="n">
        <x:f>C29-D29</x:f>
        <x:v>38000</x:v>
      </x:c>
      <x:c r="F29" s="6" t="n">
        <x:f>F28+E29</x:f>
        <x:v>1391000</x:v>
      </x:c>
      <x:c r="G29" s="6" t="n">
        <x:v>-6000</x:v>
      </x:c>
      <x:c r="H29" s="6" t="n">
        <x:v>38000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332000</x:v>
      </x:c>
      <x:c r="D30" s="6" t="n">
        <x:v>44000</x:v>
      </x:c>
      <x:c r="E30" s="6" t="n">
        <x:f>C30-D30</x:f>
        <x:v>288000</x:v>
      </x:c>
      <x:c r="F30" s="6" t="n">
        <x:f>F29+E30</x:f>
        <x:v>1679000</x:v>
      </x:c>
      <x:c r="G30" s="6" t="n">
        <x:v>-24000</x:v>
      </x:c>
      <x:c r="H30" s="6" t="n">
        <x:v>82000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160000</x:v>
      </x:c>
      <x:c r="D31" s="6" t="n">
        <x:v>190000</x:v>
      </x:c>
      <x:c r="E31" s="6" t="n">
        <x:f>C31-D31</x:f>
        <x:v>-30000</x:v>
      </x:c>
      <x:c r="F31" s="6" t="n">
        <x:f>F30+E31</x:f>
        <x:v>1649000</x:v>
      </x:c>
      <x:c r="G31" s="6" t="n">
        <x:v>-126000</x:v>
      </x:c>
      <x:c r="H31" s="6" t="n">
        <x:v>254000</x:v>
      </x:c>
    </x:row>
    <x:row r="32" ht="25" customHeight="1">
      <x:c r="A32" s="13" t="str">
        <x:v>累計／場内最悪値</x:v>
      </x:c>
      <x:c r="B32" s="13"/>
      <x:c r="C32" s="14" t="n">
        <x:f>SUM(C6:C31)</x:f>
        <x:v>3620000</x:v>
      </x:c>
      <x:c r="D32" s="14" t="n">
        <x:f>SUM(D6:D31)</x:f>
        <x:v>1971000</x:v>
      </x:c>
      <x:c r="E32" s="14" t="n">
        <x:f>C32-D32</x:f>
        <x:v>1649000</x:v>
      </x:c>
      <x:c r="F32" s="14" t="n">
        <x:f>F31</x:f>
        <x:v>1649000</x:v>
      </x:c>
      <x:c r="G32" s="14" t="n">
        <x:f>MIN(G6:G31)</x:f>
        <x:v>-156000</x:v>
      </x:c>
      <x:c r="H32" s="14" t="n">
        <x:f>MAX(H6:H31)</x:f>
        <x:v>254000</x:v>
      </x:c>
    </x:row>
  </x:sheetData>
  <x:conditionalFormatting sqref="E6:F31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4a26776d974b22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急伸後の停滞を見送る・20pt利益追尾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-10000</x:v>
      </x:c>
      <x:c r="H7" s="6" t="n">
        <x:v>10000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9000</x:v>
      </x:c>
      <x:c r="D9" s="6" t="n">
        <x:v>6000</x:v>
      </x:c>
      <x:c r="E9" s="6" t="n">
        <x:f>C9-D9</x:f>
        <x:v>3000</x:v>
      </x:c>
      <x:c r="F9" s="6" t="n">
        <x:f>F8+E9</x:f>
        <x:v>3000</x:v>
      </x:c>
      <x:c r="G9" s="6" t="n">
        <x:v>-26000</x:v>
      </x:c>
      <x:c r="H9" s="6" t="n">
        <x:v>36000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-11000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6000</x:v>
      </x:c>
      <x:c r="D11" s="6" t="n">
        <x:v>40000</x:v>
      </x:c>
      <x:c r="E11" s="6" t="n">
        <x:f>C11-D11</x:f>
        <x:v>-34000</x:v>
      </x:c>
      <x:c r="F11" s="6" t="n">
        <x:f>F10+E11</x:f>
        <x:v>-45000</x:v>
      </x:c>
      <x:c r="G11" s="6" t="n">
        <x:v>-38000</x:v>
      </x:c>
      <x:c r="H11" s="6" t="n">
        <x:v>45000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8000</x:v>
      </x:c>
      <x:c r="D12" s="6" t="n">
        <x:v>57000</x:v>
      </x:c>
      <x:c r="E12" s="6" t="n">
        <x:f>C12-D12</x:f>
        <x:v>-49000</x:v>
      </x:c>
      <x:c r="F12" s="6" t="n">
        <x:f>F11+E12</x:f>
        <x:v>-94000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1000</x:v>
      </x:c>
      <x:c r="D13" s="6" t="n">
        <x:v>55000</x:v>
      </x:c>
      <x:c r="E13" s="6" t="n">
        <x:f>C13-D13</x:f>
        <x:v>-54000</x:v>
      </x:c>
      <x:c r="F13" s="6" t="n">
        <x:f>F12+E13</x:f>
        <x:v>-148000</x:v>
      </x:c>
      <x:c r="G13" s="6" t="n">
        <x:v>-68000</x:v>
      </x:c>
      <x:c r="H13" s="6" t="n">
        <x:v>71000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-146000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8000</x:v>
      </x:c>
      <x:c r="D15" s="6" t="n">
        <x:v>0</x:v>
      </x:c>
      <x:c r="E15" s="6" t="n">
        <x:f>C15-D15</x:f>
        <x:v>8000</x:v>
      </x:c>
      <x:c r="F15" s="6" t="n">
        <x:f>F14+E15</x:f>
        <x:v>-138000</x:v>
      </x:c>
      <x:c r="G15" s="6" t="n">
        <x:v>-14000</x:v>
      </x:c>
      <x:c r="H15" s="6" t="n">
        <x:v>15000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10000</x:v>
      </x:c>
      <x:c r="D16" s="6" t="n">
        <x:v>31000</x:v>
      </x:c>
      <x:c r="E16" s="6" t="n">
        <x:f>C16-D16</x:f>
        <x:v>-21000</x:v>
      </x:c>
      <x:c r="F16" s="6" t="n">
        <x:f>F15+E16</x:f>
        <x:v>-159000</x:v>
      </x:c>
      <x:c r="G16" s="6" t="n">
        <x:v>-51000</x:v>
      </x:c>
      <x:c r="H16" s="6" t="n">
        <x:v>51000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7000</x:v>
      </x:c>
      <x:c r="D17" s="6" t="n">
        <x:v>28000</x:v>
      </x:c>
      <x:c r="E17" s="6" t="n">
        <x:f>C17-D17</x:f>
        <x:v>-21000</x:v>
      </x:c>
      <x:c r="F17" s="6" t="n">
        <x:f>F16+E17</x:f>
        <x:v>-180000</x:v>
      </x:c>
      <x:c r="G17" s="6" t="n">
        <x:v>-27000</x:v>
      </x:c>
      <x:c r="H17" s="6" t="n">
        <x:v>36000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-203000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20000</x:v>
      </x:c>
      <x:c r="E19" s="6" t="n">
        <x:f>C19-D19</x:f>
        <x:v>-20000</x:v>
      </x:c>
      <x:c r="F19" s="6" t="n">
        <x:f>F18+E19</x:f>
        <x:v>-223000</x:v>
      </x:c>
      <x:c r="G19" s="6" t="n">
        <x:v>-35000</x:v>
      </x:c>
      <x:c r="H19" s="6" t="n">
        <x:v>40000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20000</x:v>
      </x:c>
      <x:c r="D20" s="6" t="n">
        <x:v>38000</x:v>
      </x:c>
      <x:c r="E20" s="6" t="n">
        <x:f>C20-D20</x:f>
        <x:v>-18000</x:v>
      </x:c>
      <x:c r="F20" s="6" t="n">
        <x:f>F19+E20</x:f>
        <x:v>-241000</x:v>
      </x:c>
      <x:c r="G20" s="6" t="n">
        <x:v>-22000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0</x:v>
      </x:c>
      <x:c r="E21" s="6" t="n">
        <x:f>C21-D21</x:f>
        <x:v>5000</x:v>
      </x:c>
      <x:c r="F21" s="6" t="n">
        <x:f>F20+E21</x:f>
        <x:v>-236000</x:v>
      </x:c>
      <x:c r="G21" s="6" t="n">
        <x:v>-6000</x:v>
      </x:c>
      <x:c r="H21" s="6" t="n">
        <x:v>10000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4000</x:v>
      </x:c>
      <x:c r="D22" s="6" t="n">
        <x:v>104000</x:v>
      </x:c>
      <x:c r="E22" s="6" t="n">
        <x:f>C22-D22</x:f>
        <x:v>-100000</x:v>
      </x:c>
      <x:c r="F22" s="6" t="n">
        <x:f>F21+E22</x:f>
        <x:v>-336000</x:v>
      </x:c>
      <x:c r="G22" s="6" t="n">
        <x:v>-104000</x:v>
      </x:c>
      <x:c r="H22" s="6" t="n">
        <x:v>106000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41000</x:v>
      </x:c>
      <x:c r="D23" s="6" t="n">
        <x:v>0</x:v>
      </x:c>
      <x:c r="E23" s="6" t="n">
        <x:f>C23-D23</x:f>
        <x:v>41000</x:v>
      </x:c>
      <x:c r="F23" s="6" t="n">
        <x:f>F22+E23</x:f>
        <x:v>-295000</x:v>
      </x:c>
      <x:c r="G23" s="6" t="n">
        <x:v>-20000</x:v>
      </x:c>
      <x:c r="H23" s="6" t="n">
        <x:v>20000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11000</x:v>
      </x:c>
      <x:c r="D24" s="6" t="n">
        <x:v>0</x:v>
      </x:c>
      <x:c r="E24" s="6" t="n">
        <x:f>C24-D24</x:f>
        <x:v>11000</x:v>
      </x:c>
      <x:c r="F24" s="6" t="n">
        <x:f>F23+E24</x:f>
        <x:v>-284000</x:v>
      </x:c>
      <x:c r="G24" s="6" t="n">
        <x:v>-18000</x:v>
      </x:c>
      <x:c r="H24" s="6" t="n">
        <x:v>24000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15000</x:v>
      </x:c>
      <x:c r="D25" s="6" t="n">
        <x:v>9000</x:v>
      </x:c>
      <x:c r="E25" s="6" t="n">
        <x:f>C25-D25</x:f>
        <x:v>6000</x:v>
      </x:c>
      <x:c r="F25" s="6" t="n">
        <x:f>F24+E25</x:f>
        <x:v>-278000</x:v>
      </x:c>
      <x:c r="G25" s="6" t="n">
        <x:v>-10000</x:v>
      </x:c>
      <x:c r="H25" s="6" t="n">
        <x:v>24000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-275000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15000</x:v>
      </x:c>
      <x:c r="D27" s="6" t="n">
        <x:v>26000</x:v>
      </x:c>
      <x:c r="E27" s="6" t="n">
        <x:f>C27-D27</x:f>
        <x:v>-11000</x:v>
      </x:c>
      <x:c r="F27" s="6" t="n">
        <x:f>F26+E27</x:f>
        <x:v>-286000</x:v>
      </x:c>
      <x:c r="G27" s="6" t="n">
        <x:v>-24000</x:v>
      </x:c>
      <x:c r="H27" s="6" t="n">
        <x:v>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</x:v>
      </x:c>
      <x:c r="D28" s="6" t="n">
        <x:v>28000</x:v>
      </x:c>
      <x:c r="E28" s="6" t="n">
        <x:f>C28-D28</x:f>
        <x:v>-20000</x:v>
      </x:c>
      <x:c r="F28" s="6" t="n">
        <x:f>F27+E28</x:f>
        <x:v>-306000</x:v>
      </x:c>
      <x:c r="G28" s="6" t="n">
        <x:v>-45000</x:v>
      </x:c>
      <x:c r="H28" s="6" t="n">
        <x:v>53000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-306000</x:v>
      </x:c>
      <x:c r="G29" s="6" t="n">
        <x:v>-7000</x:v>
      </x:c>
      <x:c r="H29" s="6" t="n">
        <x:v>9000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16000</x:v>
      </x:c>
      <x:c r="D30" s="6" t="n">
        <x:v>11000</x:v>
      </x:c>
      <x:c r="E30" s="6" t="n">
        <x:f>C30-D30</x:f>
        <x:v>5000</x:v>
      </x:c>
      <x:c r="F30" s="6" t="n">
        <x:f>F29+E30</x:f>
        <x:v>-301000</x:v>
      </x:c>
      <x:c r="G30" s="6" t="n">
        <x:v>-34000</x:v>
      </x:c>
      <x:c r="H30" s="6" t="n">
        <x:v>49000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-296000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199000</x:v>
      </x:c>
      <x:c r="D32" s="14" t="n">
        <x:f>SUM(D6:D31)</x:f>
        <x:v>495000</x:v>
      </x:c>
      <x:c r="E32" s="14" t="n">
        <x:f>C32-D32</x:f>
        <x:v>-296000</x:v>
      </x:c>
      <x:c r="F32" s="14" t="n">
        <x:f>F31</x:f>
        <x:v>-296000</x:v>
      </x:c>
      <x:c r="G32" s="14" t="n">
        <x:f>MIN(G6:G31)</x:f>
        <x:v>-104000</x:v>
      </x:c>
      <x:c r="H32" s="14" t="n">
        <x:f>MAX(H6:H31)</x:f>
        <x:v>106000</x:v>
      </x:c>
    </x:row>
  </x:sheetData>
  <x:conditionalFormatting sqref="E6:F31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a9e39392f341d9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E09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急伸後の停滞を見送る・40pt利益追尾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-10000</x:v>
      </x:c>
      <x:c r="H6" s="6" t="n">
        <x:v>12000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-10000</x:v>
      </x:c>
      <x:c r="H7" s="6" t="n">
        <x:v>10000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-10000</x:v>
      </x:c>
      <x:c r="H8" s="6" t="n">
        <x:v>10000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6000</x:v>
      </x:c>
      <x:c r="E9" s="6" t="n">
        <x:f>C9-D9</x:f>
        <x:v>-2000</x:v>
      </x:c>
      <x:c r="F9" s="6" t="n">
        <x:f>F8+E9</x:f>
        <x:v>-2000</x:v>
      </x:c>
      <x:c r="G9" s="6" t="n">
        <x:v>-31000</x:v>
      </x:c>
      <x:c r="H9" s="6" t="n">
        <x:v>39000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16000</x:v>
      </x:c>
      <x:c r="E10" s="6" t="n">
        <x:f>C10-D10</x:f>
        <x:v>-14000</x:v>
      </x:c>
      <x:c r="F10" s="6" t="n">
        <x:f>F9+E10</x:f>
        <x:v>-16000</x:v>
      </x:c>
      <x:c r="G10" s="6" t="n">
        <x:v>-14000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40000</x:v>
      </x:c>
      <x:c r="E11" s="6" t="n">
        <x:f>C11-D11</x:f>
        <x:v>-36000</x:v>
      </x:c>
      <x:c r="F11" s="6" t="n">
        <x:f>F10+E11</x:f>
        <x:v>-52000</x:v>
      </x:c>
      <x:c r="G11" s="6" t="n">
        <x:v>-40000</x:v>
      </x:c>
      <x:c r="H11" s="6" t="n">
        <x:v>46000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2000</x:v>
      </x:c>
      <x:c r="D12" s="6" t="n">
        <x:v>57000</x:v>
      </x:c>
      <x:c r="E12" s="6" t="n">
        <x:f>C12-D12</x:f>
        <x:v>-55000</x:v>
      </x:c>
      <x:c r="F12" s="6" t="n">
        <x:f>F11+E12</x:f>
        <x:v>-107000</x:v>
      </x:c>
      <x:c r="G12" s="6" t="n">
        <x:v>-69000</x:v>
      </x:c>
      <x:c r="H12" s="6" t="n">
        <x:v>71000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55000</x:v>
      </x:c>
      <x:c r="E13" s="6" t="n">
        <x:f>C13-D13</x:f>
        <x:v>-55000</x:v>
      </x:c>
      <x:c r="F13" s="6" t="n">
        <x:f>F12+E13</x:f>
        <x:v>-162000</x:v>
      </x:c>
      <x:c r="G13" s="6" t="n">
        <x:v>-69000</x:v>
      </x:c>
      <x:c r="H13" s="6" t="n">
        <x:v>72000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0</x:v>
      </x:c>
      <x:c r="E14" s="6" t="n">
        <x:f>C14-D14</x:f>
        <x:v>2000</x:v>
      </x:c>
      <x:c r="F14" s="6" t="n">
        <x:f>F13+E14</x:f>
        <x:v>-160000</x:v>
      </x:c>
      <x:c r="G14" s="6" t="n">
        <x:v>-22000</x:v>
      </x:c>
      <x:c r="H14" s="6" t="n">
        <x:v>32000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8000</x:v>
      </x:c>
      <x:c r="D15" s="6" t="n">
        <x:v>0</x:v>
      </x:c>
      <x:c r="E15" s="6" t="n">
        <x:f>C15-D15</x:f>
        <x:v>8000</x:v>
      </x:c>
      <x:c r="F15" s="6" t="n">
        <x:f>F14+E15</x:f>
        <x:v>-152000</x:v>
      </x:c>
      <x:c r="G15" s="6" t="n">
        <x:v>-14000</x:v>
      </x:c>
      <x:c r="H15" s="6" t="n">
        <x:v>17000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11000</x:v>
      </x:c>
      <x:c r="D16" s="6" t="n">
        <x:v>31000</x:v>
      </x:c>
      <x:c r="E16" s="6" t="n">
        <x:f>C16-D16</x:f>
        <x:v>-20000</x:v>
      </x:c>
      <x:c r="F16" s="6" t="n">
        <x:f>F15+E16</x:f>
        <x:v>-172000</x:v>
      </x:c>
      <x:c r="G16" s="6" t="n">
        <x:v>-50000</x:v>
      </x:c>
      <x:c r="H16" s="6" t="n">
        <x:v>50000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1000</x:v>
      </x:c>
      <x:c r="D17" s="6" t="n">
        <x:v>28000</x:v>
      </x:c>
      <x:c r="E17" s="6" t="n">
        <x:f>C17-D17</x:f>
        <x:v>-27000</x:v>
      </x:c>
      <x:c r="F17" s="6" t="n">
        <x:f>F16+E17</x:f>
        <x:v>-199000</x:v>
      </x:c>
      <x:c r="G17" s="6" t="n">
        <x:v>-33000</x:v>
      </x:c>
      <x:c r="H17" s="6" t="n">
        <x:v>42000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3000</x:v>
      </x:c>
      <x:c r="D18" s="6" t="n">
        <x:v>26000</x:v>
      </x:c>
      <x:c r="E18" s="6" t="n">
        <x:f>C18-D18</x:f>
        <x:v>-23000</x:v>
      </x:c>
      <x:c r="F18" s="6" t="n">
        <x:f>F17+E18</x:f>
        <x:v>-222000</x:v>
      </x:c>
      <x:c r="G18" s="6" t="n">
        <x:v>-36000</x:v>
      </x:c>
      <x:c r="H18" s="6" t="n">
        <x:v>38000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20000</x:v>
      </x:c>
      <x:c r="E19" s="6" t="n">
        <x:f>C19-D19</x:f>
        <x:v>-20000</x:v>
      </x:c>
      <x:c r="F19" s="6" t="n">
        <x:f>F18+E19</x:f>
        <x:v>-242000</x:v>
      </x:c>
      <x:c r="G19" s="6" t="n">
        <x:v>-35000</x:v>
      </x:c>
      <x:c r="H19" s="6" t="n">
        <x:v>40000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21000</x:v>
      </x:c>
      <x:c r="D20" s="6" t="n">
        <x:v>38000</x:v>
      </x:c>
      <x:c r="E20" s="6" t="n">
        <x:f>C20-D20</x:f>
        <x:v>-17000</x:v>
      </x:c>
      <x:c r="F20" s="6" t="n">
        <x:f>F19+E20</x:f>
        <x:v>-259000</x:v>
      </x:c>
      <x:c r="G20" s="6" t="n">
        <x:v>-21000</x:v>
      </x:c>
      <x:c r="H20" s="6" t="n">
        <x:v>44000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5000</x:v>
      </x:c>
      <x:c r="D21" s="6" t="n">
        <x:v>0</x:v>
      </x:c>
      <x:c r="E21" s="6" t="n">
        <x:f>C21-D21</x:f>
        <x:v>5000</x:v>
      </x:c>
      <x:c r="F21" s="6" t="n">
        <x:f>F20+E21</x:f>
        <x:v>-254000</x:v>
      </x:c>
      <x:c r="G21" s="6" t="n">
        <x:v>-6000</x:v>
      </x:c>
      <x:c r="H21" s="6" t="n">
        <x:v>15000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104000</x:v>
      </x:c>
      <x:c r="E22" s="6" t="n">
        <x:f>C22-D22</x:f>
        <x:v>-104000</x:v>
      </x:c>
      <x:c r="F22" s="6" t="n">
        <x:f>F21+E22</x:f>
        <x:v>-358000</x:v>
      </x:c>
      <x:c r="G22" s="6" t="n">
        <x:v>-108000</x:v>
      </x:c>
      <x:c r="H22" s="6" t="n">
        <x:v>110000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26000</x:v>
      </x:c>
      <x:c r="D23" s="6" t="n">
        <x:v>0</x:v>
      </x:c>
      <x:c r="E23" s="6" t="n">
        <x:f>C23-D23</x:f>
        <x:v>26000</x:v>
      </x:c>
      <x:c r="F23" s="6" t="n">
        <x:f>F22+E23</x:f>
        <x:v>-332000</x:v>
      </x:c>
      <x:c r="G23" s="6" t="n">
        <x:v>-20000</x:v>
      </x:c>
      <x:c r="H23" s="6" t="n">
        <x:v>25000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</x:v>
      </x:c>
      <x:c r="D24" s="6" t="n">
        <x:v>0</x:v>
      </x:c>
      <x:c r="E24" s="6" t="n">
        <x:f>C24-D24</x:f>
        <x:v>9000</x:v>
      </x:c>
      <x:c r="F24" s="6" t="n">
        <x:f>F23+E24</x:f>
        <x:v>-323000</x:v>
      </x:c>
      <x:c r="G24" s="6" t="n">
        <x:v>-18000</x:v>
      </x:c>
      <x:c r="H24" s="6" t="n">
        <x:v>26000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24000</x:v>
      </x:c>
      <x:c r="D25" s="6" t="n">
        <x:v>13000</x:v>
      </x:c>
      <x:c r="E25" s="6" t="n">
        <x:f>C25-D25</x:f>
        <x:v>11000</x:v>
      </x:c>
      <x:c r="F25" s="6" t="n">
        <x:f>F24+E25</x:f>
        <x:v>-312000</x:v>
      </x:c>
      <x:c r="G25" s="6" t="n">
        <x:v>-14000</x:v>
      </x:c>
      <x:c r="H25" s="6" t="n">
        <x:v>29000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3000</x:v>
      </x:c>
      <x:c r="D26" s="6" t="n">
        <x:v>0</x:v>
      </x:c>
      <x:c r="E26" s="6" t="n">
        <x:f>C26-D26</x:f>
        <x:v>3000</x:v>
      </x:c>
      <x:c r="F26" s="6" t="n">
        <x:f>F25+E26</x:f>
        <x:v>-309000</x:v>
      </x:c>
      <x:c r="G26" s="6" t="n">
        <x:v>-17000</x:v>
      </x:c>
      <x:c r="H26" s="6" t="n">
        <x:v>22000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</x:v>
      </x:c>
      <x:c r="D27" s="6" t="n">
        <x:v>26000</x:v>
      </x:c>
      <x:c r="E27" s="6" t="n">
        <x:f>C27-D27</x:f>
        <x:v>-14000</x:v>
      </x:c>
      <x:c r="F27" s="6" t="n">
        <x:f>F26+E27</x:f>
        <x:v>-323000</x:v>
      </x:c>
      <x:c r="G27" s="6" t="n">
        <x:v>-24000</x:v>
      </x:c>
      <x:c r="H27" s="6" t="n">
        <x:v>46000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6000</x:v>
      </x:c>
      <x:c r="D28" s="6" t="n">
        <x:v>25000</x:v>
      </x:c>
      <x:c r="E28" s="6" t="n">
        <x:f>C28-D28</x:f>
        <x:v>-19000</x:v>
      </x:c>
      <x:c r="F28" s="6" t="n">
        <x:f>F27+E28</x:f>
        <x:v>-342000</x:v>
      </x:c>
      <x:c r="G28" s="6" t="n">
        <x:v>-44000</x:v>
      </x:c>
      <x:c r="H28" s="6" t="n">
        <x:v>57000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-342000</x:v>
      </x:c>
      <x:c r="G29" s="6" t="n">
        <x:v>-7000</x:v>
      </x:c>
      <x:c r="H29" s="6" t="n">
        <x:v>9000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24000</x:v>
      </x:c>
      <x:c r="D30" s="6" t="n">
        <x:v>11000</x:v>
      </x:c>
      <x:c r="E30" s="6" t="n">
        <x:f>C30-D30</x:f>
        <x:v>13000</x:v>
      </x:c>
      <x:c r="F30" s="6" t="n">
        <x:f>F29+E30</x:f>
        <x:v>-329000</x:v>
      </x:c>
      <x:c r="G30" s="6" t="n">
        <x:v>-24000</x:v>
      </x:c>
      <x:c r="H30" s="6" t="n">
        <x:v>53000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-324000</x:v>
      </x:c>
      <x:c r="G31" s="6" t="n">
        <x:v>-70000</x:v>
      </x:c>
      <x:c r="H31" s="6" t="n">
        <x:v>78000</x:v>
      </x:c>
    </x:row>
    <x:row r="32" ht="25" customHeight="1">
      <x:c r="A32" s="13" t="str">
        <x:v>累計／場内最悪値</x:v>
      </x:c>
      <x:c r="B32" s="13"/>
      <x:c r="C32" s="14" t="n">
        <x:f>SUM(C6:C31)</x:f>
        <x:v>172000</x:v>
      </x:c>
      <x:c r="D32" s="14" t="n">
        <x:f>SUM(D6:D31)</x:f>
        <x:v>496000</x:v>
      </x:c>
      <x:c r="E32" s="14" t="n">
        <x:f>C32-D32</x:f>
        <x:v>-324000</x:v>
      </x:c>
      <x:c r="F32" s="14" t="n">
        <x:f>F31</x:f>
        <x:v>-324000</x:v>
      </x:c>
      <x:c r="G32" s="14" t="n">
        <x:f>MIN(G6:G31)</x:f>
        <x:v>-108000</x:v>
      </x:c>
      <x:c r="H32" s="14" t="n">
        <x:f>MAX(H6:H31)</x:f>
        <x:v>110000</x:v>
      </x:c>
    </x:row>
  </x:sheetData>
  <x:conditionalFormatting sqref="E6:F31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8f64860317410b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F05＋元同親同方向へ新極値から20pt回復して再参加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17000</x:v>
      </x:c>
      <x:c r="D6" s="6" t="n">
        <x:v>0</x:v>
      </x:c>
      <x:c r="E6" s="6" t="n">
        <x:f>C6-D6</x:f>
        <x:v>17000</x:v>
      </x:c>
      <x:c r="F6" s="6" t="n">
        <x:f>E6</x:f>
        <x:v>17000</x:v>
      </x:c>
      <x:c r="G6" s="6" t="n">
        <x:v>-29000</x:v>
      </x:c>
      <x:c r="H6" s="6" t="n">
        <x:v>60000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80000</x:v>
      </x:c>
      <x:c r="E7" s="6" t="n">
        <x:f>C7-D7</x:f>
        <x:v>-80000</x:v>
      </x:c>
      <x:c r="F7" s="6" t="n">
        <x:f>F6+E7</x:f>
        <x:v>-63000</x:v>
      </x:c>
      <x:c r="G7" s="6" t="n">
        <x:v>-80000</x:v>
      </x:c>
      <x:c r="H7" s="6" t="n">
        <x:v>85000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130000</x:v>
      </x:c>
      <x:c r="E8" s="6" t="n">
        <x:f>C8-D8</x:f>
        <x:v>-130000</x:v>
      </x:c>
      <x:c r="F8" s="6" t="n">
        <x:f>F7+E8</x:f>
        <x:v>-193000</x:v>
      </x:c>
      <x:c r="G8" s="6" t="n">
        <x:v>-130000</x:v>
      </x:c>
      <x:c r="H8" s="6" t="n">
        <x:v>145000</x:v>
      </x:c>
    </x:row>
    <x:row r="9" ht="25" customHeight="1">
      <x:c r="A9" s="2" t="str">
        <x:v>2026-09-24_Day</x:v>
      </x:c>
      <x:c r="B9" s="2" t="str">
        <x:v>下落</x:v>
      </x:c>
      <x:c r="C9" s="6" t="n">
        <x:v>17000</x:v>
      </x:c>
      <x:c r="D9" s="6" t="n">
        <x:v>103000</x:v>
      </x:c>
      <x:c r="E9" s="6" t="n">
        <x:f>C9-D9</x:f>
        <x:v>-86000</x:v>
      </x:c>
      <x:c r="F9" s="6" t="n">
        <x:f>F8+E9</x:f>
        <x:v>-279000</x:v>
      </x:c>
      <x:c r="G9" s="6" t="n">
        <x:v>-107000</x:v>
      </x:c>
      <x:c r="H9" s="6" t="n">
        <x:v>123000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52000</x:v>
      </x:c>
      <x:c r="D10" s="6" t="n">
        <x:v>62000</x:v>
      </x:c>
      <x:c r="E10" s="6" t="n">
        <x:f>C10-D10</x:f>
        <x:v>-10000</x:v>
      </x:c>
      <x:c r="F10" s="6" t="n">
        <x:f>F9+E10</x:f>
        <x:v>-289000</x:v>
      </x:c>
      <x:c r="G10" s="6" t="n">
        <x:v>-62000</x:v>
      </x:c>
      <x:c r="H10" s="6" t="n">
        <x:v>125000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84000</x:v>
      </x:c>
      <x:c r="D11" s="6" t="n">
        <x:v>149000</x:v>
      </x:c>
      <x:c r="E11" s="6" t="n">
        <x:f>C11-D11</x:f>
        <x:v>-65000</x:v>
      </x:c>
      <x:c r="F11" s="6" t="n">
        <x:f>F10+E11</x:f>
        <x:v>-354000</x:v>
      </x:c>
      <x:c r="G11" s="6" t="n">
        <x:v>-200000</x:v>
      </x:c>
      <x:c r="H11" s="6" t="n">
        <x:v>219000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17000</x:v>
      </x:c>
      <x:c r="D12" s="6" t="n">
        <x:v>95000</x:v>
      </x:c>
      <x:c r="E12" s="6" t="n">
        <x:f>C12-D12</x:f>
        <x:v>-78000</x:v>
      </x:c>
      <x:c r="F12" s="6" t="n">
        <x:f>F11+E12</x:f>
        <x:v>-432000</x:v>
      </x:c>
      <x:c r="G12" s="6" t="n">
        <x:v>-175000</x:v>
      </x:c>
      <x:c r="H12" s="6" t="n">
        <x:v>177000</x:v>
      </x:c>
    </x:row>
    <x:row r="13" ht="25" customHeight="1">
      <x:c r="A13" s="2" t="str">
        <x:v>2026-09-30_Day</x:v>
      </x:c>
      <x:c r="B13" s="2" t="str">
        <x:v>上昇</x:v>
      </x:c>
      <x:c r="C13" s="6" t="n">
        <x:v>26000</x:v>
      </x:c>
      <x:c r="D13" s="6" t="n">
        <x:v>97000</x:v>
      </x:c>
      <x:c r="E13" s="6" t="n">
        <x:f>C13-D13</x:f>
        <x:v>-71000</x:v>
      </x:c>
      <x:c r="F13" s="6" t="n">
        <x:f>F12+E13</x:f>
        <x:v>-503000</x:v>
      </x:c>
      <x:c r="G13" s="6" t="n">
        <x:v>-122000</x:v>
      </x:c>
      <x:c r="H13" s="6" t="n">
        <x:v>128000</x:v>
      </x:c>
    </x:row>
    <x:row r="14" ht="25" customHeight="1">
      <x:c r="A14" s="2" t="str">
        <x:v>2026-10-01_Day</x:v>
      </x:c>
      <x:c r="B14" s="2" t="str">
        <x:v>上昇</x:v>
      </x:c>
      <x:c r="C14" s="6" t="n">
        <x:v>48000</x:v>
      </x:c>
      <x:c r="D14" s="6" t="n">
        <x:v>175000</x:v>
      </x:c>
      <x:c r="E14" s="6" t="n">
        <x:f>C14-D14</x:f>
        <x:v>-127000</x:v>
      </x:c>
      <x:c r="F14" s="6" t="n">
        <x:f>F13+E14</x:f>
        <x:v>-630000</x:v>
      </x:c>
      <x:c r="G14" s="6" t="n">
        <x:v>-141000</x:v>
      </x:c>
      <x:c r="H14" s="6" t="n">
        <x:v>151000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10000</x:v>
      </x:c>
      <x:c r="D15" s="6" t="n">
        <x:v>135000</x:v>
      </x:c>
      <x:c r="E15" s="6" t="n">
        <x:f>C15-D15</x:f>
        <x:v>-125000</x:v>
      </x:c>
      <x:c r="F15" s="6" t="n">
        <x:f>F14+E15</x:f>
        <x:v>-755000</x:v>
      </x:c>
      <x:c r="G15" s="6" t="n">
        <x:v>-125000</x:v>
      </x:c>
      <x:c r="H15" s="6" t="n">
        <x:v>165000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9000</x:v>
      </x:c>
      <x:c r="D16" s="6" t="n">
        <x:v>258000</x:v>
      </x:c>
      <x:c r="E16" s="6" t="n">
        <x:f>C16-D16</x:f>
        <x:v>-249000</x:v>
      </x:c>
      <x:c r="F16" s="6" t="n">
        <x:f>F15+E16</x:f>
        <x:v>-1004000</x:v>
      </x:c>
      <x:c r="G16" s="6" t="n">
        <x:v>-256000</x:v>
      </x:c>
      <x:c r="H16" s="6" t="n">
        <x:v>256000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238000</x:v>
      </x:c>
      <x:c r="E17" s="6" t="n">
        <x:f>C17-D17</x:f>
        <x:v>-238000</x:v>
      </x:c>
      <x:c r="F17" s="6" t="n">
        <x:f>F16+E17</x:f>
        <x:v>-1242000</x:v>
      </x:c>
      <x:c r="G17" s="6" t="n">
        <x:v>-238000</x:v>
      </x:c>
      <x:c r="H17" s="6" t="n">
        <x:v>243000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7000</x:v>
      </x:c>
      <x:c r="D18" s="6" t="n">
        <x:v>31000</x:v>
      </x:c>
      <x:c r="E18" s="6" t="n">
        <x:f>C18-D18</x:f>
        <x:v>-24000</x:v>
      </x:c>
      <x:c r="F18" s="6" t="n">
        <x:f>F17+E18</x:f>
        <x:v>-1266000</x:v>
      </x:c>
      <x:c r="G18" s="6" t="n">
        <x:v>-58000</x:v>
      </x:c>
      <x:c r="H18" s="6" t="n">
        <x:v>65000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189000</x:v>
      </x:c>
      <x:c r="E19" s="6" t="n">
        <x:f>C19-D19</x:f>
        <x:v>-189000</x:v>
      </x:c>
      <x:c r="F19" s="6" t="n">
        <x:f>F18+E19</x:f>
        <x:v>-1455000</x:v>
      </x:c>
      <x:c r="G19" s="6" t="n">
        <x:v>-209000</x:v>
      </x:c>
      <x:c r="H19" s="6" t="n">
        <x:v>213000</x:v>
      </x:c>
    </x:row>
    <x:row r="20" ht="25" customHeight="1">
      <x:c r="A20" s="2" t="str">
        <x:v>2026-10-09_Day</x:v>
      </x:c>
      <x:c r="B20" s="2" t="str">
        <x:v>上昇</x:v>
      </x:c>
      <x:c r="C20" s="6" t="n">
        <x:v>37000</x:v>
      </x:c>
      <x:c r="D20" s="6" t="n">
        <x:v>69000</x:v>
      </x:c>
      <x:c r="E20" s="6" t="n">
        <x:f>C20-D20</x:f>
        <x:v>-32000</x:v>
      </x:c>
      <x:c r="F20" s="6" t="n">
        <x:f>F19+E20</x:f>
        <x:v>-1487000</x:v>
      </x:c>
      <x:c r="G20" s="6" t="n">
        <x:v>-55000</x:v>
      </x:c>
      <x:c r="H20" s="6" t="n">
        <x:v>83000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22000</x:v>
      </x:c>
      <x:c r="D21" s="6" t="n">
        <x:v>63000</x:v>
      </x:c>
      <x:c r="E21" s="6" t="n">
        <x:f>C21-D21</x:f>
        <x:v>-41000</x:v>
      </x:c>
      <x:c r="F21" s="6" t="n">
        <x:f>F20+E21</x:f>
        <x:v>-1528000</x:v>
      </x:c>
      <x:c r="G21" s="6" t="n">
        <x:v>-88000</x:v>
      </x:c>
      <x:c r="H21" s="6" t="n">
        <x:v>90000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2000</x:v>
      </x:c>
      <x:c r="D22" s="6" t="n">
        <x:v>336000</x:v>
      </x:c>
      <x:c r="E22" s="6" t="n">
        <x:f>C22-D22</x:f>
        <x:v>-334000</x:v>
      </x:c>
      <x:c r="F22" s="6" t="n">
        <x:f>F21+E22</x:f>
        <x:v>-1862000</x:v>
      </x:c>
      <x:c r="G22" s="6" t="n">
        <x:v>-354000</x:v>
      </x:c>
      <x:c r="H22" s="6" t="n">
        <x:v>370000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44000</x:v>
      </x:c>
      <x:c r="D23" s="6" t="n">
        <x:v>48000</x:v>
      </x:c>
      <x:c r="E23" s="6" t="n">
        <x:f>C23-D23</x:f>
        <x:v>-4000</x:v>
      </x:c>
      <x:c r="F23" s="6" t="n">
        <x:f>F22+E23</x:f>
        <x:v>-1866000</x:v>
      </x:c>
      <x:c r="G23" s="6" t="n">
        <x:v>-43000</x:v>
      </x:c>
      <x:c r="H23" s="6" t="n">
        <x:v>71000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15000</x:v>
      </x:c>
      <x:c r="D24" s="6" t="n">
        <x:v>92000</x:v>
      </x:c>
      <x:c r="E24" s="6" t="n">
        <x:f>C24-D24</x:f>
        <x:v>-77000</x:v>
      </x:c>
      <x:c r="F24" s="6" t="n">
        <x:f>F23+E24</x:f>
        <x:v>-1943000</x:v>
      </x:c>
      <x:c r="G24" s="6" t="n">
        <x:v>-131000</x:v>
      </x:c>
      <x:c r="H24" s="6" t="n">
        <x:v>158000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29000</x:v>
      </x:c>
      <x:c r="D25" s="6" t="n">
        <x:v>326000</x:v>
      </x:c>
      <x:c r="E25" s="6" t="n">
        <x:f>C25-D25</x:f>
        <x:v>-297000</x:v>
      </x:c>
      <x:c r="F25" s="6" t="n">
        <x:f>F24+E25</x:f>
        <x:v>-2240000</x:v>
      </x:c>
      <x:c r="G25" s="6" t="n">
        <x:v>-297000</x:v>
      </x:c>
      <x:c r="H25" s="6" t="n">
        <x:v>312000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23000</x:v>
      </x:c>
      <x:c r="D26" s="6" t="n">
        <x:v>26000</x:v>
      </x:c>
      <x:c r="E26" s="6" t="n">
        <x:f>C26-D26</x:f>
        <x:v>-3000</x:v>
      </x:c>
      <x:c r="F26" s="6" t="n">
        <x:f>F25+E26</x:f>
        <x:v>-2243000</x:v>
      </x:c>
      <x:c r="G26" s="6" t="n">
        <x:v>-149000</x:v>
      </x:c>
      <x:c r="H26" s="6" t="n">
        <x:v>204000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460000</x:v>
      </x:c>
      <x:c r="E27" s="6" t="n">
        <x:f>C27-D27</x:f>
        <x:v>-460000</x:v>
      </x:c>
      <x:c r="F27" s="6" t="n">
        <x:f>F26+E27</x:f>
        <x:v>-2703000</x:v>
      </x:c>
      <x:c r="G27" s="6" t="n">
        <x:v>-462000</x:v>
      </x:c>
      <x:c r="H27" s="6" t="n">
        <x:v>468000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6000</x:v>
      </x:c>
      <x:c r="D28" s="6" t="n">
        <x:v>218000</x:v>
      </x:c>
      <x:c r="E28" s="6" t="n">
        <x:f>C28-D28</x:f>
        <x:v>-212000</x:v>
      </x:c>
      <x:c r="F28" s="6" t="n">
        <x:f>F27+E28</x:f>
        <x:v>-2915000</x:v>
      </x:c>
      <x:c r="G28" s="6" t="n">
        <x:v>-259000</x:v>
      </x:c>
      <x:c r="H28" s="6" t="n">
        <x:v>267000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22000</x:v>
      </x:c>
      <x:c r="D29" s="6" t="n">
        <x:v>0</x:v>
      </x:c>
      <x:c r="E29" s="6" t="n">
        <x:f>C29-D29</x:f>
        <x:v>22000</x:v>
      </x:c>
      <x:c r="F29" s="6" t="n">
        <x:f>F28+E29</x:f>
        <x:v>-2893000</x:v>
      </x:c>
      <x:c r="G29" s="6" t="n">
        <x:v>-90000</x:v>
      </x:c>
      <x:c r="H29" s="6" t="n">
        <x:v>133000</x:v>
      </x:c>
    </x:row>
    <x:row r="30" ht="25" customHeight="1">
      <x:c r="A30" s="2" t="str">
        <x:v>2026-10-23_Day</x:v>
      </x:c>
      <x:c r="B30" s="2" t="str">
        <x:v>上昇</x:v>
      </x:c>
      <x:c r="C30" s="6" t="n">
        <x:v>65000</x:v>
      </x:c>
      <x:c r="D30" s="6" t="n">
        <x:v>188000</x:v>
      </x:c>
      <x:c r="E30" s="6" t="n">
        <x:f>C30-D30</x:f>
        <x:v>-123000</x:v>
      </x:c>
      <x:c r="F30" s="6" t="n">
        <x:f>F29+E30</x:f>
        <x:v>-3016000</x:v>
      </x:c>
      <x:c r="G30" s="6" t="n">
        <x:v>-133000</x:v>
      </x:c>
      <x:c r="H30" s="6" t="n">
        <x:v>141000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14000</x:v>
      </x:c>
      <x:c r="D31" s="6" t="n">
        <x:v>201000</x:v>
      </x:c>
      <x:c r="E31" s="6" t="n">
        <x:f>C31-D31</x:f>
        <x:v>-187000</x:v>
      </x:c>
      <x:c r="F31" s="6" t="n">
        <x:f>F30+E31</x:f>
        <x:v>-3203000</x:v>
      </x:c>
      <x:c r="G31" s="6" t="n">
        <x:v>-232000</x:v>
      </x:c>
      <x:c r="H31" s="6" t="n">
        <x:v>249000</x:v>
      </x:c>
    </x:row>
    <x:row r="32" ht="25" customHeight="1">
      <x:c r="A32" s="13" t="str">
        <x:v>累計／場内最悪値</x:v>
      </x:c>
      <x:c r="B32" s="13"/>
      <x:c r="C32" s="14" t="n">
        <x:f>SUM(C6:C31)</x:f>
        <x:v>566000</x:v>
      </x:c>
      <x:c r="D32" s="14" t="n">
        <x:f>SUM(D6:D31)</x:f>
        <x:v>3769000</x:v>
      </x:c>
      <x:c r="E32" s="14" t="n">
        <x:f>C32-D32</x:f>
        <x:v>-3203000</x:v>
      </x:c>
      <x:c r="F32" s="14" t="n">
        <x:f>F31</x:f>
        <x:v>-3203000</x:v>
      </x:c>
      <x:c r="G32" s="14" t="n">
        <x:f>MIN(G6:G31)</x:f>
        <x:v>-462000</x:v>
      </x:c>
      <x:c r="H32" s="14" t="n">
        <x:f>MAX(H6:H31)</x:f>
        <x:v>468000</x:v>
      </x:c>
    </x:row>
  </x:sheetData>
  <x:conditionalFormatting sqref="E6:F31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9ee2554a2345f8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F05＋元同親同方向へ新極値から40pt回復して再参加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20000</x:v>
      </x:c>
      <x:c r="D6" s="6" t="n">
        <x:v>6000</x:v>
      </x:c>
      <x:c r="E6" s="6" t="n">
        <x:f>C6-D6</x:f>
        <x:v>14000</x:v>
      </x:c>
      <x:c r="F6" s="6" t="n">
        <x:f>E6</x:f>
        <x:v>14000</x:v>
      </x:c>
      <x:c r="G6" s="6" t="n">
        <x:v>-21000</x:v>
      </x:c>
      <x:c r="H6" s="6" t="n">
        <x:v>40000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80000</x:v>
      </x:c>
      <x:c r="E7" s="6" t="n">
        <x:f>C7-D7</x:f>
        <x:v>-80000</x:v>
      </x:c>
      <x:c r="F7" s="6" t="n">
        <x:f>F6+E7</x:f>
        <x:v>-66000</x:v>
      </x:c>
      <x:c r="G7" s="6" t="n">
        <x:v>-80000</x:v>
      </x:c>
      <x:c r="H7" s="6" t="n">
        <x:v>85000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125000</x:v>
      </x:c>
      <x:c r="E8" s="6" t="n">
        <x:f>C8-D8</x:f>
        <x:v>-125000</x:v>
      </x:c>
      <x:c r="F8" s="6" t="n">
        <x:f>F7+E8</x:f>
        <x:v>-191000</x:v>
      </x:c>
      <x:c r="G8" s="6" t="n">
        <x:v>-125000</x:v>
      </x:c>
      <x:c r="H8" s="6" t="n">
        <x:v>135000</x:v>
      </x:c>
    </x:row>
    <x:row r="9" ht="25" customHeight="1">
      <x:c r="A9" s="2" t="str">
        <x:v>2026-09-24_Day</x:v>
      </x:c>
      <x:c r="B9" s="2" t="str">
        <x:v>下落</x:v>
      </x:c>
      <x:c r="C9" s="6" t="n">
        <x:v>12000</x:v>
      </x:c>
      <x:c r="D9" s="6" t="n">
        <x:v>106000</x:v>
      </x:c>
      <x:c r="E9" s="6" t="n">
        <x:f>C9-D9</x:f>
        <x:v>-94000</x:v>
      </x:c>
      <x:c r="F9" s="6" t="n">
        <x:f>F8+E9</x:f>
        <x:v>-285000</x:v>
      </x:c>
      <x:c r="G9" s="6" t="n">
        <x:v>-111000</x:v>
      </x:c>
      <x:c r="H9" s="6" t="n">
        <x:v>124000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50000</x:v>
      </x:c>
      <x:c r="D10" s="6" t="n">
        <x:v>67000</x:v>
      </x:c>
      <x:c r="E10" s="6" t="n">
        <x:f>C10-D10</x:f>
        <x:v>-17000</x:v>
      </x:c>
      <x:c r="F10" s="6" t="n">
        <x:f>F9+E10</x:f>
        <x:v>-302000</x:v>
      </x:c>
      <x:c r="G10" s="6" t="n">
        <x:v>-76000</x:v>
      </x:c>
      <x:c r="H10" s="6" t="n">
        <x:v>149000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113000</x:v>
      </x:c>
      <x:c r="D11" s="6" t="n">
        <x:v>132000</x:v>
      </x:c>
      <x:c r="E11" s="6" t="n">
        <x:f>C11-D11</x:f>
        <x:v>-19000</x:v>
      </x:c>
      <x:c r="F11" s="6" t="n">
        <x:f>F10+E11</x:f>
        <x:v>-321000</x:v>
      </x:c>
      <x:c r="G11" s="6" t="n">
        <x:v>-177000</x:v>
      </x:c>
      <x:c r="H11" s="6" t="n">
        <x:v>191000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43000</x:v>
      </x:c>
      <x:c r="D12" s="6" t="n">
        <x:v>107000</x:v>
      </x:c>
      <x:c r="E12" s="6" t="n">
        <x:f>C12-D12</x:f>
        <x:v>-64000</x:v>
      </x:c>
      <x:c r="F12" s="6" t="n">
        <x:f>F11+E12</x:f>
        <x:v>-385000</x:v>
      </x:c>
      <x:c r="G12" s="6" t="n">
        <x:v>-216000</x:v>
      </x:c>
      <x:c r="H12" s="6" t="n">
        <x:v>222000</x:v>
      </x:c>
    </x:row>
    <x:row r="13" ht="25" customHeight="1">
      <x:c r="A13" s="2" t="str">
        <x:v>2026-09-30_Day</x:v>
      </x:c>
      <x:c r="B13" s="2" t="str">
        <x:v>上昇</x:v>
      </x:c>
      <x:c r="C13" s="6" t="n">
        <x:v>80000</x:v>
      </x:c>
      <x:c r="D13" s="6" t="n">
        <x:v>96000</x:v>
      </x:c>
      <x:c r="E13" s="6" t="n">
        <x:f>C13-D13</x:f>
        <x:v>-16000</x:v>
      </x:c>
      <x:c r="F13" s="6" t="n">
        <x:f>F12+E13</x:f>
        <x:v>-401000</x:v>
      </x:c>
      <x:c r="G13" s="6" t="n">
        <x:v>-108000</x:v>
      </x:c>
      <x:c r="H13" s="6" t="n">
        <x:v>116000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199000</x:v>
      </x:c>
      <x:c r="E14" s="6" t="n">
        <x:f>C14-D14</x:f>
        <x:v>-199000</x:v>
      </x:c>
      <x:c r="F14" s="6" t="n">
        <x:f>F13+E14</x:f>
        <x:v>-600000</x:v>
      </x:c>
      <x:c r="G14" s="6" t="n">
        <x:v>-199000</x:v>
      </x:c>
      <x:c r="H14" s="6" t="n">
        <x:v>209000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14000</x:v>
      </x:c>
      <x:c r="D15" s="6" t="n">
        <x:v>128000</x:v>
      </x:c>
      <x:c r="E15" s="6" t="n">
        <x:f>C15-D15</x:f>
        <x:v>-114000</x:v>
      </x:c>
      <x:c r="F15" s="6" t="n">
        <x:f>F14+E15</x:f>
        <x:v>-714000</x:v>
      </x:c>
      <x:c r="G15" s="6" t="n">
        <x:v>-128000</x:v>
      </x:c>
      <x:c r="H15" s="6" t="n">
        <x:v>161000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12000</x:v>
      </x:c>
      <x:c r="D16" s="6" t="n">
        <x:v>239000</x:v>
      </x:c>
      <x:c r="E16" s="6" t="n">
        <x:f>C16-D16</x:f>
        <x:v>-227000</x:v>
      </x:c>
      <x:c r="F16" s="6" t="n">
        <x:f>F15+E16</x:f>
        <x:v>-941000</x:v>
      </x:c>
      <x:c r="G16" s="6" t="n">
        <x:v>-234000</x:v>
      </x:c>
      <x:c r="H16" s="6" t="n">
        <x:v>234000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20000</x:v>
      </x:c>
      <x:c r="D17" s="6" t="n">
        <x:v>149000</x:v>
      </x:c>
      <x:c r="E17" s="6" t="n">
        <x:f>C17-D17</x:f>
        <x:v>-129000</x:v>
      </x:c>
      <x:c r="F17" s="6" t="n">
        <x:f>F16+E17</x:f>
        <x:v>-1070000</x:v>
      </x:c>
      <x:c r="G17" s="6" t="n">
        <x:v>-129000</x:v>
      </x:c>
      <x:c r="H17" s="6" t="n">
        <x:v>132000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36000</x:v>
      </x:c>
      <x:c r="D18" s="6" t="n">
        <x:v>64000</x:v>
      </x:c>
      <x:c r="E18" s="6" t="n">
        <x:f>C18-D18</x:f>
        <x:v>-28000</x:v>
      </x:c>
      <x:c r="F18" s="6" t="n">
        <x:f>F17+E18</x:f>
        <x:v>-1098000</x:v>
      </x:c>
      <x:c r="G18" s="6" t="n">
        <x:v>-76000</x:v>
      </x:c>
      <x:c r="H18" s="6" t="n">
        <x:v>84000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25000</x:v>
      </x:c>
      <x:c r="D19" s="6" t="n">
        <x:v>190000</x:v>
      </x:c>
      <x:c r="E19" s="6" t="n">
        <x:f>C19-D19</x:f>
        <x:v>-165000</x:v>
      </x:c>
      <x:c r="F19" s="6" t="n">
        <x:f>F18+E19</x:f>
        <x:v>-1263000</x:v>
      </x:c>
      <x:c r="G19" s="6" t="n">
        <x:v>-205000</x:v>
      </x:c>
      <x:c r="H19" s="6" t="n">
        <x:v>207000</x:v>
      </x:c>
    </x:row>
    <x:row r="20" ht="25" customHeight="1">
      <x:c r="A20" s="2" t="str">
        <x:v>2026-10-09_Day</x:v>
      </x:c>
      <x:c r="B20" s="2" t="str">
        <x:v>上昇</x:v>
      </x:c>
      <x:c r="C20" s="6" t="n">
        <x:v>54000</x:v>
      </x:c>
      <x:c r="D20" s="6" t="n">
        <x:v>82000</x:v>
      </x:c>
      <x:c r="E20" s="6" t="n">
        <x:f>C20-D20</x:f>
        <x:v>-28000</x:v>
      </x:c>
      <x:c r="F20" s="6" t="n">
        <x:f>F19+E20</x:f>
        <x:v>-1291000</x:v>
      </x:c>
      <x:c r="G20" s="6" t="n">
        <x:v>-61000</x:v>
      </x:c>
      <x:c r="H20" s="6" t="n">
        <x:v>85000</x:v>
      </x:c>
    </x:row>
    <x:row r="21" ht="25" customHeight="1">
      <x:c r="A21" s="2" t="str">
        <x:v>2026-10-12_Day</x:v>
      </x:c>
      <x:c r="B21" s="2" t="str">
        <x:v>下落</x:v>
      </x:c>
      <x:c r="C21" s="6" t="n">
        <x:v>24000</x:v>
      </x:c>
      <x:c r="D21" s="6" t="n">
        <x:v>63000</x:v>
      </x:c>
      <x:c r="E21" s="6" t="n">
        <x:f>C21-D21</x:f>
        <x:v>-39000</x:v>
      </x:c>
      <x:c r="F21" s="6" t="n">
        <x:f>F20+E21</x:f>
        <x:v>-1330000</x:v>
      </x:c>
      <x:c r="G21" s="6" t="n">
        <x:v>-93000</x:v>
      </x:c>
      <x:c r="H21" s="6" t="n">
        <x:v>95000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20000</x:v>
      </x:c>
      <x:c r="D22" s="6" t="n">
        <x:v>323000</x:v>
      </x:c>
      <x:c r="E22" s="6" t="n">
        <x:f>C22-D22</x:f>
        <x:v>-303000</x:v>
      </x:c>
      <x:c r="F22" s="6" t="n">
        <x:f>F21+E22</x:f>
        <x:v>-1633000</x:v>
      </x:c>
      <x:c r="G22" s="6" t="n">
        <x:v>-322000</x:v>
      </x:c>
      <x:c r="H22" s="6" t="n">
        <x:v>338000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100000</x:v>
      </x:c>
      <x:c r="D23" s="6" t="n">
        <x:v>67000</x:v>
      </x:c>
      <x:c r="E23" s="6" t="n">
        <x:f>C23-D23</x:f>
        <x:v>33000</x:v>
      </x:c>
      <x:c r="F23" s="6" t="n">
        <x:f>F22+E23</x:f>
        <x:v>-1600000</x:v>
      </x:c>
      <x:c r="G23" s="6" t="n">
        <x:v>-32000</x:v>
      </x:c>
      <x:c r="H23" s="6" t="n">
        <x:v>85000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74000</x:v>
      </x:c>
      <x:c r="D24" s="6" t="n">
        <x:v>90000</x:v>
      </x:c>
      <x:c r="E24" s="6" t="n">
        <x:f>C24-D24</x:f>
        <x:v>-16000</x:v>
      </x:c>
      <x:c r="F24" s="6" t="n">
        <x:f>F23+E24</x:f>
        <x:v>-1616000</x:v>
      </x:c>
      <x:c r="G24" s="6" t="n">
        <x:v>-80000</x:v>
      </x:c>
      <x:c r="H24" s="6" t="n">
        <x:v>130000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27000</x:v>
      </x:c>
      <x:c r="D25" s="6" t="n">
        <x:v>312000</x:v>
      </x:c>
      <x:c r="E25" s="6" t="n">
        <x:f>C25-D25</x:f>
        <x:v>-285000</x:v>
      </x:c>
      <x:c r="F25" s="6" t="n">
        <x:f>F24+E25</x:f>
        <x:v>-1901000</x:v>
      </x:c>
      <x:c r="G25" s="6" t="n">
        <x:v>-285000</x:v>
      </x:c>
      <x:c r="H25" s="6" t="n">
        <x:v>300000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29000</x:v>
      </x:c>
      <x:c r="D26" s="6" t="n">
        <x:v>17000</x:v>
      </x:c>
      <x:c r="E26" s="6" t="n">
        <x:f>C26-D26</x:f>
        <x:v>12000</x:v>
      </x:c>
      <x:c r="F26" s="6" t="n">
        <x:f>F25+E26</x:f>
        <x:v>-1889000</x:v>
      </x:c>
      <x:c r="G26" s="6" t="n">
        <x:v>-158000</x:v>
      </x:c>
      <x:c r="H26" s="6" t="n">
        <x:v>210000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33000</x:v>
      </x:c>
      <x:c r="D27" s="6" t="n">
        <x:v>400000</x:v>
      </x:c>
      <x:c r="E27" s="6" t="n">
        <x:f>C27-D27</x:f>
        <x:v>-367000</x:v>
      </x:c>
      <x:c r="F27" s="6" t="n">
        <x:f>F26+E27</x:f>
        <x:v>-2256000</x:v>
      </x:c>
      <x:c r="G27" s="6" t="n">
        <x:v>-389000</x:v>
      </x:c>
      <x:c r="H27" s="6" t="n">
        <x:v>393000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15000</x:v>
      </x:c>
      <x:c r="D28" s="6" t="n">
        <x:v>191000</x:v>
      </x:c>
      <x:c r="E28" s="6" t="n">
        <x:f>C28-D28</x:f>
        <x:v>-176000</x:v>
      </x:c>
      <x:c r="F28" s="6" t="n">
        <x:f>F27+E28</x:f>
        <x:v>-2432000</x:v>
      </x:c>
      <x:c r="G28" s="6" t="n">
        <x:v>-219000</x:v>
      </x:c>
      <x:c r="H28" s="6" t="n">
        <x:v>227000</x:v>
      </x:c>
    </x:row>
    <x:row r="29" ht="25" customHeight="1">
      <x:c r="A29" s="2" t="str">
        <x:v>2026-10-22_Day</x:v>
      </x:c>
      <x:c r="B29" s="2" t="str">
        <x:v>下落</x:v>
      </x:c>
      <x:c r="C29" s="6" t="n">
        <x:v>69000</x:v>
      </x:c>
      <x:c r="D29" s="6" t="n">
        <x:v>0</x:v>
      </x:c>
      <x:c r="E29" s="6" t="n">
        <x:f>C29-D29</x:f>
        <x:v>69000</x:v>
      </x:c>
      <x:c r="F29" s="6" t="n">
        <x:f>F28+E29</x:f>
        <x:v>-2363000</x:v>
      </x:c>
      <x:c r="G29" s="6" t="n">
        <x:v>-38000</x:v>
      </x:c>
      <x:c r="H29" s="6" t="n">
        <x:v>96000</x:v>
      </x:c>
    </x:row>
    <x:row r="30" ht="25" customHeight="1">
      <x:c r="A30" s="2" t="str">
        <x:v>2026-10-23_Day</x:v>
      </x:c>
      <x:c r="B30" s="2" t="str">
        <x:v>上昇</x:v>
      </x:c>
      <x:c r="C30" s="6" t="n">
        <x:v>61000</x:v>
      </x:c>
      <x:c r="D30" s="6" t="n">
        <x:v>117000</x:v>
      </x:c>
      <x:c r="E30" s="6" t="n">
        <x:f>C30-D30</x:f>
        <x:v>-56000</x:v>
      </x:c>
      <x:c r="F30" s="6" t="n">
        <x:f>F29+E30</x:f>
        <x:v>-2419000</x:v>
      </x:c>
      <x:c r="G30" s="6" t="n">
        <x:v>-117000</x:v>
      </x:c>
      <x:c r="H30" s="6" t="n">
        <x:v>147000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18000</x:v>
      </x:c>
      <x:c r="D31" s="6" t="n">
        <x:v>104000</x:v>
      </x:c>
      <x:c r="E31" s="6" t="n">
        <x:f>C31-D31</x:f>
        <x:v>-86000</x:v>
      </x:c>
      <x:c r="F31" s="6" t="n">
        <x:f>F30+E31</x:f>
        <x:v>-2505000</x:v>
      </x:c>
      <x:c r="G31" s="6" t="n">
        <x:v>-131000</x:v>
      </x:c>
      <x:c r="H31" s="6" t="n">
        <x:v>147000</x:v>
      </x:c>
    </x:row>
    <x:row r="32" ht="25" customHeight="1">
      <x:c r="A32" s="13" t="str">
        <x:v>累計／場内最悪値</x:v>
      </x:c>
      <x:c r="B32" s="13"/>
      <x:c r="C32" s="14" t="n">
        <x:f>SUM(C6:C31)</x:f>
        <x:v>949000</x:v>
      </x:c>
      <x:c r="D32" s="14" t="n">
        <x:f>SUM(D6:D31)</x:f>
        <x:v>3454000</x:v>
      </x:c>
      <x:c r="E32" s="14" t="n">
        <x:f>C32-D32</x:f>
        <x:v>-2505000</x:v>
      </x:c>
      <x:c r="F32" s="14" t="n">
        <x:f>F31</x:f>
        <x:v>-2505000</x:v>
      </x:c>
      <x:c r="G32" s="14" t="n">
        <x:f>MIN(G6:G31)</x:f>
        <x:v>-389000</x:v>
      </x:c>
      <x:c r="H32" s="14" t="n">
        <x:f>MAX(H6:H31)</x:f>
        <x:v>393000</x:v>
      </x:c>
    </x:row>
  </x:sheetData>
  <x:conditionalFormatting sqref="E6:F31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4ad69e0e43424e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F05＋元同親同方向へ新極値から80pt回復して再参加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47000</x:v>
      </x:c>
      <x:c r="D6" s="6" t="n">
        <x:v>0</x:v>
      </x:c>
      <x:c r="E6" s="6" t="n">
        <x:f>C6-D6</x:f>
        <x:v>47000</x:v>
      </x:c>
      <x:c r="F6" s="6" t="n">
        <x:f>E6</x:f>
        <x:v>47000</x:v>
      </x:c>
      <x:c r="G6" s="6" t="n">
        <x:v>-12000</x:v>
      </x:c>
      <x:c r="H6" s="6" t="n">
        <x:v>20000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17000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125000</x:v>
      </x:c>
      <x:c r="E8" s="6" t="n">
        <x:f>C8-D8</x:f>
        <x:v>-125000</x:v>
      </x:c>
      <x:c r="F8" s="6" t="n">
        <x:f>F7+E8</x:f>
        <x:v>-108000</x:v>
      </x:c>
      <x:c r="G8" s="6" t="n">
        <x:v>-125000</x:v>
      </x:c>
      <x:c r="H8" s="6" t="n">
        <x:v>150000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29000</x:v>
      </x:c>
      <x:c r="E9" s="6" t="n">
        <x:f>C9-D9</x:f>
        <x:v>-29000</x:v>
      </x:c>
      <x:c r="F9" s="6" t="n">
        <x:f>F8+E9</x:f>
        <x:v>-137000</x:v>
      </x:c>
      <x:c r="G9" s="6" t="n">
        <x:v>-43000</x:v>
      </x:c>
      <x:c r="H9" s="6" t="n">
        <x:v>53000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50000</x:v>
      </x:c>
      <x:c r="D10" s="6" t="n">
        <x:v>74000</x:v>
      </x:c>
      <x:c r="E10" s="6" t="n">
        <x:f>C10-D10</x:f>
        <x:v>-24000</x:v>
      </x:c>
      <x:c r="F10" s="6" t="n">
        <x:f>F9+E10</x:f>
        <x:v>-161000</x:v>
      </x:c>
      <x:c r="G10" s="6" t="n">
        <x:v>-88000</x:v>
      </x:c>
      <x:c r="H10" s="6" t="n">
        <x:v>126000</x:v>
      </x:c>
    </x:row>
    <x:row r="11" ht="25" customHeight="1">
      <x:c r="A11" s="2" t="str">
        <x:v>2026-09-28_Day</x:v>
      </x:c>
      <x:c r="B11" s="2" t="str">
        <x:v>下落</x:v>
      </x:c>
      <x:c r="C11" s="6" t="n">
        <x:v>63000</x:v>
      </x:c>
      <x:c r="D11" s="6" t="n">
        <x:v>50000</x:v>
      </x:c>
      <x:c r="E11" s="6" t="n">
        <x:f>C11-D11</x:f>
        <x:v>13000</x:v>
      </x:c>
      <x:c r="F11" s="6" t="n">
        <x:f>F10+E11</x:f>
        <x:v>-148000</x:v>
      </x:c>
      <x:c r="G11" s="6" t="n">
        <x:v>-141000</x:v>
      </x:c>
      <x:c r="H11" s="6" t="n">
        <x:v>149000</x:v>
      </x:c>
    </x:row>
    <x:row r="12" ht="25" customHeight="1">
      <x:c r="A12" s="2" t="str">
        <x:v>2026-09-29_Day</x:v>
      </x:c>
      <x:c r="B12" s="2" t="str">
        <x:v>下落</x:v>
      </x:c>
      <x:c r="C12" s="6" t="n">
        <x:v>49000</x:v>
      </x:c>
      <x:c r="D12" s="6" t="n">
        <x:v>103000</x:v>
      </x:c>
      <x:c r="E12" s="6" t="n">
        <x:f>C12-D12</x:f>
        <x:v>-54000</x:v>
      </x:c>
      <x:c r="F12" s="6" t="n">
        <x:f>F11+E12</x:f>
        <x:v>-202000</x:v>
      </x:c>
      <x:c r="G12" s="6" t="n">
        <x:v>-134000</x:v>
      </x:c>
      <x:c r="H12" s="6" t="n">
        <x:v>142000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62000</x:v>
      </x:c>
      <x:c r="E13" s="6" t="n">
        <x:f>C13-D13</x:f>
        <x:v>-62000</x:v>
      </x:c>
      <x:c r="F13" s="6" t="n">
        <x:f>F12+E13</x:f>
        <x:v>-264000</x:v>
      </x:c>
      <x:c r="G13" s="6" t="n">
        <x:v>-107000</x:v>
      </x:c>
      <x:c r="H13" s="6" t="n">
        <x:v>113000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69000</x:v>
      </x:c>
      <x:c r="E14" s="6" t="n">
        <x:f>C14-D14</x:f>
        <x:v>-67000</x:v>
      </x:c>
      <x:c r="F14" s="6" t="n">
        <x:f>F13+E14</x:f>
        <x:v>-331000</x:v>
      </x:c>
      <x:c r="G14" s="6" t="n">
        <x:v>-69000</x:v>
      </x:c>
      <x:c r="H14" s="6" t="n">
        <x:v>108000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10000</x:v>
      </x:c>
      <x:c r="D15" s="6" t="n">
        <x:v>4000</x:v>
      </x:c>
      <x:c r="E15" s="6" t="n">
        <x:f>C15-D15</x:f>
        <x:v>6000</x:v>
      </x:c>
      <x:c r="F15" s="6" t="n">
        <x:f>F14+E15</x:f>
        <x:v>-325000</x:v>
      </x:c>
      <x:c r="G15" s="6" t="n">
        <x:v>-29000</x:v>
      </x:c>
      <x:c r="H15" s="6" t="n">
        <x:v>40000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13000</x:v>
      </x:c>
      <x:c r="D16" s="6" t="n">
        <x:v>156000</x:v>
      </x:c>
      <x:c r="E16" s="6" t="n">
        <x:f>C16-D16</x:f>
        <x:v>-143000</x:v>
      </x:c>
      <x:c r="F16" s="6" t="n">
        <x:f>F15+E16</x:f>
        <x:v>-468000</x:v>
      </x:c>
      <x:c r="G16" s="6" t="n">
        <x:v>-157000</x:v>
      </x:c>
      <x:c r="H16" s="6" t="n">
        <x:v>157000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18000</x:v>
      </x:c>
      <x:c r="D17" s="6" t="n">
        <x:v>80000</x:v>
      </x:c>
      <x:c r="E17" s="6" t="n">
        <x:f>C17-D17</x:f>
        <x:v>-62000</x:v>
      </x:c>
      <x:c r="F17" s="6" t="n">
        <x:f>F16+E17</x:f>
        <x:v>-530000</x:v>
      </x:c>
      <x:c r="G17" s="6" t="n">
        <x:v>-68000</x:v>
      </x:c>
      <x:c r="H17" s="6" t="n">
        <x:v>70000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15000</x:v>
      </x:c>
      <x:c r="D18" s="6" t="n">
        <x:v>61000</x:v>
      </x:c>
      <x:c r="E18" s="6" t="n">
        <x:f>C18-D18</x:f>
        <x:v>-46000</x:v>
      </x:c>
      <x:c r="F18" s="6" t="n">
        <x:f>F17+E18</x:f>
        <x:v>-576000</x:v>
      </x:c>
      <x:c r="G18" s="6" t="n">
        <x:v>-46000</x:v>
      </x:c>
      <x:c r="H18" s="6" t="n">
        <x:v>52000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6000</x:v>
      </x:c>
      <x:c r="D19" s="6" t="n">
        <x:v>95000</x:v>
      </x:c>
      <x:c r="E19" s="6" t="n">
        <x:f>C19-D19</x:f>
        <x:v>-89000</x:v>
      </x:c>
      <x:c r="F19" s="6" t="n">
        <x:f>F18+E19</x:f>
        <x:v>-665000</x:v>
      </x:c>
      <x:c r="G19" s="6" t="n">
        <x:v>-124000</x:v>
      </x:c>
      <x:c r="H19" s="6" t="n">
        <x:v>129000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117000</x:v>
      </x:c>
      <x:c r="E20" s="6" t="n">
        <x:f>C20-D20</x:f>
        <x:v>-117000</x:v>
      </x:c>
      <x:c r="F20" s="6" t="n">
        <x:f>F19+E20</x:f>
        <x:v>-782000</x:v>
      </x:c>
      <x:c r="G20" s="6" t="n">
        <x:v>-117000</x:v>
      </x:c>
      <x:c r="H20" s="6" t="n">
        <x:v>138000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185000</x:v>
      </x:c>
      <x:c r="E21" s="6" t="n">
        <x:f>C21-D21</x:f>
        <x:v>-185000</x:v>
      </x:c>
      <x:c r="F21" s="6" t="n">
        <x:f>F20+E21</x:f>
        <x:v>-967000</x:v>
      </x:c>
      <x:c r="G21" s="6" t="n">
        <x:v>-185000</x:v>
      </x:c>
      <x:c r="H21" s="6" t="n">
        <x:v>187000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22000</x:v>
      </x:c>
      <x:c r="D22" s="6" t="n">
        <x:v>345000</x:v>
      </x:c>
      <x:c r="E22" s="6" t="n">
        <x:f>C22-D22</x:f>
        <x:v>-323000</x:v>
      </x:c>
      <x:c r="F22" s="6" t="n">
        <x:f>F21+E22</x:f>
        <x:v>-1290000</x:v>
      </x:c>
      <x:c r="G22" s="6" t="n">
        <x:v>-377000</x:v>
      </x:c>
      <x:c r="H22" s="6" t="n">
        <x:v>381000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115000</x:v>
      </x:c>
      <x:c r="D23" s="6" t="n">
        <x:v>50000</x:v>
      </x:c>
      <x:c r="E23" s="6" t="n">
        <x:f>C23-D23</x:f>
        <x:v>65000</x:v>
      </x:c>
      <x:c r="F23" s="6" t="n">
        <x:f>F22+E23</x:f>
        <x:v>-1225000</x:v>
      </x:c>
      <x:c r="G23" s="6" t="n">
        <x:v>-20000</x:v>
      </x:c>
      <x:c r="H23" s="6" t="n">
        <x:v>76000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90000</x:v>
      </x:c>
      <x:c r="D24" s="6" t="n">
        <x:v>14000</x:v>
      </x:c>
      <x:c r="E24" s="6" t="n">
        <x:f>C24-D24</x:f>
        <x:v>76000</x:v>
      </x:c>
      <x:c r="F24" s="6" t="n">
        <x:f>F23+E24</x:f>
        <x:v>-1149000</x:v>
      </x:c>
      <x:c r="G24" s="6" t="n">
        <x:v>-20000</x:v>
      </x:c>
      <x:c r="H24" s="6" t="n">
        <x:v>45000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10000</x:v>
      </x:c>
      <x:c r="D25" s="6" t="n">
        <x:v>239000</x:v>
      </x:c>
      <x:c r="E25" s="6" t="n">
        <x:f>C25-D25</x:f>
        <x:v>-229000</x:v>
      </x:c>
      <x:c r="F25" s="6" t="n">
        <x:f>F24+E25</x:f>
        <x:v>-1378000</x:v>
      </x:c>
      <x:c r="G25" s="6" t="n">
        <x:v>-229000</x:v>
      </x:c>
      <x:c r="H25" s="6" t="n">
        <x:v>244000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27000</x:v>
      </x:c>
      <x:c r="D26" s="6" t="n">
        <x:v>0</x:v>
      </x:c>
      <x:c r="E26" s="6" t="n">
        <x:f>C26-D26</x:f>
        <x:v>27000</x:v>
      </x:c>
      <x:c r="F26" s="6" t="n">
        <x:f>F25+E26</x:f>
        <x:v>-1351000</x:v>
      </x:c>
      <x:c r="G26" s="6" t="n">
        <x:v>-15000</x:v>
      </x:c>
      <x:c r="H26" s="6" t="n">
        <x:v>108000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2000</x:v>
      </x:c>
      <x:c r="D27" s="6" t="n">
        <x:v>488000</x:v>
      </x:c>
      <x:c r="E27" s="6" t="n">
        <x:f>C27-D27</x:f>
        <x:v>-486000</x:v>
      </x:c>
      <x:c r="F27" s="6" t="n">
        <x:f>F26+E27</x:f>
        <x:v>-1837000</x:v>
      </x:c>
      <x:c r="G27" s="6" t="n">
        <x:v>-486000</x:v>
      </x:c>
      <x:c r="H27" s="6" t="n">
        <x:v>488000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18000</x:v>
      </x:c>
      <x:c r="D28" s="6" t="n">
        <x:v>51000</x:v>
      </x:c>
      <x:c r="E28" s="6" t="n">
        <x:f>C28-D28</x:f>
        <x:v>-33000</x:v>
      </x:c>
      <x:c r="F28" s="6" t="n">
        <x:f>F27+E28</x:f>
        <x:v>-1870000</x:v>
      </x:c>
      <x:c r="G28" s="6" t="n">
        <x:v>-50000</x:v>
      </x:c>
      <x:c r="H28" s="6" t="n">
        <x:v>58000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100000</x:v>
      </x:c>
      <x:c r="D29" s="6" t="n">
        <x:v>5000</x:v>
      </x:c>
      <x:c r="E29" s="6" t="n">
        <x:f>C29-D29</x:f>
        <x:v>95000</x:v>
      </x:c>
      <x:c r="F29" s="6" t="n">
        <x:f>F28+E29</x:f>
        <x:v>-1775000</x:v>
      </x:c>
      <x:c r="G29" s="6" t="n">
        <x:v>-54000</x:v>
      </x:c>
      <x:c r="H29" s="6" t="n">
        <x:v>102000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106000</x:v>
      </x:c>
      <x:c r="D30" s="6" t="n">
        <x:v>96000</x:v>
      </x:c>
      <x:c r="E30" s="6" t="n">
        <x:f>C30-D30</x:f>
        <x:v>10000</x:v>
      </x:c>
      <x:c r="F30" s="6" t="n">
        <x:f>F29+E30</x:f>
        <x:v>-1765000</x:v>
      </x:c>
      <x:c r="G30" s="6" t="n">
        <x:v>-85000</x:v>
      </x:c>
      <x:c r="H30" s="6" t="n">
        <x:v>98000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</x:v>
      </x:c>
      <x:c r="D31" s="6" t="n">
        <x:v>0</x:v>
      </x:c>
      <x:c r="E31" s="6" t="n">
        <x:f>C31-D31</x:f>
        <x:v>16000</x:v>
      </x:c>
      <x:c r="F31" s="6" t="n">
        <x:f>F30+E31</x:f>
        <x:v>-1749000</x:v>
      </x:c>
      <x:c r="G31" s="6" t="n">
        <x:v>-82000</x:v>
      </x:c>
      <x:c r="H31" s="6" t="n">
        <x:v>102000</x:v>
      </x:c>
    </x:row>
    <x:row r="32" ht="25" customHeight="1">
      <x:c r="A32" s="13" t="str">
        <x:v>累計／場内最悪値</x:v>
      </x:c>
      <x:c r="B32" s="13"/>
      <x:c r="C32" s="14" t="n">
        <x:f>SUM(C6:C31)</x:f>
        <x:v>779000</x:v>
      </x:c>
      <x:c r="D32" s="14" t="n">
        <x:f>SUM(D6:D31)</x:f>
        <x:v>2528000</x:v>
      </x:c>
      <x:c r="E32" s="14" t="n">
        <x:f>C32-D32</x:f>
        <x:v>-1749000</x:v>
      </x:c>
      <x:c r="F32" s="14" t="n">
        <x:f>F31</x:f>
        <x:v>-1749000</x:v>
      </x:c>
      <x:c r="G32" s="14" t="n">
        <x:f>MIN(G6:G31)</x:f>
        <x:v>-486000</x:v>
      </x:c>
      <x:c r="H32" s="14" t="n">
        <x:f>MAX(H6:H31)</x:f>
        <x:v>488000</x:v>
      </x:c>
    </x:row>
  </x:sheetData>
  <x:conditionalFormatting sqref="E6:F31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6ae18edc2c40f1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F09＋元同親同方向へ新極値から20pt回復して再参加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7000</x:v>
      </x:c>
      <x:c r="E6" s="6" t="n">
        <x:f>C6-D6</x:f>
        <x:v>-7000</x:v>
      </x:c>
      <x:c r="F6" s="6" t="n">
        <x:f>E6</x:f>
        <x:v>-7000</x:v>
      </x:c>
      <x:c r="G6" s="6" t="n">
        <x:v>-47000</x:v>
      </x:c>
      <x:c r="H6" s="6" t="n">
        <x:v>70000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80000</x:v>
      </x:c>
      <x:c r="E7" s="6" t="n">
        <x:f>C7-D7</x:f>
        <x:v>-80000</x:v>
      </x:c>
      <x:c r="F7" s="6" t="n">
        <x:f>F6+E7</x:f>
        <x:v>-87000</x:v>
      </x:c>
      <x:c r="G7" s="6" t="n">
        <x:v>-80000</x:v>
      </x:c>
      <x:c r="H7" s="6" t="n">
        <x:v>85000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135000</x:v>
      </x:c>
      <x:c r="E8" s="6" t="n">
        <x:f>C8-D8</x:f>
        <x:v>-135000</x:v>
      </x:c>
      <x:c r="F8" s="6" t="n">
        <x:f>F7+E8</x:f>
        <x:v>-222000</x:v>
      </x:c>
      <x:c r="G8" s="6" t="n">
        <x:v>-135000</x:v>
      </x:c>
      <x:c r="H8" s="6" t="n">
        <x:v>150000</x:v>
      </x:c>
    </x:row>
    <x:row r="9" ht="25" customHeight="1">
      <x:c r="A9" s="2" t="str">
        <x:v>2026-09-24_Day</x:v>
      </x:c>
      <x:c r="B9" s="2" t="str">
        <x:v>下落</x:v>
      </x:c>
      <x:c r="C9" s="6" t="n">
        <x:v>36000</x:v>
      </x:c>
      <x:c r="D9" s="6" t="n">
        <x:v>118000</x:v>
      </x:c>
      <x:c r="E9" s="6" t="n">
        <x:f>C9-D9</x:f>
        <x:v>-82000</x:v>
      </x:c>
      <x:c r="F9" s="6" t="n">
        <x:f>F8+E9</x:f>
        <x:v>-304000</x:v>
      </x:c>
      <x:c r="G9" s="6" t="n">
        <x:v>-122000</x:v>
      </x:c>
      <x:c r="H9" s="6" t="n">
        <x:v>131000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29000</x:v>
      </x:c>
      <x:c r="D10" s="6" t="n">
        <x:v>64000</x:v>
      </x:c>
      <x:c r="E10" s="6" t="n">
        <x:f>C10-D10</x:f>
        <x:v>-35000</x:v>
      </x:c>
      <x:c r="F10" s="6" t="n">
        <x:f>F9+E10</x:f>
        <x:v>-339000</x:v>
      </x:c>
      <x:c r="G10" s="6" t="n">
        <x:v>-74000</x:v>
      </x:c>
      <x:c r="H10" s="6" t="n">
        <x:v>156000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139000</x:v>
      </x:c>
      <x:c r="D11" s="6" t="n">
        <x:v>155000</x:v>
      </x:c>
      <x:c r="E11" s="6" t="n">
        <x:f>C11-D11</x:f>
        <x:v>-16000</x:v>
      </x:c>
      <x:c r="F11" s="6" t="n">
        <x:f>F10+E11</x:f>
        <x:v>-355000</x:v>
      </x:c>
      <x:c r="G11" s="6" t="n">
        <x:v>-221000</x:v>
      </x:c>
      <x:c r="H11" s="6" t="n">
        <x:v>236000</x:v>
      </x:c>
    </x:row>
    <x:row r="12" ht="25" customHeight="1">
      <x:c r="A12" s="2" t="str">
        <x:v>2026-09-29_Day</x:v>
      </x:c>
      <x:c r="B12" s="2" t="str">
        <x:v>下落</x:v>
      </x:c>
      <x:c r="C12" s="6" t="n">
        <x:v>67000</x:v>
      </x:c>
      <x:c r="D12" s="6" t="n">
        <x:v>109000</x:v>
      </x:c>
      <x:c r="E12" s="6" t="n">
        <x:f>C12-D12</x:f>
        <x:v>-42000</x:v>
      </x:c>
      <x:c r="F12" s="6" t="n">
        <x:f>F11+E12</x:f>
        <x:v>-397000</x:v>
      </x:c>
      <x:c r="G12" s="6" t="n">
        <x:v>-197000</x:v>
      </x:c>
      <x:c r="H12" s="6" t="n">
        <x:v>199000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12000</x:v>
      </x:c>
      <x:c r="D13" s="6" t="n">
        <x:v>100000</x:v>
      </x:c>
      <x:c r="E13" s="6" t="n">
        <x:f>C13-D13</x:f>
        <x:v>-88000</x:v>
      </x:c>
      <x:c r="F13" s="6" t="n">
        <x:f>F12+E13</x:f>
        <x:v>-485000</x:v>
      </x:c>
      <x:c r="G13" s="6" t="n">
        <x:v>-125000</x:v>
      </x:c>
      <x:c r="H13" s="6" t="n">
        <x:v>129000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27000</x:v>
      </x:c>
      <x:c r="D14" s="6" t="n">
        <x:v>175000</x:v>
      </x:c>
      <x:c r="E14" s="6" t="n">
        <x:f>C14-D14</x:f>
        <x:v>-148000</x:v>
      </x:c>
      <x:c r="F14" s="6" t="n">
        <x:f>F13+E14</x:f>
        <x:v>-633000</x:v>
      </x:c>
      <x:c r="G14" s="6" t="n">
        <x:v>-148000</x:v>
      </x:c>
      <x:c r="H14" s="6" t="n">
        <x:v>158000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17000</x:v>
      </x:c>
      <x:c r="D15" s="6" t="n">
        <x:v>145000</x:v>
      </x:c>
      <x:c r="E15" s="6" t="n">
        <x:f>C15-D15</x:f>
        <x:v>-128000</x:v>
      </x:c>
      <x:c r="F15" s="6" t="n">
        <x:f>F14+E15</x:f>
        <x:v>-761000</x:v>
      </x:c>
      <x:c r="G15" s="6" t="n">
        <x:v>-128000</x:v>
      </x:c>
      <x:c r="H15" s="6" t="n">
        <x:v>175000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6000</x:v>
      </x:c>
      <x:c r="D16" s="6" t="n">
        <x:v>270000</x:v>
      </x:c>
      <x:c r="E16" s="6" t="n">
        <x:f>C16-D16</x:f>
        <x:v>-264000</x:v>
      </x:c>
      <x:c r="F16" s="6" t="n">
        <x:f>F15+E16</x:f>
        <x:v>-1025000</x:v>
      </x:c>
      <x:c r="G16" s="6" t="n">
        <x:v>-271000</x:v>
      </x:c>
      <x:c r="H16" s="6" t="n">
        <x:v>271000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247000</x:v>
      </x:c>
      <x:c r="E17" s="6" t="n">
        <x:f>C17-D17</x:f>
        <x:v>-247000</x:v>
      </x:c>
      <x:c r="F17" s="6" t="n">
        <x:f>F16+E17</x:f>
        <x:v>-1272000</x:v>
      </x:c>
      <x:c r="G17" s="6" t="n">
        <x:v>-247000</x:v>
      </x:c>
      <x:c r="H17" s="6" t="n">
        <x:v>252000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23000</x:v>
      </x:c>
      <x:c r="D18" s="6" t="n">
        <x:v>31000</x:v>
      </x:c>
      <x:c r="E18" s="6" t="n">
        <x:f>C18-D18</x:f>
        <x:v>-8000</x:v>
      </x:c>
      <x:c r="F18" s="6" t="n">
        <x:f>F17+E18</x:f>
        <x:v>-1280000</x:v>
      </x:c>
      <x:c r="G18" s="6" t="n">
        <x:v>-39000</x:v>
      </x:c>
      <x:c r="H18" s="6" t="n">
        <x:v>51000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205000</x:v>
      </x:c>
      <x:c r="E19" s="6" t="n">
        <x:f>C19-D19</x:f>
        <x:v>-205000</x:v>
      </x:c>
      <x:c r="F19" s="6" t="n">
        <x:f>F18+E19</x:f>
        <x:v>-1485000</x:v>
      </x:c>
      <x:c r="G19" s="6" t="n">
        <x:v>-212000</x:v>
      </x:c>
      <x:c r="H19" s="6" t="n">
        <x:v>216000</x:v>
      </x:c>
    </x:row>
    <x:row r="20" ht="25" customHeight="1">
      <x:c r="A20" s="2" t="str">
        <x:v>2026-10-09_Day</x:v>
      </x:c>
      <x:c r="B20" s="2" t="str">
        <x:v>上昇</x:v>
      </x:c>
      <x:c r="C20" s="6" t="n">
        <x:v>80000</x:v>
      </x:c>
      <x:c r="D20" s="6" t="n">
        <x:v>73000</x:v>
      </x:c>
      <x:c r="E20" s="6" t="n">
        <x:f>C20-D20</x:f>
        <x:v>7000</x:v>
      </x:c>
      <x:c r="F20" s="6" t="n">
        <x:f>F19+E20</x:f>
        <x:v>-1478000</x:v>
      </x:c>
      <x:c r="G20" s="6" t="n">
        <x:v>-56000</x:v>
      </x:c>
      <x:c r="H20" s="6" t="n">
        <x:v>82000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12000</x:v>
      </x:c>
      <x:c r="D21" s="6" t="n">
        <x:v>63000</x:v>
      </x:c>
      <x:c r="E21" s="6" t="n">
        <x:f>C21-D21</x:f>
        <x:v>-51000</x:v>
      </x:c>
      <x:c r="F21" s="6" t="n">
        <x:f>F20+E21</x:f>
        <x:v>-1529000</x:v>
      </x:c>
      <x:c r="G21" s="6" t="n">
        <x:v>-93000</x:v>
      </x:c>
      <x:c r="H21" s="6" t="n">
        <x:v>95000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10000</x:v>
      </x:c>
      <x:c r="D22" s="6" t="n">
        <x:v>374000</x:v>
      </x:c>
      <x:c r="E22" s="6" t="n">
        <x:f>C22-D22</x:f>
        <x:v>-364000</x:v>
      </x:c>
      <x:c r="F22" s="6" t="n">
        <x:f>F21+E22</x:f>
        <x:v>-1893000</x:v>
      </x:c>
      <x:c r="G22" s="6" t="n">
        <x:v>-375000</x:v>
      </x:c>
      <x:c r="H22" s="6" t="n">
        <x:v>394000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19000</x:v>
      </x:c>
      <x:c r="D23" s="6" t="n">
        <x:v>53000</x:v>
      </x:c>
      <x:c r="E23" s="6" t="n">
        <x:f>C23-D23</x:f>
        <x:v>-34000</x:v>
      </x:c>
      <x:c r="F23" s="6" t="n">
        <x:f>F22+E23</x:f>
        <x:v>-1927000</x:v>
      </x:c>
      <x:c r="G23" s="6" t="n">
        <x:v>-54000</x:v>
      </x:c>
      <x:c r="H23" s="6" t="n">
        <x:v>77000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48000</x:v>
      </x:c>
      <x:c r="D24" s="6" t="n">
        <x:v>86000</x:v>
      </x:c>
      <x:c r="E24" s="6" t="n">
        <x:f>C24-D24</x:f>
        <x:v>-38000</x:v>
      </x:c>
      <x:c r="F24" s="6" t="n">
        <x:f>F23+E24</x:f>
        <x:v>-1965000</x:v>
      </x:c>
      <x:c r="G24" s="6" t="n">
        <x:v>-129000</x:v>
      </x:c>
      <x:c r="H24" s="6" t="n">
        <x:v>144000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69000</x:v>
      </x:c>
      <x:c r="D25" s="6" t="n">
        <x:v>288000</x:v>
      </x:c>
      <x:c r="E25" s="6" t="n">
        <x:f>C25-D25</x:f>
        <x:v>-219000</x:v>
      </x:c>
      <x:c r="F25" s="6" t="n">
        <x:f>F24+E25</x:f>
        <x:v>-2184000</x:v>
      </x:c>
      <x:c r="G25" s="6" t="n">
        <x:v>-272000</x:v>
      </x:c>
      <x:c r="H25" s="6" t="n">
        <x:v>287000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21000</x:v>
      </x:c>
      <x:c r="D26" s="6" t="n">
        <x:v>42000</x:v>
      </x:c>
      <x:c r="E26" s="6" t="n">
        <x:f>C26-D26</x:f>
        <x:v>-21000</x:v>
      </x:c>
      <x:c r="F26" s="6" t="n">
        <x:f>F25+E26</x:f>
        <x:v>-2205000</x:v>
      </x:c>
      <x:c r="G26" s="6" t="n">
        <x:v>-117000</x:v>
      </x:c>
      <x:c r="H26" s="6" t="n">
        <x:v>186000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10000</x:v>
      </x:c>
      <x:c r="D27" s="6" t="n">
        <x:v>475000</x:v>
      </x:c>
      <x:c r="E27" s="6" t="n">
        <x:f>C27-D27</x:f>
        <x:v>-465000</x:v>
      </x:c>
      <x:c r="F27" s="6" t="n">
        <x:f>F26+E27</x:f>
        <x:v>-2670000</x:v>
      </x:c>
      <x:c r="G27" s="6" t="n">
        <x:v>-465000</x:v>
      </x:c>
      <x:c r="H27" s="6" t="n">
        <x:v>471000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2000</x:v>
      </x:c>
      <x:c r="D28" s="6" t="n">
        <x:v>220000</x:v>
      </x:c>
      <x:c r="E28" s="6" t="n">
        <x:f>C28-D28</x:f>
        <x:v>-218000</x:v>
      </x:c>
      <x:c r="F28" s="6" t="n">
        <x:f>F27+E28</x:f>
        <x:v>-2888000</x:v>
      </x:c>
      <x:c r="G28" s="6" t="n">
        <x:v>-259000</x:v>
      </x:c>
      <x:c r="H28" s="6" t="n">
        <x:v>272000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18000</x:v>
      </x:c>
      <x:c r="D29" s="6" t="n">
        <x:v>41000</x:v>
      </x:c>
      <x:c r="E29" s="6" t="n">
        <x:f>C29-D29</x:f>
        <x:v>-23000</x:v>
      </x:c>
      <x:c r="F29" s="6" t="n">
        <x:f>F28+E29</x:f>
        <x:v>-2911000</x:v>
      </x:c>
      <x:c r="G29" s="6" t="n">
        <x:v>-62000</x:v>
      </x:c>
      <x:c r="H29" s="6" t="n">
        <x:v>100000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30000</x:v>
      </x:c>
      <x:c r="D30" s="6" t="n">
        <x:v>193000</x:v>
      </x:c>
      <x:c r="E30" s="6" t="n">
        <x:f>C30-D30</x:f>
        <x:v>-163000</x:v>
      </x:c>
      <x:c r="F30" s="6" t="n">
        <x:f>F29+E30</x:f>
        <x:v>-3074000</x:v>
      </x:c>
      <x:c r="G30" s="6" t="n">
        <x:v>-178000</x:v>
      </x:c>
      <x:c r="H30" s="6" t="n">
        <x:v>198000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3000</x:v>
      </x:c>
      <x:c r="D31" s="6" t="n">
        <x:v>203000</x:v>
      </x:c>
      <x:c r="E31" s="6" t="n">
        <x:f>C31-D31</x:f>
        <x:v>-200000</x:v>
      </x:c>
      <x:c r="F31" s="6" t="n">
        <x:f>F30+E31</x:f>
        <x:v>-3274000</x:v>
      </x:c>
      <x:c r="G31" s="6" t="n">
        <x:v>-285000</x:v>
      </x:c>
      <x:c r="H31" s="6" t="n">
        <x:v>302000</x:v>
      </x:c>
    </x:row>
    <x:row r="32" ht="25" customHeight="1">
      <x:c r="A32" s="13" t="str">
        <x:v>累計／場内最悪値</x:v>
      </x:c>
      <x:c r="B32" s="13"/>
      <x:c r="C32" s="14" t="n">
        <x:f>SUM(C6:C31)</x:f>
        <x:v>678000</x:v>
      </x:c>
      <x:c r="D32" s="14" t="n">
        <x:f>SUM(D6:D31)</x:f>
        <x:v>3952000</x:v>
      </x:c>
      <x:c r="E32" s="14" t="n">
        <x:f>C32-D32</x:f>
        <x:v>-3274000</x:v>
      </x:c>
      <x:c r="F32" s="14" t="n">
        <x:f>F31</x:f>
        <x:v>-3274000</x:v>
      </x:c>
      <x:c r="G32" s="14" t="n">
        <x:f>MIN(G6:G31)</x:f>
        <x:v>-465000</x:v>
      </x:c>
      <x:c r="H32" s="14" t="n">
        <x:f>MAX(H6:H31)</x:f>
        <x:v>471000</x:v>
      </x:c>
    </x:row>
  </x:sheetData>
  <x:conditionalFormatting sqref="E6:F31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b4088acc0f4c77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F09＋元同親同方向へ新極値から40pt回復して再参加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12000</x:v>
      </x:c>
      <x:c r="D6" s="6" t="n">
        <x:v>0</x:v>
      </x:c>
      <x:c r="E6" s="6" t="n">
        <x:f>C6-D6</x:f>
        <x:v>12000</x:v>
      </x:c>
      <x:c r="F6" s="6" t="n">
        <x:f>E6</x:f>
        <x:v>12000</x:v>
      </x:c>
      <x:c r="G6" s="6" t="n">
        <x:v>-23000</x:v>
      </x:c>
      <x:c r="H6" s="6" t="n">
        <x:v>50000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80000</x:v>
      </x:c>
      <x:c r="E7" s="6" t="n">
        <x:f>C7-D7</x:f>
        <x:v>-80000</x:v>
      </x:c>
      <x:c r="F7" s="6" t="n">
        <x:f>F6+E7</x:f>
        <x:v>-68000</x:v>
      </x:c>
      <x:c r="G7" s="6" t="n">
        <x:v>-80000</x:v>
      </x:c>
      <x:c r="H7" s="6" t="n">
        <x:v>85000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125000</x:v>
      </x:c>
      <x:c r="E8" s="6" t="n">
        <x:f>C8-D8</x:f>
        <x:v>-125000</x:v>
      </x:c>
      <x:c r="F8" s="6" t="n">
        <x:f>F7+E8</x:f>
        <x:v>-193000</x:v>
      </x:c>
      <x:c r="G8" s="6" t="n">
        <x:v>-125000</x:v>
      </x:c>
      <x:c r="H8" s="6" t="n">
        <x:v>135000</x:v>
      </x:c>
    </x:row>
    <x:row r="9" ht="25" customHeight="1">
      <x:c r="A9" s="2" t="str">
        <x:v>2026-09-24_Day</x:v>
      </x:c>
      <x:c r="B9" s="2" t="str">
        <x:v>下落</x:v>
      </x:c>
      <x:c r="C9" s="6" t="n">
        <x:v>7000</x:v>
      </x:c>
      <x:c r="D9" s="6" t="n">
        <x:v>113000</x:v>
      </x:c>
      <x:c r="E9" s="6" t="n">
        <x:f>C9-D9</x:f>
        <x:v>-106000</x:v>
      </x:c>
      <x:c r="F9" s="6" t="n">
        <x:f>F8+E9</x:f>
        <x:v>-299000</x:v>
      </x:c>
      <x:c r="G9" s="6" t="n">
        <x:v>-118000</x:v>
      </x:c>
      <x:c r="H9" s="6" t="n">
        <x:v>129000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25000</x:v>
      </x:c>
      <x:c r="D10" s="6" t="n">
        <x:v>56000</x:v>
      </x:c>
      <x:c r="E10" s="6" t="n">
        <x:f>C10-D10</x:f>
        <x:v>-31000</x:v>
      </x:c>
      <x:c r="F10" s="6" t="n">
        <x:f>F9+E10</x:f>
        <x:v>-330000</x:v>
      </x:c>
      <x:c r="G10" s="6" t="n">
        <x:v>-88000</x:v>
      </x:c>
      <x:c r="H10" s="6" t="n">
        <x:v>148000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108000</x:v>
      </x:c>
      <x:c r="D11" s="6" t="n">
        <x:v>140000</x:v>
      </x:c>
      <x:c r="E11" s="6" t="n">
        <x:f>C11-D11</x:f>
        <x:v>-32000</x:v>
      </x:c>
      <x:c r="F11" s="6" t="n">
        <x:f>F10+E11</x:f>
        <x:v>-362000</x:v>
      </x:c>
      <x:c r="G11" s="6" t="n">
        <x:v>-205000</x:v>
      </x:c>
      <x:c r="H11" s="6" t="n">
        <x:v>213000</x:v>
      </x:c>
    </x:row>
    <x:row r="12" ht="25" customHeight="1">
      <x:c r="A12" s="2" t="str">
        <x:v>2026-09-29_Day</x:v>
      </x:c>
      <x:c r="B12" s="2" t="str">
        <x:v>下落</x:v>
      </x:c>
      <x:c r="C12" s="6" t="n">
        <x:v>89000</x:v>
      </x:c>
      <x:c r="D12" s="6" t="n">
        <x:v>115000</x:v>
      </x:c>
      <x:c r="E12" s="6" t="n">
        <x:f>C12-D12</x:f>
        <x:v>-26000</x:v>
      </x:c>
      <x:c r="F12" s="6" t="n">
        <x:f>F11+E12</x:f>
        <x:v>-388000</x:v>
      </x:c>
      <x:c r="G12" s="6" t="n">
        <x:v>-215000</x:v>
      </x:c>
      <x:c r="H12" s="6" t="n">
        <x:v>223000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90000</x:v>
      </x:c>
      <x:c r="D13" s="6" t="n">
        <x:v>93000</x:v>
      </x:c>
      <x:c r="E13" s="6" t="n">
        <x:f>C13-D13</x:f>
        <x:v>-3000</x:v>
      </x:c>
      <x:c r="F13" s="6" t="n">
        <x:f>F12+E13</x:f>
        <x:v>-391000</x:v>
      </x:c>
      <x:c r="G13" s="6" t="n">
        <x:v>-101000</x:v>
      </x:c>
      <x:c r="H13" s="6" t="n">
        <x:v>114000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188000</x:v>
      </x:c>
      <x:c r="E14" s="6" t="n">
        <x:f>C14-D14</x:f>
        <x:v>-188000</x:v>
      </x:c>
      <x:c r="F14" s="6" t="n">
        <x:f>F13+E14</x:f>
        <x:v>-579000</x:v>
      </x:c>
      <x:c r="G14" s="6" t="n">
        <x:v>-188000</x:v>
      </x:c>
      <x:c r="H14" s="6" t="n">
        <x:v>198000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52000</x:v>
      </x:c>
      <x:c r="D15" s="6" t="n">
        <x:v>138000</x:v>
      </x:c>
      <x:c r="E15" s="6" t="n">
        <x:f>C15-D15</x:f>
        <x:v>-86000</x:v>
      </x:c>
      <x:c r="F15" s="6" t="n">
        <x:f>F14+E15</x:f>
        <x:v>-665000</x:v>
      </x:c>
      <x:c r="G15" s="6" t="n">
        <x:v>-100000</x:v>
      </x:c>
      <x:c r="H15" s="6" t="n">
        <x:v>172000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13000</x:v>
      </x:c>
      <x:c r="D16" s="6" t="n">
        <x:v>252000</x:v>
      </x:c>
      <x:c r="E16" s="6" t="n">
        <x:f>C16-D16</x:f>
        <x:v>-239000</x:v>
      </x:c>
      <x:c r="F16" s="6" t="n">
        <x:f>F15+E16</x:f>
        <x:v>-904000</x:v>
      </x:c>
      <x:c r="G16" s="6" t="n">
        <x:v>-246000</x:v>
      </x:c>
      <x:c r="H16" s="6" t="n">
        <x:v>246000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154000</x:v>
      </x:c>
      <x:c r="E17" s="6" t="n">
        <x:f>C17-D17</x:f>
        <x:v>-154000</x:v>
      </x:c>
      <x:c r="F17" s="6" t="n">
        <x:f>F16+E17</x:f>
        <x:v>-1058000</x:v>
      </x:c>
      <x:c r="G17" s="6" t="n">
        <x:v>-154000</x:v>
      </x:c>
      <x:c r="H17" s="6" t="n">
        <x:v>157000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37000</x:v>
      </x:c>
      <x:c r="D18" s="6" t="n">
        <x:v>61000</x:v>
      </x:c>
      <x:c r="E18" s="6" t="n">
        <x:f>C18-D18</x:f>
        <x:v>-24000</x:v>
      </x:c>
      <x:c r="F18" s="6" t="n">
        <x:f>F17+E18</x:f>
        <x:v>-1082000</x:v>
      </x:c>
      <x:c r="G18" s="6" t="n">
        <x:v>-58000</x:v>
      </x:c>
      <x:c r="H18" s="6" t="n">
        <x:v>66000</x:v>
      </x:c>
    </x:row>
    <x:row r="19" ht="25" customHeight="1">
      <x:c r="A19" s="2" t="str">
        <x:v>2026-10-08_Day</x:v>
      </x:c>
      <x:c r="B19" s="2" t="str">
        <x:v>下落</x:v>
      </x:c>
      <x:c r="C19" s="6" t="n">
        <x:v>5000</x:v>
      </x:c>
      <x:c r="D19" s="6" t="n">
        <x:v>190000</x:v>
      </x:c>
      <x:c r="E19" s="6" t="n">
        <x:f>C19-D19</x:f>
        <x:v>-185000</x:v>
      </x:c>
      <x:c r="F19" s="6" t="n">
        <x:f>F18+E19</x:f>
        <x:v>-1267000</x:v>
      </x:c>
      <x:c r="G19" s="6" t="n">
        <x:v>-210000</x:v>
      </x:c>
      <x:c r="H19" s="6" t="n">
        <x:v>212000</x:v>
      </x:c>
    </x:row>
    <x:row r="20" ht="25" customHeight="1">
      <x:c r="A20" s="2" t="str">
        <x:v>2026-10-09_Day</x:v>
      </x:c>
      <x:c r="B20" s="2" t="str">
        <x:v>上昇</x:v>
      </x:c>
      <x:c r="C20" s="6" t="n">
        <x:v>86000</x:v>
      </x:c>
      <x:c r="D20" s="6" t="n">
        <x:v>82000</x:v>
      </x:c>
      <x:c r="E20" s="6" t="n">
        <x:f>C20-D20</x:f>
        <x:v>4000</x:v>
      </x:c>
      <x:c r="F20" s="6" t="n">
        <x:f>F19+E20</x:f>
        <x:v>-1263000</x:v>
      </x:c>
      <x:c r="G20" s="6" t="n">
        <x:v>-64000</x:v>
      </x:c>
      <x:c r="H20" s="6" t="n">
        <x:v>87000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17000</x:v>
      </x:c>
      <x:c r="D21" s="6" t="n">
        <x:v>63000</x:v>
      </x:c>
      <x:c r="E21" s="6" t="n">
        <x:f>C21-D21</x:f>
        <x:v>-46000</x:v>
      </x:c>
      <x:c r="F21" s="6" t="n">
        <x:f>F20+E21</x:f>
        <x:v>-1309000</x:v>
      </x:c>
      <x:c r="G21" s="6" t="n">
        <x:v>-103000</x:v>
      </x:c>
      <x:c r="H21" s="6" t="n">
        <x:v>105000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26000</x:v>
      </x:c>
      <x:c r="D22" s="6" t="n">
        <x:v>358000</x:v>
      </x:c>
      <x:c r="E22" s="6" t="n">
        <x:f>C22-D22</x:f>
        <x:v>-332000</x:v>
      </x:c>
      <x:c r="F22" s="6" t="n">
        <x:f>F21+E22</x:f>
        <x:v>-1641000</x:v>
      </x:c>
      <x:c r="G22" s="6" t="n">
        <x:v>-336000</x:v>
      </x:c>
      <x:c r="H22" s="6" t="n">
        <x:v>355000</x:v>
      </x:c>
    </x:row>
    <x:row r="23" ht="25" customHeight="1">
      <x:c r="A23" s="2" t="str">
        <x:v>2026-10-14_Day</x:v>
      </x:c>
      <x:c r="B23" s="2" t="str">
        <x:v>上昇</x:v>
      </x:c>
      <x:c r="C23" s="6" t="n">
        <x:v>75000</x:v>
      </x:c>
      <x:c r="D23" s="6" t="n">
        <x:v>67000</x:v>
      </x:c>
      <x:c r="E23" s="6" t="n">
        <x:f>C23-D23</x:f>
        <x:v>8000</x:v>
      </x:c>
      <x:c r="F23" s="6" t="n">
        <x:f>F22+E23</x:f>
        <x:v>-1633000</x:v>
      </x:c>
      <x:c r="G23" s="6" t="n">
        <x:v>-37000</x:v>
      </x:c>
      <x:c r="H23" s="6" t="n">
        <x:v>95000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182000</x:v>
      </x:c>
      <x:c r="D24" s="6" t="n">
        <x:v>92000</x:v>
      </x:c>
      <x:c r="E24" s="6" t="n">
        <x:f>C24-D24</x:f>
        <x:v>90000</x:v>
      </x:c>
      <x:c r="F24" s="6" t="n">
        <x:f>F23+E24</x:f>
        <x:v>-1543000</x:v>
      </x:c>
      <x:c r="G24" s="6" t="n">
        <x:v>-87000</x:v>
      </x:c>
      <x:c r="H24" s="6" t="n">
        <x:v>140000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40000</x:v>
      </x:c>
      <x:c r="D25" s="6" t="n">
        <x:v>271000</x:v>
      </x:c>
      <x:c r="E25" s="6" t="n">
        <x:f>C25-D25</x:f>
        <x:v>-231000</x:v>
      </x:c>
      <x:c r="F25" s="6" t="n">
        <x:f>F24+E25</x:f>
        <x:v>-1774000</x:v>
      </x:c>
      <x:c r="G25" s="6" t="n">
        <x:v>-231000</x:v>
      </x:c>
      <x:c r="H25" s="6" t="n">
        <x:v>246000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32000</x:v>
      </x:c>
      <x:c r="D26" s="6" t="n">
        <x:v>16000</x:v>
      </x:c>
      <x:c r="E26" s="6" t="n">
        <x:f>C26-D26</x:f>
        <x:v>16000</x:v>
      </x:c>
      <x:c r="F26" s="6" t="n">
        <x:f>F25+E26</x:f>
        <x:v>-1758000</x:v>
      </x:c>
      <x:c r="G26" s="6" t="n">
        <x:v>-98000</x:v>
      </x:c>
      <x:c r="H26" s="6" t="n">
        <x:v>162000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28000</x:v>
      </x:c>
      <x:c r="D27" s="6" t="n">
        <x:v>413000</x:v>
      </x:c>
      <x:c r="E27" s="6" t="n">
        <x:f>C27-D27</x:f>
        <x:v>-385000</x:v>
      </x:c>
      <x:c r="F27" s="6" t="n">
        <x:f>F26+E27</x:f>
        <x:v>-2143000</x:v>
      </x:c>
      <x:c r="G27" s="6" t="n">
        <x:v>-397000</x:v>
      </x:c>
      <x:c r="H27" s="6" t="n">
        <x:v>401000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17000</x:v>
      </x:c>
      <x:c r="D28" s="6" t="n">
        <x:v>190000</x:v>
      </x:c>
      <x:c r="E28" s="6" t="n">
        <x:f>C28-D28</x:f>
        <x:v>-173000</x:v>
      </x:c>
      <x:c r="F28" s="6" t="n">
        <x:f>F27+E28</x:f>
        <x:v>-2316000</x:v>
      </x:c>
      <x:c r="G28" s="6" t="n">
        <x:v>-213000</x:v>
      </x:c>
      <x:c r="H28" s="6" t="n">
        <x:v>226000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57000</x:v>
      </x:c>
      <x:c r="D29" s="6" t="n">
        <x:v>0</x:v>
      </x:c>
      <x:c r="E29" s="6" t="n">
        <x:f>C29-D29</x:f>
        <x:v>57000</x:v>
      </x:c>
      <x:c r="F29" s="6" t="n">
        <x:f>F28+E29</x:f>
        <x:v>-2259000</x:v>
      </x:c>
      <x:c r="G29" s="6" t="n">
        <x:v>-58000</x:v>
      </x:c>
      <x:c r="H29" s="6" t="n">
        <x:v>102000</x:v>
      </x:c>
    </x:row>
    <x:row r="30" ht="25" customHeight="1">
      <x:c r="A30" s="2" t="str">
        <x:v>2026-10-23_Day</x:v>
      </x:c>
      <x:c r="B30" s="2" t="str">
        <x:v>上昇</x:v>
      </x:c>
      <x:c r="C30" s="6" t="n">
        <x:v>55000</x:v>
      </x:c>
      <x:c r="D30" s="6" t="n">
        <x:v>110000</x:v>
      </x:c>
      <x:c r="E30" s="6" t="n">
        <x:f>C30-D30</x:f>
        <x:v>-55000</x:v>
      </x:c>
      <x:c r="F30" s="6" t="n">
        <x:f>F29+E30</x:f>
        <x:v>-2314000</x:v>
      </x:c>
      <x:c r="G30" s="6" t="n">
        <x:v>-107000</x:v>
      </x:c>
      <x:c r="H30" s="6" t="n">
        <x:v>151000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26000</x:v>
      </x:c>
      <x:c r="D31" s="6" t="n">
        <x:v>104000</x:v>
      </x:c>
      <x:c r="E31" s="6" t="n">
        <x:f>C31-D31</x:f>
        <x:v>-78000</x:v>
      </x:c>
      <x:c r="F31" s="6" t="n">
        <x:f>F30+E31</x:f>
        <x:v>-2392000</x:v>
      </x:c>
      <x:c r="G31" s="6" t="n">
        <x:v>-123000</x:v>
      </x:c>
      <x:c r="H31" s="6" t="n">
        <x:v>142000</x:v>
      </x:c>
    </x:row>
    <x:row r="32" ht="25" customHeight="1">
      <x:c r="A32" s="13" t="str">
        <x:v>累計／場内最悪値</x:v>
      </x:c>
      <x:c r="B32" s="13"/>
      <x:c r="C32" s="14" t="n">
        <x:f>SUM(C6:C31)</x:f>
        <x:v>1079000</x:v>
      </x:c>
      <x:c r="D32" s="14" t="n">
        <x:f>SUM(D6:D31)</x:f>
        <x:v>3471000</x:v>
      </x:c>
      <x:c r="E32" s="14" t="n">
        <x:f>C32-D32</x:f>
        <x:v>-2392000</x:v>
      </x:c>
      <x:c r="F32" s="14" t="n">
        <x:f>F31</x:f>
        <x:v>-2392000</x:v>
      </x:c>
      <x:c r="G32" s="14" t="n">
        <x:f>MIN(G6:G31)</x:f>
        <x:v>-397000</x:v>
      </x:c>
      <x:c r="H32" s="14" t="n">
        <x:f>MAX(H6:H31)</x:f>
        <x:v>401000</x:v>
      </x:c>
    </x:row>
  </x:sheetData>
  <x:conditionalFormatting sqref="E6:F31">
    <x:cfRule type="cellIs" dxfId="3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68cb36e965451a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F09＋元同親同方向へ新極値から80pt回復して再参加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22000</x:v>
      </x:c>
      <x:c r="D6" s="6" t="n">
        <x:v>0</x:v>
      </x:c>
      <x:c r="E6" s="6" t="n">
        <x:f>C6-D6</x:f>
        <x:v>22000</x:v>
      </x:c>
      <x:c r="F6" s="6" t="n">
        <x:f>E6</x:f>
        <x:v>22000</x:v>
      </x:c>
      <x:c r="G6" s="6" t="n">
        <x:v>-12000</x:v>
      </x:c>
      <x:c r="H6" s="6" t="n">
        <x:v>30000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30000</x:v>
      </x:c>
      <x:c r="E7" s="6" t="n">
        <x:f>C7-D7</x:f>
        <x:v>-30000</x:v>
      </x:c>
      <x:c r="F7" s="6" t="n">
        <x:f>F6+E7</x:f>
        <x:v>-8000</x:v>
      </x:c>
      <x:c r="G7" s="6" t="n">
        <x:v>-30000</x:v>
      </x:c>
      <x:c r="H7" s="6" t="n">
        <x:v>35000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135000</x:v>
      </x:c>
      <x:c r="E8" s="6" t="n">
        <x:f>C8-D8</x:f>
        <x:v>-135000</x:v>
      </x:c>
      <x:c r="F8" s="6" t="n">
        <x:f>F7+E8</x:f>
        <x:v>-143000</x:v>
      </x:c>
      <x:c r="G8" s="6" t="n">
        <x:v>-135000</x:v>
      </x:c>
      <x:c r="H8" s="6" t="n">
        <x:v>160000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34000</x:v>
      </x:c>
      <x:c r="E9" s="6" t="n">
        <x:f>C9-D9</x:f>
        <x:v>-34000</x:v>
      </x:c>
      <x:c r="F9" s="6" t="n">
        <x:f>F8+E9</x:f>
        <x:v>-177000</x:v>
      </x:c>
      <x:c r="G9" s="6" t="n">
        <x:v>-51000</x:v>
      </x:c>
      <x:c r="H9" s="6" t="n">
        <x:v>61000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25000</x:v>
      </x:c>
      <x:c r="D10" s="6" t="n">
        <x:v>76000</x:v>
      </x:c>
      <x:c r="E10" s="6" t="n">
        <x:f>C10-D10</x:f>
        <x:v>-51000</x:v>
      </x:c>
      <x:c r="F10" s="6" t="n">
        <x:f>F9+E10</x:f>
        <x:v>-228000</x:v>
      </x:c>
      <x:c r="G10" s="6" t="n">
        <x:v>-105000</x:v>
      </x:c>
      <x:c r="H10" s="6" t="n">
        <x:v>137000</x:v>
      </x:c>
    </x:row>
    <x:row r="11" ht="25" customHeight="1">
      <x:c r="A11" s="2" t="str">
        <x:v>2026-09-28_Day</x:v>
      </x:c>
      <x:c r="B11" s="2" t="str">
        <x:v>下落</x:v>
      </x:c>
      <x:c r="C11" s="6" t="n">
        <x:v>81000</x:v>
      </x:c>
      <x:c r="D11" s="6" t="n">
        <x:v>52000</x:v>
      </x:c>
      <x:c r="E11" s="6" t="n">
        <x:f>C11-D11</x:f>
        <x:v>29000</x:v>
      </x:c>
      <x:c r="F11" s="6" t="n">
        <x:f>F10+E11</x:f>
        <x:v>-199000</x:v>
      </x:c>
      <x:c r="G11" s="6" t="n">
        <x:v>-145000</x:v>
      </x:c>
      <x:c r="H11" s="6" t="n">
        <x:v>151000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3000</x:v>
      </x:c>
      <x:c r="D12" s="6" t="n">
        <x:v>143000</x:v>
      </x:c>
      <x:c r="E12" s="6" t="n">
        <x:f>C12-D12</x:f>
        <x:v>-140000</x:v>
      </x:c>
      <x:c r="F12" s="6" t="n">
        <x:f>F11+E12</x:f>
        <x:v>-339000</x:v>
      </x:c>
      <x:c r="G12" s="6" t="n">
        <x:v>-140000</x:v>
      </x:c>
      <x:c r="H12" s="6" t="n">
        <x:v>150000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70000</x:v>
      </x:c>
      <x:c r="E13" s="6" t="n">
        <x:f>C13-D13</x:f>
        <x:v>-70000</x:v>
      </x:c>
      <x:c r="F13" s="6" t="n">
        <x:f>F12+E13</x:f>
        <x:v>-409000</x:v>
      </x:c>
      <x:c r="G13" s="6" t="n">
        <x:v>-109000</x:v>
      </x:c>
      <x:c r="H13" s="6" t="n">
        <x:v>114000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98000</x:v>
      </x:c>
      <x:c r="E14" s="6" t="n">
        <x:f>C14-D14</x:f>
        <x:v>-96000</x:v>
      </x:c>
      <x:c r="F14" s="6" t="n">
        <x:f>F13+E14</x:f>
        <x:v>-505000</x:v>
      </x:c>
      <x:c r="G14" s="6" t="n">
        <x:v>-98000</x:v>
      </x:c>
      <x:c r="H14" s="6" t="n">
        <x:v>123000</x:v>
      </x:c>
    </x:row>
    <x:row r="15" ht="25" customHeight="1">
      <x:c r="A15" s="2" t="str">
        <x:v>2026-10-02_Day</x:v>
      </x:c>
      <x:c r="B15" s="2" t="str">
        <x:v>上昇</x:v>
      </x:c>
      <x:c r="C15" s="6" t="n">
        <x:v>25000</x:v>
      </x:c>
      <x:c r="D15" s="6" t="n">
        <x:v>0</x:v>
      </x:c>
      <x:c r="E15" s="6" t="n">
        <x:f>C15-D15</x:f>
        <x:v>25000</x:v>
      </x:c>
      <x:c r="F15" s="6" t="n">
        <x:f>F14+E15</x:f>
        <x:v>-480000</x:v>
      </x:c>
      <x:c r="G15" s="6" t="n">
        <x:v>-14000</x:v>
      </x:c>
      <x:c r="H15" s="6" t="n">
        <x:v>41000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27000</x:v>
      </x:c>
      <x:c r="D16" s="6" t="n">
        <x:v>156000</x:v>
      </x:c>
      <x:c r="E16" s="6" t="n">
        <x:f>C16-D16</x:f>
        <x:v>-129000</x:v>
      </x:c>
      <x:c r="F16" s="6" t="n">
        <x:f>F15+E16</x:f>
        <x:v>-609000</x:v>
      </x:c>
      <x:c r="G16" s="6" t="n">
        <x:v>-143000</x:v>
      </x:c>
      <x:c r="H16" s="6" t="n">
        <x:v>143000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11000</x:v>
      </x:c>
      <x:c r="D17" s="6" t="n">
        <x:v>80000</x:v>
      </x:c>
      <x:c r="E17" s="6" t="n">
        <x:f>C17-D17</x:f>
        <x:v>-69000</x:v>
      </x:c>
      <x:c r="F17" s="6" t="n">
        <x:f>F16+E17</x:f>
        <x:v>-678000</x:v>
      </x:c>
      <x:c r="G17" s="6" t="n">
        <x:v>-75000</x:v>
      </x:c>
      <x:c r="H17" s="6" t="n">
        <x:v>77000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27000</x:v>
      </x:c>
      <x:c r="D18" s="6" t="n">
        <x:v>66000</x:v>
      </x:c>
      <x:c r="E18" s="6" t="n">
        <x:f>C18-D18</x:f>
        <x:v>-39000</x:v>
      </x:c>
      <x:c r="F18" s="6" t="n">
        <x:f>F17+E18</x:f>
        <x:v>-717000</x:v>
      </x:c>
      <x:c r="G18" s="6" t="n">
        <x:v>-39000</x:v>
      </x:c>
      <x:c r="H18" s="6" t="n">
        <x:v>52000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6000</x:v>
      </x:c>
      <x:c r="D19" s="6" t="n">
        <x:v>95000</x:v>
      </x:c>
      <x:c r="E19" s="6" t="n">
        <x:f>C19-D19</x:f>
        <x:v>-89000</x:v>
      </x:c>
      <x:c r="F19" s="6" t="n">
        <x:f>F18+E19</x:f>
        <x:v>-806000</x:v>
      </x:c>
      <x:c r="G19" s="6" t="n">
        <x:v>-124000</x:v>
      </x:c>
      <x:c r="H19" s="6" t="n">
        <x:v>129000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11000</x:v>
      </x:c>
      <x:c r="D20" s="6" t="n">
        <x:v>112000</x:v>
      </x:c>
      <x:c r="E20" s="6" t="n">
        <x:f>C20-D20</x:f>
        <x:v>-101000</x:v>
      </x:c>
      <x:c r="F20" s="6" t="n">
        <x:f>F19+E20</x:f>
        <x:v>-907000</x:v>
      </x:c>
      <x:c r="G20" s="6" t="n">
        <x:v>-101000</x:v>
      </x:c>
      <x:c r="H20" s="6" t="n">
        <x:v>124000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185000</x:v>
      </x:c>
      <x:c r="E21" s="6" t="n">
        <x:f>C21-D21</x:f>
        <x:v>-185000</x:v>
      </x:c>
      <x:c r="F21" s="6" t="n">
        <x:f>F20+E21</x:f>
        <x:v>-1092000</x:v>
      </x:c>
      <x:c r="G21" s="6" t="n">
        <x:v>-185000</x:v>
      </x:c>
      <x:c r="H21" s="6" t="n">
        <x:v>187000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25000</x:v>
      </x:c>
      <x:c r="D22" s="6" t="n">
        <x:v>363000</x:v>
      </x:c>
      <x:c r="E22" s="6" t="n">
        <x:f>C22-D22</x:f>
        <x:v>-338000</x:v>
      </x:c>
      <x:c r="F22" s="6" t="n">
        <x:f>F21+E22</x:f>
        <x:v>-1430000</x:v>
      </x:c>
      <x:c r="G22" s="6" t="n">
        <x:v>-392000</x:v>
      </x:c>
      <x:c r="H22" s="6" t="n">
        <x:v>397000</x:v>
      </x:c>
    </x:row>
    <x:row r="23" ht="25" customHeight="1">
      <x:c r="A23" s="2" t="str">
        <x:v>2026-10-14_Day</x:v>
      </x:c>
      <x:c r="B23" s="2" t="str">
        <x:v>上昇</x:v>
      </x:c>
      <x:c r="C23" s="6" t="n">
        <x:v>91000</x:v>
      </x:c>
      <x:c r="D23" s="6" t="n">
        <x:v>50000</x:v>
      </x:c>
      <x:c r="E23" s="6" t="n">
        <x:f>C23-D23</x:f>
        <x:v>41000</x:v>
      </x:c>
      <x:c r="F23" s="6" t="n">
        <x:f>F22+E23</x:f>
        <x:v>-1389000</x:v>
      </x:c>
      <x:c r="G23" s="6" t="n">
        <x:v>-20000</x:v>
      </x:c>
      <x:c r="H23" s="6" t="n">
        <x:v>82000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102000</x:v>
      </x:c>
      <x:c r="D24" s="6" t="n">
        <x:v>14000</x:v>
      </x:c>
      <x:c r="E24" s="6" t="n">
        <x:f>C24-D24</x:f>
        <x:v>88000</x:v>
      </x:c>
      <x:c r="F24" s="6" t="n">
        <x:f>F23+E24</x:f>
        <x:v>-1301000</x:v>
      </x:c>
      <x:c r="G24" s="6" t="n">
        <x:v>-23000</x:v>
      </x:c>
      <x:c r="H24" s="6" t="n">
        <x:v>50000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65000</x:v>
      </x:c>
      <x:c r="D25" s="6" t="n">
        <x:v>198000</x:v>
      </x:c>
      <x:c r="E25" s="6" t="n">
        <x:f>C25-D25</x:f>
        <x:v>-133000</x:v>
      </x:c>
      <x:c r="F25" s="6" t="n">
        <x:f>F24+E25</x:f>
        <x:v>-1434000</x:v>
      </x:c>
      <x:c r="G25" s="6" t="n">
        <x:v>-201000</x:v>
      </x:c>
      <x:c r="H25" s="6" t="n">
        <x:v>216000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25000</x:v>
      </x:c>
      <x:c r="D26" s="6" t="n">
        <x:v>55000</x:v>
      </x:c>
      <x:c r="E26" s="6" t="n">
        <x:f>C26-D26</x:f>
        <x:v>-30000</x:v>
      </x:c>
      <x:c r="F26" s="6" t="n">
        <x:f>F25+E26</x:f>
        <x:v>-1464000</x:v>
      </x:c>
      <x:c r="G26" s="6" t="n">
        <x:v>-36000</x:v>
      </x:c>
      <x:c r="H26" s="6" t="n">
        <x:v>120000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</x:v>
      </x:c>
      <x:c r="D27" s="6" t="n">
        <x:v>504000</x:v>
      </x:c>
      <x:c r="E27" s="6" t="n">
        <x:f>C27-D27</x:f>
        <x:v>-492000</x:v>
      </x:c>
      <x:c r="F27" s="6" t="n">
        <x:f>F26+E27</x:f>
        <x:v>-1956000</x:v>
      </x:c>
      <x:c r="G27" s="6" t="n">
        <x:v>-492000</x:v>
      </x:c>
      <x:c r="H27" s="6" t="n">
        <x:v>494000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16000</x:v>
      </x:c>
      <x:c r="D28" s="6" t="n">
        <x:v>48000</x:v>
      </x:c>
      <x:c r="E28" s="6" t="n">
        <x:f>C28-D28</x:f>
        <x:v>-32000</x:v>
      </x:c>
      <x:c r="F28" s="6" t="n">
        <x:f>F27+E28</x:f>
        <x:v>-1988000</x:v>
      </x:c>
      <x:c r="G28" s="6" t="n">
        <x:v>-49000</x:v>
      </x:c>
      <x:c r="H28" s="6" t="n">
        <x:v>62000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115000</x:v>
      </x:c>
      <x:c r="D29" s="6" t="n">
        <x:v>0</x:v>
      </x:c>
      <x:c r="E29" s="6" t="n">
        <x:f>C29-D29</x:f>
        <x:v>115000</x:v>
      </x:c>
      <x:c r="F29" s="6" t="n">
        <x:f>F28+E29</x:f>
        <x:v>-1873000</x:v>
      </x:c>
      <x:c r="G29" s="6" t="n">
        <x:v>-67000</x:v>
      </x:c>
      <x:c r="H29" s="6" t="n">
        <x:v>102000</x:v>
      </x:c>
    </x:row>
    <x:row r="30" ht="25" customHeight="1">
      <x:c r="A30" s="2" t="str">
        <x:v>2026-10-23_Day</x:v>
      </x:c>
      <x:c r="B30" s="2" t="str">
        <x:v>上昇</x:v>
      </x:c>
      <x:c r="C30" s="6" t="n">
        <x:v>77000</x:v>
      </x:c>
      <x:c r="D30" s="6" t="n">
        <x:v>59000</x:v>
      </x:c>
      <x:c r="E30" s="6" t="n">
        <x:f>C30-D30</x:f>
        <x:v>18000</x:v>
      </x:c>
      <x:c r="F30" s="6" t="n">
        <x:f>F29+E30</x:f>
        <x:v>-1855000</x:v>
      </x:c>
      <x:c r="G30" s="6" t="n">
        <x:v>-88000</x:v>
      </x:c>
      <x:c r="H30" s="6" t="n">
        <x:v>104000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11000</x:v>
      </x:c>
      <x:c r="D31" s="6" t="n">
        <x:v>0</x:v>
      </x:c>
      <x:c r="E31" s="6" t="n">
        <x:f>C31-D31</x:f>
        <x:v>11000</x:v>
      </x:c>
      <x:c r="F31" s="6" t="n">
        <x:f>F30+E31</x:f>
        <x:v>-1844000</x:v>
      </x:c>
      <x:c r="G31" s="6" t="n">
        <x:v>-86000</x:v>
      </x:c>
      <x:c r="H31" s="6" t="n">
        <x:v>106000</x:v>
      </x:c>
    </x:row>
    <x:row r="32" ht="25" customHeight="1">
      <x:c r="A32" s="13" t="str">
        <x:v>累計／場内最悪値</x:v>
      </x:c>
      <x:c r="B32" s="13"/>
      <x:c r="C32" s="14" t="n">
        <x:f>SUM(C6:C31)</x:f>
        <x:v>779000</x:v>
      </x:c>
      <x:c r="D32" s="14" t="n">
        <x:f>SUM(D6:D31)</x:f>
        <x:v>2623000</x:v>
      </x:c>
      <x:c r="E32" s="14" t="n">
        <x:f>C32-D32</x:f>
        <x:v>-1844000</x:v>
      </x:c>
      <x:c r="F32" s="14" t="n">
        <x:f>F31</x:f>
        <x:v>-1844000</x:v>
      </x:c>
      <x:c r="G32" s="14" t="n">
        <x:f>MIN(G6:G31)</x:f>
        <x:v>-492000</x:v>
      </x:c>
      <x:c r="H32" s="14" t="n">
        <x:f>MAX(H6:H31)</x:f>
        <x:v>494000</x:v>
      </x:c>
    </x:row>
  </x:sheetData>
  <x:conditionalFormatting sqref="E6:F31">
    <x:cfRule type="cellIs" dxfId="3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f67d0a4de84ed6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E08＋元同親同方向へ新極値から20pt回復して再参加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17000</x:v>
      </x:c>
      <x:c r="D6" s="6" t="n">
        <x:v>0</x:v>
      </x:c>
      <x:c r="E6" s="6" t="n">
        <x:f>C6-D6</x:f>
        <x:v>17000</x:v>
      </x:c>
      <x:c r="F6" s="6" t="n">
        <x:f>E6</x:f>
        <x:v>17000</x:v>
      </x:c>
      <x:c r="G6" s="6" t="n">
        <x:v>-29000</x:v>
      </x:c>
      <x:c r="H6" s="6" t="n">
        <x:v>60000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50000</x:v>
      </x:c>
      <x:c r="E7" s="6" t="n">
        <x:f>C7-D7</x:f>
        <x:v>-50000</x:v>
      </x:c>
      <x:c r="F7" s="6" t="n">
        <x:f>F6+E7</x:f>
        <x:v>-33000</x:v>
      </x:c>
      <x:c r="G7" s="6" t="n">
        <x:v>-50000</x:v>
      </x:c>
      <x:c r="H7" s="6" t="n">
        <x:v>55000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130000</x:v>
      </x:c>
      <x:c r="E8" s="6" t="n">
        <x:f>C8-D8</x:f>
        <x:v>-130000</x:v>
      </x:c>
      <x:c r="F8" s="6" t="n">
        <x:f>F7+E8</x:f>
        <x:v>-163000</x:v>
      </x:c>
      <x:c r="G8" s="6" t="n">
        <x:v>-130000</x:v>
      </x:c>
      <x:c r="H8" s="6" t="n">
        <x:v>145000</x:v>
      </x:c>
    </x:row>
    <x:row r="9" ht="25" customHeight="1">
      <x:c r="A9" s="2" t="str">
        <x:v>2026-09-24_Day</x:v>
      </x:c>
      <x:c r="B9" s="2" t="str">
        <x:v>下落</x:v>
      </x:c>
      <x:c r="C9" s="6" t="n">
        <x:v>17000</x:v>
      </x:c>
      <x:c r="D9" s="6" t="n">
        <x:v>103000</x:v>
      </x:c>
      <x:c r="E9" s="6" t="n">
        <x:f>C9-D9</x:f>
        <x:v>-86000</x:v>
      </x:c>
      <x:c r="F9" s="6" t="n">
        <x:f>F8+E9</x:f>
        <x:v>-249000</x:v>
      </x:c>
      <x:c r="G9" s="6" t="n">
        <x:v>-107000</x:v>
      </x:c>
      <x:c r="H9" s="6" t="n">
        <x:v>123000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52000</x:v>
      </x:c>
      <x:c r="D10" s="6" t="n">
        <x:v>62000</x:v>
      </x:c>
      <x:c r="E10" s="6" t="n">
        <x:f>C10-D10</x:f>
        <x:v>-10000</x:v>
      </x:c>
      <x:c r="F10" s="6" t="n">
        <x:f>F9+E10</x:f>
        <x:v>-259000</x:v>
      </x:c>
      <x:c r="G10" s="6" t="n">
        <x:v>-62000</x:v>
      </x:c>
      <x:c r="H10" s="6" t="n">
        <x:v>125000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8000</x:v>
      </x:c>
      <x:c r="D11" s="6" t="n">
        <x:v>149000</x:v>
      </x:c>
      <x:c r="E11" s="6" t="n">
        <x:f>C11-D11</x:f>
        <x:v>-141000</x:v>
      </x:c>
      <x:c r="F11" s="6" t="n">
        <x:f>F10+E11</x:f>
        <x:v>-400000</x:v>
      </x:c>
      <x:c r="G11" s="6" t="n">
        <x:v>-143000</x:v>
      </x:c>
      <x:c r="H11" s="6" t="n">
        <x:v>162000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17000</x:v>
      </x:c>
      <x:c r="D12" s="6" t="n">
        <x:v>95000</x:v>
      </x:c>
      <x:c r="E12" s="6" t="n">
        <x:f>C12-D12</x:f>
        <x:v>-78000</x:v>
      </x:c>
      <x:c r="F12" s="6" t="n">
        <x:f>F11+E12</x:f>
        <x:v>-478000</x:v>
      </x:c>
      <x:c r="G12" s="6" t="n">
        <x:v>-175000</x:v>
      </x:c>
      <x:c r="H12" s="6" t="n">
        <x:v>177000</x:v>
      </x:c>
    </x:row>
    <x:row r="13" ht="25" customHeight="1">
      <x:c r="A13" s="2" t="str">
        <x:v>2026-09-30_Day</x:v>
      </x:c>
      <x:c r="B13" s="2" t="str">
        <x:v>上昇</x:v>
      </x:c>
      <x:c r="C13" s="6" t="n">
        <x:v>26000</x:v>
      </x:c>
      <x:c r="D13" s="6" t="n">
        <x:v>97000</x:v>
      </x:c>
      <x:c r="E13" s="6" t="n">
        <x:f>C13-D13</x:f>
        <x:v>-71000</x:v>
      </x:c>
      <x:c r="F13" s="6" t="n">
        <x:f>F12+E13</x:f>
        <x:v>-549000</x:v>
      </x:c>
      <x:c r="G13" s="6" t="n">
        <x:v>-122000</x:v>
      </x:c>
      <x:c r="H13" s="6" t="n">
        <x:v>128000</x:v>
      </x:c>
    </x:row>
    <x:row r="14" ht="25" customHeight="1">
      <x:c r="A14" s="2" t="str">
        <x:v>2026-10-01_Day</x:v>
      </x:c>
      <x:c r="B14" s="2" t="str">
        <x:v>上昇</x:v>
      </x:c>
      <x:c r="C14" s="6" t="n">
        <x:v>48000</x:v>
      </x:c>
      <x:c r="D14" s="6" t="n">
        <x:v>175000</x:v>
      </x:c>
      <x:c r="E14" s="6" t="n">
        <x:f>C14-D14</x:f>
        <x:v>-127000</x:v>
      </x:c>
      <x:c r="F14" s="6" t="n">
        <x:f>F13+E14</x:f>
        <x:v>-676000</x:v>
      </x:c>
      <x:c r="G14" s="6" t="n">
        <x:v>-141000</x:v>
      </x:c>
      <x:c r="H14" s="6" t="n">
        <x:v>151000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10000</x:v>
      </x:c>
      <x:c r="D15" s="6" t="n">
        <x:v>25000</x:v>
      </x:c>
      <x:c r="E15" s="6" t="n">
        <x:f>C15-D15</x:f>
        <x:v>-15000</x:v>
      </x:c>
      <x:c r="F15" s="6" t="n">
        <x:f>F14+E15</x:f>
        <x:v>-691000</x:v>
      </x:c>
      <x:c r="G15" s="6" t="n">
        <x:v>-15000</x:v>
      </x:c>
      <x:c r="H15" s="6" t="n">
        <x:v>35000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9000</x:v>
      </x:c>
      <x:c r="D16" s="6" t="n">
        <x:v>173000</x:v>
      </x:c>
      <x:c r="E16" s="6" t="n">
        <x:f>C16-D16</x:f>
        <x:v>-164000</x:v>
      </x:c>
      <x:c r="F16" s="6" t="n">
        <x:f>F15+E16</x:f>
        <x:v>-855000</x:v>
      </x:c>
      <x:c r="G16" s="6" t="n">
        <x:v>-171000</x:v>
      </x:c>
      <x:c r="H16" s="6" t="n">
        <x:v>171000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238000</x:v>
      </x:c>
      <x:c r="E17" s="6" t="n">
        <x:f>C17-D17</x:f>
        <x:v>-238000</x:v>
      </x:c>
      <x:c r="F17" s="6" t="n">
        <x:f>F16+E17</x:f>
        <x:v>-1093000</x:v>
      </x:c>
      <x:c r="G17" s="6" t="n">
        <x:v>-238000</x:v>
      </x:c>
      <x:c r="H17" s="6" t="n">
        <x:v>243000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7000</x:v>
      </x:c>
      <x:c r="D18" s="6" t="n">
        <x:v>31000</x:v>
      </x:c>
      <x:c r="E18" s="6" t="n">
        <x:f>C18-D18</x:f>
        <x:v>-24000</x:v>
      </x:c>
      <x:c r="F18" s="6" t="n">
        <x:f>F17+E18</x:f>
        <x:v>-1117000</x:v>
      </x:c>
      <x:c r="G18" s="6" t="n">
        <x:v>-58000</x:v>
      </x:c>
      <x:c r="H18" s="6" t="n">
        <x:v>65000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99000</x:v>
      </x:c>
      <x:c r="E19" s="6" t="n">
        <x:f>C19-D19</x:f>
        <x:v>-99000</x:v>
      </x:c>
      <x:c r="F19" s="6" t="n">
        <x:f>F18+E19</x:f>
        <x:v>-1216000</x:v>
      </x:c>
      <x:c r="G19" s="6" t="n">
        <x:v>-119000</x:v>
      </x:c>
      <x:c r="H19" s="6" t="n">
        <x:v>123000</x:v>
      </x:c>
    </x:row>
    <x:row r="20" ht="25" customHeight="1">
      <x:c r="A20" s="2" t="str">
        <x:v>2026-10-09_Day</x:v>
      </x:c>
      <x:c r="B20" s="2" t="str">
        <x:v>上昇</x:v>
      </x:c>
      <x:c r="C20" s="6" t="n">
        <x:v>37000</x:v>
      </x:c>
      <x:c r="D20" s="6" t="n">
        <x:v>69000</x:v>
      </x:c>
      <x:c r="E20" s="6" t="n">
        <x:f>C20-D20</x:f>
        <x:v>-32000</x:v>
      </x:c>
      <x:c r="F20" s="6" t="n">
        <x:f>F19+E20</x:f>
        <x:v>-1248000</x:v>
      </x:c>
      <x:c r="G20" s="6" t="n">
        <x:v>-55000</x:v>
      </x:c>
      <x:c r="H20" s="6" t="n">
        <x:v>83000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22000</x:v>
      </x:c>
      <x:c r="D21" s="6" t="n">
        <x:v>38000</x:v>
      </x:c>
      <x:c r="E21" s="6" t="n">
        <x:f>C21-D21</x:f>
        <x:v>-16000</x:v>
      </x:c>
      <x:c r="F21" s="6" t="n">
        <x:f>F20+E21</x:f>
        <x:v>-1264000</x:v>
      </x:c>
      <x:c r="G21" s="6" t="n">
        <x:v>-88000</x:v>
      </x:c>
      <x:c r="H21" s="6" t="n">
        <x:v>90000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2000</x:v>
      </x:c>
      <x:c r="D22" s="6" t="n">
        <x:v>336000</x:v>
      </x:c>
      <x:c r="E22" s="6" t="n">
        <x:f>C22-D22</x:f>
        <x:v>-334000</x:v>
      </x:c>
      <x:c r="F22" s="6" t="n">
        <x:f>F21+E22</x:f>
        <x:v>-1598000</x:v>
      </x:c>
      <x:c r="G22" s="6" t="n">
        <x:v>-354000</x:v>
      </x:c>
      <x:c r="H22" s="6" t="n">
        <x:v>370000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44000</x:v>
      </x:c>
      <x:c r="D23" s="6" t="n">
        <x:v>48000</x:v>
      </x:c>
      <x:c r="E23" s="6" t="n">
        <x:f>C23-D23</x:f>
        <x:v>-4000</x:v>
      </x:c>
      <x:c r="F23" s="6" t="n">
        <x:f>F22+E23</x:f>
        <x:v>-1602000</x:v>
      </x:c>
      <x:c r="G23" s="6" t="n">
        <x:v>-43000</x:v>
      </x:c>
      <x:c r="H23" s="6" t="n">
        <x:v>71000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15000</x:v>
      </x:c>
      <x:c r="D24" s="6" t="n">
        <x:v>92000</x:v>
      </x:c>
      <x:c r="E24" s="6" t="n">
        <x:f>C24-D24</x:f>
        <x:v>-77000</x:v>
      </x:c>
      <x:c r="F24" s="6" t="n">
        <x:f>F23+E24</x:f>
        <x:v>-1679000</x:v>
      </x:c>
      <x:c r="G24" s="6" t="n">
        <x:v>-131000</x:v>
      </x:c>
      <x:c r="H24" s="6" t="n">
        <x:v>158000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276000</x:v>
      </x:c>
      <x:c r="E25" s="6" t="n">
        <x:f>C25-D25</x:f>
        <x:v>-276000</x:v>
      </x:c>
      <x:c r="F25" s="6" t="n">
        <x:f>F24+E25</x:f>
        <x:v>-1955000</x:v>
      </x:c>
      <x:c r="G25" s="6" t="n">
        <x:v>-276000</x:v>
      </x:c>
      <x:c r="H25" s="6" t="n">
        <x:v>291000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23000</x:v>
      </x:c>
      <x:c r="D26" s="6" t="n">
        <x:v>26000</x:v>
      </x:c>
      <x:c r="E26" s="6" t="n">
        <x:f>C26-D26</x:f>
        <x:v>-3000</x:v>
      </x:c>
      <x:c r="F26" s="6" t="n">
        <x:f>F25+E26</x:f>
        <x:v>-1958000</x:v>
      </x:c>
      <x:c r="G26" s="6" t="n">
        <x:v>-149000</x:v>
      </x:c>
      <x:c r="H26" s="6" t="n">
        <x:v>204000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339000</x:v>
      </x:c>
      <x:c r="E27" s="6" t="n">
        <x:f>C27-D27</x:f>
        <x:v>-339000</x:v>
      </x:c>
      <x:c r="F27" s="6" t="n">
        <x:f>F26+E27</x:f>
        <x:v>-2297000</x:v>
      </x:c>
      <x:c r="G27" s="6" t="n">
        <x:v>-341000</x:v>
      </x:c>
      <x:c r="H27" s="6" t="n">
        <x:v>347000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6000</x:v>
      </x:c>
      <x:c r="D28" s="6" t="n">
        <x:v>153000</x:v>
      </x:c>
      <x:c r="E28" s="6" t="n">
        <x:f>C28-D28</x:f>
        <x:v>-147000</x:v>
      </x:c>
      <x:c r="F28" s="6" t="n">
        <x:f>F27+E28</x:f>
        <x:v>-2444000</x:v>
      </x:c>
      <x:c r="G28" s="6" t="n">
        <x:v>-194000</x:v>
      </x:c>
      <x:c r="H28" s="6" t="n">
        <x:v>202000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16000</x:v>
      </x:c>
      <x:c r="D29" s="6" t="n">
        <x:v>0</x:v>
      </x:c>
      <x:c r="E29" s="6" t="n">
        <x:f>C29-D29</x:f>
        <x:v>16000</x:v>
      </x:c>
      <x:c r="F29" s="6" t="n">
        <x:f>F28+E29</x:f>
        <x:v>-2428000</x:v>
      </x:c>
      <x:c r="G29" s="6" t="n">
        <x:v>-28000</x:v>
      </x:c>
      <x:c r="H29" s="6" t="n">
        <x:v>44000</x:v>
      </x:c>
    </x:row>
    <x:row r="30" ht="25" customHeight="1">
      <x:c r="A30" s="2" t="str">
        <x:v>2026-10-23_Day</x:v>
      </x:c>
      <x:c r="B30" s="2" t="str">
        <x:v>上昇</x:v>
      </x:c>
      <x:c r="C30" s="6" t="n">
        <x:v>65000</x:v>
      </x:c>
      <x:c r="D30" s="6" t="n">
        <x:v>188000</x:v>
      </x:c>
      <x:c r="E30" s="6" t="n">
        <x:f>C30-D30</x:f>
        <x:v>-123000</x:v>
      </x:c>
      <x:c r="F30" s="6" t="n">
        <x:f>F29+E30</x:f>
        <x:v>-2551000</x:v>
      </x:c>
      <x:c r="G30" s="6" t="n">
        <x:v>-133000</x:v>
      </x:c>
      <x:c r="H30" s="6" t="n">
        <x:v>141000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14000</x:v>
      </x:c>
      <x:c r="D31" s="6" t="n">
        <x:v>201000</x:v>
      </x:c>
      <x:c r="E31" s="6" t="n">
        <x:f>C31-D31</x:f>
        <x:v>-187000</x:v>
      </x:c>
      <x:c r="F31" s="6" t="n">
        <x:f>F30+E31</x:f>
        <x:v>-2738000</x:v>
      </x:c>
      <x:c r="G31" s="6" t="n">
        <x:v>-232000</x:v>
      </x:c>
      <x:c r="H31" s="6" t="n">
        <x:v>249000</x:v>
      </x:c>
    </x:row>
    <x:row r="32" ht="25" customHeight="1">
      <x:c r="A32" s="13" t="str">
        <x:v>累計／場内最悪値</x:v>
      </x:c>
      <x:c r="B32" s="13"/>
      <x:c r="C32" s="14" t="n">
        <x:f>SUM(C6:C31)</x:f>
        <x:v>455000</x:v>
      </x:c>
      <x:c r="D32" s="14" t="n">
        <x:f>SUM(D6:D31)</x:f>
        <x:v>3193000</x:v>
      </x:c>
      <x:c r="E32" s="14" t="n">
        <x:f>C32-D32</x:f>
        <x:v>-2738000</x:v>
      </x:c>
      <x:c r="F32" s="14" t="n">
        <x:f>F31</x:f>
        <x:v>-2738000</x:v>
      </x:c>
      <x:c r="G32" s="14" t="n">
        <x:f>MIN(G6:G31)</x:f>
        <x:v>-354000</x:v>
      </x:c>
      <x:c r="H32" s="14" t="n">
        <x:f>MAX(H6:H31)</x:f>
        <x:v>370000</x:v>
      </x:c>
    </x:row>
  </x:sheetData>
  <x:conditionalFormatting sqref="E6:F31">
    <x:cfRule type="cellIs" dxfId="3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97abb192c24769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E08＋元同親同方向へ新極値から40pt回復して再参加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20000</x:v>
      </x:c>
      <x:c r="D6" s="6" t="n">
        <x:v>6000</x:v>
      </x:c>
      <x:c r="E6" s="6" t="n">
        <x:f>C6-D6</x:f>
        <x:v>14000</x:v>
      </x:c>
      <x:c r="F6" s="6" t="n">
        <x:f>E6</x:f>
        <x:v>14000</x:v>
      </x:c>
      <x:c r="G6" s="6" t="n">
        <x:v>-21000</x:v>
      </x:c>
      <x:c r="H6" s="6" t="n">
        <x:v>40000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50000</x:v>
      </x:c>
      <x:c r="E7" s="6" t="n">
        <x:f>C7-D7</x:f>
        <x:v>-50000</x:v>
      </x:c>
      <x:c r="F7" s="6" t="n">
        <x:f>F6+E7</x:f>
        <x:v>-36000</x:v>
      </x:c>
      <x:c r="G7" s="6" t="n">
        <x:v>-50000</x:v>
      </x:c>
      <x:c r="H7" s="6" t="n">
        <x:v>55000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125000</x:v>
      </x:c>
      <x:c r="E8" s="6" t="n">
        <x:f>C8-D8</x:f>
        <x:v>-125000</x:v>
      </x:c>
      <x:c r="F8" s="6" t="n">
        <x:f>F7+E8</x:f>
        <x:v>-161000</x:v>
      </x:c>
      <x:c r="G8" s="6" t="n">
        <x:v>-125000</x:v>
      </x:c>
      <x:c r="H8" s="6" t="n">
        <x:v>135000</x:v>
      </x:c>
    </x:row>
    <x:row r="9" ht="25" customHeight="1">
      <x:c r="A9" s="2" t="str">
        <x:v>2026-09-24_Day</x:v>
      </x:c>
      <x:c r="B9" s="2" t="str">
        <x:v>下落</x:v>
      </x:c>
      <x:c r="C9" s="6" t="n">
        <x:v>12000</x:v>
      </x:c>
      <x:c r="D9" s="6" t="n">
        <x:v>106000</x:v>
      </x:c>
      <x:c r="E9" s="6" t="n">
        <x:f>C9-D9</x:f>
        <x:v>-94000</x:v>
      </x:c>
      <x:c r="F9" s="6" t="n">
        <x:f>F8+E9</x:f>
        <x:v>-255000</x:v>
      </x:c>
      <x:c r="G9" s="6" t="n">
        <x:v>-111000</x:v>
      </x:c>
      <x:c r="H9" s="6" t="n">
        <x:v>124000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50000</x:v>
      </x:c>
      <x:c r="D10" s="6" t="n">
        <x:v>67000</x:v>
      </x:c>
      <x:c r="E10" s="6" t="n">
        <x:f>C10-D10</x:f>
        <x:v>-17000</x:v>
      </x:c>
      <x:c r="F10" s="6" t="n">
        <x:f>F9+E10</x:f>
        <x:v>-272000</x:v>
      </x:c>
      <x:c r="G10" s="6" t="n">
        <x:v>-76000</x:v>
      </x:c>
      <x:c r="H10" s="6" t="n">
        <x:v>149000</x:v>
      </x:c>
    </x:row>
    <x:row r="11" ht="25" customHeight="1">
      <x:c r="A11" s="2" t="str">
        <x:v>2026-09-28_Day</x:v>
      </x:c>
      <x:c r="B11" s="2" t="str">
        <x:v>下落</x:v>
      </x:c>
      <x:c r="C11" s="6" t="n">
        <x:v>8000</x:v>
      </x:c>
      <x:c r="D11" s="6" t="n">
        <x:v>132000</x:v>
      </x:c>
      <x:c r="E11" s="6" t="n">
        <x:f>C11-D11</x:f>
        <x:v>-124000</x:v>
      </x:c>
      <x:c r="F11" s="6" t="n">
        <x:f>F10+E11</x:f>
        <x:v>-396000</x:v>
      </x:c>
      <x:c r="G11" s="6" t="n">
        <x:v>-126000</x:v>
      </x:c>
      <x:c r="H11" s="6" t="n">
        <x:v>140000</x:v>
      </x:c>
    </x:row>
    <x:row r="12" ht="25" customHeight="1">
      <x:c r="A12" s="2" t="str">
        <x:v>2026-09-29_Day</x:v>
      </x:c>
      <x:c r="B12" s="2" t="str">
        <x:v>下落</x:v>
      </x:c>
      <x:c r="C12" s="6" t="n">
        <x:v>43000</x:v>
      </x:c>
      <x:c r="D12" s="6" t="n">
        <x:v>107000</x:v>
      </x:c>
      <x:c r="E12" s="6" t="n">
        <x:f>C12-D12</x:f>
        <x:v>-64000</x:v>
      </x:c>
      <x:c r="F12" s="6" t="n">
        <x:f>F11+E12</x:f>
        <x:v>-460000</x:v>
      </x:c>
      <x:c r="G12" s="6" t="n">
        <x:v>-216000</x:v>
      </x:c>
      <x:c r="H12" s="6" t="n">
        <x:v>222000</x:v>
      </x:c>
    </x:row>
    <x:row r="13" ht="25" customHeight="1">
      <x:c r="A13" s="2" t="str">
        <x:v>2026-09-30_Day</x:v>
      </x:c>
      <x:c r="B13" s="2" t="str">
        <x:v>上昇</x:v>
      </x:c>
      <x:c r="C13" s="6" t="n">
        <x:v>80000</x:v>
      </x:c>
      <x:c r="D13" s="6" t="n">
        <x:v>96000</x:v>
      </x:c>
      <x:c r="E13" s="6" t="n">
        <x:f>C13-D13</x:f>
        <x:v>-16000</x:v>
      </x:c>
      <x:c r="F13" s="6" t="n">
        <x:f>F12+E13</x:f>
        <x:v>-476000</x:v>
      </x:c>
      <x:c r="G13" s="6" t="n">
        <x:v>-108000</x:v>
      </x:c>
      <x:c r="H13" s="6" t="n">
        <x:v>116000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199000</x:v>
      </x:c>
      <x:c r="E14" s="6" t="n">
        <x:f>C14-D14</x:f>
        <x:v>-199000</x:v>
      </x:c>
      <x:c r="F14" s="6" t="n">
        <x:f>F13+E14</x:f>
        <x:v>-675000</x:v>
      </x:c>
      <x:c r="G14" s="6" t="n">
        <x:v>-199000</x:v>
      </x:c>
      <x:c r="H14" s="6" t="n">
        <x:v>209000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14000</x:v>
      </x:c>
      <x:c r="D15" s="6" t="n">
        <x:v>8000</x:v>
      </x:c>
      <x:c r="E15" s="6" t="n">
        <x:f>C15-D15</x:f>
        <x:v>6000</x:v>
      </x:c>
      <x:c r="F15" s="6" t="n">
        <x:f>F14+E15</x:f>
        <x:v>-669000</x:v>
      </x:c>
      <x:c r="G15" s="6" t="n">
        <x:v>-14000</x:v>
      </x:c>
      <x:c r="H15" s="6" t="n">
        <x:v>27000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12000</x:v>
      </x:c>
      <x:c r="D16" s="6" t="n">
        <x:v>169000</x:v>
      </x:c>
      <x:c r="E16" s="6" t="n">
        <x:f>C16-D16</x:f>
        <x:v>-157000</x:v>
      </x:c>
      <x:c r="F16" s="6" t="n">
        <x:f>F15+E16</x:f>
        <x:v>-826000</x:v>
      </x:c>
      <x:c r="G16" s="6" t="n">
        <x:v>-164000</x:v>
      </x:c>
      <x:c r="H16" s="6" t="n">
        <x:v>164000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20000</x:v>
      </x:c>
      <x:c r="D17" s="6" t="n">
        <x:v>149000</x:v>
      </x:c>
      <x:c r="E17" s="6" t="n">
        <x:f>C17-D17</x:f>
        <x:v>-129000</x:v>
      </x:c>
      <x:c r="F17" s="6" t="n">
        <x:f>F16+E17</x:f>
        <x:v>-955000</x:v>
      </x:c>
      <x:c r="G17" s="6" t="n">
        <x:v>-129000</x:v>
      </x:c>
      <x:c r="H17" s="6" t="n">
        <x:v>132000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36000</x:v>
      </x:c>
      <x:c r="D18" s="6" t="n">
        <x:v>64000</x:v>
      </x:c>
      <x:c r="E18" s="6" t="n">
        <x:f>C18-D18</x:f>
        <x:v>-28000</x:v>
      </x:c>
      <x:c r="F18" s="6" t="n">
        <x:f>F17+E18</x:f>
        <x:v>-983000</x:v>
      </x:c>
      <x:c r="G18" s="6" t="n">
        <x:v>-76000</x:v>
      </x:c>
      <x:c r="H18" s="6" t="n">
        <x:v>84000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25000</x:v>
      </x:c>
      <x:c r="D19" s="6" t="n">
        <x:v>95000</x:v>
      </x:c>
      <x:c r="E19" s="6" t="n">
        <x:f>C19-D19</x:f>
        <x:v>-70000</x:v>
      </x:c>
      <x:c r="F19" s="6" t="n">
        <x:f>F18+E19</x:f>
        <x:v>-1053000</x:v>
      </x:c>
      <x:c r="G19" s="6" t="n">
        <x:v>-110000</x:v>
      </x:c>
      <x:c r="H19" s="6" t="n">
        <x:v>112000</x:v>
      </x:c>
    </x:row>
    <x:row r="20" ht="25" customHeight="1">
      <x:c r="A20" s="2" t="str">
        <x:v>2026-10-09_Day</x:v>
      </x:c>
      <x:c r="B20" s="2" t="str">
        <x:v>上昇</x:v>
      </x:c>
      <x:c r="C20" s="6" t="n">
        <x:v>54000</x:v>
      </x:c>
      <x:c r="D20" s="6" t="n">
        <x:v>82000</x:v>
      </x:c>
      <x:c r="E20" s="6" t="n">
        <x:f>C20-D20</x:f>
        <x:v>-28000</x:v>
      </x:c>
      <x:c r="F20" s="6" t="n">
        <x:f>F19+E20</x:f>
        <x:v>-1081000</x:v>
      </x:c>
      <x:c r="G20" s="6" t="n">
        <x:v>-61000</x:v>
      </x:c>
      <x:c r="H20" s="6" t="n">
        <x:v>85000</x:v>
      </x:c>
    </x:row>
    <x:row r="21" ht="25" customHeight="1">
      <x:c r="A21" s="2" t="str">
        <x:v>2026-10-12_Day</x:v>
      </x:c>
      <x:c r="B21" s="2" t="str">
        <x:v>下落</x:v>
      </x:c>
      <x:c r="C21" s="6" t="n">
        <x:v>24000</x:v>
      </x:c>
      <x:c r="D21" s="6" t="n">
        <x:v>38000</x:v>
      </x:c>
      <x:c r="E21" s="6" t="n">
        <x:f>C21-D21</x:f>
        <x:v>-14000</x:v>
      </x:c>
      <x:c r="F21" s="6" t="n">
        <x:f>F20+E21</x:f>
        <x:v>-1095000</x:v>
      </x:c>
      <x:c r="G21" s="6" t="n">
        <x:v>-93000</x:v>
      </x:c>
      <x:c r="H21" s="6" t="n">
        <x:v>95000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20000</x:v>
      </x:c>
      <x:c r="D22" s="6" t="n">
        <x:v>323000</x:v>
      </x:c>
      <x:c r="E22" s="6" t="n">
        <x:f>C22-D22</x:f>
        <x:v>-303000</x:v>
      </x:c>
      <x:c r="F22" s="6" t="n">
        <x:f>F21+E22</x:f>
        <x:v>-1398000</x:v>
      </x:c>
      <x:c r="G22" s="6" t="n">
        <x:v>-322000</x:v>
      </x:c>
      <x:c r="H22" s="6" t="n">
        <x:v>338000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100000</x:v>
      </x:c>
      <x:c r="D23" s="6" t="n">
        <x:v>67000</x:v>
      </x:c>
      <x:c r="E23" s="6" t="n">
        <x:f>C23-D23</x:f>
        <x:v>33000</x:v>
      </x:c>
      <x:c r="F23" s="6" t="n">
        <x:f>F22+E23</x:f>
        <x:v>-1365000</x:v>
      </x:c>
      <x:c r="G23" s="6" t="n">
        <x:v>-32000</x:v>
      </x:c>
      <x:c r="H23" s="6" t="n">
        <x:v>85000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74000</x:v>
      </x:c>
      <x:c r="D24" s="6" t="n">
        <x:v>90000</x:v>
      </x:c>
      <x:c r="E24" s="6" t="n">
        <x:f>C24-D24</x:f>
        <x:v>-16000</x:v>
      </x:c>
      <x:c r="F24" s="6" t="n">
        <x:f>F23+E24</x:f>
        <x:v>-1381000</x:v>
      </x:c>
      <x:c r="G24" s="6" t="n">
        <x:v>-80000</x:v>
      </x:c>
      <x:c r="H24" s="6" t="n">
        <x:v>130000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257000</x:v>
      </x:c>
      <x:c r="E25" s="6" t="n">
        <x:f>C25-D25</x:f>
        <x:v>-257000</x:v>
      </x:c>
      <x:c r="F25" s="6" t="n">
        <x:f>F24+E25</x:f>
        <x:v>-1638000</x:v>
      </x:c>
      <x:c r="G25" s="6" t="n">
        <x:v>-257000</x:v>
      </x:c>
      <x:c r="H25" s="6" t="n">
        <x:v>272000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29000</x:v>
      </x:c>
      <x:c r="D26" s="6" t="n">
        <x:v>17000</x:v>
      </x:c>
      <x:c r="E26" s="6" t="n">
        <x:f>C26-D26</x:f>
        <x:v>12000</x:v>
      </x:c>
      <x:c r="F26" s="6" t="n">
        <x:f>F25+E26</x:f>
        <x:v>-1626000</x:v>
      </x:c>
      <x:c r="G26" s="6" t="n">
        <x:v>-158000</x:v>
      </x:c>
      <x:c r="H26" s="6" t="n">
        <x:v>210000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33000</x:v>
      </x:c>
      <x:c r="D27" s="6" t="n">
        <x:v>274000</x:v>
      </x:c>
      <x:c r="E27" s="6" t="n">
        <x:f>C27-D27</x:f>
        <x:v>-241000</x:v>
      </x:c>
      <x:c r="F27" s="6" t="n">
        <x:f>F26+E27</x:f>
        <x:v>-1867000</x:v>
      </x:c>
      <x:c r="G27" s="6" t="n">
        <x:v>-263000</x:v>
      </x:c>
      <x:c r="H27" s="6" t="n">
        <x:v>267000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15000</x:v>
      </x:c>
      <x:c r="D28" s="6" t="n">
        <x:v>126000</x:v>
      </x:c>
      <x:c r="E28" s="6" t="n">
        <x:f>C28-D28</x:f>
        <x:v>-111000</x:v>
      </x:c>
      <x:c r="F28" s="6" t="n">
        <x:f>F27+E28</x:f>
        <x:v>-1978000</x:v>
      </x:c>
      <x:c r="G28" s="6" t="n">
        <x:v>-154000</x:v>
      </x:c>
      <x:c r="H28" s="6" t="n">
        <x:v>162000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26000</x:v>
      </x:c>
      <x:c r="D29" s="6" t="n">
        <x:v>0</x:v>
      </x:c>
      <x:c r="E29" s="6" t="n">
        <x:f>C29-D29</x:f>
        <x:v>26000</x:v>
      </x:c>
      <x:c r="F29" s="6" t="n">
        <x:f>F28+E29</x:f>
        <x:v>-1952000</x:v>
      </x:c>
      <x:c r="G29" s="6" t="n">
        <x:v>-14000</x:v>
      </x:c>
      <x:c r="H29" s="6" t="n">
        <x:v>26000</x:v>
      </x:c>
    </x:row>
    <x:row r="30" ht="25" customHeight="1">
      <x:c r="A30" s="2" t="str">
        <x:v>2026-10-23_Day</x:v>
      </x:c>
      <x:c r="B30" s="2" t="str">
        <x:v>上昇</x:v>
      </x:c>
      <x:c r="C30" s="6" t="n">
        <x:v>61000</x:v>
      </x:c>
      <x:c r="D30" s="6" t="n">
        <x:v>117000</x:v>
      </x:c>
      <x:c r="E30" s="6" t="n">
        <x:f>C30-D30</x:f>
        <x:v>-56000</x:v>
      </x:c>
      <x:c r="F30" s="6" t="n">
        <x:f>F29+E30</x:f>
        <x:v>-2008000</x:v>
      </x:c>
      <x:c r="G30" s="6" t="n">
        <x:v>-117000</x:v>
      </x:c>
      <x:c r="H30" s="6" t="n">
        <x:v>147000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18000</x:v>
      </x:c>
      <x:c r="D31" s="6" t="n">
        <x:v>104000</x:v>
      </x:c>
      <x:c r="E31" s="6" t="n">
        <x:f>C31-D31</x:f>
        <x:v>-86000</x:v>
      </x:c>
      <x:c r="F31" s="6" t="n">
        <x:f>F30+E31</x:f>
        <x:v>-2094000</x:v>
      </x:c>
      <x:c r="G31" s="6" t="n">
        <x:v>-131000</x:v>
      </x:c>
      <x:c r="H31" s="6" t="n">
        <x:v>147000</x:v>
      </x:c>
    </x:row>
    <x:row r="32" ht="25" customHeight="1">
      <x:c r="A32" s="13" t="str">
        <x:v>累計／場内最悪値</x:v>
      </x:c>
      <x:c r="B32" s="13"/>
      <x:c r="C32" s="14" t="n">
        <x:f>SUM(C6:C31)</x:f>
        <x:v>774000</x:v>
      </x:c>
      <x:c r="D32" s="14" t="n">
        <x:f>SUM(D6:D31)</x:f>
        <x:v>2868000</x:v>
      </x:c>
      <x:c r="E32" s="14" t="n">
        <x:f>C32-D32</x:f>
        <x:v>-2094000</x:v>
      </x:c>
      <x:c r="F32" s="14" t="n">
        <x:f>F31</x:f>
        <x:v>-2094000</x:v>
      </x:c>
      <x:c r="G32" s="14" t="n">
        <x:f>MIN(G6:G31)</x:f>
        <x:v>-322000</x:v>
      </x:c>
      <x:c r="H32" s="14" t="n">
        <x:f>MAX(H6:H31)</x:f>
        <x:v>338000</x:v>
      </x:c>
    </x:row>
  </x:sheetData>
  <x:conditionalFormatting sqref="E6:F31">
    <x:cfRule type="cellIs" dxfId="3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0346aa74a44d72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R09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E08＋元同親同方向へ新極値から80pt回復して再参加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47000</x:v>
      </x:c>
      <x:c r="D6" s="6" t="n">
        <x:v>0</x:v>
      </x:c>
      <x:c r="E6" s="6" t="n">
        <x:f>C6-D6</x:f>
        <x:v>47000</x:v>
      </x:c>
      <x:c r="F6" s="6" t="n">
        <x:f>E6</x:f>
        <x:v>47000</x:v>
      </x:c>
      <x:c r="G6" s="6" t="n">
        <x:v>-12000</x:v>
      </x:c>
      <x:c r="H6" s="6" t="n">
        <x:v>20000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47000</x:v>
      </x:c>
      <x:c r="G7" s="6" t="n">
        <x:v>-10000</x:v>
      </x:c>
      <x:c r="H7" s="6" t="n">
        <x:v>10000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125000</x:v>
      </x:c>
      <x:c r="E8" s="6" t="n">
        <x:f>C8-D8</x:f>
        <x:v>-125000</x:v>
      </x:c>
      <x:c r="F8" s="6" t="n">
        <x:f>F7+E8</x:f>
        <x:v>-78000</x:v>
      </x:c>
      <x:c r="G8" s="6" t="n">
        <x:v>-125000</x:v>
      </x:c>
      <x:c r="H8" s="6" t="n">
        <x:v>150000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29000</x:v>
      </x:c>
      <x:c r="E9" s="6" t="n">
        <x:f>C9-D9</x:f>
        <x:v>-29000</x:v>
      </x:c>
      <x:c r="F9" s="6" t="n">
        <x:f>F8+E9</x:f>
        <x:v>-107000</x:v>
      </x:c>
      <x:c r="G9" s="6" t="n">
        <x:v>-43000</x:v>
      </x:c>
      <x:c r="H9" s="6" t="n">
        <x:v>53000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50000</x:v>
      </x:c>
      <x:c r="D10" s="6" t="n">
        <x:v>74000</x:v>
      </x:c>
      <x:c r="E10" s="6" t="n">
        <x:f>C10-D10</x:f>
        <x:v>-24000</x:v>
      </x:c>
      <x:c r="F10" s="6" t="n">
        <x:f>F9+E10</x:f>
        <x:v>-131000</x:v>
      </x:c>
      <x:c r="G10" s="6" t="n">
        <x:v>-88000</x:v>
      </x:c>
      <x:c r="H10" s="6" t="n">
        <x:v>126000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13000</x:v>
      </x:c>
      <x:c r="D11" s="6" t="n">
        <x:v>50000</x:v>
      </x:c>
      <x:c r="E11" s="6" t="n">
        <x:f>C11-D11</x:f>
        <x:v>-37000</x:v>
      </x:c>
      <x:c r="F11" s="6" t="n">
        <x:f>F10+E11</x:f>
        <x:v>-168000</x:v>
      </x:c>
      <x:c r="G11" s="6" t="n">
        <x:v>-45000</x:v>
      </x:c>
      <x:c r="H11" s="6" t="n">
        <x:v>53000</x:v>
      </x:c>
    </x:row>
    <x:row r="12" ht="25" customHeight="1">
      <x:c r="A12" s="2" t="str">
        <x:v>2026-09-29_Day</x:v>
      </x:c>
      <x:c r="B12" s="2" t="str">
        <x:v>下落</x:v>
      </x:c>
      <x:c r="C12" s="6" t="n">
        <x:v>49000</x:v>
      </x:c>
      <x:c r="D12" s="6" t="n">
        <x:v>103000</x:v>
      </x:c>
      <x:c r="E12" s="6" t="n">
        <x:f>C12-D12</x:f>
        <x:v>-54000</x:v>
      </x:c>
      <x:c r="F12" s="6" t="n">
        <x:f>F11+E12</x:f>
        <x:v>-222000</x:v>
      </x:c>
      <x:c r="G12" s="6" t="n">
        <x:v>-134000</x:v>
      </x:c>
      <x:c r="H12" s="6" t="n">
        <x:v>142000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62000</x:v>
      </x:c>
      <x:c r="E13" s="6" t="n">
        <x:f>C13-D13</x:f>
        <x:v>-62000</x:v>
      </x:c>
      <x:c r="F13" s="6" t="n">
        <x:f>F12+E13</x:f>
        <x:v>-284000</x:v>
      </x:c>
      <x:c r="G13" s="6" t="n">
        <x:v>-107000</x:v>
      </x:c>
      <x:c r="H13" s="6" t="n">
        <x:v>113000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69000</x:v>
      </x:c>
      <x:c r="E14" s="6" t="n">
        <x:f>C14-D14</x:f>
        <x:v>-67000</x:v>
      </x:c>
      <x:c r="F14" s="6" t="n">
        <x:f>F13+E14</x:f>
        <x:v>-351000</x:v>
      </x:c>
      <x:c r="G14" s="6" t="n">
        <x:v>-69000</x:v>
      </x:c>
      <x:c r="H14" s="6" t="n">
        <x:v>108000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5000</x:v>
      </x:c>
      <x:c r="D15" s="6" t="n">
        <x:v>4000</x:v>
      </x:c>
      <x:c r="E15" s="6" t="n">
        <x:f>C15-D15</x:f>
        <x:v>1000</x:v>
      </x:c>
      <x:c r="F15" s="6" t="n">
        <x:f>F14+E15</x:f>
        <x:v>-350000</x:v>
      </x:c>
      <x:c r="G15" s="6" t="n">
        <x:v>-21000</x:v>
      </x:c>
      <x:c r="H15" s="6" t="n">
        <x:v>32000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13000</x:v>
      </x:c>
      <x:c r="D16" s="6" t="n">
        <x:v>156000</x:v>
      </x:c>
      <x:c r="E16" s="6" t="n">
        <x:f>C16-D16</x:f>
        <x:v>-143000</x:v>
      </x:c>
      <x:c r="F16" s="6" t="n">
        <x:f>F15+E16</x:f>
        <x:v>-493000</x:v>
      </x:c>
      <x:c r="G16" s="6" t="n">
        <x:v>-157000</x:v>
      </x:c>
      <x:c r="H16" s="6" t="n">
        <x:v>157000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18000</x:v>
      </x:c>
      <x:c r="D17" s="6" t="n">
        <x:v>80000</x:v>
      </x:c>
      <x:c r="E17" s="6" t="n">
        <x:f>C17-D17</x:f>
        <x:v>-62000</x:v>
      </x:c>
      <x:c r="F17" s="6" t="n">
        <x:f>F16+E17</x:f>
        <x:v>-555000</x:v>
      </x:c>
      <x:c r="G17" s="6" t="n">
        <x:v>-68000</x:v>
      </x:c>
      <x:c r="H17" s="6" t="n">
        <x:v>70000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15000</x:v>
      </x:c>
      <x:c r="D18" s="6" t="n">
        <x:v>61000</x:v>
      </x:c>
      <x:c r="E18" s="6" t="n">
        <x:f>C18-D18</x:f>
        <x:v>-46000</x:v>
      </x:c>
      <x:c r="F18" s="6" t="n">
        <x:f>F17+E18</x:f>
        <x:v>-601000</x:v>
      </x:c>
      <x:c r="G18" s="6" t="n">
        <x:v>-46000</x:v>
      </x:c>
      <x:c r="H18" s="6" t="n">
        <x:v>52000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6000</x:v>
      </x:c>
      <x:c r="D19" s="6" t="n">
        <x:v>45000</x:v>
      </x:c>
      <x:c r="E19" s="6" t="n">
        <x:f>C19-D19</x:f>
        <x:v>-39000</x:v>
      </x:c>
      <x:c r="F19" s="6" t="n">
        <x:f>F18+E19</x:f>
        <x:v>-640000</x:v>
      </x:c>
      <x:c r="G19" s="6" t="n">
        <x:v>-74000</x:v>
      </x:c>
      <x:c r="H19" s="6" t="n">
        <x:v>79000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117000</x:v>
      </x:c>
      <x:c r="E20" s="6" t="n">
        <x:f>C20-D20</x:f>
        <x:v>-117000</x:v>
      </x:c>
      <x:c r="F20" s="6" t="n">
        <x:f>F19+E20</x:f>
        <x:v>-757000</x:v>
      </x:c>
      <x:c r="G20" s="6" t="n">
        <x:v>-117000</x:v>
      </x:c>
      <x:c r="H20" s="6" t="n">
        <x:v>138000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160000</x:v>
      </x:c>
      <x:c r="E21" s="6" t="n">
        <x:f>C21-D21</x:f>
        <x:v>-160000</x:v>
      </x:c>
      <x:c r="F21" s="6" t="n">
        <x:f>F20+E21</x:f>
        <x:v>-917000</x:v>
      </x:c>
      <x:c r="G21" s="6" t="n">
        <x:v>-160000</x:v>
      </x:c>
      <x:c r="H21" s="6" t="n">
        <x:v>162000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22000</x:v>
      </x:c>
      <x:c r="D22" s="6" t="n">
        <x:v>345000</x:v>
      </x:c>
      <x:c r="E22" s="6" t="n">
        <x:f>C22-D22</x:f>
        <x:v>-323000</x:v>
      </x:c>
      <x:c r="F22" s="6" t="n">
        <x:f>F21+E22</x:f>
        <x:v>-1240000</x:v>
      </x:c>
      <x:c r="G22" s="6" t="n">
        <x:v>-377000</x:v>
      </x:c>
      <x:c r="H22" s="6" t="n">
        <x:v>381000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115000</x:v>
      </x:c>
      <x:c r="D23" s="6" t="n">
        <x:v>50000</x:v>
      </x:c>
      <x:c r="E23" s="6" t="n">
        <x:f>C23-D23</x:f>
        <x:v>65000</x:v>
      </x:c>
      <x:c r="F23" s="6" t="n">
        <x:f>F22+E23</x:f>
        <x:v>-1175000</x:v>
      </x:c>
      <x:c r="G23" s="6" t="n">
        <x:v>-20000</x:v>
      </x:c>
      <x:c r="H23" s="6" t="n">
        <x:v>76000</x:v>
      </x:c>
    </x:row>
    <x:row r="24" ht="25" customHeight="1">
      <x:c r="A24" s="2" t="str">
        <x:v>2026-10-15_Day</x:v>
      </x:c>
      <x:c r="B24" s="2" t="str">
        <x:v>下落</x:v>
      </x:c>
      <x:c r="C24" s="6" t="n">
        <x:v>90000</x:v>
      </x:c>
      <x:c r="D24" s="6" t="n">
        <x:v>14000</x:v>
      </x:c>
      <x:c r="E24" s="6" t="n">
        <x:f>C24-D24</x:f>
        <x:v>76000</x:v>
      </x:c>
      <x:c r="F24" s="6" t="n">
        <x:f>F23+E24</x:f>
        <x:v>-1099000</x:v>
      </x:c>
      <x:c r="G24" s="6" t="n">
        <x:v>-20000</x:v>
      </x:c>
      <x:c r="H24" s="6" t="n">
        <x:v>45000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10000</x:v>
      </x:c>
      <x:c r="D25" s="6" t="n">
        <x:v>149000</x:v>
      </x:c>
      <x:c r="E25" s="6" t="n">
        <x:f>C25-D25</x:f>
        <x:v>-139000</x:v>
      </x:c>
      <x:c r="F25" s="6" t="n">
        <x:f>F24+E25</x:f>
        <x:v>-1238000</x:v>
      </x:c>
      <x:c r="G25" s="6" t="n">
        <x:v>-139000</x:v>
      </x:c>
      <x:c r="H25" s="6" t="n">
        <x:v>154000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27000</x:v>
      </x:c>
      <x:c r="D26" s="6" t="n">
        <x:v>0</x:v>
      </x:c>
      <x:c r="E26" s="6" t="n">
        <x:f>C26-D26</x:f>
        <x:v>27000</x:v>
      </x:c>
      <x:c r="F26" s="6" t="n">
        <x:f>F25+E26</x:f>
        <x:v>-1211000</x:v>
      </x:c>
      <x:c r="G26" s="6" t="n">
        <x:v>-15000</x:v>
      </x:c>
      <x:c r="H26" s="6" t="n">
        <x:v>108000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2000</x:v>
      </x:c>
      <x:c r="D27" s="6" t="n">
        <x:v>352000</x:v>
      </x:c>
      <x:c r="E27" s="6" t="n">
        <x:f>C27-D27</x:f>
        <x:v>-350000</x:v>
      </x:c>
      <x:c r="F27" s="6" t="n">
        <x:f>F26+E27</x:f>
        <x:v>-1561000</x:v>
      </x:c>
      <x:c r="G27" s="6" t="n">
        <x:v>-350000</x:v>
      </x:c>
      <x:c r="H27" s="6" t="n">
        <x:v>352000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13000</x:v>
      </x:c>
      <x:c r="D28" s="6" t="n">
        <x:v>51000</x:v>
      </x:c>
      <x:c r="E28" s="6" t="n">
        <x:f>C28-D28</x:f>
        <x:v>-38000</x:v>
      </x:c>
      <x:c r="F28" s="6" t="n">
        <x:f>F27+E28</x:f>
        <x:v>-1599000</x:v>
      </x:c>
      <x:c r="G28" s="6" t="n">
        <x:v>-55000</x:v>
      </x:c>
      <x:c r="H28" s="6" t="n">
        <x:v>63000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5000</x:v>
      </x:c>
      <x:c r="E29" s="6" t="n">
        <x:f>C29-D29</x:f>
        <x:v>-5000</x:v>
      </x:c>
      <x:c r="F29" s="6" t="n">
        <x:f>F28+E29</x:f>
        <x:v>-1604000</x:v>
      </x:c>
      <x:c r="G29" s="6" t="n">
        <x:v>-16000</x:v>
      </x:c>
      <x:c r="H29" s="6" t="n">
        <x:v>34000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106000</x:v>
      </x:c>
      <x:c r="D30" s="6" t="n">
        <x:v>96000</x:v>
      </x:c>
      <x:c r="E30" s="6" t="n">
        <x:f>C30-D30</x:f>
        <x:v>10000</x:v>
      </x:c>
      <x:c r="F30" s="6" t="n">
        <x:f>F29+E30</x:f>
        <x:v>-1594000</x:v>
      </x:c>
      <x:c r="G30" s="6" t="n">
        <x:v>-85000</x:v>
      </x:c>
      <x:c r="H30" s="6" t="n">
        <x:v>98000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</x:v>
      </x:c>
      <x:c r="D31" s="6" t="n">
        <x:v>0</x:v>
      </x:c>
      <x:c r="E31" s="6" t="n">
        <x:f>C31-D31</x:f>
        <x:v>16000</x:v>
      </x:c>
      <x:c r="F31" s="6" t="n">
        <x:f>F30+E31</x:f>
        <x:v>-1578000</x:v>
      </x:c>
      <x:c r="G31" s="6" t="n">
        <x:v>-82000</x:v>
      </x:c>
      <x:c r="H31" s="6" t="n">
        <x:v>102000</x:v>
      </x:c>
    </x:row>
    <x:row r="32" ht="25" customHeight="1">
      <x:c r="A32" s="13" t="str">
        <x:v>累計／場内最悪値</x:v>
      </x:c>
      <x:c r="B32" s="13"/>
      <x:c r="C32" s="14" t="n">
        <x:f>SUM(C6:C31)</x:f>
        <x:v>619000</x:v>
      </x:c>
      <x:c r="D32" s="14" t="n">
        <x:f>SUM(D6:D31)</x:f>
        <x:v>2197000</x:v>
      </x:c>
      <x:c r="E32" s="14" t="n">
        <x:f>C32-D32</x:f>
        <x:v>-1578000</x:v>
      </x:c>
      <x:c r="F32" s="14" t="n">
        <x:f>F31</x:f>
        <x:v>-1578000</x:v>
      </x:c>
      <x:c r="G32" s="14" t="n">
        <x:f>MIN(G6:G31)</x:f>
        <x:v>-377000</x:v>
      </x:c>
      <x:c r="H32" s="14" t="n">
        <x:f>MAX(H6:H31)</x:f>
        <x:v>381000</x:v>
      </x:c>
    </x:row>
  </x:sheetData>
  <x:conditionalFormatting sqref="E6:F31">
    <x:cfRule type="cellIs" dxfId="3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c346701248475c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R10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E09＋元同親同方向へ新極値から20pt回復して再参加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7000</x:v>
      </x:c>
      <x:c r="E6" s="6" t="n">
        <x:f>C6-D6</x:f>
        <x:v>-7000</x:v>
      </x:c>
      <x:c r="F6" s="6" t="n">
        <x:f>E6</x:f>
        <x:v>-7000</x:v>
      </x:c>
      <x:c r="G6" s="6" t="n">
        <x:v>-47000</x:v>
      </x:c>
      <x:c r="H6" s="6" t="n">
        <x:v>70000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50000</x:v>
      </x:c>
      <x:c r="E7" s="6" t="n">
        <x:f>C7-D7</x:f>
        <x:v>-50000</x:v>
      </x:c>
      <x:c r="F7" s="6" t="n">
        <x:f>F6+E7</x:f>
        <x:v>-57000</x:v>
      </x:c>
      <x:c r="G7" s="6" t="n">
        <x:v>-50000</x:v>
      </x:c>
      <x:c r="H7" s="6" t="n">
        <x:v>55000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135000</x:v>
      </x:c>
      <x:c r="E8" s="6" t="n">
        <x:f>C8-D8</x:f>
        <x:v>-135000</x:v>
      </x:c>
      <x:c r="F8" s="6" t="n">
        <x:f>F7+E8</x:f>
        <x:v>-192000</x:v>
      </x:c>
      <x:c r="G8" s="6" t="n">
        <x:v>-135000</x:v>
      </x:c>
      <x:c r="H8" s="6" t="n">
        <x:v>150000</x:v>
      </x:c>
    </x:row>
    <x:row r="9" ht="25" customHeight="1">
      <x:c r="A9" s="2" t="str">
        <x:v>2026-09-24_Day</x:v>
      </x:c>
      <x:c r="B9" s="2" t="str">
        <x:v>下落</x:v>
      </x:c>
      <x:c r="C9" s="6" t="n">
        <x:v>36000</x:v>
      </x:c>
      <x:c r="D9" s="6" t="n">
        <x:v>118000</x:v>
      </x:c>
      <x:c r="E9" s="6" t="n">
        <x:f>C9-D9</x:f>
        <x:v>-82000</x:v>
      </x:c>
      <x:c r="F9" s="6" t="n">
        <x:f>F8+E9</x:f>
        <x:v>-274000</x:v>
      </x:c>
      <x:c r="G9" s="6" t="n">
        <x:v>-122000</x:v>
      </x:c>
      <x:c r="H9" s="6" t="n">
        <x:v>131000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29000</x:v>
      </x:c>
      <x:c r="D10" s="6" t="n">
        <x:v>64000</x:v>
      </x:c>
      <x:c r="E10" s="6" t="n">
        <x:f>C10-D10</x:f>
        <x:v>-35000</x:v>
      </x:c>
      <x:c r="F10" s="6" t="n">
        <x:f>F9+E10</x:f>
        <x:v>-309000</x:v>
      </x:c>
      <x:c r="G10" s="6" t="n">
        <x:v>-74000</x:v>
      </x:c>
      <x:c r="H10" s="6" t="n">
        <x:v>156000</x:v>
      </x:c>
    </x:row>
    <x:row r="11" ht="25" customHeight="1">
      <x:c r="A11" s="2" t="str">
        <x:v>2026-09-28_Day</x:v>
      </x:c>
      <x:c r="B11" s="2" t="str">
        <x:v>下落</x:v>
      </x:c>
      <x:c r="C11" s="6" t="n">
        <x:v>4000</x:v>
      </x:c>
      <x:c r="D11" s="6" t="n">
        <x:v>155000</x:v>
      </x:c>
      <x:c r="E11" s="6" t="n">
        <x:f>C11-D11</x:f>
        <x:v>-151000</x:v>
      </x:c>
      <x:c r="F11" s="6" t="n">
        <x:f>F10+E11</x:f>
        <x:v>-460000</x:v>
      </x:c>
      <x:c r="G11" s="6" t="n">
        <x:v>-153000</x:v>
      </x:c>
      <x:c r="H11" s="6" t="n">
        <x:v>168000</x:v>
      </x:c>
    </x:row>
    <x:row r="12" ht="25" customHeight="1">
      <x:c r="A12" s="2" t="str">
        <x:v>2026-09-29_Day</x:v>
      </x:c>
      <x:c r="B12" s="2" t="str">
        <x:v>下落</x:v>
      </x:c>
      <x:c r="C12" s="6" t="n">
        <x:v>67000</x:v>
      </x:c>
      <x:c r="D12" s="6" t="n">
        <x:v>109000</x:v>
      </x:c>
      <x:c r="E12" s="6" t="n">
        <x:f>C12-D12</x:f>
        <x:v>-42000</x:v>
      </x:c>
      <x:c r="F12" s="6" t="n">
        <x:f>F11+E12</x:f>
        <x:v>-502000</x:v>
      </x:c>
      <x:c r="G12" s="6" t="n">
        <x:v>-197000</x:v>
      </x:c>
      <x:c r="H12" s="6" t="n">
        <x:v>199000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12000</x:v>
      </x:c>
      <x:c r="D13" s="6" t="n">
        <x:v>100000</x:v>
      </x:c>
      <x:c r="E13" s="6" t="n">
        <x:f>C13-D13</x:f>
        <x:v>-88000</x:v>
      </x:c>
      <x:c r="F13" s="6" t="n">
        <x:f>F12+E13</x:f>
        <x:v>-590000</x:v>
      </x:c>
      <x:c r="G13" s="6" t="n">
        <x:v>-125000</x:v>
      </x:c>
      <x:c r="H13" s="6" t="n">
        <x:v>129000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27000</x:v>
      </x:c>
      <x:c r="D14" s="6" t="n">
        <x:v>175000</x:v>
      </x:c>
      <x:c r="E14" s="6" t="n">
        <x:f>C14-D14</x:f>
        <x:v>-148000</x:v>
      </x:c>
      <x:c r="F14" s="6" t="n">
        <x:f>F13+E14</x:f>
        <x:v>-738000</x:v>
      </x:c>
      <x:c r="G14" s="6" t="n">
        <x:v>-148000</x:v>
      </x:c>
      <x:c r="H14" s="6" t="n">
        <x:v>158000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17000</x:v>
      </x:c>
      <x:c r="D15" s="6" t="n">
        <x:v>25000</x:v>
      </x:c>
      <x:c r="E15" s="6" t="n">
        <x:f>C15-D15</x:f>
        <x:v>-8000</x:v>
      </x:c>
      <x:c r="F15" s="6" t="n">
        <x:f>F14+E15</x:f>
        <x:v>-746000</x:v>
      </x:c>
      <x:c r="G15" s="6" t="n">
        <x:v>-14000</x:v>
      </x:c>
      <x:c r="H15" s="6" t="n">
        <x:v>41000</x:v>
      </x:c>
    </x:row>
    <x:row r="16" ht="25" customHeight="1">
      <x:c r="A16" s="2" t="str">
        <x:v>2026-10-05_Day</x:v>
      </x:c>
      <x:c r="B16" s="2" t="str">
        <x:v>上昇</x:v>
      </x:c>
      <x:c r="C16" s="6" t="n">
        <x:v>6000</x:v>
      </x:c>
      <x:c r="D16" s="6" t="n">
        <x:v>185000</x:v>
      </x:c>
      <x:c r="E16" s="6" t="n">
        <x:f>C16-D16</x:f>
        <x:v>-179000</x:v>
      </x:c>
      <x:c r="F16" s="6" t="n">
        <x:f>F15+E16</x:f>
        <x:v>-925000</x:v>
      </x:c>
      <x:c r="G16" s="6" t="n">
        <x:v>-186000</x:v>
      </x:c>
      <x:c r="H16" s="6" t="n">
        <x:v>186000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247000</x:v>
      </x:c>
      <x:c r="E17" s="6" t="n">
        <x:f>C17-D17</x:f>
        <x:v>-247000</x:v>
      </x:c>
      <x:c r="F17" s="6" t="n">
        <x:f>F16+E17</x:f>
        <x:v>-1172000</x:v>
      </x:c>
      <x:c r="G17" s="6" t="n">
        <x:v>-247000</x:v>
      </x:c>
      <x:c r="H17" s="6" t="n">
        <x:v>252000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23000</x:v>
      </x:c>
      <x:c r="D18" s="6" t="n">
        <x:v>31000</x:v>
      </x:c>
      <x:c r="E18" s="6" t="n">
        <x:f>C18-D18</x:f>
        <x:v>-8000</x:v>
      </x:c>
      <x:c r="F18" s="6" t="n">
        <x:f>F17+E18</x:f>
        <x:v>-1180000</x:v>
      </x:c>
      <x:c r="G18" s="6" t="n">
        <x:v>-39000</x:v>
      </x:c>
      <x:c r="H18" s="6" t="n">
        <x:v>51000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115000</x:v>
      </x:c>
      <x:c r="E19" s="6" t="n">
        <x:f>C19-D19</x:f>
        <x:v>-115000</x:v>
      </x:c>
      <x:c r="F19" s="6" t="n">
        <x:f>F18+E19</x:f>
        <x:v>-1295000</x:v>
      </x:c>
      <x:c r="G19" s="6" t="n">
        <x:v>-122000</x:v>
      </x:c>
      <x:c r="H19" s="6" t="n">
        <x:v>126000</x:v>
      </x:c>
    </x:row>
    <x:row r="20" ht="25" customHeight="1">
      <x:c r="A20" s="2" t="str">
        <x:v>2026-10-09_Day</x:v>
      </x:c>
      <x:c r="B20" s="2" t="str">
        <x:v>上昇</x:v>
      </x:c>
      <x:c r="C20" s="6" t="n">
        <x:v>80000</x:v>
      </x:c>
      <x:c r="D20" s="6" t="n">
        <x:v>73000</x:v>
      </x:c>
      <x:c r="E20" s="6" t="n">
        <x:f>C20-D20</x:f>
        <x:v>7000</x:v>
      </x:c>
      <x:c r="F20" s="6" t="n">
        <x:f>F19+E20</x:f>
        <x:v>-1288000</x:v>
      </x:c>
      <x:c r="G20" s="6" t="n">
        <x:v>-56000</x:v>
      </x:c>
      <x:c r="H20" s="6" t="n">
        <x:v>82000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12000</x:v>
      </x:c>
      <x:c r="D21" s="6" t="n">
        <x:v>38000</x:v>
      </x:c>
      <x:c r="E21" s="6" t="n">
        <x:f>C21-D21</x:f>
        <x:v>-26000</x:v>
      </x:c>
      <x:c r="F21" s="6" t="n">
        <x:f>F20+E21</x:f>
        <x:v>-1314000</x:v>
      </x:c>
      <x:c r="G21" s="6" t="n">
        <x:v>-93000</x:v>
      </x:c>
      <x:c r="H21" s="6" t="n">
        <x:v>95000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10000</x:v>
      </x:c>
      <x:c r="D22" s="6" t="n">
        <x:v>374000</x:v>
      </x:c>
      <x:c r="E22" s="6" t="n">
        <x:f>C22-D22</x:f>
        <x:v>-364000</x:v>
      </x:c>
      <x:c r="F22" s="6" t="n">
        <x:f>F21+E22</x:f>
        <x:v>-1678000</x:v>
      </x:c>
      <x:c r="G22" s="6" t="n">
        <x:v>-375000</x:v>
      </x:c>
      <x:c r="H22" s="6" t="n">
        <x:v>394000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19000</x:v>
      </x:c>
      <x:c r="D23" s="6" t="n">
        <x:v>53000</x:v>
      </x:c>
      <x:c r="E23" s="6" t="n">
        <x:f>C23-D23</x:f>
        <x:v>-34000</x:v>
      </x:c>
      <x:c r="F23" s="6" t="n">
        <x:f>F22+E23</x:f>
        <x:v>-1712000</x:v>
      </x:c>
      <x:c r="G23" s="6" t="n">
        <x:v>-54000</x:v>
      </x:c>
      <x:c r="H23" s="6" t="n">
        <x:v>77000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48000</x:v>
      </x:c>
      <x:c r="D24" s="6" t="n">
        <x:v>86000</x:v>
      </x:c>
      <x:c r="E24" s="6" t="n">
        <x:f>C24-D24</x:f>
        <x:v>-38000</x:v>
      </x:c>
      <x:c r="F24" s="6" t="n">
        <x:f>F23+E24</x:f>
        <x:v>-1750000</x:v>
      </x:c>
      <x:c r="G24" s="6" t="n">
        <x:v>-129000</x:v>
      </x:c>
      <x:c r="H24" s="6" t="n">
        <x:v>144000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50000</x:v>
      </x:c>
      <x:c r="D25" s="6" t="n">
        <x:v>238000</x:v>
      </x:c>
      <x:c r="E25" s="6" t="n">
        <x:f>C25-D25</x:f>
        <x:v>-188000</x:v>
      </x:c>
      <x:c r="F25" s="6" t="n">
        <x:f>F24+E25</x:f>
        <x:v>-1938000</x:v>
      </x:c>
      <x:c r="G25" s="6" t="n">
        <x:v>-241000</x:v>
      </x:c>
      <x:c r="H25" s="6" t="n">
        <x:v>256000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21000</x:v>
      </x:c>
      <x:c r="D26" s="6" t="n">
        <x:v>42000</x:v>
      </x:c>
      <x:c r="E26" s="6" t="n">
        <x:f>C26-D26</x:f>
        <x:v>-21000</x:v>
      </x:c>
      <x:c r="F26" s="6" t="n">
        <x:f>F25+E26</x:f>
        <x:v>-1959000</x:v>
      </x:c>
      <x:c r="G26" s="6" t="n">
        <x:v>-117000</x:v>
      </x:c>
      <x:c r="H26" s="6" t="n">
        <x:v>186000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10000</x:v>
      </x:c>
      <x:c r="D27" s="6" t="n">
        <x:v>349000</x:v>
      </x:c>
      <x:c r="E27" s="6" t="n">
        <x:f>C27-D27</x:f>
        <x:v>-339000</x:v>
      </x:c>
      <x:c r="F27" s="6" t="n">
        <x:f>F26+E27</x:f>
        <x:v>-2298000</x:v>
      </x:c>
      <x:c r="G27" s="6" t="n">
        <x:v>-339000</x:v>
      </x:c>
      <x:c r="H27" s="6" t="n">
        <x:v>345000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2000</x:v>
      </x:c>
      <x:c r="D28" s="6" t="n">
        <x:v>155000</x:v>
      </x:c>
      <x:c r="E28" s="6" t="n">
        <x:f>C28-D28</x:f>
        <x:v>-153000</x:v>
      </x:c>
      <x:c r="F28" s="6" t="n">
        <x:f>F27+E28</x:f>
        <x:v>-2451000</x:v>
      </x:c>
      <x:c r="G28" s="6" t="n">
        <x:v>-194000</x:v>
      </x:c>
      <x:c r="H28" s="6" t="n">
        <x:v>207000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18000</x:v>
      </x:c>
      <x:c r="D29" s="6" t="n">
        <x:v>0</x:v>
      </x:c>
      <x:c r="E29" s="6" t="n">
        <x:f>C29-D29</x:f>
        <x:v>18000</x:v>
      </x:c>
      <x:c r="F29" s="6" t="n">
        <x:f>F28+E29</x:f>
        <x:v>-2433000</x:v>
      </x:c>
      <x:c r="G29" s="6" t="n">
        <x:v>-6000</x:v>
      </x:c>
      <x:c r="H29" s="6" t="n">
        <x:v>18000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30000</x:v>
      </x:c>
      <x:c r="D30" s="6" t="n">
        <x:v>193000</x:v>
      </x:c>
      <x:c r="E30" s="6" t="n">
        <x:f>C30-D30</x:f>
        <x:v>-163000</x:v>
      </x:c>
      <x:c r="F30" s="6" t="n">
        <x:f>F29+E30</x:f>
        <x:v>-2596000</x:v>
      </x:c>
      <x:c r="G30" s="6" t="n">
        <x:v>-178000</x:v>
      </x:c>
      <x:c r="H30" s="6" t="n">
        <x:v>198000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3000</x:v>
      </x:c>
      <x:c r="D31" s="6" t="n">
        <x:v>203000</x:v>
      </x:c>
      <x:c r="E31" s="6" t="n">
        <x:f>C31-D31</x:f>
        <x:v>-200000</x:v>
      </x:c>
      <x:c r="F31" s="6" t="n">
        <x:f>F30+E31</x:f>
        <x:v>-2796000</x:v>
      </x:c>
      <x:c r="G31" s="6" t="n">
        <x:v>-285000</x:v>
      </x:c>
      <x:c r="H31" s="6" t="n">
        <x:v>302000</x:v>
      </x:c>
    </x:row>
    <x:row r="32" ht="25" customHeight="1">
      <x:c r="A32" s="13" t="str">
        <x:v>累計／場内最悪値</x:v>
      </x:c>
      <x:c r="B32" s="13"/>
      <x:c r="C32" s="14" t="n">
        <x:f>SUM(C6:C31)</x:f>
        <x:v>524000</x:v>
      </x:c>
      <x:c r="D32" s="14" t="n">
        <x:f>SUM(D6:D31)</x:f>
        <x:v>3320000</x:v>
      </x:c>
      <x:c r="E32" s="14" t="n">
        <x:f>C32-D32</x:f>
        <x:v>-2796000</x:v>
      </x:c>
      <x:c r="F32" s="14" t="n">
        <x:f>F31</x:f>
        <x:v>-2796000</x:v>
      </x:c>
      <x:c r="G32" s="14" t="n">
        <x:f>MIN(G6:G31)</x:f>
        <x:v>-375000</x:v>
      </x:c>
      <x:c r="H32" s="14" t="n">
        <x:f>MAX(H6:H31)</x:f>
        <x:v>394000</x:v>
      </x:c>
    </x:row>
  </x:sheetData>
  <x:conditionalFormatting sqref="E6:F31">
    <x:cfRule type="cellIs" dxfId="3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e94ee096a94a58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R11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E09＋元同親同方向へ新極値から40pt回復して再参加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12000</x:v>
      </x:c>
      <x:c r="D6" s="6" t="n">
        <x:v>0</x:v>
      </x:c>
      <x:c r="E6" s="6" t="n">
        <x:f>C6-D6</x:f>
        <x:v>12000</x:v>
      </x:c>
      <x:c r="F6" s="6" t="n">
        <x:f>E6</x:f>
        <x:v>12000</x:v>
      </x:c>
      <x:c r="G6" s="6" t="n">
        <x:v>-23000</x:v>
      </x:c>
      <x:c r="H6" s="6" t="n">
        <x:v>50000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50000</x:v>
      </x:c>
      <x:c r="E7" s="6" t="n">
        <x:f>C7-D7</x:f>
        <x:v>-50000</x:v>
      </x:c>
      <x:c r="F7" s="6" t="n">
        <x:f>F6+E7</x:f>
        <x:v>-38000</x:v>
      </x:c>
      <x:c r="G7" s="6" t="n">
        <x:v>-50000</x:v>
      </x:c>
      <x:c r="H7" s="6" t="n">
        <x:v>55000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125000</x:v>
      </x:c>
      <x:c r="E8" s="6" t="n">
        <x:f>C8-D8</x:f>
        <x:v>-125000</x:v>
      </x:c>
      <x:c r="F8" s="6" t="n">
        <x:f>F7+E8</x:f>
        <x:v>-163000</x:v>
      </x:c>
      <x:c r="G8" s="6" t="n">
        <x:v>-125000</x:v>
      </x:c>
      <x:c r="H8" s="6" t="n">
        <x:v>135000</x:v>
      </x:c>
    </x:row>
    <x:row r="9" ht="25" customHeight="1">
      <x:c r="A9" s="2" t="str">
        <x:v>2026-09-24_Day</x:v>
      </x:c>
      <x:c r="B9" s="2" t="str">
        <x:v>下落</x:v>
      </x:c>
      <x:c r="C9" s="6" t="n">
        <x:v>7000</x:v>
      </x:c>
      <x:c r="D9" s="6" t="n">
        <x:v>113000</x:v>
      </x:c>
      <x:c r="E9" s="6" t="n">
        <x:f>C9-D9</x:f>
        <x:v>-106000</x:v>
      </x:c>
      <x:c r="F9" s="6" t="n">
        <x:f>F8+E9</x:f>
        <x:v>-269000</x:v>
      </x:c>
      <x:c r="G9" s="6" t="n">
        <x:v>-118000</x:v>
      </x:c>
      <x:c r="H9" s="6" t="n">
        <x:v>129000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25000</x:v>
      </x:c>
      <x:c r="D10" s="6" t="n">
        <x:v>56000</x:v>
      </x:c>
      <x:c r="E10" s="6" t="n">
        <x:f>C10-D10</x:f>
        <x:v>-31000</x:v>
      </x:c>
      <x:c r="F10" s="6" t="n">
        <x:f>F9+E10</x:f>
        <x:v>-300000</x:v>
      </x:c>
      <x:c r="G10" s="6" t="n">
        <x:v>-88000</x:v>
      </x:c>
      <x:c r="H10" s="6" t="n">
        <x:v>148000</x:v>
      </x:c>
    </x:row>
    <x:row r="11" ht="25" customHeight="1">
      <x:c r="A11" s="2" t="str">
        <x:v>2026-09-28_Day</x:v>
      </x:c>
      <x:c r="B11" s="2" t="str">
        <x:v>下落</x:v>
      </x:c>
      <x:c r="C11" s="6" t="n">
        <x:v>8000</x:v>
      </x:c>
      <x:c r="D11" s="6" t="n">
        <x:v>140000</x:v>
      </x:c>
      <x:c r="E11" s="6" t="n">
        <x:f>C11-D11</x:f>
        <x:v>-132000</x:v>
      </x:c>
      <x:c r="F11" s="6" t="n">
        <x:f>F10+E11</x:f>
        <x:v>-432000</x:v>
      </x:c>
      <x:c r="G11" s="6" t="n">
        <x:v>-134000</x:v>
      </x:c>
      <x:c r="H11" s="6" t="n">
        <x:v>142000</x:v>
      </x:c>
    </x:row>
    <x:row r="12" ht="25" customHeight="1">
      <x:c r="A12" s="2" t="str">
        <x:v>2026-09-29_Day</x:v>
      </x:c>
      <x:c r="B12" s="2" t="str">
        <x:v>下落</x:v>
      </x:c>
      <x:c r="C12" s="6" t="n">
        <x:v>89000</x:v>
      </x:c>
      <x:c r="D12" s="6" t="n">
        <x:v>115000</x:v>
      </x:c>
      <x:c r="E12" s="6" t="n">
        <x:f>C12-D12</x:f>
        <x:v>-26000</x:v>
      </x:c>
      <x:c r="F12" s="6" t="n">
        <x:f>F11+E12</x:f>
        <x:v>-458000</x:v>
      </x:c>
      <x:c r="G12" s="6" t="n">
        <x:v>-215000</x:v>
      </x:c>
      <x:c r="H12" s="6" t="n">
        <x:v>223000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90000</x:v>
      </x:c>
      <x:c r="D13" s="6" t="n">
        <x:v>93000</x:v>
      </x:c>
      <x:c r="E13" s="6" t="n">
        <x:f>C13-D13</x:f>
        <x:v>-3000</x:v>
      </x:c>
      <x:c r="F13" s="6" t="n">
        <x:f>F12+E13</x:f>
        <x:v>-461000</x:v>
      </x:c>
      <x:c r="G13" s="6" t="n">
        <x:v>-101000</x:v>
      </x:c>
      <x:c r="H13" s="6" t="n">
        <x:v>114000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188000</x:v>
      </x:c>
      <x:c r="E14" s="6" t="n">
        <x:f>C14-D14</x:f>
        <x:v>-188000</x:v>
      </x:c>
      <x:c r="F14" s="6" t="n">
        <x:f>F13+E14</x:f>
        <x:v>-649000</x:v>
      </x:c>
      <x:c r="G14" s="6" t="n">
        <x:v>-188000</x:v>
      </x:c>
      <x:c r="H14" s="6" t="n">
        <x:v>198000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52000</x:v>
      </x:c>
      <x:c r="D15" s="6" t="n">
        <x:v>8000</x:v>
      </x:c>
      <x:c r="E15" s="6" t="n">
        <x:f>C15-D15</x:f>
        <x:v>44000</x:v>
      </x:c>
      <x:c r="F15" s="6" t="n">
        <x:f>F14+E15</x:f>
        <x:v>-605000</x:v>
      </x:c>
      <x:c r="G15" s="6" t="n">
        <x:v>-14000</x:v>
      </x:c>
      <x:c r="H15" s="6" t="n">
        <x:v>25000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13000</x:v>
      </x:c>
      <x:c r="D16" s="6" t="n">
        <x:v>172000</x:v>
      </x:c>
      <x:c r="E16" s="6" t="n">
        <x:f>C16-D16</x:f>
        <x:v>-159000</x:v>
      </x:c>
      <x:c r="F16" s="6" t="n">
        <x:f>F15+E16</x:f>
        <x:v>-764000</x:v>
      </x:c>
      <x:c r="G16" s="6" t="n">
        <x:v>-166000</x:v>
      </x:c>
      <x:c r="H16" s="6" t="n">
        <x:v>166000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154000</x:v>
      </x:c>
      <x:c r="E17" s="6" t="n">
        <x:f>C17-D17</x:f>
        <x:v>-154000</x:v>
      </x:c>
      <x:c r="F17" s="6" t="n">
        <x:f>F16+E17</x:f>
        <x:v>-918000</x:v>
      </x:c>
      <x:c r="G17" s="6" t="n">
        <x:v>-154000</x:v>
      </x:c>
      <x:c r="H17" s="6" t="n">
        <x:v>157000</x:v>
      </x:c>
    </x:row>
    <x:row r="18" ht="25" customHeight="1">
      <x:c r="A18" s="2" t="str">
        <x:v>2026-10-07_Day</x:v>
      </x:c>
      <x:c r="B18" s="2" t="str">
        <x:v>下落</x:v>
      </x:c>
      <x:c r="C18" s="6" t="n">
        <x:v>37000</x:v>
      </x:c>
      <x:c r="D18" s="6" t="n">
        <x:v>61000</x:v>
      </x:c>
      <x:c r="E18" s="6" t="n">
        <x:f>C18-D18</x:f>
        <x:v>-24000</x:v>
      </x:c>
      <x:c r="F18" s="6" t="n">
        <x:f>F17+E18</x:f>
        <x:v>-942000</x:v>
      </x:c>
      <x:c r="G18" s="6" t="n">
        <x:v>-58000</x:v>
      </x:c>
      <x:c r="H18" s="6" t="n">
        <x:v>66000</x:v>
      </x:c>
    </x:row>
    <x:row r="19" ht="25" customHeight="1">
      <x:c r="A19" s="2" t="str">
        <x:v>2026-10-08_Day</x:v>
      </x:c>
      <x:c r="B19" s="2" t="str">
        <x:v>下落</x:v>
      </x:c>
      <x:c r="C19" s="6" t="n">
        <x:v>5000</x:v>
      </x:c>
      <x:c r="D19" s="6" t="n">
        <x:v>95000</x:v>
      </x:c>
      <x:c r="E19" s="6" t="n">
        <x:f>C19-D19</x:f>
        <x:v>-90000</x:v>
      </x:c>
      <x:c r="F19" s="6" t="n">
        <x:f>F18+E19</x:f>
        <x:v>-1032000</x:v>
      </x:c>
      <x:c r="G19" s="6" t="n">
        <x:v>-115000</x:v>
      </x:c>
      <x:c r="H19" s="6" t="n">
        <x:v>117000</x:v>
      </x:c>
    </x:row>
    <x:row r="20" ht="25" customHeight="1">
      <x:c r="A20" s="2" t="str">
        <x:v>2026-10-09_Day</x:v>
      </x:c>
      <x:c r="B20" s="2" t="str">
        <x:v>上昇</x:v>
      </x:c>
      <x:c r="C20" s="6" t="n">
        <x:v>86000</x:v>
      </x:c>
      <x:c r="D20" s="6" t="n">
        <x:v>82000</x:v>
      </x:c>
      <x:c r="E20" s="6" t="n">
        <x:f>C20-D20</x:f>
        <x:v>4000</x:v>
      </x:c>
      <x:c r="F20" s="6" t="n">
        <x:f>F19+E20</x:f>
        <x:v>-1028000</x:v>
      </x:c>
      <x:c r="G20" s="6" t="n">
        <x:v>-64000</x:v>
      </x:c>
      <x:c r="H20" s="6" t="n">
        <x:v>87000</x:v>
      </x:c>
    </x:row>
    <x:row r="21" ht="25" customHeight="1">
      <x:c r="A21" s="2" t="str">
        <x:v>2026-10-12_Day</x:v>
      </x:c>
      <x:c r="B21" s="2" t="str">
        <x:v>下落</x:v>
      </x:c>
      <x:c r="C21" s="6" t="n">
        <x:v>17000</x:v>
      </x:c>
      <x:c r="D21" s="6" t="n">
        <x:v>38000</x:v>
      </x:c>
      <x:c r="E21" s="6" t="n">
        <x:f>C21-D21</x:f>
        <x:v>-21000</x:v>
      </x:c>
      <x:c r="F21" s="6" t="n">
        <x:f>F20+E21</x:f>
        <x:v>-1049000</x:v>
      </x:c>
      <x:c r="G21" s="6" t="n">
        <x:v>-103000</x:v>
      </x:c>
      <x:c r="H21" s="6" t="n">
        <x:v>105000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26000</x:v>
      </x:c>
      <x:c r="D22" s="6" t="n">
        <x:v>358000</x:v>
      </x:c>
      <x:c r="E22" s="6" t="n">
        <x:f>C22-D22</x:f>
        <x:v>-332000</x:v>
      </x:c>
      <x:c r="F22" s="6" t="n">
        <x:f>F21+E22</x:f>
        <x:v>-1381000</x:v>
      </x:c>
      <x:c r="G22" s="6" t="n">
        <x:v>-336000</x:v>
      </x:c>
      <x:c r="H22" s="6" t="n">
        <x:v>355000</x:v>
      </x:c>
    </x:row>
    <x:row r="23" ht="25" customHeight="1">
      <x:c r="A23" s="2" t="str">
        <x:v>2026-10-14_Day</x:v>
      </x:c>
      <x:c r="B23" s="2" t="str">
        <x:v>上昇</x:v>
      </x:c>
      <x:c r="C23" s="6" t="n">
        <x:v>75000</x:v>
      </x:c>
      <x:c r="D23" s="6" t="n">
        <x:v>67000</x:v>
      </x:c>
      <x:c r="E23" s="6" t="n">
        <x:f>C23-D23</x:f>
        <x:v>8000</x:v>
      </x:c>
      <x:c r="F23" s="6" t="n">
        <x:f>F22+E23</x:f>
        <x:v>-1373000</x:v>
      </x:c>
      <x:c r="G23" s="6" t="n">
        <x:v>-37000</x:v>
      </x:c>
      <x:c r="H23" s="6" t="n">
        <x:v>95000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182000</x:v>
      </x:c>
      <x:c r="D24" s="6" t="n">
        <x:v>92000</x:v>
      </x:c>
      <x:c r="E24" s="6" t="n">
        <x:f>C24-D24</x:f>
        <x:v>90000</x:v>
      </x:c>
      <x:c r="F24" s="6" t="n">
        <x:f>F23+E24</x:f>
        <x:v>-1283000</x:v>
      </x:c>
      <x:c r="G24" s="6" t="n">
        <x:v>-87000</x:v>
      </x:c>
      <x:c r="H24" s="6" t="n">
        <x:v>140000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23000</x:v>
      </x:c>
      <x:c r="D25" s="6" t="n">
        <x:v>216000</x:v>
      </x:c>
      <x:c r="E25" s="6" t="n">
        <x:f>C25-D25</x:f>
        <x:v>-193000</x:v>
      </x:c>
      <x:c r="F25" s="6" t="n">
        <x:f>F24+E25</x:f>
        <x:v>-1476000</x:v>
      </x:c>
      <x:c r="G25" s="6" t="n">
        <x:v>-193000</x:v>
      </x:c>
      <x:c r="H25" s="6" t="n">
        <x:v>208000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32000</x:v>
      </x:c>
      <x:c r="D26" s="6" t="n">
        <x:v>16000</x:v>
      </x:c>
      <x:c r="E26" s="6" t="n">
        <x:f>C26-D26</x:f>
        <x:v>16000</x:v>
      </x:c>
      <x:c r="F26" s="6" t="n">
        <x:f>F25+E26</x:f>
        <x:v>-1460000</x:v>
      </x:c>
      <x:c r="G26" s="6" t="n">
        <x:v>-98000</x:v>
      </x:c>
      <x:c r="H26" s="6" t="n">
        <x:v>162000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28000</x:v>
      </x:c>
      <x:c r="D27" s="6" t="n">
        <x:v>282000</x:v>
      </x:c>
      <x:c r="E27" s="6" t="n">
        <x:f>C27-D27</x:f>
        <x:v>-254000</x:v>
      </x:c>
      <x:c r="F27" s="6" t="n">
        <x:f>F26+E27</x:f>
        <x:v>-1714000</x:v>
      </x:c>
      <x:c r="G27" s="6" t="n">
        <x:v>-266000</x:v>
      </x:c>
      <x:c r="H27" s="6" t="n">
        <x:v>270000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17000</x:v>
      </x:c>
      <x:c r="D28" s="6" t="n">
        <x:v>125000</x:v>
      </x:c>
      <x:c r="E28" s="6" t="n">
        <x:f>C28-D28</x:f>
        <x:v>-108000</x:v>
      </x:c>
      <x:c r="F28" s="6" t="n">
        <x:f>F27+E28</x:f>
        <x:v>-1822000</x:v>
      </x:c>
      <x:c r="G28" s="6" t="n">
        <x:v>-148000</x:v>
      </x:c>
      <x:c r="H28" s="6" t="n">
        <x:v>161000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28000</x:v>
      </x:c>
      <x:c r="D29" s="6" t="n">
        <x:v>0</x:v>
      </x:c>
      <x:c r="E29" s="6" t="n">
        <x:f>C29-D29</x:f>
        <x:v>28000</x:v>
      </x:c>
      <x:c r="F29" s="6" t="n">
        <x:f>F28+E29</x:f>
        <x:v>-1794000</x:v>
      </x:c>
      <x:c r="G29" s="6" t="n">
        <x:v>-13000</x:v>
      </x:c>
      <x:c r="H29" s="6" t="n">
        <x:v>29000</x:v>
      </x:c>
    </x:row>
    <x:row r="30" ht="25" customHeight="1">
      <x:c r="A30" s="2" t="str">
        <x:v>2026-10-23_Day</x:v>
      </x:c>
      <x:c r="B30" s="2" t="str">
        <x:v>上昇</x:v>
      </x:c>
      <x:c r="C30" s="6" t="n">
        <x:v>55000</x:v>
      </x:c>
      <x:c r="D30" s="6" t="n">
        <x:v>110000</x:v>
      </x:c>
      <x:c r="E30" s="6" t="n">
        <x:f>C30-D30</x:f>
        <x:v>-55000</x:v>
      </x:c>
      <x:c r="F30" s="6" t="n">
        <x:f>F29+E30</x:f>
        <x:v>-1849000</x:v>
      </x:c>
      <x:c r="G30" s="6" t="n">
        <x:v>-107000</x:v>
      </x:c>
      <x:c r="H30" s="6" t="n">
        <x:v>151000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26000</x:v>
      </x:c>
      <x:c r="D31" s="6" t="n">
        <x:v>104000</x:v>
      </x:c>
      <x:c r="E31" s="6" t="n">
        <x:f>C31-D31</x:f>
        <x:v>-78000</x:v>
      </x:c>
      <x:c r="F31" s="6" t="n">
        <x:f>F30+E31</x:f>
        <x:v>-1927000</x:v>
      </x:c>
      <x:c r="G31" s="6" t="n">
        <x:v>-123000</x:v>
      </x:c>
      <x:c r="H31" s="6" t="n">
        <x:v>142000</x:v>
      </x:c>
    </x:row>
    <x:row r="32" ht="25" customHeight="1">
      <x:c r="A32" s="13" t="str">
        <x:v>累計／場内最悪値</x:v>
      </x:c>
      <x:c r="B32" s="13"/>
      <x:c r="C32" s="14" t="n">
        <x:f>SUM(C6:C31)</x:f>
        <x:v>933000</x:v>
      </x:c>
      <x:c r="D32" s="14" t="n">
        <x:f>SUM(D6:D31)</x:f>
        <x:v>2860000</x:v>
      </x:c>
      <x:c r="E32" s="14" t="n">
        <x:f>C32-D32</x:f>
        <x:v>-1927000</x:v>
      </x:c>
      <x:c r="F32" s="14" t="n">
        <x:f>F31</x:f>
        <x:v>-1927000</x:v>
      </x:c>
      <x:c r="G32" s="14" t="n">
        <x:f>MIN(G6:G31)</x:f>
        <x:v>-336000</x:v>
      </x:c>
      <x:c r="H32" s="14" t="n">
        <x:f>MAX(H6:H31)</x:f>
        <x:v>355000</x:v>
      </x:c>
    </x:row>
  </x:sheetData>
  <x:conditionalFormatting sqref="E6:F31">
    <x:cfRule type="cellIs" dxfId="3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9dadcb60ad4006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R12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E09＋元同親同方向へ新極値から80pt回復して再参加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22000</x:v>
      </x:c>
      <x:c r="D6" s="6" t="n">
        <x:v>0</x:v>
      </x:c>
      <x:c r="E6" s="6" t="n">
        <x:f>C6-D6</x:f>
        <x:v>22000</x:v>
      </x:c>
      <x:c r="F6" s="6" t="n">
        <x:f>E6</x:f>
        <x:v>22000</x:v>
      </x:c>
      <x:c r="G6" s="6" t="n">
        <x:v>-12000</x:v>
      </x:c>
      <x:c r="H6" s="6" t="n">
        <x:v>30000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22000</x:v>
      </x:c>
      <x:c r="G7" s="6" t="n">
        <x:v>-10000</x:v>
      </x:c>
      <x:c r="H7" s="6" t="n">
        <x:v>10000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135000</x:v>
      </x:c>
      <x:c r="E8" s="6" t="n">
        <x:f>C8-D8</x:f>
        <x:v>-135000</x:v>
      </x:c>
      <x:c r="F8" s="6" t="n">
        <x:f>F7+E8</x:f>
        <x:v>-113000</x:v>
      </x:c>
      <x:c r="G8" s="6" t="n">
        <x:v>-135000</x:v>
      </x:c>
      <x:c r="H8" s="6" t="n">
        <x:v>160000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34000</x:v>
      </x:c>
      <x:c r="E9" s="6" t="n">
        <x:f>C9-D9</x:f>
        <x:v>-34000</x:v>
      </x:c>
      <x:c r="F9" s="6" t="n">
        <x:f>F8+E9</x:f>
        <x:v>-147000</x:v>
      </x:c>
      <x:c r="G9" s="6" t="n">
        <x:v>-51000</x:v>
      </x:c>
      <x:c r="H9" s="6" t="n">
        <x:v>61000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25000</x:v>
      </x:c>
      <x:c r="D10" s="6" t="n">
        <x:v>76000</x:v>
      </x:c>
      <x:c r="E10" s="6" t="n">
        <x:f>C10-D10</x:f>
        <x:v>-51000</x:v>
      </x:c>
      <x:c r="F10" s="6" t="n">
        <x:f>F9+E10</x:f>
        <x:v>-198000</x:v>
      </x:c>
      <x:c r="G10" s="6" t="n">
        <x:v>-105000</x:v>
      </x:c>
      <x:c r="H10" s="6" t="n">
        <x:v>137000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11000</x:v>
      </x:c>
      <x:c r="D11" s="6" t="n">
        <x:v>52000</x:v>
      </x:c>
      <x:c r="E11" s="6" t="n">
        <x:f>C11-D11</x:f>
        <x:v>-41000</x:v>
      </x:c>
      <x:c r="F11" s="6" t="n">
        <x:f>F10+E11</x:f>
        <x:v>-239000</x:v>
      </x:c>
      <x:c r="G11" s="6" t="n">
        <x:v>-47000</x:v>
      </x:c>
      <x:c r="H11" s="6" t="n">
        <x:v>53000</x:v>
      </x:c>
    </x:row>
    <x:row r="12" ht="25" customHeight="1">
      <x:c r="A12" s="2" t="str">
        <x:v>2026-09-29_Day</x:v>
      </x:c>
      <x:c r="B12" s="2" t="str">
        <x:v>下落</x:v>
      </x:c>
      <x:c r="C12" s="6" t="n">
        <x:v>3000</x:v>
      </x:c>
      <x:c r="D12" s="6" t="n">
        <x:v>143000</x:v>
      </x:c>
      <x:c r="E12" s="6" t="n">
        <x:f>C12-D12</x:f>
        <x:v>-140000</x:v>
      </x:c>
      <x:c r="F12" s="6" t="n">
        <x:f>F11+E12</x:f>
        <x:v>-379000</x:v>
      </x:c>
      <x:c r="G12" s="6" t="n">
        <x:v>-140000</x:v>
      </x:c>
      <x:c r="H12" s="6" t="n">
        <x:v>150000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70000</x:v>
      </x:c>
      <x:c r="E13" s="6" t="n">
        <x:f>C13-D13</x:f>
        <x:v>-70000</x:v>
      </x:c>
      <x:c r="F13" s="6" t="n">
        <x:f>F12+E13</x:f>
        <x:v>-449000</x:v>
      </x:c>
      <x:c r="G13" s="6" t="n">
        <x:v>-109000</x:v>
      </x:c>
      <x:c r="H13" s="6" t="n">
        <x:v>114000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2000</x:v>
      </x:c>
      <x:c r="D14" s="6" t="n">
        <x:v>98000</x:v>
      </x:c>
      <x:c r="E14" s="6" t="n">
        <x:f>C14-D14</x:f>
        <x:v>-96000</x:v>
      </x:c>
      <x:c r="F14" s="6" t="n">
        <x:f>F13+E14</x:f>
        <x:v>-545000</x:v>
      </x:c>
      <x:c r="G14" s="6" t="n">
        <x:v>-98000</x:v>
      </x:c>
      <x:c r="H14" s="6" t="n">
        <x:v>123000</x:v>
      </x:c>
    </x:row>
    <x:row r="15" ht="25" customHeight="1">
      <x:c r="A15" s="2" t="str">
        <x:v>2026-10-02_Day</x:v>
      </x:c>
      <x:c r="B15" s="2" t="str">
        <x:v>上昇</x:v>
      </x:c>
      <x:c r="C15" s="6" t="n">
        <x:v>20000</x:v>
      </x:c>
      <x:c r="D15" s="6" t="n">
        <x:v>0</x:v>
      </x:c>
      <x:c r="E15" s="6" t="n">
        <x:f>C15-D15</x:f>
        <x:v>20000</x:v>
      </x:c>
      <x:c r="F15" s="6" t="n">
        <x:f>F14+E15</x:f>
        <x:v>-525000</x:v>
      </x:c>
      <x:c r="G15" s="6" t="n">
        <x:v>-14000</x:v>
      </x:c>
      <x:c r="H15" s="6" t="n">
        <x:v>33000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27000</x:v>
      </x:c>
      <x:c r="D16" s="6" t="n">
        <x:v>156000</x:v>
      </x:c>
      <x:c r="E16" s="6" t="n">
        <x:f>C16-D16</x:f>
        <x:v>-129000</x:v>
      </x:c>
      <x:c r="F16" s="6" t="n">
        <x:f>F15+E16</x:f>
        <x:v>-654000</x:v>
      </x:c>
      <x:c r="G16" s="6" t="n">
        <x:v>-143000</x:v>
      </x:c>
      <x:c r="H16" s="6" t="n">
        <x:v>143000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11000</x:v>
      </x:c>
      <x:c r="D17" s="6" t="n">
        <x:v>80000</x:v>
      </x:c>
      <x:c r="E17" s="6" t="n">
        <x:f>C17-D17</x:f>
        <x:v>-69000</x:v>
      </x:c>
      <x:c r="F17" s="6" t="n">
        <x:f>F16+E17</x:f>
        <x:v>-723000</x:v>
      </x:c>
      <x:c r="G17" s="6" t="n">
        <x:v>-75000</x:v>
      </x:c>
      <x:c r="H17" s="6" t="n">
        <x:v>77000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27000</x:v>
      </x:c>
      <x:c r="D18" s="6" t="n">
        <x:v>66000</x:v>
      </x:c>
      <x:c r="E18" s="6" t="n">
        <x:f>C18-D18</x:f>
        <x:v>-39000</x:v>
      </x:c>
      <x:c r="F18" s="6" t="n">
        <x:f>F17+E18</x:f>
        <x:v>-762000</x:v>
      </x:c>
      <x:c r="G18" s="6" t="n">
        <x:v>-39000</x:v>
      </x:c>
      <x:c r="H18" s="6" t="n">
        <x:v>52000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6000</x:v>
      </x:c>
      <x:c r="D19" s="6" t="n">
        <x:v>45000</x:v>
      </x:c>
      <x:c r="E19" s="6" t="n">
        <x:f>C19-D19</x:f>
        <x:v>-39000</x:v>
      </x:c>
      <x:c r="F19" s="6" t="n">
        <x:f>F18+E19</x:f>
        <x:v>-801000</x:v>
      </x:c>
      <x:c r="G19" s="6" t="n">
        <x:v>-74000</x:v>
      </x:c>
      <x:c r="H19" s="6" t="n">
        <x:v>79000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11000</x:v>
      </x:c>
      <x:c r="D20" s="6" t="n">
        <x:v>112000</x:v>
      </x:c>
      <x:c r="E20" s="6" t="n">
        <x:f>C20-D20</x:f>
        <x:v>-101000</x:v>
      </x:c>
      <x:c r="F20" s="6" t="n">
        <x:f>F19+E20</x:f>
        <x:v>-902000</x:v>
      </x:c>
      <x:c r="G20" s="6" t="n">
        <x:v>-101000</x:v>
      </x:c>
      <x:c r="H20" s="6" t="n">
        <x:v>124000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160000</x:v>
      </x:c>
      <x:c r="E21" s="6" t="n">
        <x:f>C21-D21</x:f>
        <x:v>-160000</x:v>
      </x:c>
      <x:c r="F21" s="6" t="n">
        <x:f>F20+E21</x:f>
        <x:v>-1062000</x:v>
      </x:c>
      <x:c r="G21" s="6" t="n">
        <x:v>-160000</x:v>
      </x:c>
      <x:c r="H21" s="6" t="n">
        <x:v>162000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25000</x:v>
      </x:c>
      <x:c r="D22" s="6" t="n">
        <x:v>363000</x:v>
      </x:c>
      <x:c r="E22" s="6" t="n">
        <x:f>C22-D22</x:f>
        <x:v>-338000</x:v>
      </x:c>
      <x:c r="F22" s="6" t="n">
        <x:f>F21+E22</x:f>
        <x:v>-1400000</x:v>
      </x:c>
      <x:c r="G22" s="6" t="n">
        <x:v>-392000</x:v>
      </x:c>
      <x:c r="H22" s="6" t="n">
        <x:v>397000</x:v>
      </x:c>
    </x:row>
    <x:row r="23" ht="25" customHeight="1">
      <x:c r="A23" s="2" t="str">
        <x:v>2026-10-14_Day</x:v>
      </x:c>
      <x:c r="B23" s="2" t="str">
        <x:v>上昇</x:v>
      </x:c>
      <x:c r="C23" s="6" t="n">
        <x:v>91000</x:v>
      </x:c>
      <x:c r="D23" s="6" t="n">
        <x:v>50000</x:v>
      </x:c>
      <x:c r="E23" s="6" t="n">
        <x:f>C23-D23</x:f>
        <x:v>41000</x:v>
      </x:c>
      <x:c r="F23" s="6" t="n">
        <x:f>F22+E23</x:f>
        <x:v>-1359000</x:v>
      </x:c>
      <x:c r="G23" s="6" t="n">
        <x:v>-20000</x:v>
      </x:c>
      <x:c r="H23" s="6" t="n">
        <x:v>82000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102000</x:v>
      </x:c>
      <x:c r="D24" s="6" t="n">
        <x:v>14000</x:v>
      </x:c>
      <x:c r="E24" s="6" t="n">
        <x:f>C24-D24</x:f>
        <x:v>88000</x:v>
      </x:c>
      <x:c r="F24" s="6" t="n">
        <x:f>F23+E24</x:f>
        <x:v>-1271000</x:v>
      </x:c>
      <x:c r="G24" s="6" t="n">
        <x:v>-23000</x:v>
      </x:c>
      <x:c r="H24" s="6" t="n">
        <x:v>50000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65000</x:v>
      </x:c>
      <x:c r="D25" s="6" t="n">
        <x:v>103000</x:v>
      </x:c>
      <x:c r="E25" s="6" t="n">
        <x:f>C25-D25</x:f>
        <x:v>-38000</x:v>
      </x:c>
      <x:c r="F25" s="6" t="n">
        <x:f>F24+E25</x:f>
        <x:v>-1309000</x:v>
      </x:c>
      <x:c r="G25" s="6" t="n">
        <x:v>-95000</x:v>
      </x:c>
      <x:c r="H25" s="6" t="n">
        <x:v>110000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25000</x:v>
      </x:c>
      <x:c r="D26" s="6" t="n">
        <x:v>55000</x:v>
      </x:c>
      <x:c r="E26" s="6" t="n">
        <x:f>C26-D26</x:f>
        <x:v>-30000</x:v>
      </x:c>
      <x:c r="F26" s="6" t="n">
        <x:f>F25+E26</x:f>
        <x:v>-1339000</x:v>
      </x:c>
      <x:c r="G26" s="6" t="n">
        <x:v>-36000</x:v>
      </x:c>
      <x:c r="H26" s="6" t="n">
        <x:v>120000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12000</x:v>
      </x:c>
      <x:c r="D27" s="6" t="n">
        <x:v>363000</x:v>
      </x:c>
      <x:c r="E27" s="6" t="n">
        <x:f>C27-D27</x:f>
        <x:v>-351000</x:v>
      </x:c>
      <x:c r="F27" s="6" t="n">
        <x:f>F26+E27</x:f>
        <x:v>-1690000</x:v>
      </x:c>
      <x:c r="G27" s="6" t="n">
        <x:v>-351000</x:v>
      </x:c>
      <x:c r="H27" s="6" t="n">
        <x:v>353000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11000</x:v>
      </x:c>
      <x:c r="D28" s="6" t="n">
        <x:v>48000</x:v>
      </x:c>
      <x:c r="E28" s="6" t="n">
        <x:f>C28-D28</x:f>
        <x:v>-37000</x:v>
      </x:c>
      <x:c r="F28" s="6" t="n">
        <x:f>F27+E28</x:f>
        <x:v>-1727000</x:v>
      </x:c>
      <x:c r="G28" s="6" t="n">
        <x:v>-54000</x:v>
      </x:c>
      <x:c r="H28" s="6" t="n">
        <x:v>67000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15000</x:v>
      </x:c>
      <x:c r="D29" s="6" t="n">
        <x:v>0</x:v>
      </x:c>
      <x:c r="E29" s="6" t="n">
        <x:f>C29-D29</x:f>
        <x:v>15000</x:v>
      </x:c>
      <x:c r="F29" s="6" t="n">
        <x:f>F28+E29</x:f>
        <x:v>-1712000</x:v>
      </x:c>
      <x:c r="G29" s="6" t="n">
        <x:v>-18000</x:v>
      </x:c>
      <x:c r="H29" s="6" t="n">
        <x:v>24000</x:v>
      </x:c>
    </x:row>
    <x:row r="30" ht="25" customHeight="1">
      <x:c r="A30" s="2" t="str">
        <x:v>2026-10-23_Day</x:v>
      </x:c>
      <x:c r="B30" s="2" t="str">
        <x:v>上昇</x:v>
      </x:c>
      <x:c r="C30" s="6" t="n">
        <x:v>77000</x:v>
      </x:c>
      <x:c r="D30" s="6" t="n">
        <x:v>59000</x:v>
      </x:c>
      <x:c r="E30" s="6" t="n">
        <x:f>C30-D30</x:f>
        <x:v>18000</x:v>
      </x:c>
      <x:c r="F30" s="6" t="n">
        <x:f>F29+E30</x:f>
        <x:v>-1694000</x:v>
      </x:c>
      <x:c r="G30" s="6" t="n">
        <x:v>-88000</x:v>
      </x:c>
      <x:c r="H30" s="6" t="n">
        <x:v>104000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11000</x:v>
      </x:c>
      <x:c r="D31" s="6" t="n">
        <x:v>0</x:v>
      </x:c>
      <x:c r="E31" s="6" t="n">
        <x:f>C31-D31</x:f>
        <x:v>11000</x:v>
      </x:c>
      <x:c r="F31" s="6" t="n">
        <x:f>F30+E31</x:f>
        <x:v>-1683000</x:v>
      </x:c>
      <x:c r="G31" s="6" t="n">
        <x:v>-86000</x:v>
      </x:c>
      <x:c r="H31" s="6" t="n">
        <x:v>106000</x:v>
      </x:c>
    </x:row>
    <x:row r="32" ht="25" customHeight="1">
      <x:c r="A32" s="13" t="str">
        <x:v>累計／場内最悪値</x:v>
      </x:c>
      <x:c r="B32" s="13"/>
      <x:c r="C32" s="14" t="n">
        <x:f>SUM(C6:C31)</x:f>
        <x:v>599000</x:v>
      </x:c>
      <x:c r="D32" s="14" t="n">
        <x:f>SUM(D6:D31)</x:f>
        <x:v>2282000</x:v>
      </x:c>
      <x:c r="E32" s="14" t="n">
        <x:f>C32-D32</x:f>
        <x:v>-1683000</x:v>
      </x:c>
      <x:c r="F32" s="14" t="n">
        <x:f>F31</x:f>
        <x:v>-1683000</x:v>
      </x:c>
      <x:c r="G32" s="14" t="n">
        <x:f>MIN(G6:G31)</x:f>
        <x:v>-392000</x:v>
      </x:c>
      <x:c r="H32" s="14" t="n">
        <x:f>MAX(H6:H31)</x:f>
        <x:v>397000</x:v>
      </x:c>
    </x:row>
  </x:sheetData>
  <x:conditionalFormatting sqref="E6:F31">
    <x:cfRule type="cellIs" dxfId="3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bb042e0b0c4306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L01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R01＋再参加玉だけ建値から20pt損失で返済、損切り後は同波再参加を停止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14000</x:v>
      </x:c>
      <x:c r="E6" s="6" t="n">
        <x:f>C6-D6</x:f>
        <x:v>-14000</x:v>
      </x:c>
      <x:c r="F6" s="6" t="n">
        <x:f>E6</x:f>
        <x:v>-14000</x:v>
      </x:c>
      <x:c r="G6" s="6" t="n">
        <x:v>-14000</x:v>
      </x:c>
      <x:c r="H6" s="6" t="n">
        <x:v>16000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40000</x:v>
      </x:c>
      <x:c r="E7" s="6" t="n">
        <x:f>C7-D7</x:f>
        <x:v>-40000</x:v>
      </x:c>
      <x:c r="F7" s="6" t="n">
        <x:f>F6+E7</x:f>
        <x:v>-54000</x:v>
      </x:c>
      <x:c r="G7" s="6" t="n">
        <x:v>-40000</x:v>
      </x:c>
      <x:c r="H7" s="6" t="n">
        <x:v>45000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10000</x:v>
      </x:c>
      <x:c r="E8" s="6" t="n">
        <x:f>C8-D8</x:f>
        <x:v>-10000</x:v>
      </x:c>
      <x:c r="F8" s="6" t="n">
        <x:f>F7+E8</x:f>
        <x:v>-64000</x:v>
      </x:c>
      <x:c r="G8" s="6" t="n">
        <x:v>-10000</x:v>
      </x:c>
      <x:c r="H8" s="6" t="n">
        <x:v>20000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28000</x:v>
      </x:c>
      <x:c r="E9" s="6" t="n">
        <x:f>C9-D9</x:f>
        <x:v>-28000</x:v>
      </x:c>
      <x:c r="F9" s="6" t="n">
        <x:f>F8+E9</x:f>
        <x:v>-92000</x:v>
      </x:c>
      <x:c r="G9" s="6" t="n">
        <x:v>-38000</x:v>
      </x:c>
      <x:c r="H9" s="6" t="n">
        <x:v>42000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34000</x:v>
      </x:c>
      <x:c r="E10" s="6" t="n">
        <x:f>C10-D10</x:f>
        <x:v>-34000</x:v>
      </x:c>
      <x:c r="F10" s="6" t="n">
        <x:f>F9+E10</x:f>
        <x:v>-126000</x:v>
      </x:c>
      <x:c r="G10" s="6" t="n">
        <x:v>-34000</x:v>
      </x:c>
      <x:c r="H10" s="6" t="n">
        <x:v>38000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63000</x:v>
      </x:c>
      <x:c r="E11" s="6" t="n">
        <x:f>C11-D11</x:f>
        <x:v>-63000</x:v>
      </x:c>
      <x:c r="F11" s="6" t="n">
        <x:f>F10+E11</x:f>
        <x:v>-189000</x:v>
      </x:c>
      <x:c r="G11" s="6" t="n">
        <x:v>-63000</x:v>
      </x:c>
      <x:c r="H11" s="6" t="n">
        <x:v>69000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96000</x:v>
      </x:c>
      <x:c r="E12" s="6" t="n">
        <x:f>C12-D12</x:f>
        <x:v>-96000</x:v>
      </x:c>
      <x:c r="F12" s="6" t="n">
        <x:f>F11+E12</x:f>
        <x:v>-285000</x:v>
      </x:c>
      <x:c r="G12" s="6" t="n">
        <x:v>-96000</x:v>
      </x:c>
      <x:c r="H12" s="6" t="n">
        <x:v>98000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78000</x:v>
      </x:c>
      <x:c r="E13" s="6" t="n">
        <x:f>C13-D13</x:f>
        <x:v>-78000</x:v>
      </x:c>
      <x:c r="F13" s="6" t="n">
        <x:f>F12+E13</x:f>
        <x:v>-363000</x:v>
      </x:c>
      <x:c r="G13" s="6" t="n">
        <x:v>-84000</x:v>
      </x:c>
      <x:c r="H13" s="6" t="n">
        <x:v>86000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30000</x:v>
      </x:c>
      <x:c r="E14" s="6" t="n">
        <x:f>C14-D14</x:f>
        <x:v>-30000</x:v>
      </x:c>
      <x:c r="F14" s="6" t="n">
        <x:f>F13+E14</x:f>
        <x:v>-393000</x:v>
      </x:c>
      <x:c r="G14" s="6" t="n">
        <x:v>-46000</x:v>
      </x:c>
      <x:c r="H14" s="6" t="n">
        <x:v>56000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19000</x:v>
      </x:c>
      <x:c r="E15" s="6" t="n">
        <x:f>C15-D15</x:f>
        <x:v>-19000</x:v>
      </x:c>
      <x:c r="F15" s="6" t="n">
        <x:f>F14+E15</x:f>
        <x:v>-412000</x:v>
      </x:c>
      <x:c r="G15" s="6" t="n">
        <x:v>-28000</x:v>
      </x:c>
      <x:c r="H15" s="6" t="n">
        <x:v>34000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1000</x:v>
      </x:c>
      <x:c r="D16" s="6" t="n">
        <x:v>78000</x:v>
      </x:c>
      <x:c r="E16" s="6" t="n">
        <x:f>C16-D16</x:f>
        <x:v>-77000</x:v>
      </x:c>
      <x:c r="F16" s="6" t="n">
        <x:f>F15+E16</x:f>
        <x:v>-489000</x:v>
      </x:c>
      <x:c r="G16" s="6" t="n">
        <x:v>-97000</x:v>
      </x:c>
      <x:c r="H16" s="6" t="n">
        <x:v>97000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57000</x:v>
      </x:c>
      <x:c r="E17" s="6" t="n">
        <x:f>C17-D17</x:f>
        <x:v>-57000</x:v>
      </x:c>
      <x:c r="F17" s="6" t="n">
        <x:f>F16+E17</x:f>
        <x:v>-546000</x:v>
      </x:c>
      <x:c r="G17" s="6" t="n">
        <x:v>-59000</x:v>
      </x:c>
      <x:c r="H17" s="6" t="n">
        <x:v>62000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53000</x:v>
      </x:c>
      <x:c r="E18" s="6" t="n">
        <x:f>C18-D18</x:f>
        <x:v>-53000</x:v>
      </x:c>
      <x:c r="F18" s="6" t="n">
        <x:f>F17+E18</x:f>
        <x:v>-599000</x:v>
      </x:c>
      <x:c r="G18" s="6" t="n">
        <x:v>-53000</x:v>
      </x:c>
      <x:c r="H18" s="6" t="n">
        <x:v>55000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110000</x:v>
      </x:c>
      <x:c r="E19" s="6" t="n">
        <x:f>C19-D19</x:f>
        <x:v>-110000</x:v>
      </x:c>
      <x:c r="F19" s="6" t="n">
        <x:f>F18+E19</x:f>
        <x:v>-709000</x:v>
      </x:c>
      <x:c r="G19" s="6" t="n">
        <x:v>-115000</x:v>
      </x:c>
      <x:c r="H19" s="6" t="n">
        <x:v>117000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19000</x:v>
      </x:c>
      <x:c r="D20" s="6" t="n">
        <x:v>50000</x:v>
      </x:c>
      <x:c r="E20" s="6" t="n">
        <x:f>C20-D20</x:f>
        <x:v>-31000</x:v>
      </x:c>
      <x:c r="F20" s="6" t="n">
        <x:f>F19+E20</x:f>
        <x:v>-740000</x:v>
      </x:c>
      <x:c r="G20" s="6" t="n">
        <x:v>-33000</x:v>
      </x:c>
      <x:c r="H20" s="6" t="n">
        <x:v>62000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32000</x:v>
      </x:c>
      <x:c r="E21" s="6" t="n">
        <x:f>C21-D21</x:f>
        <x:v>-32000</x:v>
      </x:c>
      <x:c r="F21" s="6" t="n">
        <x:f>F20+E21</x:f>
        <x:v>-772000</x:v>
      </x:c>
      <x:c r="G21" s="6" t="n">
        <x:v>-32000</x:v>
      </x:c>
      <x:c r="H21" s="6" t="n">
        <x:v>45000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141000</x:v>
      </x:c>
      <x:c r="E22" s="6" t="n">
        <x:f>C22-D22</x:f>
        <x:v>-141000</x:v>
      </x:c>
      <x:c r="F22" s="6" t="n">
        <x:f>F21+E22</x:f>
        <x:v>-913000</x:v>
      </x:c>
      <x:c r="G22" s="6" t="n">
        <x:v>-141000</x:v>
      </x:c>
      <x:c r="H22" s="6" t="n">
        <x:v>143000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20000</x:v>
      </x:c>
      <x:c r="D23" s="6" t="n">
        <x:v>15000</x:v>
      </x:c>
      <x:c r="E23" s="6" t="n">
        <x:f>C23-D23</x:f>
        <x:v>5000</x:v>
      </x:c>
      <x:c r="F23" s="6" t="n">
        <x:f>F22+E23</x:f>
        <x:v>-908000</x:v>
      </x:c>
      <x:c r="G23" s="6" t="n">
        <x:v>-20000</x:v>
      </x:c>
      <x:c r="H23" s="6" t="n">
        <x:v>30000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1000</x:v>
      </x:c>
      <x:c r="D24" s="6" t="n">
        <x:v>8000</x:v>
      </x:c>
      <x:c r="E24" s="6" t="n">
        <x:f>C24-D24</x:f>
        <x:v>-7000</x:v>
      </x:c>
      <x:c r="F24" s="6" t="n">
        <x:f>F23+E24</x:f>
        <x:v>-915000</x:v>
      </x:c>
      <x:c r="G24" s="6" t="n">
        <x:v>-23000</x:v>
      </x:c>
      <x:c r="H24" s="6" t="n">
        <x:v>31000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67000</x:v>
      </x:c>
      <x:c r="E25" s="6" t="n">
        <x:f>C25-D25</x:f>
        <x:v>-67000</x:v>
      </x:c>
      <x:c r="F25" s="6" t="n">
        <x:f>F24+E25</x:f>
        <x:v>-982000</x:v>
      </x:c>
      <x:c r="G25" s="6" t="n">
        <x:v>-78000</x:v>
      </x:c>
      <x:c r="H25" s="6" t="n">
        <x:v>93000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17000</x:v>
      </x:c>
      <x:c r="E26" s="6" t="n">
        <x:f>C26-D26</x:f>
        <x:v>-17000</x:v>
      </x:c>
      <x:c r="F26" s="6" t="n">
        <x:f>F25+E26</x:f>
        <x:v>-999000</x:v>
      </x:c>
      <x:c r="G26" s="6" t="n">
        <x:v>-27000</x:v>
      </x:c>
      <x:c r="H26" s="6" t="n">
        <x:v>29000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2000</x:v>
      </x:c>
      <x:c r="D27" s="6" t="n">
        <x:v>71000</x:v>
      </x:c>
      <x:c r="E27" s="6" t="n">
        <x:f>C27-D27</x:f>
        <x:v>-69000</x:v>
      </x:c>
      <x:c r="F27" s="6" t="n">
        <x:f>F26+E27</x:f>
        <x:v>-1068000</x:v>
      </x:c>
      <x:c r="G27" s="6" t="n">
        <x:v>-69000</x:v>
      </x:c>
      <x:c r="H27" s="6" t="n">
        <x:v>83000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6000</x:v>
      </x:c>
      <x:c r="D28" s="6" t="n">
        <x:v>75000</x:v>
      </x:c>
      <x:c r="E28" s="6" t="n">
        <x:f>C28-D28</x:f>
        <x:v>-69000</x:v>
      </x:c>
      <x:c r="F28" s="6" t="n">
        <x:f>F27+E28</x:f>
        <x:v>-1137000</x:v>
      </x:c>
      <x:c r="G28" s="6" t="n">
        <x:v>-73000</x:v>
      </x:c>
      <x:c r="H28" s="6" t="n">
        <x:v>81000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5000</x:v>
      </x:c>
      <x:c r="D29" s="6" t="n">
        <x:v>6000</x:v>
      </x:c>
      <x:c r="E29" s="6" t="n">
        <x:f>C29-D29</x:f>
        <x:v>-1000</x:v>
      </x:c>
      <x:c r="F29" s="6" t="n">
        <x:f>F28+E29</x:f>
        <x:v>-1138000</x:v>
      </x:c>
      <x:c r="G29" s="6" t="n">
        <x:v>-21000</x:v>
      </x:c>
      <x:c r="H29" s="6" t="n">
        <x:v>23000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2000</x:v>
      </x:c>
      <x:c r="D30" s="6" t="n">
        <x:v>48000</x:v>
      </x:c>
      <x:c r="E30" s="6" t="n">
        <x:f>C30-D30</x:f>
        <x:v>-46000</x:v>
      </x:c>
      <x:c r="F30" s="6" t="n">
        <x:f>F29+E30</x:f>
        <x:v>-1184000</x:v>
      </x:c>
      <x:c r="G30" s="6" t="n">
        <x:v>-56000</x:v>
      </x:c>
      <x:c r="H30" s="6" t="n">
        <x:v>62000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32000</x:v>
      </x:c>
      <x:c r="E31" s="6" t="n">
        <x:f>C31-D31</x:f>
        <x:v>-32000</x:v>
      </x:c>
      <x:c r="F31" s="6" t="n">
        <x:f>F30+E31</x:f>
        <x:v>-1216000</x:v>
      </x:c>
      <x:c r="G31" s="6" t="n">
        <x:v>-80000</x:v>
      </x:c>
      <x:c r="H31" s="6" t="n">
        <x:v>84000</x:v>
      </x:c>
    </x:row>
    <x:row r="32" ht="25" customHeight="1">
      <x:c r="A32" s="13" t="str">
        <x:v>累計／場内最悪値</x:v>
      </x:c>
      <x:c r="B32" s="13"/>
      <x:c r="C32" s="14" t="n">
        <x:f>SUM(C6:C31)</x:f>
        <x:v>56000</x:v>
      </x:c>
      <x:c r="D32" s="14" t="n">
        <x:f>SUM(D6:D31)</x:f>
        <x:v>1272000</x:v>
      </x:c>
      <x:c r="E32" s="14" t="n">
        <x:f>C32-D32</x:f>
        <x:v>-1216000</x:v>
      </x:c>
      <x:c r="F32" s="14" t="n">
        <x:f>F31</x:f>
        <x:v>-1216000</x:v>
      </x:c>
      <x:c r="G32" s="14" t="n">
        <x:f>MIN(G6:G31)</x:f>
        <x:v>-141000</x:v>
      </x:c>
      <x:c r="H32" s="14" t="n">
        <x:f>MAX(H6:H31)</x:f>
        <x:v>143000</x:v>
      </x:c>
    </x:row>
  </x:sheetData>
  <x:conditionalFormatting sqref="E6:F31">
    <x:cfRule type="cellIs" dxfId="3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1b6fb0ddfe440d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L02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R01＋再参加玉だけ建値から40pt損失で返済、損切り後は同波再参加を停止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28000</x:v>
      </x:c>
      <x:c r="E6" s="6" t="n">
        <x:f>C6-D6</x:f>
        <x:v>-28000</x:v>
      </x:c>
      <x:c r="F6" s="6" t="n">
        <x:f>E6</x:f>
        <x:v>-28000</x:v>
      </x:c>
      <x:c r="G6" s="6" t="n">
        <x:v>-28000</x:v>
      </x:c>
      <x:c r="H6" s="6" t="n">
        <x:v>30000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50000</x:v>
      </x:c>
      <x:c r="E7" s="6" t="n">
        <x:f>C7-D7</x:f>
        <x:v>-50000</x:v>
      </x:c>
      <x:c r="F7" s="6" t="n">
        <x:f>F6+E7</x:f>
        <x:v>-78000</x:v>
      </x:c>
      <x:c r="G7" s="6" t="n">
        <x:v>-50000</x:v>
      </x:c>
      <x:c r="H7" s="6" t="n">
        <x:v>55000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20000</x:v>
      </x:c>
      <x:c r="E8" s="6" t="n">
        <x:f>C8-D8</x:f>
        <x:v>-20000</x:v>
      </x:c>
      <x:c r="F8" s="6" t="n">
        <x:f>F7+E8</x:f>
        <x:v>-98000</x:v>
      </x:c>
      <x:c r="G8" s="6" t="n">
        <x:v>-20000</x:v>
      </x:c>
      <x:c r="H8" s="6" t="n">
        <x:v>30000</x:v>
      </x:c>
    </x:row>
    <x:row r="9" ht="25" customHeight="1">
      <x:c r="A9" s="2" t="str">
        <x:v>2026-09-24_Day</x:v>
      </x:c>
      <x:c r="B9" s="2" t="str">
        <x:v>下落</x:v>
      </x:c>
      <x:c r="C9" s="6" t="n">
        <x:v>17000</x:v>
      </x:c>
      <x:c r="D9" s="6" t="n">
        <x:v>42000</x:v>
      </x:c>
      <x:c r="E9" s="6" t="n">
        <x:f>C9-D9</x:f>
        <x:v>-25000</x:v>
      </x:c>
      <x:c r="F9" s="6" t="n">
        <x:f>F8+E9</x:f>
        <x:v>-123000</x:v>
      </x:c>
      <x:c r="G9" s="6" t="n">
        <x:v>-51000</x:v>
      </x:c>
      <x:c r="H9" s="6" t="n">
        <x:v>53000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6000</x:v>
      </x:c>
      <x:c r="D10" s="6" t="n">
        <x:v>44000</x:v>
      </x:c>
      <x:c r="E10" s="6" t="n">
        <x:f>C10-D10</x:f>
        <x:v>-38000</x:v>
      </x:c>
      <x:c r="F10" s="6" t="n">
        <x:f>F9+E10</x:f>
        <x:v>-161000</x:v>
      </x:c>
      <x:c r="G10" s="6" t="n">
        <x:v>-38000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97000</x:v>
      </x:c>
      <x:c r="E11" s="6" t="n">
        <x:f>C11-D11</x:f>
        <x:v>-97000</x:v>
      </x:c>
      <x:c r="F11" s="6" t="n">
        <x:f>F10+E11</x:f>
        <x:v>-258000</x:v>
      </x:c>
      <x:c r="G11" s="6" t="n">
        <x:v>-97000</x:v>
      </x:c>
      <x:c r="H11" s="6" t="n">
        <x:v>103000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151000</x:v>
      </x:c>
      <x:c r="E12" s="6" t="n">
        <x:f>C12-D12</x:f>
        <x:v>-151000</x:v>
      </x:c>
      <x:c r="F12" s="6" t="n">
        <x:f>F11+E12</x:f>
        <x:v>-409000</x:v>
      </x:c>
      <x:c r="G12" s="6" t="n">
        <x:v>-151000</x:v>
      </x:c>
      <x:c r="H12" s="6" t="n">
        <x:v>153000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100000</x:v>
      </x:c>
      <x:c r="E13" s="6" t="n">
        <x:f>C13-D13</x:f>
        <x:v>-100000</x:v>
      </x:c>
      <x:c r="F13" s="6" t="n">
        <x:f>F12+E13</x:f>
        <x:v>-509000</x:v>
      </x:c>
      <x:c r="G13" s="6" t="n">
        <x:v>-100000</x:v>
      </x:c>
      <x:c r="H13" s="6" t="n">
        <x:v>102000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57000</x:v>
      </x:c>
      <x:c r="E14" s="6" t="n">
        <x:f>C14-D14</x:f>
        <x:v>-57000</x:v>
      </x:c>
      <x:c r="F14" s="6" t="n">
        <x:f>F13+E14</x:f>
        <x:v>-566000</x:v>
      </x:c>
      <x:c r="G14" s="6" t="n">
        <x:v>-65000</x:v>
      </x:c>
      <x:c r="H14" s="6" t="n">
        <x:v>75000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40000</x:v>
      </x:c>
      <x:c r="E15" s="6" t="n">
        <x:f>C15-D15</x:f>
        <x:v>-40000</x:v>
      </x:c>
      <x:c r="F15" s="6" t="n">
        <x:f>F14+E15</x:f>
        <x:v>-606000</x:v>
      </x:c>
      <x:c r="G15" s="6" t="n">
        <x:v>-46000</x:v>
      </x:c>
      <x:c r="H15" s="6" t="n">
        <x:v>52000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122000</x:v>
      </x:c>
      <x:c r="E16" s="6" t="n">
        <x:f>C16-D16</x:f>
        <x:v>-122000</x:v>
      </x:c>
      <x:c r="F16" s="6" t="n">
        <x:f>F15+E16</x:f>
        <x:v>-728000</x:v>
      </x:c>
      <x:c r="G16" s="6" t="n">
        <x:v>-137000</x:v>
      </x:c>
      <x:c r="H16" s="6" t="n">
        <x:v>137000</x:v>
      </x:c>
    </x:row>
    <x:row r="17" ht="25" customHeight="1">
      <x:c r="A17" s="2" t="str">
        <x:v>2026-10-06_Day</x:v>
      </x:c>
      <x:c r="B17" s="2" t="str">
        <x:v>上昇</x:v>
      </x:c>
      <x:c r="C17" s="6" t="n">
        <x:v>2000</x:v>
      </x:c>
      <x:c r="D17" s="6" t="n">
        <x:v>97000</x:v>
      </x:c>
      <x:c r="E17" s="6" t="n">
        <x:f>C17-D17</x:f>
        <x:v>-95000</x:v>
      </x:c>
      <x:c r="F17" s="6" t="n">
        <x:f>F16+E17</x:f>
        <x:v>-823000</x:v>
      </x:c>
      <x:c r="G17" s="6" t="n">
        <x:v>-95000</x:v>
      </x:c>
      <x:c r="H17" s="6" t="n">
        <x:v>97000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66000</x:v>
      </x:c>
      <x:c r="E18" s="6" t="n">
        <x:f>C18-D18</x:f>
        <x:v>-66000</x:v>
      </x:c>
      <x:c r="F18" s="6" t="n">
        <x:f>F17+E18</x:f>
        <x:v>-889000</x:v>
      </x:c>
      <x:c r="G18" s="6" t="n">
        <x:v>-66000</x:v>
      </x:c>
      <x:c r="H18" s="6" t="n">
        <x:v>68000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148000</x:v>
      </x:c>
      <x:c r="E19" s="6" t="n">
        <x:f>C19-D19</x:f>
        <x:v>-148000</x:v>
      </x:c>
      <x:c r="F19" s="6" t="n">
        <x:f>F18+E19</x:f>
        <x:v>-1037000</x:v>
      </x:c>
      <x:c r="G19" s="6" t="n">
        <x:v>-148000</x:v>
      </x:c>
      <x:c r="H19" s="6" t="n">
        <x:v>150000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10000</x:v>
      </x:c>
      <x:c r="D20" s="6" t="n">
        <x:v>63000</x:v>
      </x:c>
      <x:c r="E20" s="6" t="n">
        <x:f>C20-D20</x:f>
        <x:v>-53000</x:v>
      </x:c>
      <x:c r="F20" s="6" t="n">
        <x:f>F19+E20</x:f>
        <x:v>-1090000</x:v>
      </x:c>
      <x:c r="G20" s="6" t="n">
        <x:v>-53000</x:v>
      </x:c>
      <x:c r="H20" s="6" t="n">
        <x:v>77000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48000</x:v>
      </x:c>
      <x:c r="E21" s="6" t="n">
        <x:f>C21-D21</x:f>
        <x:v>-48000</x:v>
      </x:c>
      <x:c r="F21" s="6" t="n">
        <x:f>F20+E21</x:f>
        <x:v>-1138000</x:v>
      </x:c>
      <x:c r="G21" s="6" t="n">
        <x:v>-48000</x:v>
      </x:c>
      <x:c r="H21" s="6" t="n">
        <x:v>55000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182000</x:v>
      </x:c>
      <x:c r="E22" s="6" t="n">
        <x:f>C22-D22</x:f>
        <x:v>-182000</x:v>
      </x:c>
      <x:c r="F22" s="6" t="n">
        <x:f>F21+E22</x:f>
        <x:v>-1320000</x:v>
      </x:c>
      <x:c r="G22" s="6" t="n">
        <x:v>-182000</x:v>
      </x:c>
      <x:c r="H22" s="6" t="n">
        <x:v>184000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20000</x:v>
      </x:c>
      <x:c r="D23" s="6" t="n">
        <x:v>31000</x:v>
      </x:c>
      <x:c r="E23" s="6" t="n">
        <x:f>C23-D23</x:f>
        <x:v>-11000</x:v>
      </x:c>
      <x:c r="F23" s="6" t="n">
        <x:f>F22+E23</x:f>
        <x:v>-1331000</x:v>
      </x:c>
      <x:c r="G23" s="6" t="n">
        <x:v>-21000</x:v>
      </x:c>
      <x:c r="H23" s="6" t="n">
        <x:v>35000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20000</x:v>
      </x:c>
      <x:c r="E24" s="6" t="n">
        <x:f>C24-D24</x:f>
        <x:v>-20000</x:v>
      </x:c>
      <x:c r="F24" s="6" t="n">
        <x:f>F23+E24</x:f>
        <x:v>-1351000</x:v>
      </x:c>
      <x:c r="G24" s="6" t="n">
        <x:v>-36000</x:v>
      </x:c>
      <x:c r="H24" s="6" t="n">
        <x:v>46000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15000</x:v>
      </x:c>
      <x:c r="D25" s="6" t="n">
        <x:v>104000</x:v>
      </x:c>
      <x:c r="E25" s="6" t="n">
        <x:f>C25-D25</x:f>
        <x:v>-89000</x:v>
      </x:c>
      <x:c r="F25" s="6" t="n">
        <x:f>F24+E25</x:f>
        <x:v>-1440000</x:v>
      </x:c>
      <x:c r="G25" s="6" t="n">
        <x:v>-118000</x:v>
      </x:c>
      <x:c r="H25" s="6" t="n">
        <x:v>133000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2000</x:v>
      </x:c>
      <x:c r="D26" s="6" t="n">
        <x:v>19000</x:v>
      </x:c>
      <x:c r="E26" s="6" t="n">
        <x:f>C26-D26</x:f>
        <x:v>-17000</x:v>
      </x:c>
      <x:c r="F26" s="6" t="n">
        <x:f>F25+E26</x:f>
        <x:v>-1457000</x:v>
      </x:c>
      <x:c r="G26" s="6" t="n">
        <x:v>-22000</x:v>
      </x:c>
      <x:c r="H26" s="6" t="n">
        <x:v>35000</x:v>
      </x:c>
    </x:row>
    <x:row r="27" ht="25" customHeight="1">
      <x:c r="A27" s="2" t="str">
        <x:v>2026-10-20_Day</x:v>
      </x:c>
      <x:c r="B27" s="2" t="str">
        <x:v>下落</x:v>
      </x:c>
      <x:c r="C27" s="6" t="n">
        <x:v>3000</x:v>
      </x:c>
      <x:c r="D27" s="6" t="n">
        <x:v>110000</x:v>
      </x:c>
      <x:c r="E27" s="6" t="n">
        <x:f>C27-D27</x:f>
        <x:v>-107000</x:v>
      </x:c>
      <x:c r="F27" s="6" t="n">
        <x:f>F26+E27</x:f>
        <x:v>-1564000</x:v>
      </x:c>
      <x:c r="G27" s="6" t="n">
        <x:v>-107000</x:v>
      </x:c>
      <x:c r="H27" s="6" t="n">
        <x:v>122000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111000</x:v>
      </x:c>
      <x:c r="E28" s="6" t="n">
        <x:f>C28-D28</x:f>
        <x:v>-111000</x:v>
      </x:c>
      <x:c r="F28" s="6" t="n">
        <x:f>F27+E28</x:f>
        <x:v>-1675000</x:v>
      </x:c>
      <x:c r="G28" s="6" t="n">
        <x:v>-118000</x:v>
      </x:c>
      <x:c r="H28" s="6" t="n">
        <x:v>126000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16000</x:v>
      </x:c>
      <x:c r="E29" s="6" t="n">
        <x:f>C29-D29</x:f>
        <x:v>-16000</x:v>
      </x:c>
      <x:c r="F29" s="6" t="n">
        <x:f>F28+E29</x:f>
        <x:v>-1691000</x:v>
      </x:c>
      <x:c r="G29" s="6" t="n">
        <x:v>-21000</x:v>
      </x:c>
      <x:c r="H29" s="6" t="n">
        <x:v>31000</x:v>
      </x:c>
    </x:row>
    <x:row r="30" ht="25" customHeight="1">
      <x:c r="A30" s="2" t="str">
        <x:v>2026-10-23_Day</x:v>
      </x:c>
      <x:c r="B30" s="2" t="str">
        <x:v>上昇</x:v>
      </x:c>
      <x:c r="C30" s="6" t="n">
        <x:v>6000</x:v>
      </x:c>
      <x:c r="D30" s="6" t="n">
        <x:v>95000</x:v>
      </x:c>
      <x:c r="E30" s="6" t="n">
        <x:f>C30-D30</x:f>
        <x:v>-89000</x:v>
      </x:c>
      <x:c r="F30" s="6" t="n">
        <x:f>F29+E30</x:f>
        <x:v>-1780000</x:v>
      </x:c>
      <x:c r="G30" s="6" t="n">
        <x:v>-89000</x:v>
      </x:c>
      <x:c r="H30" s="6" t="n">
        <x:v>96000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67000</x:v>
      </x:c>
      <x:c r="E31" s="6" t="n">
        <x:f>C31-D31</x:f>
        <x:v>-67000</x:v>
      </x:c>
      <x:c r="F31" s="6" t="n">
        <x:f>F30+E31</x:f>
        <x:v>-1847000</x:v>
      </x:c>
      <x:c r="G31" s="6" t="n">
        <x:v>-88000</x:v>
      </x:c>
      <x:c r="H31" s="6" t="n">
        <x:v>90000</x:v>
      </x:c>
    </x:row>
    <x:row r="32" ht="25" customHeight="1">
      <x:c r="A32" s="13" t="str">
        <x:v>累計／場内最悪値</x:v>
      </x:c>
      <x:c r="B32" s="13"/>
      <x:c r="C32" s="14" t="n">
        <x:f>SUM(C6:C31)</x:f>
        <x:v>81000</x:v>
      </x:c>
      <x:c r="D32" s="14" t="n">
        <x:f>SUM(D6:D31)</x:f>
        <x:v>1928000</x:v>
      </x:c>
      <x:c r="E32" s="14" t="n">
        <x:f>C32-D32</x:f>
        <x:v>-1847000</x:v>
      </x:c>
      <x:c r="F32" s="14" t="n">
        <x:f>F31</x:f>
        <x:v>-1847000</x:v>
      </x:c>
      <x:c r="G32" s="14" t="n">
        <x:f>MIN(G6:G31)</x:f>
        <x:v>-182000</x:v>
      </x:c>
      <x:c r="H32" s="14" t="n">
        <x:f>MAX(H6:H31)</x:f>
        <x:v>184000</x:v>
      </x:c>
    </x:row>
  </x:sheetData>
  <x:conditionalFormatting sqref="E6:F31">
    <x:cfRule type="cellIs" dxfId="3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6da7fe38254e88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L03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R01＋再参加玉だけ建値から80pt損失で返済、損切り後は同波再参加を停止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36000</x:v>
      </x:c>
      <x:c r="E6" s="6" t="n">
        <x:f>C6-D6</x:f>
        <x:v>-36000</x:v>
      </x:c>
      <x:c r="F6" s="6" t="n">
        <x:f>E6</x:f>
        <x:v>-36000</x:v>
      </x:c>
      <x:c r="G6" s="6" t="n">
        <x:v>-36000</x:v>
      </x:c>
      <x:c r="H6" s="6" t="n">
        <x:v>50000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-106000</x:v>
      </x:c>
      <x:c r="G7" s="6" t="n">
        <x:v>-70000</x:v>
      </x:c>
      <x:c r="H7" s="6" t="n">
        <x:v>75000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30000</x:v>
      </x:c>
      <x:c r="E8" s="6" t="n">
        <x:f>C8-D8</x:f>
        <x:v>-30000</x:v>
      </x:c>
      <x:c r="F8" s="6" t="n">
        <x:f>F7+E8</x:f>
        <x:v>-136000</x:v>
      </x:c>
      <x:c r="G8" s="6" t="n">
        <x:v>-35000</x:v>
      </x:c>
      <x:c r="H8" s="6" t="n">
        <x:v>45000</x:v>
      </x:c>
    </x:row>
    <x:row r="9" ht="25" customHeight="1">
      <x:c r="A9" s="2" t="str">
        <x:v>2026-09-24_Day</x:v>
      </x:c>
      <x:c r="B9" s="2" t="str">
        <x:v>下落</x:v>
      </x:c>
      <x:c r="C9" s="6" t="n">
        <x:v>17000</x:v>
      </x:c>
      <x:c r="D9" s="6" t="n">
        <x:v>91000</x:v>
      </x:c>
      <x:c r="E9" s="6" t="n">
        <x:f>C9-D9</x:f>
        <x:v>-74000</x:v>
      </x:c>
      <x:c r="F9" s="6" t="n">
        <x:f>F8+E9</x:f>
        <x:v>-210000</x:v>
      </x:c>
      <x:c r="G9" s="6" t="n">
        <x:v>-95000</x:v>
      </x:c>
      <x:c r="H9" s="6" t="n">
        <x:v>103000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2000</x:v>
      </x:c>
      <x:c r="D10" s="6" t="n">
        <x:v>72000</x:v>
      </x:c>
      <x:c r="E10" s="6" t="n">
        <x:f>C10-D10</x:f>
        <x:v>-70000</x:v>
      </x:c>
      <x:c r="F10" s="6" t="n">
        <x:f>F9+E10</x:f>
        <x:v>-280000</x:v>
      </x:c>
      <x:c r="G10" s="6" t="n">
        <x:v>-70000</x:v>
      </x:c>
      <x:c r="H10" s="6" t="n">
        <x:v>87000</x:v>
      </x:c>
    </x:row>
    <x:row r="11" ht="25" customHeight="1">
      <x:c r="A11" s="2" t="str">
        <x:v>2026-09-28_Day</x:v>
      </x:c>
      <x:c r="B11" s="2" t="str">
        <x:v>下落</x:v>
      </x:c>
      <x:c r="C11" s="6" t="n">
        <x:v>9000</x:v>
      </x:c>
      <x:c r="D11" s="6" t="n">
        <x:v>138000</x:v>
      </x:c>
      <x:c r="E11" s="6" t="n">
        <x:f>C11-D11</x:f>
        <x:v>-129000</x:v>
      </x:c>
      <x:c r="F11" s="6" t="n">
        <x:f>F10+E11</x:f>
        <x:v>-409000</x:v>
      </x:c>
      <x:c r="G11" s="6" t="n">
        <x:v>-129000</x:v>
      </x:c>
      <x:c r="H11" s="6" t="n">
        <x:v>135000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167000</x:v>
      </x:c>
      <x:c r="E12" s="6" t="n">
        <x:f>C12-D12</x:f>
        <x:v>-167000</x:v>
      </x:c>
      <x:c r="F12" s="6" t="n">
        <x:f>F11+E12</x:f>
        <x:v>-576000</x:v>
      </x:c>
      <x:c r="G12" s="6" t="n">
        <x:v>-167000</x:v>
      </x:c>
      <x:c r="H12" s="6" t="n">
        <x:v>169000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148000</x:v>
      </x:c>
      <x:c r="E13" s="6" t="n">
        <x:f>C13-D13</x:f>
        <x:v>-148000</x:v>
      </x:c>
      <x:c r="F13" s="6" t="n">
        <x:f>F12+E13</x:f>
        <x:v>-724000</x:v>
      </x:c>
      <x:c r="G13" s="6" t="n">
        <x:v>-148000</x:v>
      </x:c>
      <x:c r="H13" s="6" t="n">
        <x:v>150000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89000</x:v>
      </x:c>
      <x:c r="E14" s="6" t="n">
        <x:f>C14-D14</x:f>
        <x:v>-89000</x:v>
      </x:c>
      <x:c r="F14" s="6" t="n">
        <x:f>F13+E14</x:f>
        <x:v>-813000</x:v>
      </x:c>
      <x:c r="G14" s="6" t="n">
        <x:v>-91000</x:v>
      </x:c>
      <x:c r="H14" s="6" t="n">
        <x:v>101000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65000</x:v>
      </x:c>
      <x:c r="E15" s="6" t="n">
        <x:f>C15-D15</x:f>
        <x:v>-65000</x:v>
      </x:c>
      <x:c r="F15" s="6" t="n">
        <x:f>F14+E15</x:f>
        <x:v>-878000</x:v>
      </x:c>
      <x:c r="G15" s="6" t="n">
        <x:v>-65000</x:v>
      </x:c>
      <x:c r="H15" s="6" t="n">
        <x:v>76000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2000</x:v>
      </x:c>
      <x:c r="D16" s="6" t="n">
        <x:v>200000</x:v>
      </x:c>
      <x:c r="E16" s="6" t="n">
        <x:f>C16-D16</x:f>
        <x:v>-198000</x:v>
      </x:c>
      <x:c r="F16" s="6" t="n">
        <x:f>F15+E16</x:f>
        <x:v>-1076000</x:v>
      </x:c>
      <x:c r="G16" s="6" t="n">
        <x:v>-198000</x:v>
      </x:c>
      <x:c r="H16" s="6" t="n">
        <x:v>198000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107000</x:v>
      </x:c>
      <x:c r="E17" s="6" t="n">
        <x:f>C17-D17</x:f>
        <x:v>-107000</x:v>
      </x:c>
      <x:c r="F17" s="6" t="n">
        <x:f>F16+E17</x:f>
        <x:v>-1183000</x:v>
      </x:c>
      <x:c r="G17" s="6" t="n">
        <x:v>-107000</x:v>
      </x:c>
      <x:c r="H17" s="6" t="n">
        <x:v>112000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9000</x:v>
      </x:c>
      <x:c r="D18" s="6" t="n">
        <x:v>39000</x:v>
      </x:c>
      <x:c r="E18" s="6" t="n">
        <x:f>C18-D18</x:f>
        <x:v>-30000</x:v>
      </x:c>
      <x:c r="F18" s="6" t="n">
        <x:f>F17+E18</x:f>
        <x:v>-1213000</x:v>
      </x:c>
      <x:c r="G18" s="6" t="n">
        <x:v>-64000</x:v>
      </x:c>
      <x:c r="H18" s="6" t="n">
        <x:v>66000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175000</x:v>
      </x:c>
      <x:c r="E19" s="6" t="n">
        <x:f>C19-D19</x:f>
        <x:v>-175000</x:v>
      </x:c>
      <x:c r="F19" s="6" t="n">
        <x:f>F18+E19</x:f>
        <x:v>-1388000</x:v>
      </x:c>
      <x:c r="G19" s="6" t="n">
        <x:v>-195000</x:v>
      </x:c>
      <x:c r="H19" s="6" t="n">
        <x:v>197000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18000</x:v>
      </x:c>
      <x:c r="D20" s="6" t="n">
        <x:v>71000</x:v>
      </x:c>
      <x:c r="E20" s="6" t="n">
        <x:f>C20-D20</x:f>
        <x:v>-53000</x:v>
      </x:c>
      <x:c r="F20" s="6" t="n">
        <x:f>F19+E20</x:f>
        <x:v>-1441000</x:v>
      </x:c>
      <x:c r="G20" s="6" t="n">
        <x:v>-53000</x:v>
      </x:c>
      <x:c r="H20" s="6" t="n">
        <x:v>81000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76000</x:v>
      </x:c>
      <x:c r="E21" s="6" t="n">
        <x:f>C21-D21</x:f>
        <x:v>-76000</x:v>
      </x:c>
      <x:c r="F21" s="6" t="n">
        <x:f>F20+E21</x:f>
        <x:v>-1517000</x:v>
      </x:c>
      <x:c r="G21" s="6" t="n">
        <x:v>-76000</x:v>
      </x:c>
      <x:c r="H21" s="6" t="n">
        <x:v>78000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267000</x:v>
      </x:c>
      <x:c r="E22" s="6" t="n">
        <x:f>C22-D22</x:f>
        <x:v>-267000</x:v>
      </x:c>
      <x:c r="F22" s="6" t="n">
        <x:f>F21+E22</x:f>
        <x:v>-1784000</x:v>
      </x:c>
      <x:c r="G22" s="6" t="n">
        <x:v>-267000</x:v>
      </x:c>
      <x:c r="H22" s="6" t="n">
        <x:v>269000</x:v>
      </x:c>
    </x:row>
    <x:row r="23" ht="25" customHeight="1">
      <x:c r="A23" s="2" t="str">
        <x:v>2026-10-14_Day</x:v>
      </x:c>
      <x:c r="B23" s="2" t="str">
        <x:v>上昇</x:v>
      </x:c>
      <x:c r="C23" s="6" t="n">
        <x:v>44000</x:v>
      </x:c>
      <x:c r="D23" s="6" t="n">
        <x:v>67000</x:v>
      </x:c>
      <x:c r="E23" s="6" t="n">
        <x:f>C23-D23</x:f>
        <x:v>-23000</x:v>
      </x:c>
      <x:c r="F23" s="6" t="n">
        <x:f>F22+E23</x:f>
        <x:v>-1807000</x:v>
      </x:c>
      <x:c r="G23" s="6" t="n">
        <x:v>-37000</x:v>
      </x:c>
      <x:c r="H23" s="6" t="n">
        <x:v>56000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72000</x:v>
      </x:c>
      <x:c r="E24" s="6" t="n">
        <x:f>C24-D24</x:f>
        <x:v>-72000</x:v>
      </x:c>
      <x:c r="F24" s="6" t="n">
        <x:f>F23+E24</x:f>
        <x:v>-1879000</x:v>
      </x:c>
      <x:c r="G24" s="6" t="n">
        <x:v>-72000</x:v>
      </x:c>
      <x:c r="H24" s="6" t="n">
        <x:v>80000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261000</x:v>
      </x:c>
      <x:c r="E25" s="6" t="n">
        <x:f>C25-D25</x:f>
        <x:v>-261000</x:v>
      </x:c>
      <x:c r="F25" s="6" t="n">
        <x:f>F24+E25</x:f>
        <x:v>-2140000</x:v>
      </x:c>
      <x:c r="G25" s="6" t="n">
        <x:v>-261000</x:v>
      </x:c>
      <x:c r="H25" s="6" t="n">
        <x:v>276000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2000</x:v>
      </x:c>
      <x:c r="D26" s="6" t="n">
        <x:v>24000</x:v>
      </x:c>
      <x:c r="E26" s="6" t="n">
        <x:f>C26-D26</x:f>
        <x:v>-22000</x:v>
      </x:c>
      <x:c r="F26" s="6" t="n">
        <x:f>F25+E26</x:f>
        <x:v>-2162000</x:v>
      </x:c>
      <x:c r="G26" s="6" t="n">
        <x:v>-37000</x:v>
      </x:c>
      <x:c r="H26" s="6" t="n">
        <x:v>65000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209000</x:v>
      </x:c>
      <x:c r="E27" s="6" t="n">
        <x:f>C27-D27</x:f>
        <x:v>-209000</x:v>
      </x:c>
      <x:c r="F27" s="6" t="n">
        <x:f>F26+E27</x:f>
        <x:v>-2371000</x:v>
      </x:c>
      <x:c r="G27" s="6" t="n">
        <x:v>-209000</x:v>
      </x:c>
      <x:c r="H27" s="6" t="n">
        <x:v>220000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188000</x:v>
      </x:c>
      <x:c r="E28" s="6" t="n">
        <x:f>C28-D28</x:f>
        <x:v>-188000</x:v>
      </x:c>
      <x:c r="F28" s="6" t="n">
        <x:f>F27+E28</x:f>
        <x:v>-2559000</x:v>
      </x:c>
      <x:c r="G28" s="6" t="n">
        <x:v>-193000</x:v>
      </x:c>
      <x:c r="H28" s="6" t="n">
        <x:v>201000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29000</x:v>
      </x:c>
      <x:c r="E29" s="6" t="n">
        <x:f>C29-D29</x:f>
        <x:v>-29000</x:v>
      </x:c>
      <x:c r="F29" s="6" t="n">
        <x:f>F28+E29</x:f>
        <x:v>-2588000</x:v>
      </x:c>
      <x:c r="G29" s="6" t="n">
        <x:v>-34000</x:v>
      </x:c>
      <x:c r="H29" s="6" t="n">
        <x:v>50000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20000</x:v>
      </x:c>
      <x:c r="D30" s="6" t="n">
        <x:v>120000</x:v>
      </x:c>
      <x:c r="E30" s="6" t="n">
        <x:f>C30-D30</x:f>
        <x:v>-100000</x:v>
      </x:c>
      <x:c r="F30" s="6" t="n">
        <x:f>F29+E30</x:f>
        <x:v>-2688000</x:v>
      </x:c>
      <x:c r="G30" s="6" t="n">
        <x:v>-115000</x:v>
      </x:c>
      <x:c r="H30" s="6" t="n">
        <x:v>121000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147000</x:v>
      </x:c>
      <x:c r="E31" s="6" t="n">
        <x:f>C31-D31</x:f>
        <x:v>-147000</x:v>
      </x:c>
      <x:c r="F31" s="6" t="n">
        <x:f>F30+E31</x:f>
        <x:v>-2835000</x:v>
      </x:c>
      <x:c r="G31" s="6" t="n">
        <x:v>-147000</x:v>
      </x:c>
      <x:c r="H31" s="6" t="n">
        <x:v>149000</x:v>
      </x:c>
    </x:row>
    <x:row r="32" ht="25" customHeight="1">
      <x:c r="A32" s="13" t="str">
        <x:v>累計／場内最悪値</x:v>
      </x:c>
      <x:c r="B32" s="13"/>
      <x:c r="C32" s="14" t="n">
        <x:f>SUM(C6:C31)</x:f>
        <x:v>123000</x:v>
      </x:c>
      <x:c r="D32" s="14" t="n">
        <x:f>SUM(D6:D31)</x:f>
        <x:v>2958000</x:v>
      </x:c>
      <x:c r="E32" s="14" t="n">
        <x:f>C32-D32</x:f>
        <x:v>-2835000</x:v>
      </x:c>
      <x:c r="F32" s="14" t="n">
        <x:f>F31</x:f>
        <x:v>-2835000</x:v>
      </x:c>
      <x:c r="G32" s="14" t="n">
        <x:f>MIN(G6:G31)</x:f>
        <x:v>-267000</x:v>
      </x:c>
      <x:c r="H32" s="14" t="n">
        <x:f>MAX(H6:H31)</x:f>
        <x:v>276000</x:v>
      </x:c>
    </x:row>
  </x:sheetData>
  <x:conditionalFormatting sqref="E6:F31">
    <x:cfRule type="cellIs" dxfId="4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32c814fc614802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L04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R04＋再参加玉だけ建値から20pt損失で返済、損切り後は同波再参加を停止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14000</x:v>
      </x:c>
      <x:c r="E6" s="6" t="n">
        <x:f>C6-D6</x:f>
        <x:v>-14000</x:v>
      </x:c>
      <x:c r="F6" s="6" t="n">
        <x:f>E6</x:f>
        <x:v>-14000</x:v>
      </x:c>
      <x:c r="G6" s="6" t="n">
        <x:v>-14000</x:v>
      </x:c>
      <x:c r="H6" s="6" t="n">
        <x:v>16000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40000</x:v>
      </x:c>
      <x:c r="E7" s="6" t="n">
        <x:f>C7-D7</x:f>
        <x:v>-40000</x:v>
      </x:c>
      <x:c r="F7" s="6" t="n">
        <x:f>F6+E7</x:f>
        <x:v>-54000</x:v>
      </x:c>
      <x:c r="G7" s="6" t="n">
        <x:v>-40000</x:v>
      </x:c>
      <x:c r="H7" s="6" t="n">
        <x:v>45000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10000</x:v>
      </x:c>
      <x:c r="E8" s="6" t="n">
        <x:f>C8-D8</x:f>
        <x:v>-10000</x:v>
      </x:c>
      <x:c r="F8" s="6" t="n">
        <x:f>F7+E8</x:f>
        <x:v>-64000</x:v>
      </x:c>
      <x:c r="G8" s="6" t="n">
        <x:v>-10000</x:v>
      </x:c>
      <x:c r="H8" s="6" t="n">
        <x:v>20000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33000</x:v>
      </x:c>
      <x:c r="E9" s="6" t="n">
        <x:f>C9-D9</x:f>
        <x:v>-33000</x:v>
      </x:c>
      <x:c r="F9" s="6" t="n">
        <x:f>F8+E9</x:f>
        <x:v>-97000</x:v>
      </x:c>
      <x:c r="G9" s="6" t="n">
        <x:v>-43000</x:v>
      </x:c>
      <x:c r="H9" s="6" t="n">
        <x:v>47000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34000</x:v>
      </x:c>
      <x:c r="E10" s="6" t="n">
        <x:f>C10-D10</x:f>
        <x:v>-34000</x:v>
      </x:c>
      <x:c r="F10" s="6" t="n">
        <x:f>F9+E10</x:f>
        <x:v>-131000</x:v>
      </x:c>
      <x:c r="G10" s="6" t="n">
        <x:v>-34000</x:v>
      </x:c>
      <x:c r="H10" s="6" t="n">
        <x:v>38000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65000</x:v>
      </x:c>
      <x:c r="E11" s="6" t="n">
        <x:f>C11-D11</x:f>
        <x:v>-65000</x:v>
      </x:c>
      <x:c r="F11" s="6" t="n">
        <x:f>F10+E11</x:f>
        <x:v>-196000</x:v>
      </x:c>
      <x:c r="G11" s="6" t="n">
        <x:v>-65000</x:v>
      </x:c>
      <x:c r="H11" s="6" t="n">
        <x:v>71000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102000</x:v>
      </x:c>
      <x:c r="E12" s="6" t="n">
        <x:f>C12-D12</x:f>
        <x:v>-102000</x:v>
      </x:c>
      <x:c r="F12" s="6" t="n">
        <x:f>F11+E12</x:f>
        <x:v>-298000</x:v>
      </x:c>
      <x:c r="G12" s="6" t="n">
        <x:v>-102000</x:v>
      </x:c>
      <x:c r="H12" s="6" t="n">
        <x:v>104000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79000</x:v>
      </x:c>
      <x:c r="E13" s="6" t="n">
        <x:f>C13-D13</x:f>
        <x:v>-79000</x:v>
      </x:c>
      <x:c r="F13" s="6" t="n">
        <x:f>F12+E13</x:f>
        <x:v>-377000</x:v>
      </x:c>
      <x:c r="G13" s="6" t="n">
        <x:v>-85000</x:v>
      </x:c>
      <x:c r="H13" s="6" t="n">
        <x:v>87000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30000</x:v>
      </x:c>
      <x:c r="E14" s="6" t="n">
        <x:f>C14-D14</x:f>
        <x:v>-30000</x:v>
      </x:c>
      <x:c r="F14" s="6" t="n">
        <x:f>F13+E14</x:f>
        <x:v>-407000</x:v>
      </x:c>
      <x:c r="G14" s="6" t="n">
        <x:v>-46000</x:v>
      </x:c>
      <x:c r="H14" s="6" t="n">
        <x:v>56000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19000</x:v>
      </x:c>
      <x:c r="E15" s="6" t="n">
        <x:f>C15-D15</x:f>
        <x:v>-19000</x:v>
      </x:c>
      <x:c r="F15" s="6" t="n">
        <x:f>F14+E15</x:f>
        <x:v>-426000</x:v>
      </x:c>
      <x:c r="G15" s="6" t="n">
        <x:v>-28000</x:v>
      </x:c>
      <x:c r="H15" s="6" t="n">
        <x:v>34000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78000</x:v>
      </x:c>
      <x:c r="E16" s="6" t="n">
        <x:f>C16-D16</x:f>
        <x:v>-78000</x:v>
      </x:c>
      <x:c r="F16" s="6" t="n">
        <x:f>F15+E16</x:f>
        <x:v>-504000</x:v>
      </x:c>
      <x:c r="G16" s="6" t="n">
        <x:v>-98000</x:v>
      </x:c>
      <x:c r="H16" s="6" t="n">
        <x:v>98000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63000</x:v>
      </x:c>
      <x:c r="E17" s="6" t="n">
        <x:f>C17-D17</x:f>
        <x:v>-63000</x:v>
      </x:c>
      <x:c r="F17" s="6" t="n">
        <x:f>F16+E17</x:f>
        <x:v>-567000</x:v>
      </x:c>
      <x:c r="G17" s="6" t="n">
        <x:v>-65000</x:v>
      </x:c>
      <x:c r="H17" s="6" t="n">
        <x:v>68000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53000</x:v>
      </x:c>
      <x:c r="E18" s="6" t="n">
        <x:f>C18-D18</x:f>
        <x:v>-53000</x:v>
      </x:c>
      <x:c r="F18" s="6" t="n">
        <x:f>F17+E18</x:f>
        <x:v>-620000</x:v>
      </x:c>
      <x:c r="G18" s="6" t="n">
        <x:v>-53000</x:v>
      </x:c>
      <x:c r="H18" s="6" t="n">
        <x:v>55000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110000</x:v>
      </x:c>
      <x:c r="E19" s="6" t="n">
        <x:f>C19-D19</x:f>
        <x:v>-110000</x:v>
      </x:c>
      <x:c r="F19" s="6" t="n">
        <x:f>F18+E19</x:f>
        <x:v>-730000</x:v>
      </x:c>
      <x:c r="G19" s="6" t="n">
        <x:v>-115000</x:v>
      </x:c>
      <x:c r="H19" s="6" t="n">
        <x:v>117000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17000</x:v>
      </x:c>
      <x:c r="D20" s="6" t="n">
        <x:v>50000</x:v>
      </x:c>
      <x:c r="E20" s="6" t="n">
        <x:f>C20-D20</x:f>
        <x:v>-33000</x:v>
      </x:c>
      <x:c r="F20" s="6" t="n">
        <x:f>F19+E20</x:f>
        <x:v>-763000</x:v>
      </x:c>
      <x:c r="G20" s="6" t="n">
        <x:v>-35000</x:v>
      </x:c>
      <x:c r="H20" s="6" t="n">
        <x:v>66000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32000</x:v>
      </x:c>
      <x:c r="E21" s="6" t="n">
        <x:f>C21-D21</x:f>
        <x:v>-32000</x:v>
      </x:c>
      <x:c r="F21" s="6" t="n">
        <x:f>F20+E21</x:f>
        <x:v>-795000</x:v>
      </x:c>
      <x:c r="G21" s="6" t="n">
        <x:v>-32000</x:v>
      </x:c>
      <x:c r="H21" s="6" t="n">
        <x:v>45000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145000</x:v>
      </x:c>
      <x:c r="E22" s="6" t="n">
        <x:f>C22-D22</x:f>
        <x:v>-145000</x:v>
      </x:c>
      <x:c r="F22" s="6" t="n">
        <x:f>F21+E22</x:f>
        <x:v>-940000</x:v>
      </x:c>
      <x:c r="G22" s="6" t="n">
        <x:v>-145000</x:v>
      </x:c>
      <x:c r="H22" s="6" t="n">
        <x:v>147000</x:v>
      </x:c>
    </x:row>
    <x:row r="23" ht="25" customHeight="1">
      <x:c r="A23" s="2" t="str">
        <x:v>2026-10-14_Day</x:v>
      </x:c>
      <x:c r="B23" s="2" t="str">
        <x:v>上昇</x:v>
      </x:c>
      <x:c r="C23" s="6" t="n">
        <x:v>5000</x:v>
      </x:c>
      <x:c r="D23" s="6" t="n">
        <x:v>15000</x:v>
      </x:c>
      <x:c r="E23" s="6" t="n">
        <x:f>C23-D23</x:f>
        <x:v>-10000</x:v>
      </x:c>
      <x:c r="F23" s="6" t="n">
        <x:f>F22+E23</x:f>
        <x:v>-950000</x:v>
      </x:c>
      <x:c r="G23" s="6" t="n">
        <x:v>-20000</x:v>
      </x:c>
      <x:c r="H23" s="6" t="n">
        <x:v>40000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9000</x:v>
      </x:c>
      <x:c r="E24" s="6" t="n">
        <x:f>C24-D24</x:f>
        <x:v>-9000</x:v>
      </x:c>
      <x:c r="F24" s="6" t="n">
        <x:f>F23+E24</x:f>
        <x:v>-959000</x:v>
      </x:c>
      <x:c r="G24" s="6" t="n">
        <x:v>-25000</x:v>
      </x:c>
      <x:c r="H24" s="6" t="n">
        <x:v>33000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13000</x:v>
      </x:c>
      <x:c r="D25" s="6" t="n">
        <x:v>78000</x:v>
      </x:c>
      <x:c r="E25" s="6" t="n">
        <x:f>C25-D25</x:f>
        <x:v>-65000</x:v>
      </x:c>
      <x:c r="F25" s="6" t="n">
        <x:f>F24+E25</x:f>
        <x:v>-1024000</x:v>
      </x:c>
      <x:c r="G25" s="6" t="n">
        <x:v>-72000</x:v>
      </x:c>
      <x:c r="H25" s="6" t="n">
        <x:v>87000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17000</x:v>
      </x:c>
      <x:c r="E26" s="6" t="n">
        <x:f>C26-D26</x:f>
        <x:v>-17000</x:v>
      </x:c>
      <x:c r="F26" s="6" t="n">
        <x:f>F25+E26</x:f>
        <x:v>-1041000</x:v>
      </x:c>
      <x:c r="G26" s="6" t="n">
        <x:v>-27000</x:v>
      </x:c>
      <x:c r="H26" s="6" t="n">
        <x:v>29000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10000</x:v>
      </x:c>
      <x:c r="D27" s="6" t="n">
        <x:v>76000</x:v>
      </x:c>
      <x:c r="E27" s="6" t="n">
        <x:f>C27-D27</x:f>
        <x:v>-66000</x:v>
      </x:c>
      <x:c r="F27" s="6" t="n">
        <x:f>F26+E27</x:f>
        <x:v>-1107000</x:v>
      </x:c>
      <x:c r="G27" s="6" t="n">
        <x:v>-66000</x:v>
      </x:c>
      <x:c r="H27" s="6" t="n">
        <x:v>93000</x:v>
      </x:c>
    </x:row>
    <x:row r="28" ht="25" customHeight="1">
      <x:c r="A28" s="2" t="str">
        <x:v>2026-10-21_Day</x:v>
      </x:c>
      <x:c r="B28" s="2" t="str">
        <x:v>下落</x:v>
      </x:c>
      <x:c r="C28" s="6" t="n">
        <x:v>4000</x:v>
      </x:c>
      <x:c r="D28" s="6" t="n">
        <x:v>68000</x:v>
      </x:c>
      <x:c r="E28" s="6" t="n">
        <x:f>C28-D28</x:f>
        <x:v>-64000</x:v>
      </x:c>
      <x:c r="F28" s="6" t="n">
        <x:f>F27+E28</x:f>
        <x:v>-1171000</x:v>
      </x:c>
      <x:c r="G28" s="6" t="n">
        <x:v>-68000</x:v>
      </x:c>
      <x:c r="H28" s="6" t="n">
        <x:v>81000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16000</x:v>
      </x:c>
      <x:c r="E29" s="6" t="n">
        <x:f>C29-D29</x:f>
        <x:v>-16000</x:v>
      </x:c>
      <x:c r="F29" s="6" t="n">
        <x:f>F28+E29</x:f>
        <x:v>-1187000</x:v>
      </x:c>
      <x:c r="G29" s="6" t="n">
        <x:v>-21000</x:v>
      </x:c>
      <x:c r="H29" s="6" t="n">
        <x:v>30000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11000</x:v>
      </x:c>
      <x:c r="D30" s="6" t="n">
        <x:v>47000</x:v>
      </x:c>
      <x:c r="E30" s="6" t="n">
        <x:f>C30-D30</x:f>
        <x:v>-36000</x:v>
      </x:c>
      <x:c r="F30" s="6" t="n">
        <x:f>F29+E30</x:f>
        <x:v>-1223000</x:v>
      </x:c>
      <x:c r="G30" s="6" t="n">
        <x:v>-44000</x:v>
      </x:c>
      <x:c r="H30" s="6" t="n">
        <x:v>57000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32000</x:v>
      </x:c>
      <x:c r="E31" s="6" t="n">
        <x:f>C31-D31</x:f>
        <x:v>-32000</x:v>
      </x:c>
      <x:c r="F31" s="6" t="n">
        <x:f>F30+E31</x:f>
        <x:v>-1255000</x:v>
      </x:c>
      <x:c r="G31" s="6" t="n">
        <x:v>-80000</x:v>
      </x:c>
      <x:c r="H31" s="6" t="n">
        <x:v>84000</x:v>
      </x:c>
    </x:row>
    <x:row r="32" ht="25" customHeight="1">
      <x:c r="A32" s="13" t="str">
        <x:v>累計／場内最悪値</x:v>
      </x:c>
      <x:c r="B32" s="13"/>
      <x:c r="C32" s="14" t="n">
        <x:f>SUM(C6:C31)</x:f>
        <x:v>60000</x:v>
      </x:c>
      <x:c r="D32" s="14" t="n">
        <x:f>SUM(D6:D31)</x:f>
        <x:v>1315000</x:v>
      </x:c>
      <x:c r="E32" s="14" t="n">
        <x:f>C32-D32</x:f>
        <x:v>-1255000</x:v>
      </x:c>
      <x:c r="F32" s="14" t="n">
        <x:f>F31</x:f>
        <x:v>-1255000</x:v>
      </x:c>
      <x:c r="G32" s="14" t="n">
        <x:f>MIN(G6:G31)</x:f>
        <x:v>-145000</x:v>
      </x:c>
      <x:c r="H32" s="14" t="n">
        <x:f>MAX(H6:H31)</x:f>
        <x:v>147000</x:v>
      </x:c>
    </x:row>
  </x:sheetData>
  <x:conditionalFormatting sqref="E6:F31">
    <x:cfRule type="cellIs" dxfId="4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0891c1f4574f58"/>
  </x:tableParts>
</x:worksheet>
</file>

<file path=xl/worksheets/sheet4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L05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R04＋再参加玉だけ建値から40pt損失で返済、損切り後は同波再参加を停止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28000</x:v>
      </x:c>
      <x:c r="E6" s="6" t="n">
        <x:f>C6-D6</x:f>
        <x:v>-28000</x:v>
      </x:c>
      <x:c r="F6" s="6" t="n">
        <x:f>E6</x:f>
        <x:v>-28000</x:v>
      </x:c>
      <x:c r="G6" s="6" t="n">
        <x:v>-28000</x:v>
      </x:c>
      <x:c r="H6" s="6" t="n">
        <x:v>30000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50000</x:v>
      </x:c>
      <x:c r="E7" s="6" t="n">
        <x:f>C7-D7</x:f>
        <x:v>-50000</x:v>
      </x:c>
      <x:c r="F7" s="6" t="n">
        <x:f>F6+E7</x:f>
        <x:v>-78000</x:v>
      </x:c>
      <x:c r="G7" s="6" t="n">
        <x:v>-50000</x:v>
      </x:c>
      <x:c r="H7" s="6" t="n">
        <x:v>55000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20000</x:v>
      </x:c>
      <x:c r="E8" s="6" t="n">
        <x:f>C8-D8</x:f>
        <x:v>-20000</x:v>
      </x:c>
      <x:c r="F8" s="6" t="n">
        <x:f>F7+E8</x:f>
        <x:v>-98000</x:v>
      </x:c>
      <x:c r="G8" s="6" t="n">
        <x:v>-20000</x:v>
      </x:c>
      <x:c r="H8" s="6" t="n">
        <x:v>30000</x:v>
      </x:c>
    </x:row>
    <x:row r="9" ht="25" customHeight="1">
      <x:c r="A9" s="2" t="str">
        <x:v>2026-09-24_Day</x:v>
      </x:c>
      <x:c r="B9" s="2" t="str">
        <x:v>下落</x:v>
      </x:c>
      <x:c r="C9" s="6" t="n">
        <x:v>42000</x:v>
      </x:c>
      <x:c r="D9" s="6" t="n">
        <x:v>47000</x:v>
      </x:c>
      <x:c r="E9" s="6" t="n">
        <x:f>C9-D9</x:f>
        <x:v>-5000</x:v>
      </x:c>
      <x:c r="F9" s="6" t="n">
        <x:f>F8+E9</x:f>
        <x:v>-103000</x:v>
      </x:c>
      <x:c r="G9" s="6" t="n">
        <x:v>-56000</x:v>
      </x:c>
      <x:c r="H9" s="6" t="n">
        <x:v>58000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11000</x:v>
      </x:c>
      <x:c r="D10" s="6" t="n">
        <x:v>44000</x:v>
      </x:c>
      <x:c r="E10" s="6" t="n">
        <x:f>C10-D10</x:f>
        <x:v>-33000</x:v>
      </x:c>
      <x:c r="F10" s="6" t="n">
        <x:f>F9+E10</x:f>
        <x:v>-136000</x:v>
      </x:c>
      <x:c r="G10" s="6" t="n">
        <x:v>-33000</x:v>
      </x:c>
      <x:c r="H10" s="6" t="n">
        <x:v>57000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99000</x:v>
      </x:c>
      <x:c r="E11" s="6" t="n">
        <x:f>C11-D11</x:f>
        <x:v>-99000</x:v>
      </x:c>
      <x:c r="F11" s="6" t="n">
        <x:f>F10+E11</x:f>
        <x:v>-235000</x:v>
      </x:c>
      <x:c r="G11" s="6" t="n">
        <x:v>-99000</x:v>
      </x:c>
      <x:c r="H11" s="6" t="n">
        <x:v>105000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157000</x:v>
      </x:c>
      <x:c r="E12" s="6" t="n">
        <x:f>C12-D12</x:f>
        <x:v>-157000</x:v>
      </x:c>
      <x:c r="F12" s="6" t="n">
        <x:f>F11+E12</x:f>
        <x:v>-392000</x:v>
      </x:c>
      <x:c r="G12" s="6" t="n">
        <x:v>-157000</x:v>
      </x:c>
      <x:c r="H12" s="6" t="n">
        <x:v>159000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101000</x:v>
      </x:c>
      <x:c r="E13" s="6" t="n">
        <x:f>C13-D13</x:f>
        <x:v>-101000</x:v>
      </x:c>
      <x:c r="F13" s="6" t="n">
        <x:f>F12+E13</x:f>
        <x:v>-493000</x:v>
      </x:c>
      <x:c r="G13" s="6" t="n">
        <x:v>-101000</x:v>
      </x:c>
      <x:c r="H13" s="6" t="n">
        <x:v>103000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57000</x:v>
      </x:c>
      <x:c r="E14" s="6" t="n">
        <x:f>C14-D14</x:f>
        <x:v>-57000</x:v>
      </x:c>
      <x:c r="F14" s="6" t="n">
        <x:f>F13+E14</x:f>
        <x:v>-550000</x:v>
      </x:c>
      <x:c r="G14" s="6" t="n">
        <x:v>-65000</x:v>
      </x:c>
      <x:c r="H14" s="6" t="n">
        <x:v>75000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40000</x:v>
      </x:c>
      <x:c r="E15" s="6" t="n">
        <x:f>C15-D15</x:f>
        <x:v>-40000</x:v>
      </x:c>
      <x:c r="F15" s="6" t="n">
        <x:f>F14+E15</x:f>
        <x:v>-590000</x:v>
      </x:c>
      <x:c r="G15" s="6" t="n">
        <x:v>-46000</x:v>
      </x:c>
      <x:c r="H15" s="6" t="n">
        <x:v>52000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128000</x:v>
      </x:c>
      <x:c r="E16" s="6" t="n">
        <x:f>C16-D16</x:f>
        <x:v>-128000</x:v>
      </x:c>
      <x:c r="F16" s="6" t="n">
        <x:f>F15+E16</x:f>
        <x:v>-718000</x:v>
      </x:c>
      <x:c r="G16" s="6" t="n">
        <x:v>-138000</x:v>
      </x:c>
      <x:c r="H16" s="6" t="n">
        <x:v>138000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103000</x:v>
      </x:c>
      <x:c r="E17" s="6" t="n">
        <x:f>C17-D17</x:f>
        <x:v>-103000</x:v>
      </x:c>
      <x:c r="F17" s="6" t="n">
        <x:f>F16+E17</x:f>
        <x:v>-821000</x:v>
      </x:c>
      <x:c r="G17" s="6" t="n">
        <x:v>-103000</x:v>
      </x:c>
      <x:c r="H17" s="6" t="n">
        <x:v>105000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66000</x:v>
      </x:c>
      <x:c r="E18" s="6" t="n">
        <x:f>C18-D18</x:f>
        <x:v>-66000</x:v>
      </x:c>
      <x:c r="F18" s="6" t="n">
        <x:f>F17+E18</x:f>
        <x:v>-887000</x:v>
      </x:c>
      <x:c r="G18" s="6" t="n">
        <x:v>-66000</x:v>
      </x:c>
      <x:c r="H18" s="6" t="n">
        <x:v>68000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150000</x:v>
      </x:c>
      <x:c r="E19" s="6" t="n">
        <x:f>C19-D19</x:f>
        <x:v>-150000</x:v>
      </x:c>
      <x:c r="F19" s="6" t="n">
        <x:f>F18+E19</x:f>
        <x:v>-1037000</x:v>
      </x:c>
      <x:c r="G19" s="6" t="n">
        <x:v>-150000</x:v>
      </x:c>
      <x:c r="H19" s="6" t="n">
        <x:v>152000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16000</x:v>
      </x:c>
      <x:c r="D20" s="6" t="n">
        <x:v>62000</x:v>
      </x:c>
      <x:c r="E20" s="6" t="n">
        <x:f>C20-D20</x:f>
        <x:v>-46000</x:v>
      </x:c>
      <x:c r="F20" s="6" t="n">
        <x:f>F19+E20</x:f>
        <x:v>-1083000</x:v>
      </x:c>
      <x:c r="G20" s="6" t="n">
        <x:v>-46000</x:v>
      </x:c>
      <x:c r="H20" s="6" t="n">
        <x:v>73000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48000</x:v>
      </x:c>
      <x:c r="E21" s="6" t="n">
        <x:f>C21-D21</x:f>
        <x:v>-48000</x:v>
      </x:c>
      <x:c r="F21" s="6" t="n">
        <x:f>F20+E21</x:f>
        <x:v>-1131000</x:v>
      </x:c>
      <x:c r="G21" s="6" t="n">
        <x:v>-48000</x:v>
      </x:c>
      <x:c r="H21" s="6" t="n">
        <x:v>55000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192000</x:v>
      </x:c>
      <x:c r="E22" s="6" t="n">
        <x:f>C22-D22</x:f>
        <x:v>-192000</x:v>
      </x:c>
      <x:c r="F22" s="6" t="n">
        <x:f>F21+E22</x:f>
        <x:v>-1323000</x:v>
      </x:c>
      <x:c r="G22" s="6" t="n">
        <x:v>-192000</x:v>
      </x:c>
      <x:c r="H22" s="6" t="n">
        <x:v>194000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1000</x:v>
      </x:c>
      <x:c r="D23" s="6" t="n">
        <x:v>36000</x:v>
      </x:c>
      <x:c r="E23" s="6" t="n">
        <x:f>C23-D23</x:f>
        <x:v>-35000</x:v>
      </x:c>
      <x:c r="F23" s="6" t="n">
        <x:f>F22+E23</x:f>
        <x:v>-1358000</x:v>
      </x:c>
      <x:c r="G23" s="6" t="n">
        <x:v>-35000</x:v>
      </x:c>
      <x:c r="H23" s="6" t="n">
        <x:v>54000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33000</x:v>
      </x:c>
      <x:c r="E24" s="6" t="n">
        <x:f>C24-D24</x:f>
        <x:v>-33000</x:v>
      </x:c>
      <x:c r="F24" s="6" t="n">
        <x:f>F23+E24</x:f>
        <x:v>-1391000</x:v>
      </x:c>
      <x:c r="G24" s="6" t="n">
        <x:v>-44000</x:v>
      </x:c>
      <x:c r="H24" s="6" t="n">
        <x:v>56000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64000</x:v>
      </x:c>
      <x:c r="D25" s="6" t="n">
        <x:v>120000</x:v>
      </x:c>
      <x:c r="E25" s="6" t="n">
        <x:f>C25-D25</x:f>
        <x:v>-56000</x:v>
      </x:c>
      <x:c r="F25" s="6" t="n">
        <x:f>F24+E25</x:f>
        <x:v>-1447000</x:v>
      </x:c>
      <x:c r="G25" s="6" t="n">
        <x:v>-111000</x:v>
      </x:c>
      <x:c r="H25" s="6" t="n">
        <x:v>126000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1000</x:v>
      </x:c>
      <x:c r="D26" s="6" t="n">
        <x:v>19000</x:v>
      </x:c>
      <x:c r="E26" s="6" t="n">
        <x:f>C26-D26</x:f>
        <x:v>-18000</x:v>
      </x:c>
      <x:c r="F26" s="6" t="n">
        <x:f>F25+E26</x:f>
        <x:v>-1465000</x:v>
      </x:c>
      <x:c r="G26" s="6" t="n">
        <x:v>-23000</x:v>
      </x:c>
      <x:c r="H26" s="6" t="n">
        <x:v>36000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10000</x:v>
      </x:c>
      <x:c r="D27" s="6" t="n">
        <x:v>125000</x:v>
      </x:c>
      <x:c r="E27" s="6" t="n">
        <x:f>C27-D27</x:f>
        <x:v>-115000</x:v>
      </x:c>
      <x:c r="F27" s="6" t="n">
        <x:f>F26+E27</x:f>
        <x:v>-1580000</x:v>
      </x:c>
      <x:c r="G27" s="6" t="n">
        <x:v>-115000</x:v>
      </x:c>
      <x:c r="H27" s="6" t="n">
        <x:v>136000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2000</x:v>
      </x:c>
      <x:c r="D28" s="6" t="n">
        <x:v>113000</x:v>
      </x:c>
      <x:c r="E28" s="6" t="n">
        <x:f>C28-D28</x:f>
        <x:v>-111000</x:v>
      </x:c>
      <x:c r="F28" s="6" t="n">
        <x:f>F27+E28</x:f>
        <x:v>-1691000</x:v>
      </x:c>
      <x:c r="G28" s="6" t="n">
        <x:v>-118000</x:v>
      </x:c>
      <x:c r="H28" s="6" t="n">
        <x:v>131000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22000</x:v>
      </x:c>
      <x:c r="D29" s="6" t="n">
        <x:v>20000</x:v>
      </x:c>
      <x:c r="E29" s="6" t="n">
        <x:f>C29-D29</x:f>
        <x:v>2000</x:v>
      </x:c>
      <x:c r="F29" s="6" t="n">
        <x:f>F28+E29</x:f>
        <x:v>-1689000</x:v>
      </x:c>
      <x:c r="G29" s="6" t="n">
        <x:v>-6000</x:v>
      </x:c>
      <x:c r="H29" s="6" t="n">
        <x:v>40000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10000</x:v>
      </x:c>
      <x:c r="D30" s="6" t="n">
        <x:v>91000</x:v>
      </x:c>
      <x:c r="E30" s="6" t="n">
        <x:f>C30-D30</x:f>
        <x:v>-81000</x:v>
      </x:c>
      <x:c r="F30" s="6" t="n">
        <x:f>F29+E30</x:f>
        <x:v>-1770000</x:v>
      </x:c>
      <x:c r="G30" s="6" t="n">
        <x:v>-81000</x:v>
      </x:c>
      <x:c r="H30" s="6" t="n">
        <x:v>94000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67000</x:v>
      </x:c>
      <x:c r="E31" s="6" t="n">
        <x:f>C31-D31</x:f>
        <x:v>-67000</x:v>
      </x:c>
      <x:c r="F31" s="6" t="n">
        <x:f>F30+E31</x:f>
        <x:v>-1837000</x:v>
      </x:c>
      <x:c r="G31" s="6" t="n">
        <x:v>-88000</x:v>
      </x:c>
      <x:c r="H31" s="6" t="n">
        <x:v>90000</x:v>
      </x:c>
    </x:row>
    <x:row r="32" ht="25" customHeight="1">
      <x:c r="A32" s="13" t="str">
        <x:v>累計／場内最悪値</x:v>
      </x:c>
      <x:c r="B32" s="13"/>
      <x:c r="C32" s="14" t="n">
        <x:f>SUM(C6:C31)</x:f>
        <x:v>179000</x:v>
      </x:c>
      <x:c r="D32" s="14" t="n">
        <x:f>SUM(D6:D31)</x:f>
        <x:v>2016000</x:v>
      </x:c>
      <x:c r="E32" s="14" t="n">
        <x:f>C32-D32</x:f>
        <x:v>-1837000</x:v>
      </x:c>
      <x:c r="F32" s="14" t="n">
        <x:f>F31</x:f>
        <x:v>-1837000</x:v>
      </x:c>
      <x:c r="G32" s="14" t="n">
        <x:f>MIN(G6:G31)</x:f>
        <x:v>-192000</x:v>
      </x:c>
      <x:c r="H32" s="14" t="n">
        <x:f>MAX(H6:H31)</x:f>
        <x:v>194000</x:v>
      </x:c>
    </x:row>
  </x:sheetData>
  <x:conditionalFormatting sqref="E6:F31">
    <x:cfRule type="cellIs" dxfId="4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7cc501080246dc"/>
  </x:tableParts>
</x:worksheet>
</file>

<file path=xl/worksheets/sheet4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L06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R04＋再参加玉だけ建値から80pt損失で返済、損切り後は同波再参加を停止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日経mini上限10枚・手数料0。途中最悪＝確定＋含みの最小、最大下落＝当場ピークからの落差。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46000</x:v>
      </x:c>
      <x:c r="E6" s="6" t="n">
        <x:f>C6-D6</x:f>
        <x:v>-46000</x:v>
      </x:c>
      <x:c r="F6" s="6" t="n">
        <x:f>E6</x:f>
        <x:v>-46000</x:v>
      </x:c>
      <x:c r="G6" s="6" t="n">
        <x:v>-46000</x:v>
      </x:c>
      <x:c r="H6" s="6" t="n">
        <x:v>60000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-116000</x:v>
      </x:c>
      <x:c r="G7" s="6" t="n">
        <x:v>-70000</x:v>
      </x:c>
      <x:c r="H7" s="6" t="n">
        <x:v>75000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35000</x:v>
      </x:c>
      <x:c r="E8" s="6" t="n">
        <x:f>C8-D8</x:f>
        <x:v>-35000</x:v>
      </x:c>
      <x:c r="F8" s="6" t="n">
        <x:f>F7+E8</x:f>
        <x:v>-151000</x:v>
      </x:c>
      <x:c r="G8" s="6" t="n">
        <x:v>-35000</x:v>
      </x:c>
      <x:c r="H8" s="6" t="n">
        <x:v>50000</x:v>
      </x:c>
    </x:row>
    <x:row r="9" ht="25" customHeight="1">
      <x:c r="A9" s="2" t="str">
        <x:v>2026-09-24_Day</x:v>
      </x:c>
      <x:c r="B9" s="2" t="str">
        <x:v>下落</x:v>
      </x:c>
      <x:c r="C9" s="6" t="n">
        <x:v>36000</x:v>
      </x:c>
      <x:c r="D9" s="6" t="n">
        <x:v>100000</x:v>
      </x:c>
      <x:c r="E9" s="6" t="n">
        <x:f>C9-D9</x:f>
        <x:v>-64000</x:v>
      </x:c>
      <x:c r="F9" s="6" t="n">
        <x:f>F8+E9</x:f>
        <x:v>-215000</x:v>
      </x:c>
      <x:c r="G9" s="6" t="n">
        <x:v>-104000</x:v>
      </x:c>
      <x:c r="H9" s="6" t="n">
        <x:v>112000</x:v>
      </x:c>
    </x:row>
    <x:row r="10" ht="25" customHeight="1">
      <x:c r="A10" s="2" t="str">
        <x:v>2026-09-25_Day</x:v>
      </x:c>
      <x:c r="B10" s="2" t="str">
        <x:v>上昇</x:v>
      </x:c>
      <x:c r="C10" s="6" t="n">
        <x:v>7000</x:v>
      </x:c>
      <x:c r="D10" s="6" t="n">
        <x:v>72000</x:v>
      </x:c>
      <x:c r="E10" s="6" t="n">
        <x:f>C10-D10</x:f>
        <x:v>-65000</x:v>
      </x:c>
      <x:c r="F10" s="6" t="n">
        <x:f>F9+E10</x:f>
        <x:v>-280000</x:v>
      </x:c>
      <x:c r="G10" s="6" t="n">
        <x:v>-65000</x:v>
      </x:c>
      <x:c r="H10" s="6" t="n">
        <x:v>89000</x:v>
      </x:c>
    </x:row>
    <x:row r="11" ht="25" customHeight="1">
      <x:c r="A11" s="2" t="str">
        <x:v>2026-09-28_Day</x:v>
      </x:c>
      <x:c r="B11" s="2" t="str">
        <x:v>下落</x:v>
      </x:c>
      <x:c r="C11" s="6" t="n">
        <x:v>5000</x:v>
      </x:c>
      <x:c r="D11" s="6" t="n">
        <x:v>150000</x:v>
      </x:c>
      <x:c r="E11" s="6" t="n">
        <x:f>C11-D11</x:f>
        <x:v>-145000</x:v>
      </x:c>
      <x:c r="F11" s="6" t="n">
        <x:f>F10+E11</x:f>
        <x:v>-425000</x:v>
      </x:c>
      <x:c r="G11" s="6" t="n">
        <x:v>-145000</x:v>
      </x:c>
      <x:c r="H11" s="6" t="n">
        <x:v>151000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183000</x:v>
      </x:c>
      <x:c r="E12" s="6" t="n">
        <x:f>C12-D12</x:f>
        <x:v>-183000</x:v>
      </x:c>
      <x:c r="F12" s="6" t="n">
        <x:f>F11+E12</x:f>
        <x:v>-608000</x:v>
      </x:c>
      <x:c r="G12" s="6" t="n">
        <x:v>-183000</x:v>
      </x:c>
      <x:c r="H12" s="6" t="n">
        <x:v>185000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151000</x:v>
      </x:c>
      <x:c r="E13" s="6" t="n">
        <x:f>C13-D13</x:f>
        <x:v>-151000</x:v>
      </x:c>
      <x:c r="F13" s="6" t="n">
        <x:f>F12+E13</x:f>
        <x:v>-759000</x:v>
      </x:c>
      <x:c r="G13" s="6" t="n">
        <x:v>-151000</x:v>
      </x:c>
      <x:c r="H13" s="6" t="n">
        <x:v>153000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89000</x:v>
      </x:c>
      <x:c r="E14" s="6" t="n">
        <x:f>C14-D14</x:f>
        <x:v>-89000</x:v>
      </x:c>
      <x:c r="F14" s="6" t="n">
        <x:f>F13+E14</x:f>
        <x:v>-848000</x:v>
      </x:c>
      <x:c r="G14" s="6" t="n">
        <x:v>-91000</x:v>
      </x:c>
      <x:c r="H14" s="6" t="n">
        <x:v>101000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74000</x:v>
      </x:c>
      <x:c r="E15" s="6" t="n">
        <x:f>C15-D15</x:f>
        <x:v>-74000</x:v>
      </x:c>
      <x:c r="F15" s="6" t="n">
        <x:f>F14+E15</x:f>
        <x:v>-922000</x:v>
      </x:c>
      <x:c r="G15" s="6" t="n">
        <x:v>-74000</x:v>
      </x:c>
      <x:c r="H15" s="6" t="n">
        <x:v>86000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212000</x:v>
      </x:c>
      <x:c r="E16" s="6" t="n">
        <x:f>C16-D16</x:f>
        <x:v>-212000</x:v>
      </x:c>
      <x:c r="F16" s="6" t="n">
        <x:f>F15+E16</x:f>
        <x:v>-1134000</x:v>
      </x:c>
      <x:c r="G16" s="6" t="n">
        <x:v>-212000</x:v>
      </x:c>
      <x:c r="H16" s="6" t="n">
        <x:v>212000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115000</x:v>
      </x:c>
      <x:c r="E17" s="6" t="n">
        <x:f>C17-D17</x:f>
        <x:v>-115000</x:v>
      </x:c>
      <x:c r="F17" s="6" t="n">
        <x:f>F16+E17</x:f>
        <x:v>-1249000</x:v>
      </x:c>
      <x:c r="G17" s="6" t="n">
        <x:v>-115000</x:v>
      </x:c>
      <x:c r="H17" s="6" t="n">
        <x:v>120000</x:v>
      </x:c>
    </x:row>
    <x:row r="18" ht="25" customHeight="1">
      <x:c r="A18" s="2" t="str">
        <x:v>2026-10-07_Day</x:v>
      </x:c>
      <x:c r="B18" s="2" t="str">
        <x:v>下落</x:v>
      </x:c>
      <x:c r="C18" s="6" t="n">
        <x:v>7000</x:v>
      </x:c>
      <x:c r="D18" s="6" t="n">
        <x:v>39000</x:v>
      </x:c>
      <x:c r="E18" s="6" t="n">
        <x:f>C18-D18</x:f>
        <x:v>-32000</x:v>
      </x:c>
      <x:c r="F18" s="6" t="n">
        <x:f>F17+E18</x:f>
        <x:v>-1281000</x:v>
      </x:c>
      <x:c r="G18" s="6" t="n">
        <x:v>-63000</x:v>
      </x:c>
      <x:c r="H18" s="6" t="n">
        <x:v>65000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191000</x:v>
      </x:c>
      <x:c r="E19" s="6" t="n">
        <x:f>C19-D19</x:f>
        <x:v>-191000</x:v>
      </x:c>
      <x:c r="F19" s="6" t="n">
        <x:f>F18+E19</x:f>
        <x:v>-1472000</x:v>
      </x:c>
      <x:c r="G19" s="6" t="n">
        <x:v>-198000</x:v>
      </x:c>
      <x:c r="H19" s="6" t="n">
        <x:v>200000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82000</x:v>
      </x:c>
      <x:c r="D20" s="6" t="n">
        <x:v>46000</x:v>
      </x:c>
      <x:c r="E20" s="6" t="n">
        <x:f>C20-D20</x:f>
        <x:v>36000</x:v>
      </x:c>
      <x:c r="F20" s="6" t="n">
        <x:f>F19+E20</x:f>
        <x:v>-1436000</x:v>
      </x:c>
      <x:c r="G20" s="6" t="n">
        <x:v>-35000</x:v>
      </x:c>
      <x:c r="H20" s="6" t="n">
        <x:v>61000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76000</x:v>
      </x:c>
      <x:c r="E21" s="6" t="n">
        <x:f>C21-D21</x:f>
        <x:v>-76000</x:v>
      </x:c>
      <x:c r="F21" s="6" t="n">
        <x:f>F20+E21</x:f>
        <x:v>-1512000</x:v>
      </x:c>
      <x:c r="G21" s="6" t="n">
        <x:v>-76000</x:v>
      </x:c>
      <x:c r="H21" s="6" t="n">
        <x:v>78000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277000</x:v>
      </x:c>
      <x:c r="E22" s="6" t="n">
        <x:f>C22-D22</x:f>
        <x:v>-277000</x:v>
      </x:c>
      <x:c r="F22" s="6" t="n">
        <x:f>F21+E22</x:f>
        <x:v>-1789000</x:v>
      </x:c>
      <x:c r="G22" s="6" t="n">
        <x:v>-277000</x:v>
      </x:c>
      <x:c r="H22" s="6" t="n">
        <x:v>279000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19000</x:v>
      </x:c>
      <x:c r="D23" s="6" t="n">
        <x:v>72000</x:v>
      </x:c>
      <x:c r="E23" s="6" t="n">
        <x:f>C23-D23</x:f>
        <x:v>-53000</x:v>
      </x:c>
      <x:c r="F23" s="6" t="n">
        <x:f>F22+E23</x:f>
        <x:v>-1842000</x:v>
      </x:c>
      <x:c r="G23" s="6" t="n">
        <x:v>-53000</x:v>
      </x:c>
      <x:c r="H23" s="6" t="n">
        <x:v>76000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80000</x:v>
      </x:c>
      <x:c r="E24" s="6" t="n">
        <x:f>C24-D24</x:f>
        <x:v>-80000</x:v>
      </x:c>
      <x:c r="F24" s="6" t="n">
        <x:f>F23+E24</x:f>
        <x:v>-1922000</x:v>
      </x:c>
      <x:c r="G24" s="6" t="n">
        <x:v>-80000</x:v>
      </x:c>
      <x:c r="H24" s="6" t="n">
        <x:v>88000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57000</x:v>
      </x:c>
      <x:c r="D25" s="6" t="n">
        <x:v>256000</x:v>
      </x:c>
      <x:c r="E25" s="6" t="n">
        <x:f>C25-D25</x:f>
        <x:v>-199000</x:v>
      </x:c>
      <x:c r="F25" s="6" t="n">
        <x:f>F24+E25</x:f>
        <x:v>-2121000</x:v>
      </x:c>
      <x:c r="G25" s="6" t="n">
        <x:v>-252000</x:v>
      </x:c>
      <x:c r="H25" s="6" t="n">
        <x:v>267000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36000</x:v>
      </x:c>
      <x:c r="E26" s="6" t="n">
        <x:f>C26-D26</x:f>
        <x:v>-36000</x:v>
      </x:c>
      <x:c r="F26" s="6" t="n">
        <x:f>F25+E26</x:f>
        <x:v>-2157000</x:v>
      </x:c>
      <x:c r="G26" s="6" t="n">
        <x:v>-46000</x:v>
      </x:c>
      <x:c r="H26" s="6" t="n">
        <x:v>71000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10000</x:v>
      </x:c>
      <x:c r="D27" s="6" t="n">
        <x:v>232000</x:v>
      </x:c>
      <x:c r="E27" s="6" t="n">
        <x:f>C27-D27</x:f>
        <x:v>-222000</x:v>
      </x:c>
      <x:c r="F27" s="6" t="n">
        <x:f>F26+E27</x:f>
        <x:v>-2379000</x:v>
      </x:c>
      <x:c r="G27" s="6" t="n">
        <x:v>-222000</x:v>
      </x:c>
      <x:c r="H27" s="6" t="n">
        <x:v>231000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2000</x:v>
      </x:c>
      <x:c r="D28" s="6" t="n">
        <x:v>191000</x:v>
      </x:c>
      <x:c r="E28" s="6" t="n">
        <x:f>C28-D28</x:f>
        <x:v>-189000</x:v>
      </x:c>
      <x:c r="F28" s="6" t="n">
        <x:f>F27+E28</x:f>
        <x:v>-2568000</x:v>
      </x:c>
      <x:c r="G28" s="6" t="n">
        <x:v>-193000</x:v>
      </x:c>
      <x:c r="H28" s="6" t="n">
        <x:v>206000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24000</x:v>
      </x:c>
      <x:c r="D29" s="6" t="n">
        <x:v>40000</x:v>
      </x:c>
      <x:c r="E29" s="6" t="n">
        <x:f>C29-D29</x:f>
        <x:v>-16000</x:v>
      </x:c>
      <x:c r="F29" s="6" t="n">
        <x:f>F28+E29</x:f>
        <x:v>-2584000</x:v>
      </x:c>
      <x:c r="G29" s="6" t="n">
        <x:v>-16000</x:v>
      </x:c>
      <x:c r="H29" s="6" t="n">
        <x:v>60000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13000</x:v>
      </x:c>
      <x:c r="D30" s="6" t="n">
        <x:v>113000</x:v>
      </x:c>
      <x:c r="E30" s="6" t="n">
        <x:f>C30-D30</x:f>
        <x:v>-100000</x:v>
      </x:c>
      <x:c r="F30" s="6" t="n">
        <x:f>F29+E30</x:f>
        <x:v>-2684000</x:v>
      </x:c>
      <x:c r="G30" s="6" t="n">
        <x:v>-101000</x:v>
      </x:c>
      <x:c r="H30" s="6" t="n">
        <x:v>113000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150000</x:v>
      </x:c>
      <x:c r="E31" s="6" t="n">
        <x:f>C31-D31</x:f>
        <x:v>-150000</x:v>
      </x:c>
      <x:c r="F31" s="6" t="n">
        <x:f>F30+E31</x:f>
        <x:v>-2834000</x:v>
      </x:c>
      <x:c r="G31" s="6" t="n">
        <x:v>-150000</x:v>
      </x:c>
      <x:c r="H31" s="6" t="n">
        <x:v>152000</x:v>
      </x:c>
    </x:row>
    <x:row r="32" ht="25" customHeight="1">
      <x:c r="A32" s="13" t="str">
        <x:v>累計／場内最悪値</x:v>
      </x:c>
      <x:c r="B32" s="13"/>
      <x:c r="C32" s="14" t="n">
        <x:f>SUM(C6:C31)</x:f>
        <x:v>262000</x:v>
      </x:c>
      <x:c r="D32" s="14" t="n">
        <x:f>SUM(D6:D31)</x:f>
        <x:v>3096000</x:v>
      </x:c>
      <x:c r="E32" s="14" t="n">
        <x:f>C32-D32</x:f>
        <x:v>-2834000</x:v>
      </x:c>
      <x:c r="F32" s="14" t="n">
        <x:f>F31</x:f>
        <x:v>-2834000</x:v>
      </x:c>
      <x:c r="G32" s="14" t="n">
        <x:f>MIN(G6:G31)</x:f>
        <x:v>-277000</x:v>
      </x:c>
      <x:c r="H32" s="14" t="n">
        <x:f>MAX(H6:H31)</x:f>
        <x:v>279000</x:v>
      </x:c>
    </x:row>
  </x:sheetData>
  <x:conditionalFormatting sqref="E6:F31">
    <x:cfRule type="cellIs" dxfId="4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3963647dc34f7e"/>
  </x:tableParts>
</x:worksheet>
</file>

<file path=xl/worksheets/sheet4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10月27日デイの途中損益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15:20未満の固定資料。完了26デイの合計には含めない。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利益－損失＋継続親実現＝確定収支。確定＋含み＝時価収支。実アプリの約定とは別の模型。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0" t="str">
        <x:v>手法</x:v>
      </x:c>
      <x:c r="B5" s="10" t="str">
        <x:v>完結親利益（円）</x:v>
      </x:c>
      <x:c r="C5" s="10" t="str">
        <x:v>完結親損失（円）</x:v>
      </x:c>
      <x:c r="D5" s="10" t="str">
        <x:v>継続親実現（円）</x:v>
      </x:c>
      <x:c r="E5" s="10" t="str">
        <x:v>確定収支（円）</x:v>
      </x:c>
      <x:c r="F5" s="10" t="str">
        <x:v>含み損益（円）</x:v>
      </x:c>
      <x:c r="G5" s="10" t="str">
        <x:v>時価収支（円）</x:v>
      </x:c>
      <x:c r="H5" s="10" t="str">
        <x:v>未返済枚数</x:v>
      </x:c>
      <x:c r="I5" s="10" t="str">
        <x:v>新規回数</x:v>
      </x:c>
      <x:c r="J5" s="10" t="str">
        <x:v>途中最悪収支（円）</x:v>
      </x:c>
      <x:c r="K5" s="10" t="str">
        <x:v>最大下落額（円）</x:v>
      </x:c>
    </x:row>
    <x:row r="6" ht="25" customHeight="1">
      <x:c r="A6" s="2" t="str">
        <x:v>S01</x:v>
      </x:c>
      <x:c r="B6" s="6" t="n">
        <x:v>121000</x:v>
      </x:c>
      <x:c r="C6" s="6" t="n">
        <x:v>236000</x:v>
      </x:c>
      <x:c r="D6" s="6" t="n">
        <x:v>0</x:v>
      </x:c>
      <x:c r="E6" s="6" t="n">
        <x:f>B6-C6+D6</x:f>
        <x:v>-115000</x:v>
      </x:c>
      <x:c r="F6" s="6" t="n">
        <x:v>0</x:v>
      </x:c>
      <x:c r="G6" s="6" t="n">
        <x:f>E6+F6</x:f>
        <x:v>-115000</x:v>
      </x:c>
      <x:c r="H6" s="6" t="n">
        <x:v>0</x:v>
      </x:c>
      <x:c r="I6" s="6" t="n">
        <x:v>15</x:v>
      </x:c>
      <x:c r="J6" s="6" t="n">
        <x:v>-133000</x:v>
      </x:c>
      <x:c r="K6" s="6" t="n">
        <x:v>193000</x:v>
      </x:c>
    </x:row>
    <x:row r="7" ht="25" customHeight="1">
      <x:c r="A7" s="2" t="str">
        <x:v>F01</x:v>
      </x:c>
      <x:c r="B7" s="6" t="n">
        <x:v>14000</x:v>
      </x:c>
      <x:c r="C7" s="6" t="n">
        <x:v>75000</x:v>
      </x:c>
      <x:c r="D7" s="6" t="n">
        <x:v>0</x:v>
      </x:c>
      <x:c r="E7" s="6" t="n">
        <x:f>B7-C7+D7</x:f>
        <x:v>-61000</x:v>
      </x:c>
      <x:c r="F7" s="6" t="n">
        <x:v>0</x:v>
      </x:c>
      <x:c r="G7" s="6" t="n">
        <x:f>E7+F7</x:f>
        <x:v>-61000</x:v>
      </x:c>
      <x:c r="H7" s="6" t="n">
        <x:v>0</x:v>
      </x:c>
      <x:c r="I7" s="6" t="n">
        <x:v>15</x:v>
      </x:c>
      <x:c r="J7" s="6" t="n">
        <x:v>-71000</x:v>
      </x:c>
      <x:c r="K7" s="6" t="n">
        <x:v>81000</x:v>
      </x:c>
    </x:row>
    <x:row r="8" ht="25" customHeight="1">
      <x:c r="A8" s="2" t="str">
        <x:v>F02</x:v>
      </x:c>
      <x:c r="B8" s="6" t="n">
        <x:v>14000</x:v>
      </x:c>
      <x:c r="C8" s="6" t="n">
        <x:v>75000</x:v>
      </x:c>
      <x:c r="D8" s="6" t="n">
        <x:v>0</x:v>
      </x:c>
      <x:c r="E8" s="6" t="n">
        <x:f>B8-C8+D8</x:f>
        <x:v>-61000</x:v>
      </x:c>
      <x:c r="F8" s="6" t="n">
        <x:v>0</x:v>
      </x:c>
      <x:c r="G8" s="6" t="n">
        <x:f>E8+F8</x:f>
        <x:v>-61000</x:v>
      </x:c>
      <x:c r="H8" s="6" t="n">
        <x:v>0</x:v>
      </x:c>
      <x:c r="I8" s="6" t="n">
        <x:v>15</x:v>
      </x:c>
      <x:c r="J8" s="6" t="n">
        <x:v>-71000</x:v>
      </x:c>
      <x:c r="K8" s="6" t="n">
        <x:v>81000</x:v>
      </x:c>
    </x:row>
    <x:row r="9" ht="25" customHeight="1">
      <x:c r="A9" s="2" t="str">
        <x:v>F03</x:v>
      </x:c>
      <x:c r="B9" s="6" t="n">
        <x:v>46000</x:v>
      </x:c>
      <x:c r="C9" s="6" t="n">
        <x:v>75000</x:v>
      </x:c>
      <x:c r="D9" s="6" t="n">
        <x:v>0</x:v>
      </x:c>
      <x:c r="E9" s="6" t="n">
        <x:f>B9-C9+D9</x:f>
        <x:v>-29000</x:v>
      </x:c>
      <x:c r="F9" s="6" t="n">
        <x:v>0</x:v>
      </x:c>
      <x:c r="G9" s="6" t="n">
        <x:f>E9+F9</x:f>
        <x:v>-29000</x:v>
      </x:c>
      <x:c r="H9" s="6" t="n">
        <x:v>0</x:v>
      </x:c>
      <x:c r="I9" s="6" t="n">
        <x:v>15</x:v>
      </x:c>
      <x:c r="J9" s="6" t="n">
        <x:v>-54000</x:v>
      </x:c>
      <x:c r="K9" s="6" t="n">
        <x:v>88000</x:v>
      </x:c>
    </x:row>
    <x:row r="10" ht="25" customHeight="1">
      <x:c r="A10" s="2" t="str">
        <x:v>F04</x:v>
      </x:c>
      <x:c r="B10" s="6" t="n">
        <x:v>46000</x:v>
      </x:c>
      <x:c r="C10" s="6" t="n">
        <x:v>75000</x:v>
      </x:c>
      <x:c r="D10" s="6" t="n">
        <x:v>0</x:v>
      </x:c>
      <x:c r="E10" s="6" t="n">
        <x:f>B10-C10+D10</x:f>
        <x:v>-29000</x:v>
      </x:c>
      <x:c r="F10" s="6" t="n">
        <x:v>0</x:v>
      </x:c>
      <x:c r="G10" s="6" t="n">
        <x:f>E10+F10</x:f>
        <x:v>-29000</x:v>
      </x:c>
      <x:c r="H10" s="6" t="n">
        <x:v>0</x:v>
      </x:c>
      <x:c r="I10" s="6" t="n">
        <x:v>15</x:v>
      </x:c>
      <x:c r="J10" s="6" t="n">
        <x:v>-54000</x:v>
      </x:c>
      <x:c r="K10" s="6" t="n">
        <x:v>88000</x:v>
      </x:c>
    </x:row>
    <x:row r="11" ht="25" customHeight="1">
      <x:c r="A11" s="2" t="str">
        <x:v>F05</x:v>
      </x:c>
      <x:c r="B11" s="6" t="n">
        <x:v>19000</x:v>
      </x:c>
      <x:c r="C11" s="6" t="n">
        <x:v>75000</x:v>
      </x:c>
      <x:c r="D11" s="6" t="n">
        <x:v>0</x:v>
      </x:c>
      <x:c r="E11" s="6" t="n">
        <x:f>B11-C11+D11</x:f>
        <x:v>-56000</x:v>
      </x:c>
      <x:c r="F11" s="6" t="n">
        <x:v>0</x:v>
      </x:c>
      <x:c r="G11" s="6" t="n">
        <x:f>E11+F11</x:f>
        <x:v>-56000</x:v>
      </x:c>
      <x:c r="H11" s="6" t="n">
        <x:v>0</x:v>
      </x:c>
      <x:c r="I11" s="6" t="n">
        <x:v>15</x:v>
      </x:c>
      <x:c r="J11" s="6" t="n">
        <x:v>-66000</x:v>
      </x:c>
      <x:c r="K11" s="6" t="n">
        <x:v>81000</x:v>
      </x:c>
    </x:row>
    <x:row r="12" ht="25" customHeight="1">
      <x:c r="A12" s="2" t="str">
        <x:v>F06</x:v>
      </x:c>
      <x:c r="B12" s="6" t="n">
        <x:v>19000</x:v>
      </x:c>
      <x:c r="C12" s="6" t="n">
        <x:v>75000</x:v>
      </x:c>
      <x:c r="D12" s="6" t="n">
        <x:v>0</x:v>
      </x:c>
      <x:c r="E12" s="6" t="n">
        <x:f>B12-C12+D12</x:f>
        <x:v>-56000</x:v>
      </x:c>
      <x:c r="F12" s="6" t="n">
        <x:v>0</x:v>
      </x:c>
      <x:c r="G12" s="6" t="n">
        <x:f>E12+F12</x:f>
        <x:v>-56000</x:v>
      </x:c>
      <x:c r="H12" s="6" t="n">
        <x:v>0</x:v>
      </x:c>
      <x:c r="I12" s="6" t="n">
        <x:v>15</x:v>
      </x:c>
      <x:c r="J12" s="6" t="n">
        <x:v>-66000</x:v>
      </x:c>
      <x:c r="K12" s="6" t="n">
        <x:v>81000</x:v>
      </x:c>
    </x:row>
    <x:row r="13" ht="25" customHeight="1">
      <x:c r="A13" s="2" t="str">
        <x:v>F07</x:v>
      </x:c>
      <x:c r="B13" s="6" t="n">
        <x:v>57000</x:v>
      </x:c>
      <x:c r="C13" s="6" t="n">
        <x:v>75000</x:v>
      </x:c>
      <x:c r="D13" s="6" t="n">
        <x:v>0</x:v>
      </x:c>
      <x:c r="E13" s="6" t="n">
        <x:f>B13-C13+D13</x:f>
        <x:v>-18000</x:v>
      </x:c>
      <x:c r="F13" s="6" t="n">
        <x:v>0</x:v>
      </x:c>
      <x:c r="G13" s="6" t="n">
        <x:f>E13+F13</x:f>
        <x:v>-18000</x:v>
      </x:c>
      <x:c r="H13" s="6" t="n">
        <x:v>0</x:v>
      </x:c>
      <x:c r="I13" s="6" t="n">
        <x:v>15</x:v>
      </x:c>
      <x:c r="J13" s="6" t="n">
        <x:v>-43000</x:v>
      </x:c>
      <x:c r="K13" s="6" t="n">
        <x:v>89000</x:v>
      </x:c>
    </x:row>
    <x:row r="14" ht="25" customHeight="1">
      <x:c r="A14" s="2" t="str">
        <x:v>F08</x:v>
      </x:c>
      <x:c r="B14" s="6" t="n">
        <x:v>57000</x:v>
      </x:c>
      <x:c r="C14" s="6" t="n">
        <x:v>75000</x:v>
      </x:c>
      <x:c r="D14" s="6" t="n">
        <x:v>0</x:v>
      </x:c>
      <x:c r="E14" s="6" t="n">
        <x:f>B14-C14+D14</x:f>
        <x:v>-18000</x:v>
      </x:c>
      <x:c r="F14" s="6" t="n">
        <x:v>0</x:v>
      </x:c>
      <x:c r="G14" s="6" t="n">
        <x:f>E14+F14</x:f>
        <x:v>-18000</x:v>
      </x:c>
      <x:c r="H14" s="6" t="n">
        <x:v>0</x:v>
      </x:c>
      <x:c r="I14" s="6" t="n">
        <x:v>15</x:v>
      </x:c>
      <x:c r="J14" s="6" t="n">
        <x:v>-43000</x:v>
      </x:c>
      <x:c r="K14" s="6" t="n">
        <x:v>89000</x:v>
      </x:c>
    </x:row>
    <x:row r="15" ht="25" customHeight="1">
      <x:c r="A15" s="2" t="str">
        <x:v>F09</x:v>
      </x:c>
      <x:c r="B15" s="6" t="n">
        <x:v>49000</x:v>
      </x:c>
      <x:c r="C15" s="6" t="n">
        <x:v>75000</x:v>
      </x:c>
      <x:c r="D15" s="6" t="n">
        <x:v>0</x:v>
      </x:c>
      <x:c r="E15" s="6" t="n">
        <x:f>B15-C15+D15</x:f>
        <x:v>-26000</x:v>
      </x:c>
      <x:c r="F15" s="6" t="n">
        <x:v>0</x:v>
      </x:c>
      <x:c r="G15" s="6" t="n">
        <x:f>E15+F15</x:f>
        <x:v>-26000</x:v>
      </x:c>
      <x:c r="H15" s="6" t="n">
        <x:v>0</x:v>
      </x:c>
      <x:c r="I15" s="6" t="n">
        <x:v>15</x:v>
      </x:c>
      <x:c r="J15" s="6" t="n">
        <x:v>-36000</x:v>
      </x:c>
      <x:c r="K15" s="6" t="n">
        <x:v>65000</x:v>
      </x:c>
    </x:row>
    <x:row r="16" ht="25" customHeight="1">
      <x:c r="A16" s="2" t="str">
        <x:v>F10</x:v>
      </x:c>
      <x:c r="B16" s="6" t="n">
        <x:v>49000</x:v>
      </x:c>
      <x:c r="C16" s="6" t="n">
        <x:v>75000</x:v>
      </x:c>
      <x:c r="D16" s="6" t="n">
        <x:v>0</x:v>
      </x:c>
      <x:c r="E16" s="6" t="n">
        <x:f>B16-C16+D16</x:f>
        <x:v>-26000</x:v>
      </x:c>
      <x:c r="F16" s="6" t="n">
        <x:v>0</x:v>
      </x:c>
      <x:c r="G16" s="6" t="n">
        <x:f>E16+F16</x:f>
        <x:v>-26000</x:v>
      </x:c>
      <x:c r="H16" s="6" t="n">
        <x:v>0</x:v>
      </x:c>
      <x:c r="I16" s="6" t="n">
        <x:v>15</x:v>
      </x:c>
      <x:c r="J16" s="6" t="n">
        <x:v>-36000</x:v>
      </x:c>
      <x:c r="K16" s="6" t="n">
        <x:v>65000</x:v>
      </x:c>
    </x:row>
    <x:row r="17" ht="25" customHeight="1">
      <x:c r="A17" s="2" t="str">
        <x:v>F11</x:v>
      </x:c>
      <x:c r="B17" s="6" t="n">
        <x:v>63000</x:v>
      </x:c>
      <x:c r="C17" s="6" t="n">
        <x:v>75000</x:v>
      </x:c>
      <x:c r="D17" s="6" t="n">
        <x:v>0</x:v>
      </x:c>
      <x:c r="E17" s="6" t="n">
        <x:f>B17-C17+D17</x:f>
        <x:v>-12000</x:v>
      </x:c>
      <x:c r="F17" s="6" t="n">
        <x:v>0</x:v>
      </x:c>
      <x:c r="G17" s="6" t="n">
        <x:f>E17+F17</x:f>
        <x:v>-12000</x:v>
      </x:c>
      <x:c r="H17" s="6" t="n">
        <x:v>0</x:v>
      </x:c>
      <x:c r="I17" s="6" t="n">
        <x:v>15</x:v>
      </x:c>
      <x:c r="J17" s="6" t="n">
        <x:v>-32000</x:v>
      </x:c>
      <x:c r="K17" s="6" t="n">
        <x:v>80000</x:v>
      </x:c>
    </x:row>
    <x:row r="18" ht="25" customHeight="1">
      <x:c r="A18" s="2" t="str">
        <x:v>F12</x:v>
      </x:c>
      <x:c r="B18" s="6" t="n">
        <x:v>63000</x:v>
      </x:c>
      <x:c r="C18" s="6" t="n">
        <x:v>75000</x:v>
      </x:c>
      <x:c r="D18" s="6" t="n">
        <x:v>0</x:v>
      </x:c>
      <x:c r="E18" s="6" t="n">
        <x:f>B18-C18+D18</x:f>
        <x:v>-12000</x:v>
      </x:c>
      <x:c r="F18" s="6" t="n">
        <x:v>0</x:v>
      </x:c>
      <x:c r="G18" s="6" t="n">
        <x:f>E18+F18</x:f>
        <x:v>-12000</x:v>
      </x:c>
      <x:c r="H18" s="6" t="n">
        <x:v>0</x:v>
      </x:c>
      <x:c r="I18" s="6" t="n">
        <x:v>15</x:v>
      </x:c>
      <x:c r="J18" s="6" t="n">
        <x:v>-32000</x:v>
      </x:c>
      <x:c r="K18" s="6" t="n">
        <x:v>80000</x:v>
      </x:c>
    </x:row>
    <x:row r="19" ht="25" customHeight="1">
      <x:c r="A19" s="2" t="str">
        <x:v>F13</x:v>
      </x:c>
      <x:c r="B19" s="6" t="n">
        <x:v>58000</x:v>
      </x:c>
      <x:c r="C19" s="6" t="n">
        <x:v>75000</x:v>
      </x:c>
      <x:c r="D19" s="6" t="n">
        <x:v>0</x:v>
      </x:c>
      <x:c r="E19" s="6" t="n">
        <x:f>B19-C19+D19</x:f>
        <x:v>-17000</x:v>
      </x:c>
      <x:c r="F19" s="6" t="n">
        <x:v>0</x:v>
      </x:c>
      <x:c r="G19" s="6" t="n">
        <x:f>E19+F19</x:f>
        <x:v>-17000</x:v>
      </x:c>
      <x:c r="H19" s="6" t="n">
        <x:v>0</x:v>
      </x:c>
      <x:c r="I19" s="6" t="n">
        <x:v>15</x:v>
      </x:c>
      <x:c r="J19" s="6" t="n">
        <x:v>-27000</x:v>
      </x:c>
      <x:c r="K19" s="6" t="n">
        <x:v>85000</x:v>
      </x:c>
    </x:row>
    <x:row r="20" ht="25" customHeight="1">
      <x:c r="A20" s="2" t="str">
        <x:v>F14</x:v>
      </x:c>
      <x:c r="B20" s="6" t="n">
        <x:v>58000</x:v>
      </x:c>
      <x:c r="C20" s="6" t="n">
        <x:v>75000</x:v>
      </x:c>
      <x:c r="D20" s="6" t="n">
        <x:v>0</x:v>
      </x:c>
      <x:c r="E20" s="6" t="n">
        <x:f>B20-C20+D20</x:f>
        <x:v>-17000</x:v>
      </x:c>
      <x:c r="F20" s="6" t="n">
        <x:v>0</x:v>
      </x:c>
      <x:c r="G20" s="6" t="n">
        <x:f>E20+F20</x:f>
        <x:v>-17000</x:v>
      </x:c>
      <x:c r="H20" s="6" t="n">
        <x:v>0</x:v>
      </x:c>
      <x:c r="I20" s="6" t="n">
        <x:v>15</x:v>
      </x:c>
      <x:c r="J20" s="6" t="n">
        <x:v>-27000</x:v>
      </x:c>
      <x:c r="K20" s="6" t="n">
        <x:v>85000</x:v>
      </x:c>
    </x:row>
    <x:row r="21" ht="25" customHeight="1">
      <x:c r="A21" s="2" t="str">
        <x:v>F15</x:v>
      </x:c>
      <x:c r="B21" s="6" t="n">
        <x:v>96000</x:v>
      </x:c>
      <x:c r="C21" s="6" t="n">
        <x:v>75000</x:v>
      </x:c>
      <x:c r="D21" s="6" t="n">
        <x:v>0</x:v>
      </x:c>
      <x:c r="E21" s="6" t="n">
        <x:f>B21-C21+D21</x:f>
        <x:v>21000</x:v>
      </x:c>
      <x:c r="F21" s="6" t="n">
        <x:v>0</x:v>
      </x:c>
      <x:c r="G21" s="6" t="n">
        <x:f>E21+F21</x:f>
        <x:v>21000</x:v>
      </x:c>
      <x:c r="H21" s="6" t="n">
        <x:v>0</x:v>
      </x:c>
      <x:c r="I21" s="6" t="n">
        <x:v>15</x:v>
      </x:c>
      <x:c r="J21" s="6" t="n">
        <x:v>-25000</x:v>
      </x:c>
      <x:c r="K21" s="6" t="n">
        <x:v>89000</x:v>
      </x:c>
    </x:row>
    <x:row r="22" ht="25" customHeight="1">
      <x:c r="A22" s="2" t="str">
        <x:v>F16</x:v>
      </x:c>
      <x:c r="B22" s="6" t="n">
        <x:v>96000</x:v>
      </x:c>
      <x:c r="C22" s="6" t="n">
        <x:v>75000</x:v>
      </x:c>
      <x:c r="D22" s="6" t="n">
        <x:v>0</x:v>
      </x:c>
      <x:c r="E22" s="6" t="n">
        <x:f>B22-C22+D22</x:f>
        <x:v>21000</x:v>
      </x:c>
      <x:c r="F22" s="6" t="n">
        <x:v>0</x:v>
      </x:c>
      <x:c r="G22" s="6" t="n">
        <x:f>E22+F22</x:f>
        <x:v>21000</x:v>
      </x:c>
      <x:c r="H22" s="6" t="n">
        <x:v>0</x:v>
      </x:c>
      <x:c r="I22" s="6" t="n">
        <x:v>15</x:v>
      </x:c>
      <x:c r="J22" s="6" t="n">
        <x:v>-25000</x:v>
      </x:c>
      <x:c r="K22" s="6" t="n">
        <x:v>89000</x:v>
      </x:c>
    </x:row>
    <x:row r="23" ht="25" customHeight="1">
      <x:c r="A23" s="2" t="str">
        <x:v>E01</x:v>
      </x:c>
      <x:c r="B23" s="6" t="n">
        <x:v>79000</x:v>
      </x:c>
      <x:c r="C23" s="6" t="n">
        <x:v>81000</x:v>
      </x:c>
      <x:c r="D23" s="6" t="n">
        <x:v>0</x:v>
      </x:c>
      <x:c r="E23" s="6" t="n">
        <x:f>B23-C23+D23</x:f>
        <x:v>-2000</x:v>
      </x:c>
      <x:c r="F23" s="6" t="n">
        <x:v>0</x:v>
      </x:c>
      <x:c r="G23" s="6" t="n">
        <x:f>E23+F23</x:f>
        <x:v>-2000</x:v>
      </x:c>
      <x:c r="H23" s="6" t="n">
        <x:v>0</x:v>
      </x:c>
      <x:c r="I23" s="6" t="n">
        <x:v>10</x:v>
      </x:c>
      <x:c r="J23" s="6" t="n">
        <x:v>-32000</x:v>
      </x:c>
      <x:c r="K23" s="6" t="n">
        <x:v>81000</x:v>
      </x:c>
    </x:row>
    <x:row r="24" ht="25" customHeight="1">
      <x:c r="A24" s="2" t="str">
        <x:v>E02</x:v>
      </x:c>
      <x:c r="B24" s="6" t="n">
        <x:v>9000</x:v>
      </x:c>
      <x:c r="C24" s="6" t="n">
        <x:v>0</x:v>
      </x:c>
      <x:c r="D24" s="6" t="n">
        <x:v>0</x:v>
      </x:c>
      <x:c r="E24" s="6" t="n">
        <x:f>B24-C24+D24</x:f>
        <x:v>9000</x:v>
      </x:c>
      <x:c r="F24" s="6" t="n">
        <x:v>0</x:v>
      </x:c>
      <x:c r="G24" s="6" t="n">
        <x:f>E24+F24</x:f>
        <x:v>9000</x:v>
      </x:c>
      <x:c r="H24" s="6" t="n">
        <x:v>0</x:v>
      </x:c>
      <x:c r="I24" s="6" t="n">
        <x:v>10</x:v>
      </x:c>
      <x:c r="J24" s="6" t="n">
        <x:v>-8000</x:v>
      </x:c>
      <x:c r="K24" s="6" t="n">
        <x:v>18000</x:v>
      </x:c>
    </x:row>
    <x:row r="25" ht="25" customHeight="1">
      <x:c r="A25" s="2" t="str">
        <x:v>E03</x:v>
      </x:c>
      <x:c r="B25" s="6" t="n">
        <x:v>19000</x:v>
      </x:c>
      <x:c r="C25" s="6" t="n">
        <x:v>0</x:v>
      </x:c>
      <x:c r="D25" s="6" t="n">
        <x:v>0</x:v>
      </x:c>
      <x:c r="E25" s="6" t="n">
        <x:f>B25-C25+D25</x:f>
        <x:v>19000</x:v>
      </x:c>
      <x:c r="F25" s="6" t="n">
        <x:v>0</x:v>
      </x:c>
      <x:c r="G25" s="6" t="n">
        <x:f>E25+F25</x:f>
        <x:v>19000</x:v>
      </x:c>
      <x:c r="H25" s="6" t="n">
        <x:v>0</x:v>
      </x:c>
      <x:c r="I25" s="6" t="n">
        <x:v>10</x:v>
      </x:c>
      <x:c r="J25" s="6" t="n">
        <x:v>-8000</x:v>
      </x:c>
      <x:c r="K25" s="6" t="n">
        <x:v>20000</x:v>
      </x:c>
    </x:row>
    <x:row r="26" ht="25" customHeight="1">
      <x:c r="A26" s="2" t="str">
        <x:v>E04</x:v>
      </x:c>
      <x:c r="B26" s="6" t="n">
        <x:v>79000</x:v>
      </x:c>
      <x:c r="C26" s="6" t="n">
        <x:v>81000</x:v>
      </x:c>
      <x:c r="D26" s="6" t="n">
        <x:v>0</x:v>
      </x:c>
      <x:c r="E26" s="6" t="n">
        <x:f>B26-C26+D26</x:f>
        <x:v>-2000</x:v>
      </x:c>
      <x:c r="F26" s="6" t="n">
        <x:v>0</x:v>
      </x:c>
      <x:c r="G26" s="6" t="n">
        <x:f>E26+F26</x:f>
        <x:v>-2000</x:v>
      </x:c>
      <x:c r="H26" s="6" t="n">
        <x:v>0</x:v>
      </x:c>
      <x:c r="I26" s="6" t="n">
        <x:v>10</x:v>
      </x:c>
      <x:c r="J26" s="6" t="n">
        <x:v>-32000</x:v>
      </x:c>
      <x:c r="K26" s="6" t="n">
        <x:v>81000</x:v>
      </x:c>
    </x:row>
    <x:row r="27" ht="25" customHeight="1">
      <x:c r="A27" s="2" t="str">
        <x:v>E05</x:v>
      </x:c>
      <x:c r="B27" s="6" t="n">
        <x:v>9000</x:v>
      </x:c>
      <x:c r="C27" s="6" t="n">
        <x:v>0</x:v>
      </x:c>
      <x:c r="D27" s="6" t="n">
        <x:v>0</x:v>
      </x:c>
      <x:c r="E27" s="6" t="n">
        <x:f>B27-C27+D27</x:f>
        <x:v>9000</x:v>
      </x:c>
      <x:c r="F27" s="6" t="n">
        <x:v>0</x:v>
      </x:c>
      <x:c r="G27" s="6" t="n">
        <x:f>E27+F27</x:f>
        <x:v>9000</x:v>
      </x:c>
      <x:c r="H27" s="6" t="n">
        <x:v>0</x:v>
      </x:c>
      <x:c r="I27" s="6" t="n">
        <x:v>10</x:v>
      </x:c>
      <x:c r="J27" s="6" t="n">
        <x:v>-8000</x:v>
      </x:c>
      <x:c r="K27" s="6" t="n">
        <x:v>18000</x:v>
      </x:c>
    </x:row>
    <x:row r="28" ht="25" customHeight="1">
      <x:c r="A28" s="2" t="str">
        <x:v>E06</x:v>
      </x:c>
      <x:c r="B28" s="6" t="n">
        <x:v>19000</x:v>
      </x:c>
      <x:c r="C28" s="6" t="n">
        <x:v>0</x:v>
      </x:c>
      <x:c r="D28" s="6" t="n">
        <x:v>0</x:v>
      </x:c>
      <x:c r="E28" s="6" t="n">
        <x:f>B28-C28+D28</x:f>
        <x:v>19000</x:v>
      </x:c>
      <x:c r="F28" s="6" t="n">
        <x:v>0</x:v>
      </x:c>
      <x:c r="G28" s="6" t="n">
        <x:f>E28+F28</x:f>
        <x:v>19000</x:v>
      </x:c>
      <x:c r="H28" s="6" t="n">
        <x:v>0</x:v>
      </x:c>
      <x:c r="I28" s="6" t="n">
        <x:v>10</x:v>
      </x:c>
      <x:c r="J28" s="6" t="n">
        <x:v>-8000</x:v>
      </x:c>
      <x:c r="K28" s="6" t="n">
        <x:v>20000</x:v>
      </x:c>
    </x:row>
    <x:row r="29" ht="25" customHeight="1">
      <x:c r="A29" s="2" t="str">
        <x:v>E07</x:v>
      </x:c>
      <x:c r="B29" s="6" t="n">
        <x:v>79000</x:v>
      </x:c>
      <x:c r="C29" s="6" t="n">
        <x:v>156000</x:v>
      </x:c>
      <x:c r="D29" s="6" t="n">
        <x:v>0</x:v>
      </x:c>
      <x:c r="E29" s="6" t="n">
        <x:f>B29-C29+D29</x:f>
        <x:v>-77000</x:v>
      </x:c>
      <x:c r="F29" s="6" t="n">
        <x:v>0</x:v>
      </x:c>
      <x:c r="G29" s="6" t="n">
        <x:f>E29+F29</x:f>
        <x:v>-77000</x:v>
      </x:c>
      <x:c r="H29" s="6" t="n">
        <x:v>0</x:v>
      </x:c>
      <x:c r="I29" s="6" t="n">
        <x:v>12</x:v>
      </x:c>
      <x:c r="J29" s="6" t="n">
        <x:v>-107000</x:v>
      </x:c>
      <x:c r="K29" s="6" t="n">
        <x:v>156000</x:v>
      </x:c>
    </x:row>
    <x:row r="30" ht="25" customHeight="1">
      <x:c r="A30" s="2" t="str">
        <x:v>E08</x:v>
      </x:c>
      <x:c r="B30" s="6" t="n">
        <x:v>9000</x:v>
      </x:c>
      <x:c r="C30" s="6" t="n">
        <x:v>75000</x:v>
      </x:c>
      <x:c r="D30" s="6" t="n">
        <x:v>0</x:v>
      </x:c>
      <x:c r="E30" s="6" t="n">
        <x:f>B30-C30+D30</x:f>
        <x:v>-66000</x:v>
      </x:c>
      <x:c r="F30" s="6" t="n">
        <x:v>0</x:v>
      </x:c>
      <x:c r="G30" s="6" t="n">
        <x:f>E30+F30</x:f>
        <x:v>-66000</x:v>
      </x:c>
      <x:c r="H30" s="6" t="n">
        <x:v>0</x:v>
      </x:c>
      <x:c r="I30" s="6" t="n">
        <x:v>12</x:v>
      </x:c>
      <x:c r="J30" s="6" t="n">
        <x:v>-72000</x:v>
      </x:c>
      <x:c r="K30" s="6" t="n">
        <x:v>82000</x:v>
      </x:c>
    </x:row>
    <x:row r="31" ht="25" customHeight="1">
      <x:c r="A31" s="2" t="str">
        <x:v>E09</x:v>
      </x:c>
      <x:c r="B31" s="6" t="n">
        <x:v>19000</x:v>
      </x:c>
      <x:c r="C31" s="6" t="n">
        <x:v>75000</x:v>
      </x:c>
      <x:c r="D31" s="6" t="n">
        <x:v>0</x:v>
      </x:c>
      <x:c r="E31" s="6" t="n">
        <x:f>B31-C31+D31</x:f>
        <x:v>-56000</x:v>
      </x:c>
      <x:c r="F31" s="6" t="n">
        <x:v>0</x:v>
      </x:c>
      <x:c r="G31" s="6" t="n">
        <x:f>E31+F31</x:f>
        <x:v>-56000</x:v>
      </x:c>
      <x:c r="H31" s="6" t="n">
        <x:v>0</x:v>
      </x:c>
      <x:c r="I31" s="6" t="n">
        <x:v>12</x:v>
      </x:c>
      <x:c r="J31" s="6" t="n">
        <x:v>-62000</x:v>
      </x:c>
      <x:c r="K31" s="6" t="n">
        <x:v>84000</x:v>
      </x:c>
    </x:row>
    <x:row r="32" ht="25" customHeight="1">
      <x:c r="A32" s="2" t="str">
        <x:v>R01</x:v>
      </x:c>
      <x:c r="B32" s="6" t="n">
        <x:v>1000</x:v>
      </x:c>
      <x:c r="C32" s="6" t="n">
        <x:v>365000</x:v>
      </x:c>
      <x:c r="D32" s="6" t="n">
        <x:v>0</x:v>
      </x:c>
      <x:c r="E32" s="6" t="n">
        <x:f>B32-C32+D32</x:f>
        <x:v>-364000</x:v>
      </x:c>
      <x:c r="F32" s="6" t="n">
        <x:v>0</x:v>
      </x:c>
      <x:c r="G32" s="6" t="n">
        <x:f>E32+F32</x:f>
        <x:v>-364000</x:v>
      </x:c>
      <x:c r="H32" s="6" t="n">
        <x:v>0</x:v>
      </x:c>
      <x:c r="I32" s="6" t="n">
        <x:v>66</x:v>
      </x:c>
      <x:c r="J32" s="6" t="n">
        <x:v>-374000</x:v>
      </x:c>
      <x:c r="K32" s="6" t="n">
        <x:v>378000</x:v>
      </x:c>
    </x:row>
    <x:row r="33" ht="25" customHeight="1">
      <x:c r="A33" s="2" t="str">
        <x:v>R02</x:v>
      </x:c>
      <x:c r="B33" s="6" t="n">
        <x:v>4000</x:v>
      </x:c>
      <x:c r="C33" s="6" t="n">
        <x:v>246000</x:v>
      </x:c>
      <x:c r="D33" s="6" t="n">
        <x:v>0</x:v>
      </x:c>
      <x:c r="E33" s="6" t="n">
        <x:f>B33-C33+D33</x:f>
        <x:v>-242000</x:v>
      </x:c>
      <x:c r="F33" s="6" t="n">
        <x:v>0</x:v>
      </x:c>
      <x:c r="G33" s="6" t="n">
        <x:f>E33+F33</x:f>
        <x:v>-242000</x:v>
      </x:c>
      <x:c r="H33" s="6" t="n">
        <x:v>0</x:v>
      </x:c>
      <x:c r="I33" s="6" t="n">
        <x:v>51</x:v>
      </x:c>
      <x:c r="J33" s="6" t="n">
        <x:v>-262000</x:v>
      </x:c>
      <x:c r="K33" s="6" t="n">
        <x:v>266000</x:v>
      </x:c>
    </x:row>
    <x:row r="34" ht="25" customHeight="1">
      <x:c r="A34" s="2" t="str">
        <x:v>R03</x:v>
      </x:c>
      <x:c r="B34" s="6" t="n">
        <x:v>16000</x:v>
      </x:c>
      <x:c r="C34" s="6" t="n">
        <x:v>163000</x:v>
      </x:c>
      <x:c r="D34" s="6" t="n">
        <x:v>0</x:v>
      </x:c>
      <x:c r="E34" s="6" t="n">
        <x:f>B34-C34+D34</x:f>
        <x:v>-147000</x:v>
      </x:c>
      <x:c r="F34" s="6" t="n">
        <x:v>0</x:v>
      </x:c>
      <x:c r="G34" s="6" t="n">
        <x:f>E34+F34</x:f>
        <x:v>-147000</x:v>
      </x:c>
      <x:c r="H34" s="6" t="n">
        <x:v>0</x:v>
      </x:c>
      <x:c r="I34" s="6" t="n">
        <x:v>33</x:v>
      </x:c>
      <x:c r="J34" s="6" t="n">
        <x:v>-158000</x:v>
      </x:c>
      <x:c r="K34" s="6" t="n">
        <x:v>160000</x:v>
      </x:c>
    </x:row>
    <x:row r="35" ht="25" customHeight="1">
      <x:c r="A35" s="2" t="str">
        <x:v>R04</x:v>
      </x:c>
      <x:c r="B35" s="6" t="n">
        <x:v>11000</x:v>
      </x:c>
      <x:c r="C35" s="6" t="n">
        <x:v>358000</x:v>
      </x:c>
      <x:c r="D35" s="6" t="n">
        <x:v>0</x:v>
      </x:c>
      <x:c r="E35" s="6" t="n">
        <x:f>B35-C35+D35</x:f>
        <x:v>-347000</x:v>
      </x:c>
      <x:c r="F35" s="6" t="n">
        <x:v>0</x:v>
      </x:c>
      <x:c r="G35" s="6" t="n">
        <x:f>E35+F35</x:f>
        <x:v>-347000</x:v>
      </x:c>
      <x:c r="H35" s="6" t="n">
        <x:v>0</x:v>
      </x:c>
      <x:c r="I35" s="6" t="n">
        <x:v>59</x:v>
      </x:c>
      <x:c r="J35" s="6" t="n">
        <x:v>-357000</x:v>
      </x:c>
      <x:c r="K35" s="6" t="n">
        <x:v>361000</x:v>
      </x:c>
    </x:row>
    <x:row r="36" ht="25" customHeight="1">
      <x:c r="A36" s="2" t="str">
        <x:v>R05</x:v>
      </x:c>
      <x:c r="B36" s="6" t="n">
        <x:v>11000</x:v>
      </x:c>
      <x:c r="C36" s="6" t="n">
        <x:v>255000</x:v>
      </x:c>
      <x:c r="D36" s="6" t="n">
        <x:v>0</x:v>
      </x:c>
      <x:c r="E36" s="6" t="n">
        <x:f>B36-C36+D36</x:f>
        <x:v>-244000</x:v>
      </x:c>
      <x:c r="F36" s="6" t="n">
        <x:v>0</x:v>
      </x:c>
      <x:c r="G36" s="6" t="n">
        <x:f>E36+F36</x:f>
        <x:v>-244000</x:v>
      </x:c>
      <x:c r="H36" s="6" t="n">
        <x:v>0</x:v>
      </x:c>
      <x:c r="I36" s="6" t="n">
        <x:v>49</x:v>
      </x:c>
      <x:c r="J36" s="6" t="n">
        <x:v>-264000</x:v>
      </x:c>
      <x:c r="K36" s="6" t="n">
        <x:v>268000</x:v>
      </x:c>
    </x:row>
    <x:row r="37" ht="25" customHeight="1">
      <x:c r="A37" s="2" t="str">
        <x:v>R06</x:v>
      </x:c>
      <x:c r="B37" s="6" t="n">
        <x:v>25000</x:v>
      </x:c>
      <x:c r="C37" s="6" t="n">
        <x:v>145000</x:v>
      </x:c>
      <x:c r="D37" s="6" t="n">
        <x:v>0</x:v>
      </x:c>
      <x:c r="E37" s="6" t="n">
        <x:f>B37-C37+D37</x:f>
        <x:v>-120000</x:v>
      </x:c>
      <x:c r="F37" s="6" t="n">
        <x:v>0</x:v>
      </x:c>
      <x:c r="G37" s="6" t="n">
        <x:f>E37+F37</x:f>
        <x:v>-120000</x:v>
      </x:c>
      <x:c r="H37" s="6" t="n">
        <x:v>0</x:v>
      </x:c>
      <x:c r="I37" s="6" t="n">
        <x:v>31</x:v>
      </x:c>
      <x:c r="J37" s="6" t="n">
        <x:v>-130000</x:v>
      </x:c>
      <x:c r="K37" s="6" t="n">
        <x:v>137000</x:v>
      </x:c>
    </x:row>
    <x:row r="38" ht="25" customHeight="1">
      <x:c r="A38" s="2" t="str">
        <x:v>R07</x:v>
      </x:c>
      <x:c r="B38" s="6" t="n">
        <x:v>1000</x:v>
      </x:c>
      <x:c r="C38" s="6" t="n">
        <x:v>202000</x:v>
      </x:c>
      <x:c r="D38" s="6" t="n">
        <x:v>0</x:v>
      </x:c>
      <x:c r="E38" s="6" t="n">
        <x:f>B38-C38+D38</x:f>
        <x:v>-201000</x:v>
      </x:c>
      <x:c r="F38" s="6" t="n">
        <x:v>0</x:v>
      </x:c>
      <x:c r="G38" s="6" t="n">
        <x:f>E38+F38</x:f>
        <x:v>-201000</x:v>
      </x:c>
      <x:c r="H38" s="6" t="n">
        <x:v>0</x:v>
      </x:c>
      <x:c r="I38" s="6" t="n">
        <x:v>51</x:v>
      </x:c>
      <x:c r="J38" s="6" t="n">
        <x:v>-201000</x:v>
      </x:c>
      <x:c r="K38" s="6" t="n">
        <x:v>205000</x:v>
      </x:c>
    </x:row>
    <x:row r="39" ht="25" customHeight="1">
      <x:c r="A39" s="2" t="str">
        <x:v>R08</x:v>
      </x:c>
      <x:c r="B39" s="6" t="n">
        <x:v>4000</x:v>
      </x:c>
      <x:c r="C39" s="6" t="n">
        <x:v>211000</x:v>
      </x:c>
      <x:c r="D39" s="6" t="n">
        <x:v>0</x:v>
      </x:c>
      <x:c r="E39" s="6" t="n">
        <x:f>B39-C39+D39</x:f>
        <x:v>-207000</x:v>
      </x:c>
      <x:c r="F39" s="6" t="n">
        <x:v>0</x:v>
      </x:c>
      <x:c r="G39" s="6" t="n">
        <x:f>E39+F39</x:f>
        <x:v>-207000</x:v>
      </x:c>
      <x:c r="H39" s="6" t="n">
        <x:v>0</x:v>
      </x:c>
      <x:c r="I39" s="6" t="n">
        <x:v>36</x:v>
      </x:c>
      <x:c r="J39" s="6" t="n">
        <x:v>-207000</x:v>
      </x:c>
      <x:c r="K39" s="6" t="n">
        <x:v>211000</x:v>
      </x:c>
    </x:row>
    <x:row r="40" ht="25" customHeight="1">
      <x:c r="A40" s="2" t="str">
        <x:v>R09</x:v>
      </x:c>
      <x:c r="B40" s="6" t="n">
        <x:v>11000</x:v>
      </x:c>
      <x:c r="C40" s="6" t="n">
        <x:v>98000</x:v>
      </x:c>
      <x:c r="D40" s="6" t="n">
        <x:v>0</x:v>
      </x:c>
      <x:c r="E40" s="6" t="n">
        <x:f>B40-C40+D40</x:f>
        <x:v>-87000</x:v>
      </x:c>
      <x:c r="F40" s="6" t="n">
        <x:v>0</x:v>
      </x:c>
      <x:c r="G40" s="6" t="n">
        <x:f>E40+F40</x:f>
        <x:v>-87000</x:v>
      </x:c>
      <x:c r="H40" s="6" t="n">
        <x:v>0</x:v>
      </x:c>
      <x:c r="I40" s="6" t="n">
        <x:v>25</x:v>
      </x:c>
      <x:c r="J40" s="6" t="n">
        <x:v>-98000</x:v>
      </x:c>
      <x:c r="K40" s="6" t="n">
        <x:v>100000</x:v>
      </x:c>
    </x:row>
    <x:row r="41" ht="25" customHeight="1">
      <x:c r="A41" s="2" t="str">
        <x:v>R10</x:v>
      </x:c>
      <x:c r="B41" s="6" t="n">
        <x:v>11000</x:v>
      </x:c>
      <x:c r="C41" s="6" t="n">
        <x:v>205000</x:v>
      </x:c>
      <x:c r="D41" s="6" t="n">
        <x:v>0</x:v>
      </x:c>
      <x:c r="E41" s="6" t="n">
        <x:f>B41-C41+D41</x:f>
        <x:v>-194000</x:v>
      </x:c>
      <x:c r="F41" s="6" t="n">
        <x:v>0</x:v>
      </x:c>
      <x:c r="G41" s="6" t="n">
        <x:f>E41+F41</x:f>
        <x:v>-194000</x:v>
      </x:c>
      <x:c r="H41" s="6" t="n">
        <x:v>0</x:v>
      </x:c>
      <x:c r="I41" s="6" t="n">
        <x:v>47</x:v>
      </x:c>
      <x:c r="J41" s="6" t="n">
        <x:v>-194000</x:v>
      </x:c>
      <x:c r="K41" s="6" t="n">
        <x:v>198000</x:v>
      </x:c>
    </x:row>
    <x:row r="42" ht="25" customHeight="1">
      <x:c r="A42" s="2" t="str">
        <x:v>R11</x:v>
      </x:c>
      <x:c r="B42" s="6" t="n">
        <x:v>11000</x:v>
      </x:c>
      <x:c r="C42" s="6" t="n">
        <x:v>215000</x:v>
      </x:c>
      <x:c r="D42" s="6" t="n">
        <x:v>0</x:v>
      </x:c>
      <x:c r="E42" s="6" t="n">
        <x:f>B42-C42+D42</x:f>
        <x:v>-204000</x:v>
      </x:c>
      <x:c r="F42" s="6" t="n">
        <x:v>0</x:v>
      </x:c>
      <x:c r="G42" s="6" t="n">
        <x:f>E42+F42</x:f>
        <x:v>-204000</x:v>
      </x:c>
      <x:c r="H42" s="6" t="n">
        <x:v>0</x:v>
      </x:c>
      <x:c r="I42" s="6" t="n">
        <x:v>35</x:v>
      </x:c>
      <x:c r="J42" s="6" t="n">
        <x:v>-204000</x:v>
      </x:c>
      <x:c r="K42" s="6" t="n">
        <x:v>208000</x:v>
      </x:c>
    </x:row>
    <x:row r="43" ht="25" customHeight="1">
      <x:c r="A43" s="2" t="str">
        <x:v>R12</x:v>
      </x:c>
      <x:c r="B43" s="6" t="n">
        <x:v>20000</x:v>
      </x:c>
      <x:c r="C43" s="6" t="n">
        <x:v>95000</x:v>
      </x:c>
      <x:c r="D43" s="6" t="n">
        <x:v>0</x:v>
      </x:c>
      <x:c r="E43" s="6" t="n">
        <x:f>B43-C43+D43</x:f>
        <x:v>-75000</x:v>
      </x:c>
      <x:c r="F43" s="6" t="n">
        <x:v>0</x:v>
      </x:c>
      <x:c r="G43" s="6" t="n">
        <x:f>E43+F43</x:f>
        <x:v>-75000</x:v>
      </x:c>
      <x:c r="H43" s="6" t="n">
        <x:v>0</x:v>
      </x:c>
      <x:c r="I43" s="6" t="n">
        <x:v>24</x:v>
      </x:c>
      <x:c r="J43" s="6" t="n">
        <x:v>-84000</x:v>
      </x:c>
      <x:c r="K43" s="6" t="n">
        <x:v>86000</x:v>
      </x:c>
    </x:row>
    <x:row r="44" ht="25" customHeight="1">
      <x:c r="A44" s="2" t="str">
        <x:v>L01</x:v>
      </x:c>
      <x:c r="B44" s="6" t="n">
        <x:v>3000</x:v>
      </x:c>
      <x:c r="C44" s="6" t="n">
        <x:v>110000</x:v>
      </x:c>
      <x:c r="D44" s="6" t="n">
        <x:v>0</x:v>
      </x:c>
      <x:c r="E44" s="6" t="n">
        <x:f>B44-C44+D44</x:f>
        <x:v>-107000</x:v>
      </x:c>
      <x:c r="F44" s="6" t="n">
        <x:v>0</x:v>
      </x:c>
      <x:c r="G44" s="6" t="n">
        <x:f>E44+F44</x:f>
        <x:v>-107000</x:v>
      </x:c>
      <x:c r="H44" s="6" t="n">
        <x:v>0</x:v>
      </x:c>
      <x:c r="I44" s="6" t="n">
        <x:v>31</x:v>
      </x:c>
      <x:c r="J44" s="6" t="n">
        <x:v>-107000</x:v>
      </x:c>
      <x:c r="K44" s="6" t="n">
        <x:v>111000</x:v>
      </x:c>
    </x:row>
    <x:row r="45" ht="25" customHeight="1">
      <x:c r="A45" s="2" t="str">
        <x:v>L02</x:v>
      </x:c>
      <x:c r="B45" s="6" t="n">
        <x:v>8000</x:v>
      </x:c>
      <x:c r="C45" s="6" t="n">
        <x:v>162000</x:v>
      </x:c>
      <x:c r="D45" s="6" t="n">
        <x:v>0</x:v>
      </x:c>
      <x:c r="E45" s="6" t="n">
        <x:f>B45-C45+D45</x:f>
        <x:v>-154000</x:v>
      </x:c>
      <x:c r="F45" s="6" t="n">
        <x:v>0</x:v>
      </x:c>
      <x:c r="G45" s="6" t="n">
        <x:f>E45+F45</x:f>
        <x:v>-154000</x:v>
      </x:c>
      <x:c r="H45" s="6" t="n">
        <x:v>0</x:v>
      </x:c>
      <x:c r="I45" s="6" t="n">
        <x:v>45</x:v>
      </x:c>
      <x:c r="J45" s="6" t="n">
        <x:v>-154000</x:v>
      </x:c>
      <x:c r="K45" s="6" t="n">
        <x:v>158000</x:v>
      </x:c>
    </x:row>
    <x:row r="46" ht="25" customHeight="1">
      <x:c r="A46" s="2" t="str">
        <x:v>L03</x:v>
      </x:c>
      <x:c r="B46" s="6" t="n">
        <x:v>4000</x:v>
      </x:c>
      <x:c r="C46" s="6" t="n">
        <x:v>241000</x:v>
      </x:c>
      <x:c r="D46" s="6" t="n">
        <x:v>0</x:v>
      </x:c>
      <x:c r="E46" s="6" t="n">
        <x:f>B46-C46+D46</x:f>
        <x:v>-237000</x:v>
      </x:c>
      <x:c r="F46" s="6" t="n">
        <x:v>0</x:v>
      </x:c>
      <x:c r="G46" s="6" t="n">
        <x:f>E46+F46</x:f>
        <x:v>-237000</x:v>
      </x:c>
      <x:c r="H46" s="6" t="n">
        <x:v>0</x:v>
      </x:c>
      <x:c r="I46" s="6" t="n">
        <x:v>62</x:v>
      </x:c>
      <x:c r="J46" s="6" t="n">
        <x:v>-237000</x:v>
      </x:c>
      <x:c r="K46" s="6" t="n">
        <x:v>241000</x:v>
      </x:c>
    </x:row>
    <x:row r="47" ht="25" customHeight="1">
      <x:c r="A47" s="2" t="str">
        <x:v>L04</x:v>
      </x:c>
      <x:c r="B47" s="6" t="n">
        <x:v>32000</x:v>
      </x:c>
      <x:c r="C47" s="6" t="n">
        <x:v>110000</x:v>
      </x:c>
      <x:c r="D47" s="6" t="n">
        <x:v>0</x:v>
      </x:c>
      <x:c r="E47" s="6" t="n">
        <x:f>B47-C47+D47</x:f>
        <x:v>-78000</x:v>
      </x:c>
      <x:c r="F47" s="6" t="n">
        <x:v>0</x:v>
      </x:c>
      <x:c r="G47" s="6" t="n">
        <x:f>E47+F47</x:f>
        <x:v>-78000</x:v>
      </x:c>
      <x:c r="H47" s="6" t="n">
        <x:v>0</x:v>
      </x:c>
      <x:c r="I47" s="6" t="n">
        <x:v>30</x:v>
      </x:c>
      <x:c r="J47" s="6" t="n">
        <x:v>-78000</x:v>
      </x:c>
      <x:c r="K47" s="6" t="n">
        <x:v>91000</x:v>
      </x:c>
    </x:row>
    <x:row r="48" ht="25" customHeight="1">
      <x:c r="A48" s="2" t="str">
        <x:v>L05</x:v>
      </x:c>
      <x:c r="B48" s="6" t="n">
        <x:v>23000</x:v>
      </x:c>
      <x:c r="C48" s="6" t="n">
        <x:v>147000</x:v>
      </x:c>
      <x:c r="D48" s="6" t="n">
        <x:v>0</x:v>
      </x:c>
      <x:c r="E48" s="6" t="n">
        <x:f>B48-C48+D48</x:f>
        <x:v>-124000</x:v>
      </x:c>
      <x:c r="F48" s="6" t="n">
        <x:v>0</x:v>
      </x:c>
      <x:c r="G48" s="6" t="n">
        <x:f>E48+F48</x:f>
        <x:v>-124000</x:v>
      </x:c>
      <x:c r="H48" s="6" t="n">
        <x:v>0</x:v>
      </x:c>
      <x:c r="I48" s="6" t="n">
        <x:v>39</x:v>
      </x:c>
      <x:c r="J48" s="6" t="n">
        <x:v>-124000</x:v>
      </x:c>
      <x:c r="K48" s="6" t="n">
        <x:v>134000</x:v>
      </x:c>
    </x:row>
    <x:row r="49" ht="25" customHeight="1">
      <x:c r="A49" s="2" t="str">
        <x:v>L06</x:v>
      </x:c>
      <x:c r="B49" s="6" t="n">
        <x:v>12000</x:v>
      </x:c>
      <x:c r="C49" s="6" t="n">
        <x:v>223000</x:v>
      </x:c>
      <x:c r="D49" s="6" t="n">
        <x:v>0</x:v>
      </x:c>
      <x:c r="E49" s="6" t="n">
        <x:f>B49-C49+D49</x:f>
        <x:v>-211000</x:v>
      </x:c>
      <x:c r="F49" s="6" t="n">
        <x:v>0</x:v>
      </x:c>
      <x:c r="G49" s="6" t="n">
        <x:f>E49+F49</x:f>
        <x:v>-211000</x:v>
      </x:c>
      <x:c r="H49" s="6" t="n">
        <x:v>0</x:v>
      </x:c>
      <x:c r="I49" s="6" t="n">
        <x:v>55</x:v>
      </x:c>
      <x:c r="J49" s="6" t="n">
        <x:v>-211000</x:v>
      </x:c>
      <x:c r="K49" s="6" t="n">
        <x:v>215000</x:v>
      </x:c>
    </x:row>
  </x:sheetData>
  <x:conditionalFormatting sqref="E6:G49">
    <x:cfRule type="cellIs" dxfId="4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2719c217eb4eaa"/>
  </x:tableParts>
</x:worksheet>
</file>