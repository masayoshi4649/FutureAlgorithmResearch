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tables/table18.xml" ContentType="application/vnd.openxmlformats-officedocument.spreadsheetml.table+xml"/>
  <Override PartName="/xl/worksheets/sheet19.xml" ContentType="application/vnd.openxmlformats-officedocument.spreadsheetml.worksheet+xml"/>
  <Override PartName="/xl/tables/table19.xml" ContentType="application/vnd.openxmlformats-officedocument.spreadsheetml.table+xml"/>
  <Override PartName="/xl/worksheets/sheet20.xml" ContentType="application/vnd.openxmlformats-officedocument.spreadsheetml.worksheet+xml"/>
  <Override PartName="/xl/tables/table20.xml" ContentType="application/vnd.openxmlformats-officedocument.spreadsheetml.table+xml"/>
  <Override PartName="/xl/worksheets/sheet21.xml" ContentType="application/vnd.openxmlformats-officedocument.spreadsheetml.worksheet+xml"/>
  <Override PartName="/xl/tables/table21.xml" ContentType="application/vnd.openxmlformats-officedocument.spreadsheetml.table+xml"/>
  <Override PartName="/xl/worksheets/sheet22.xml" ContentType="application/vnd.openxmlformats-officedocument.spreadsheetml.worksheet+xml"/>
  <Override PartName="/xl/tables/table22.xml" ContentType="application/vnd.openxmlformats-officedocument.spreadsheetml.table+xml"/>
  <Override PartName="/xl/worksheets/sheet23.xml" ContentType="application/vnd.openxmlformats-officedocument.spreadsheetml.worksheet+xml"/>
  <Override PartName="/xl/tables/table23.xml" ContentType="application/vnd.openxmlformats-officedocument.spreadsheetml.table+xml"/>
  <Override PartName="/xl/worksheets/sheet24.xml" ContentType="application/vnd.openxmlformats-officedocument.spreadsheetml.worksheet+xml"/>
  <Override PartName="/xl/tables/table24.xml" ContentType="application/vnd.openxmlformats-officedocument.spreadsheetml.table+xml"/>
  <Override PartName="/xl/worksheets/sheet25.xml" ContentType="application/vnd.openxmlformats-officedocument.spreadsheetml.worksheet+xml"/>
  <Override PartName="/xl/tables/table25.xml" ContentType="application/vnd.openxmlformats-officedocument.spreadsheetml.table+xml"/>
  <Override PartName="/xl/worksheets/sheet26.xml" ContentType="application/vnd.openxmlformats-officedocument.spreadsheetml.worksheet+xml"/>
  <Override PartName="/xl/tables/table26.xml" ContentType="application/vnd.openxmlformats-officedocument.spreadsheetml.table+xml"/>
  <Override PartName="/xl/worksheets/sheet27.xml" ContentType="application/vnd.openxmlformats-officedocument.spreadsheetml.worksheet+xml"/>
  <Override PartName="/xl/tables/table2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60cfb23b64437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比較" sheetId="1" r:id="R87aa34b1a4fa4fb2"/>
    <x:sheet xmlns:r="http://schemas.openxmlformats.org/officeDocument/2006/relationships" name="日経_D07" sheetId="2" r:id="R31074d405eb54b94"/>
    <x:sheet xmlns:r="http://schemas.openxmlformats.org/officeDocument/2006/relationships" name="日経_P01" sheetId="3" r:id="R72f9a39f25524488"/>
    <x:sheet xmlns:r="http://schemas.openxmlformats.org/officeDocument/2006/relationships" name="日経_P02" sheetId="4" r:id="Ra1afa99a99b14cac"/>
    <x:sheet xmlns:r="http://schemas.openxmlformats.org/officeDocument/2006/relationships" name="日経_P03" sheetId="5" r:id="Rd2781b3e13b64472"/>
    <x:sheet xmlns:r="http://schemas.openxmlformats.org/officeDocument/2006/relationships" name="日経_P04" sheetId="6" r:id="R06d82996e95f499e"/>
    <x:sheet xmlns:r="http://schemas.openxmlformats.org/officeDocument/2006/relationships" name="日経_P05" sheetId="7" r:id="Ra409f1b1f9bf4908"/>
    <x:sheet xmlns:r="http://schemas.openxmlformats.org/officeDocument/2006/relationships" name="日経_P06" sheetId="8" r:id="Rccf0c84c64314bdc"/>
    <x:sheet xmlns:r="http://schemas.openxmlformats.org/officeDocument/2006/relationships" name="日経_P07" sheetId="9" r:id="R1c2bcf2761ad4d28"/>
    <x:sheet xmlns:r="http://schemas.openxmlformats.org/officeDocument/2006/relationships" name="日経_P08" sheetId="10" r:id="Raf4b4c8977234b77"/>
    <x:sheet xmlns:r="http://schemas.openxmlformats.org/officeDocument/2006/relationships" name="日経_P09" sheetId="11" r:id="R7be2a51228394391"/>
    <x:sheet xmlns:r="http://schemas.openxmlformats.org/officeDocument/2006/relationships" name="日経_P10" sheetId="12" r:id="R92024692925c42c5"/>
    <x:sheet xmlns:r="http://schemas.openxmlformats.org/officeDocument/2006/relationships" name="日経_P11" sheetId="13" r:id="Red4a9efb82a54246"/>
    <x:sheet xmlns:r="http://schemas.openxmlformats.org/officeDocument/2006/relationships" name="日経_P12" sheetId="14" r:id="R7936c492d9af4871"/>
    <x:sheet xmlns:r="http://schemas.openxmlformats.org/officeDocument/2006/relationships" name="日経_P13" sheetId="15" r:id="R013a14ee2c924ff9"/>
    <x:sheet xmlns:r="http://schemas.openxmlformats.org/officeDocument/2006/relationships" name="日経_P14" sheetId="16" r:id="R387b3141d21040e8"/>
    <x:sheet xmlns:r="http://schemas.openxmlformats.org/officeDocument/2006/relationships" name="日経_P15" sheetId="17" r:id="Rf71970d1338345ff"/>
    <x:sheet xmlns:r="http://schemas.openxmlformats.org/officeDocument/2006/relationships" name="日経_P16" sheetId="18" r:id="R1bed26e014134708"/>
    <x:sheet xmlns:r="http://schemas.openxmlformats.org/officeDocument/2006/relationships" name="日経_Q01" sheetId="19" r:id="R97bd158a4abf499f"/>
    <x:sheet xmlns:r="http://schemas.openxmlformats.org/officeDocument/2006/relationships" name="日経_Q02" sheetId="20" r:id="Ra21ccefadad04f76"/>
    <x:sheet xmlns:r="http://schemas.openxmlformats.org/officeDocument/2006/relationships" name="日経_Q03" sheetId="21" r:id="R231f468003fe41c2"/>
    <x:sheet xmlns:r="http://schemas.openxmlformats.org/officeDocument/2006/relationships" name="日経_Q04" sheetId="22" r:id="R540f744661914515"/>
    <x:sheet xmlns:r="http://schemas.openxmlformats.org/officeDocument/2006/relationships" name="日経_Q05" sheetId="23" r:id="R46d899f75f0c4c9d"/>
    <x:sheet xmlns:r="http://schemas.openxmlformats.org/officeDocument/2006/relationships" name="日経_Q06" sheetId="24" r:id="Rbf8dc722e8aa4d80"/>
    <x:sheet xmlns:r="http://schemas.openxmlformats.org/officeDocument/2006/relationships" name="日経_Q07" sheetId="25" r:id="R8a991edd6e594fc7"/>
    <x:sheet xmlns:r="http://schemas.openxmlformats.org/officeDocument/2006/relationships" name="日経_Q08" sheetId="26" r:id="R79cdebb90eac4449"/>
    <x:sheet xmlns:r="http://schemas.openxmlformats.org/officeDocument/2006/relationships" name="当夜途中" sheetId="27" r:id="Raa6aa9613bfd4fc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;[Red](#,##0);&quot;—&quot;"/>
    <x:numFmt numFmtId="201" formatCode="#,##0"/>
    <x:numFmt numFmtId="202" formatCode="0.00"/>
  </x:numFmts>
  <x:fonts count="6">
    <x:font>
      <x:sz val="11"/>
      <x:name val="Carlito"/>
    </x:font>
    <x:font>
      <x:sz val="10"/>
      <x:color rgb="FF1B3048"/>
      <x:name val="Yu Gothic"/>
    </x:font>
    <x:font>
      <x:b/>
      <x:sz val="14"/>
      <x:color rgb="FF1B3048"/>
      <x:name val="Yu Gothic"/>
    </x:font>
    <x:font>
      <x:sz val="10"/>
      <x:color rgb="FF52677C"/>
      <x:name val="Yu Gothic"/>
    </x:font>
    <x:font>
      <x:b/>
      <x:sz val="10"/>
      <x:color rgb="FFFFFFFF"/>
      <x:name val="Yu Gothic"/>
    </x:font>
    <x:font>
      <x:b/>
      <x:sz val="10"/>
      <x:color rgb="FF1B3048"/>
      <x:name val="Yu Gothic"/>
    </x:font>
  </x:fonts>
  <x:fills count="3">
    <x:fill>
      <x:patternFill patternType="none"/>
    </x:fill>
    <x:fill>
      <x:patternFill patternType="gray125"/>
    </x:fill>
    <x:fill>
      <x:patternFill patternType="solid">
        <x:fgColor rgb="FF244A70"/>
      </x:patternFill>
    </x:fill>
  </x:fills>
  <x:borders count="6">
    <x:border>
      <x:left/>
      <x:right/>
      <x:top/>
      <x:bottom/>
      <x:diagonal/>
    </x:border>
    <x:border>
      <x:left/>
      <x:right/>
      <x:top/>
      <x:bottom style="thin">
        <x:color rgb="FFA5B5C5"/>
      </x:bottom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  <x:border>
      <x:left/>
      <x:right/>
      <x:top style="thin">
        <x:color rgb="FFA5B5C5"/>
      </x:top>
      <x:bottom/>
      <x:diagonal/>
    </x:border>
  </x:borders>
  <x:cellStyleXfs count="1">
    <x:xf numFmtId="0" fontId="0" fillId="0" borderId="0"/>
  </x:cellStyleXfs>
  <x:cellXfs count="2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3" xfId="0" applyNumberFormat="1" applyFont="1" applyFill="1" applyBorder="1" applyAlignment="1">
      <x:alignment vertical="center"/>
    </x:xf>
    <x:xf numFmtId="0" fontId="4" fillId="2" borderId="4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 wrapText="1"/>
    </x:xf>
    <x:xf numFmtId="0" fontId="4" fillId="2" borderId="3" xfId="0" applyNumberFormat="1" applyFont="1" applyFill="1" applyBorder="1" applyAlignment="1">
      <x:alignment vertical="center" wrapText="1"/>
    </x:xf>
    <x:xf numFmtId="0" fontId="4" fillId="2" borderId="4" xfId="0" applyNumberFormat="1" applyFont="1" applyFill="1" applyBorder="1" applyAlignment="1">
      <x:alignment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4" fillId="2" borderId="4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horizontal="right" vertical="center"/>
    </x:xf>
    <x:xf numFmtId="201" fontId="5" fillId="0" borderId="0" xfId="0" applyNumberFormat="1" applyFont="1" applyFill="1" applyBorder="1" applyAlignment="1">
      <x:alignment vertical="center"/>
    </x:xf>
    <x:xf numFmtId="0" fontId="5" fillId="0" borderId="5" xfId="0" applyNumberFormat="1" applyFont="1" applyFill="1" applyBorder="1" applyAlignment="1">
      <x:alignment vertical="center"/>
    </x:xf>
    <x:xf numFmtId="200" fontId="5" fillId="0" borderId="5" xfId="0" applyNumberFormat="1" applyFont="1" applyFill="1" applyBorder="1" applyAlignment="1">
      <x:alignment horizontal="right" vertical="center"/>
    </x:xf>
    <x:xf numFmtId="201" fontId="5" fillId="0" borderId="5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54">
    <x:dxf>
      <x:font>
        <x:color rgb="FFA02836"/>
      </x:font>
      <x:fill>
        <x:patternFill patternType="solid">
          <x:bgColor rgb="FFFBEAEC"/>
        </x:patternFill>
      </x:fill>
    </x:dxf>
    <x:dxf>
      <x:font>
        <x:color rgb="FFA02836"/>
      </x:font>
      <x:fill>
        <x:patternFill patternType="solid">
          <x:bgColor rgb="FFFBEAEC"/>
        </x:patternFill>
      </x:fill>
    </x:dxf>
    <x:dxf>
      <x:font>
        <x:color rgb="FFA02836"/>
      </x:font>
      <x:fill>
        <x:patternFill patternType="solid">
          <x:bgColor rgb="FFFBEAEC"/>
        </x:patternFill>
      </x:fill>
    </x:dxf>
    <x:dxf>
      <x:font>
        <x:color rgb="FFA02836"/>
      </x:font>
      <x:fill>
        <x:patternFill patternType="solid">
          <x:bgColor rgb="FFFBEAEC"/>
        </x:patternFill>
      </x:fill>
    </x:dxf>
    <x:dxf>
      <x:font>
        <x:color rgb="FFA02836"/>
      </x:font>
      <x:fill>
        <x:patternFill patternType="solid">
          <x:bgColor rgb="FFFBEAEC"/>
        </x:patternFill>
      </x:fill>
    </x:dxf>
    <x:dxf>
      <x:font>
        <x:color rgb="FFA02836"/>
      </x:font>
      <x:fill>
        <x:patternFill patternType="solid">
          <x:bgColor rgb="FFFBEAEC"/>
        </x:patternFill>
      </x:fill>
    </x:dxf>
    <x:dxf>
      <x:font>
        <x:color rgb="FFA02836"/>
      </x:font>
      <x:fill>
        <x:patternFill patternType="solid">
          <x:bgColor rgb="FFFBEAEC"/>
        </x:patternFill>
      </x:fill>
    </x:dxf>
    <x:dxf>
      <x:font>
        <x:color rgb="FFA02836"/>
      </x:font>
      <x:fill>
        <x:patternFill patternType="solid">
          <x:bgColor rgb="FFFBEAEC"/>
        </x:patternFill>
      </x:fill>
    </x:dxf>
    <x:dxf>
      <x:font>
        <x:color rgb="FFA02836"/>
      </x:font>
      <x:fill>
        <x:patternFill patternType="solid">
          <x:bgColor rgb="FFFBEAEC"/>
        </x:patternFill>
      </x:fill>
    </x:dxf>
    <x:dxf>
      <x:font>
        <x:color rgb="FFA02836"/>
      </x:font>
      <x:fill>
        <x:patternFill patternType="solid">
          <x:bgColor rgb="FFFBEAEC"/>
        </x:patternFill>
      </x:fill>
    </x:dxf>
    <x:dxf>
      <x:font>
        <x:color rgb="FFA02836"/>
      </x:font>
      <x:fill>
        <x:patternFill patternType="solid">
          <x:bgColor rgb="FFFBEAEC"/>
        </x:patternFill>
      </x:fill>
    </x:dxf>
    <x:dxf>
      <x:font>
        <x:color rgb="FFA02836"/>
      </x:font>
      <x:fill>
        <x:patternFill patternType="solid">
          <x:bgColor rgb="FFFBEAEC"/>
        </x:patternFill>
      </x:fill>
    </x:dxf>
    <x:dxf>
      <x:font>
        <x:color rgb="FFA02836"/>
      </x:font>
      <x:fill>
        <x:patternFill patternType="solid">
          <x:bgColor rgb="FFFBEAEC"/>
        </x:patternFill>
      </x:fill>
    </x:dxf>
    <x:dxf>
      <x:font>
        <x:color rgb="FFA02836"/>
      </x:font>
      <x:fill>
        <x:patternFill patternType="solid">
          <x:bgColor rgb="FFFBEAEC"/>
        </x:patternFill>
      </x:fill>
    </x:dxf>
    <x:dxf>
      <x:font>
        <x:color rgb="FFA02836"/>
      </x:font>
      <x:fill>
        <x:patternFill patternType="solid">
          <x:bgColor rgb="FFFBEAEC"/>
        </x:patternFill>
      </x:fill>
    </x:dxf>
    <x:dxf>
      <x:font>
        <x:color rgb="FFA02836"/>
      </x:font>
      <x:fill>
        <x:patternFill patternType="solid">
          <x:bgColor rgb="FFFBEAEC"/>
        </x:patternFill>
      </x:fill>
    </x:dxf>
    <x:dxf>
      <x:font>
        <x:color rgb="FFA02836"/>
      </x:font>
      <x:fill>
        <x:patternFill patternType="solid">
          <x:bgColor rgb="FFFBEAEC"/>
        </x:patternFill>
      </x:fill>
    </x:dxf>
    <x:dxf>
      <x:font>
        <x:color rgb="FFA02836"/>
      </x:font>
      <x:fill>
        <x:patternFill patternType="solid">
          <x:bgColor rgb="FFFBEAEC"/>
        </x:patternFill>
      </x:fill>
    </x:dxf>
    <x:dxf>
      <x:font>
        <x:color rgb="FFA02836"/>
      </x:font>
      <x:fill>
        <x:patternFill patternType="solid">
          <x:bgColor rgb="FFFBEAEC"/>
        </x:patternFill>
      </x:fill>
    </x:dxf>
    <x:dxf>
      <x:font>
        <x:color rgb="FFA02836"/>
      </x:font>
      <x:fill>
        <x:patternFill patternType="solid">
          <x:bgColor rgb="FFFBEAEC"/>
        </x:patternFill>
      </x:fill>
    </x:dxf>
    <x:dxf>
      <x:font>
        <x:color rgb="FFA02836"/>
      </x:font>
      <x:fill>
        <x:patternFill patternType="solid">
          <x:bgColor rgb="FFFBEAEC"/>
        </x:patternFill>
      </x:fill>
    </x:dxf>
    <x:dxf>
      <x:font>
        <x:color rgb="FFA02836"/>
      </x:font>
      <x:fill>
        <x:patternFill patternType="solid">
          <x:bgColor rgb="FFFBEAEC"/>
        </x:patternFill>
      </x:fill>
    </x:dxf>
    <x:dxf>
      <x:font>
        <x:color rgb="FFA02836"/>
      </x:font>
      <x:fill>
        <x:patternFill patternType="solid">
          <x:bgColor rgb="FFFBEAEC"/>
        </x:patternFill>
      </x:fill>
    </x:dxf>
    <x:dxf>
      <x:font>
        <x:color rgb="FFA02836"/>
      </x:font>
      <x:fill>
        <x:patternFill patternType="solid">
          <x:bgColor rgb="FFFBEAEC"/>
        </x:patternFill>
      </x:fill>
    </x:dxf>
    <x:dxf>
      <x:font>
        <x:color rgb="FFA02836"/>
      </x:font>
      <x:fill>
        <x:patternFill patternType="solid">
          <x:bgColor rgb="FFFBEAEC"/>
        </x:patternFill>
      </x:fill>
    </x:dxf>
    <x:dxf>
      <x:font>
        <x:color rgb="FFA02836"/>
      </x:font>
      <x:fill>
        <x:patternFill patternType="solid">
          <x:bgColor rgb="FFFBEAEC"/>
        </x:patternFill>
      </x:fill>
    </x:dxf>
    <x:dxf>
      <x:font>
        <x:color rgb="FFA02836"/>
      </x:font>
      <x:fill>
        <x:patternFill patternType="solid">
          <x:bgColor rgb="FFFBEAEC"/>
        </x:patternFill>
      </x:fill>
    </x:dxf>
    <x:dxf>
      <x:font>
        <x:color rgb="FFA02836"/>
      </x:font>
      <x:fill>
        <x:patternFill patternType="solid">
          <x:bgColor rgb="FFFBEAEC"/>
        </x:patternFill>
      </x:fill>
    </x:dxf>
    <x:dxf>
      <x:font>
        <x:color rgb="FFA02836"/>
      </x:font>
      <x:fill>
        <x:patternFill patternType="solid">
          <x:bgColor rgb="FFFBEAEC"/>
        </x:patternFill>
      </x:fill>
    </x:dxf>
    <x:dxf>
      <x:font>
        <x:color rgb="FFA02836"/>
      </x:font>
      <x:fill>
        <x:patternFill patternType="solid">
          <x:bgColor rgb="FFFBEAEC"/>
        </x:patternFill>
      </x:fill>
    </x:dxf>
    <x:dxf>
      <x:font>
        <x:color rgb="FFA02836"/>
      </x:font>
      <x:fill>
        <x:patternFill patternType="solid">
          <x:bgColor rgb="FFFBEAEC"/>
        </x:patternFill>
      </x:fill>
    </x:dxf>
    <x:dxf>
      <x:font>
        <x:color rgb="FFA02836"/>
      </x:font>
      <x:fill>
        <x:patternFill patternType="solid">
          <x:bgColor rgb="FFFBEAEC"/>
        </x:patternFill>
      </x:fill>
    </x:dxf>
    <x:dxf>
      <x:font>
        <x:color rgb="FFA02836"/>
      </x:font>
      <x:fill>
        <x:patternFill patternType="solid">
          <x:bgColor rgb="FFFBEAEC"/>
        </x:patternFill>
      </x:fill>
    </x:dxf>
    <x:dxf>
      <x:font>
        <x:color rgb="FFA02836"/>
      </x:font>
      <x:fill>
        <x:patternFill patternType="solid">
          <x:bgColor rgb="FFFBEAEC"/>
        </x:patternFill>
      </x:fill>
    </x:dxf>
    <x:dxf>
      <x:font>
        <x:color rgb="FFA02836"/>
      </x:font>
      <x:fill>
        <x:patternFill patternType="solid">
          <x:bgColor rgb="FFFBEAEC"/>
        </x:patternFill>
      </x:fill>
    </x:dxf>
    <x:dxf>
      <x:font>
        <x:color rgb="FFA02836"/>
      </x:font>
      <x:fill>
        <x:patternFill patternType="solid">
          <x:bgColor rgb="FFFBEAEC"/>
        </x:patternFill>
      </x:fill>
    </x:dxf>
    <x:dxf>
      <x:font>
        <x:color rgb="FFA02836"/>
      </x:font>
      <x:fill>
        <x:patternFill patternType="solid">
          <x:bgColor rgb="FFFBEAEC"/>
        </x:patternFill>
      </x:fill>
    </x:dxf>
    <x:dxf>
      <x:font>
        <x:color rgb="FFA02836"/>
      </x:font>
      <x:fill>
        <x:patternFill patternType="solid">
          <x:bgColor rgb="FFFBEAEC"/>
        </x:patternFill>
      </x:fill>
    </x:dxf>
    <x:dxf>
      <x:font>
        <x:color rgb="FFA02836"/>
      </x:font>
      <x:fill>
        <x:patternFill patternType="solid">
          <x:bgColor rgb="FFFBEAEC"/>
        </x:patternFill>
      </x:fill>
    </x:dxf>
    <x:dxf>
      <x:font>
        <x:color rgb="FFA02836"/>
      </x:font>
      <x:fill>
        <x:patternFill patternType="solid">
          <x:bgColor rgb="FFFBEAEC"/>
        </x:patternFill>
      </x:fill>
    </x:dxf>
    <x:dxf>
      <x:font>
        <x:color rgb="FFA02836"/>
      </x:font>
      <x:fill>
        <x:patternFill patternType="solid">
          <x:bgColor rgb="FFFBEAEC"/>
        </x:patternFill>
      </x:fill>
    </x:dxf>
    <x:dxf>
      <x:font>
        <x:color rgb="FFA02836"/>
      </x:font>
      <x:fill>
        <x:patternFill patternType="solid">
          <x:bgColor rgb="FFFBEAEC"/>
        </x:patternFill>
      </x:fill>
    </x:dxf>
    <x:dxf>
      <x:font>
        <x:color rgb="FFA02836"/>
      </x:font>
      <x:fill>
        <x:patternFill patternType="solid">
          <x:bgColor rgb="FFFBEAEC"/>
        </x:patternFill>
      </x:fill>
    </x:dxf>
    <x:dxf>
      <x:font>
        <x:color rgb="FFA02836"/>
      </x:font>
      <x:fill>
        <x:patternFill patternType="solid">
          <x:bgColor rgb="FFFBEAEC"/>
        </x:patternFill>
      </x:fill>
    </x:dxf>
    <x:dxf>
      <x:font>
        <x:color rgb="FFA02836"/>
      </x:font>
      <x:fill>
        <x:patternFill patternType="solid">
          <x:bgColor rgb="FFFBEAEC"/>
        </x:patternFill>
      </x:fill>
    </x:dxf>
    <x:dxf>
      <x:font>
        <x:color rgb="FFA02836"/>
      </x:font>
      <x:fill>
        <x:patternFill patternType="solid">
          <x:bgColor rgb="FFFBEAEC"/>
        </x:patternFill>
      </x:fill>
    </x:dxf>
    <x:dxf>
      <x:font>
        <x:color rgb="FFA02836"/>
      </x:font>
      <x:fill>
        <x:patternFill patternType="solid">
          <x:bgColor rgb="FFFBEAEC"/>
        </x:patternFill>
      </x:fill>
    </x:dxf>
    <x:dxf>
      <x:font>
        <x:color rgb="FFA02836"/>
      </x:font>
      <x:fill>
        <x:patternFill patternType="solid">
          <x:bgColor rgb="FFFBEAEC"/>
        </x:patternFill>
      </x:fill>
    </x:dxf>
    <x:dxf>
      <x:font>
        <x:color rgb="FFA02836"/>
      </x:font>
      <x:fill>
        <x:patternFill patternType="solid">
          <x:bgColor rgb="FFFBEAEC"/>
        </x:patternFill>
      </x:fill>
    </x:dxf>
    <x:dxf>
      <x:font>
        <x:color rgb="FFA02836"/>
      </x:font>
      <x:fill>
        <x:patternFill patternType="solid">
          <x:bgColor rgb="FFFBEAEC"/>
        </x:patternFill>
      </x:fill>
    </x:dxf>
    <x:dxf>
      <x:font>
        <x:color rgb="FFA02836"/>
      </x:font>
      <x:fill>
        <x:patternFill patternType="solid">
          <x:bgColor rgb="FFFBEAEC"/>
        </x:patternFill>
      </x:fill>
    </x:dxf>
    <x:dxf>
      <x:font>
        <x:color rgb="FFA02836"/>
      </x:font>
      <x:fill>
        <x:patternFill patternType="solid">
          <x:bgColor rgb="FFFBEAEC"/>
        </x:patternFill>
      </x:fill>
    </x:dxf>
    <x:dxf>
      <x:font>
        <x:color rgb="FFA02836"/>
      </x:font>
      <x:fill>
        <x:patternFill patternType="solid">
          <x:bgColor rgb="FFFBEAEC"/>
        </x:patternFill>
      </x:fill>
    </x:dxf>
    <x:dxf>
      <x:font>
        <x:color rgb="FFA02836"/>
      </x:font>
      <x:fill>
        <x:patternFill patternType="solid">
          <x:bgColor rgb="FFFBEA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78645e52354d6f" /><Relationship Type="http://schemas.openxmlformats.org/officeDocument/2006/relationships/theme" Target="/xl/theme/theme1.xml" Id="Rd6a6274c8f2d4563" /><Relationship Type="http://schemas.openxmlformats.org/officeDocument/2006/relationships/sharedStrings" Target="/xl/sharedStrings.xml" Id="R3cb1781a12fc47f6" /><Relationship Type="http://schemas.openxmlformats.org/officeDocument/2006/relationships/worksheet" Target="/xl/worksheets/sheet1.xml" Id="R87aa34b1a4fa4fb2" /><Relationship Type="http://schemas.openxmlformats.org/officeDocument/2006/relationships/worksheet" Target="/xl/worksheets/sheet2.xml" Id="R31074d405eb54b94" /><Relationship Type="http://schemas.openxmlformats.org/officeDocument/2006/relationships/worksheet" Target="/xl/worksheets/sheet3.xml" Id="R72f9a39f25524488" /><Relationship Type="http://schemas.openxmlformats.org/officeDocument/2006/relationships/worksheet" Target="/xl/worksheets/sheet4.xml" Id="Ra1afa99a99b14cac" /><Relationship Type="http://schemas.openxmlformats.org/officeDocument/2006/relationships/worksheet" Target="/xl/worksheets/sheet5.xml" Id="Rd2781b3e13b64472" /><Relationship Type="http://schemas.openxmlformats.org/officeDocument/2006/relationships/worksheet" Target="/xl/worksheets/sheet6.xml" Id="R06d82996e95f499e" /><Relationship Type="http://schemas.openxmlformats.org/officeDocument/2006/relationships/worksheet" Target="/xl/worksheets/sheet7.xml" Id="Ra409f1b1f9bf4908" /><Relationship Type="http://schemas.openxmlformats.org/officeDocument/2006/relationships/worksheet" Target="/xl/worksheets/sheet8.xml" Id="Rccf0c84c64314bdc" /><Relationship Type="http://schemas.openxmlformats.org/officeDocument/2006/relationships/worksheet" Target="/xl/worksheets/sheet9.xml" Id="R1c2bcf2761ad4d28" /><Relationship Type="http://schemas.openxmlformats.org/officeDocument/2006/relationships/worksheet" Target="/xl/worksheets/sheet10.xml" Id="Raf4b4c8977234b77" /><Relationship Type="http://schemas.openxmlformats.org/officeDocument/2006/relationships/worksheet" Target="/xl/worksheets/sheet11.xml" Id="R7be2a51228394391" /><Relationship Type="http://schemas.openxmlformats.org/officeDocument/2006/relationships/worksheet" Target="/xl/worksheets/sheet12.xml" Id="R92024692925c42c5" /><Relationship Type="http://schemas.openxmlformats.org/officeDocument/2006/relationships/worksheet" Target="/xl/worksheets/sheet13.xml" Id="Red4a9efb82a54246" /><Relationship Type="http://schemas.openxmlformats.org/officeDocument/2006/relationships/worksheet" Target="/xl/worksheets/sheet14.xml" Id="R7936c492d9af4871" /><Relationship Type="http://schemas.openxmlformats.org/officeDocument/2006/relationships/worksheet" Target="/xl/worksheets/sheet15.xml" Id="R013a14ee2c924ff9" /><Relationship Type="http://schemas.openxmlformats.org/officeDocument/2006/relationships/worksheet" Target="/xl/worksheets/sheet16.xml" Id="R387b3141d21040e8" /><Relationship Type="http://schemas.openxmlformats.org/officeDocument/2006/relationships/worksheet" Target="/xl/worksheets/sheet17.xml" Id="Rf71970d1338345ff" /><Relationship Type="http://schemas.openxmlformats.org/officeDocument/2006/relationships/worksheet" Target="/xl/worksheets/sheet18.xml" Id="R1bed26e014134708" /><Relationship Type="http://schemas.openxmlformats.org/officeDocument/2006/relationships/worksheet" Target="/xl/worksheets/sheet19.xml" Id="R97bd158a4abf499f" /><Relationship Type="http://schemas.openxmlformats.org/officeDocument/2006/relationships/worksheet" Target="/xl/worksheets/sheet20.xml" Id="Ra21ccefadad04f76" /><Relationship Type="http://schemas.openxmlformats.org/officeDocument/2006/relationships/worksheet" Target="/xl/worksheets/sheet21.xml" Id="R231f468003fe41c2" /><Relationship Type="http://schemas.openxmlformats.org/officeDocument/2006/relationships/worksheet" Target="/xl/worksheets/sheet22.xml" Id="R540f744661914515" /><Relationship Type="http://schemas.openxmlformats.org/officeDocument/2006/relationships/worksheet" Target="/xl/worksheets/sheet23.xml" Id="R46d899f75f0c4c9d" /><Relationship Type="http://schemas.openxmlformats.org/officeDocument/2006/relationships/worksheet" Target="/xl/worksheets/sheet24.xml" Id="Rbf8dc722e8aa4d80" /><Relationship Type="http://schemas.openxmlformats.org/officeDocument/2006/relationships/worksheet" Target="/xl/worksheets/sheet25.xml" Id="R8a991edd6e594fc7" /><Relationship Type="http://schemas.openxmlformats.org/officeDocument/2006/relationships/worksheet" Target="/xl/worksheets/sheet26.xml" Id="R79cdebb90eac4449" /><Relationship Type="http://schemas.openxmlformats.org/officeDocument/2006/relationships/worksheet" Target="/xl/worksheets/sheet27.xml" Id="Raa6aa9613bfd4fcb" /></Relationships>
</file>

<file path=xl/tables/table1.xml><?xml version="1.0" encoding="utf-8"?>
<x:table xmlns:x="http://schemas.openxmlformats.org/spreadsheetml/2006/main" id="26" name="Comparison148" displayName="Comparison148" ref="A6:N31" headerRowCount="1" totalsRowCount="0" totalsRowShown="0">
  <x:autoFilter ref="A6:N31"/>
  <x:tableColumns count="14">
    <x:tableColumn id="1" name="手法ID"/>
    <x:tableColumn id="2" name="簡単な説明"/>
    <x:tableColumn id="3" name="総利益（円）"/>
    <x:tableColumn id="4" name="総損失（円）"/>
    <x:tableColumn id="5" name="収支（円）"/>
    <x:tableColumn id="6" name="D07との差（円）"/>
    <x:tableColumn id="7" name="利益損失比"/>
    <x:tableColumn id="8" name="黒字場数"/>
    <x:tableColumn id="9" name="赤字場数"/>
    <x:tableColumn id="10" name="最大赤字（円）"/>
    <x:tableColumn id="11" name="上位3黒字除外（円）"/>
    <x:tableColumn id="12" name="新規件数"/>
    <x:tableColumn id="13" name="前段収支（円）"/>
    <x:tableColumn id="14" name="後段収支（円）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Method148_D07" displayName="Method148_D07" ref="A6:K31" headerRowCount="1" totalsRowCount="0" totalsRowShown="0">
  <x:autoFilter ref="A6:K31"/>
  <x:tableColumns count="11">
    <x:tableColumn id="1" name="セッション"/>
    <x:tableColumn id="2" name="始終値方向"/>
    <x:tableColumn id="3" name="利益（円）"/>
    <x:tableColumn id="4" name="損失（円）"/>
    <x:tableColumn id="5" name="収支（円）"/>
    <x:tableColumn id="6" name="累計（円）"/>
    <x:tableColumn id="7" name="新規件数"/>
    <x:tableColumn id="8" name="新規合計枚数"/>
    <x:tableColumn id="9" name="前段収支（円）"/>
    <x:tableColumn id="10" name="後段収支（円）"/>
    <x:tableColumn id="11" name="親取引数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2" name="Method148_P01" displayName="Method148_P01" ref="A6:K31" headerRowCount="1" totalsRowCount="0" totalsRowShown="0">
  <x:autoFilter ref="A6:K31"/>
  <x:tableColumns count="11">
    <x:tableColumn id="1" name="セッション"/>
    <x:tableColumn id="2" name="始終値方向"/>
    <x:tableColumn id="3" name="利益（円）"/>
    <x:tableColumn id="4" name="損失（円）"/>
    <x:tableColumn id="5" name="収支（円）"/>
    <x:tableColumn id="6" name="累計（円）"/>
    <x:tableColumn id="7" name="新規件数"/>
    <x:tableColumn id="8" name="新規合計枚数"/>
    <x:tableColumn id="9" name="前段収支（円）"/>
    <x:tableColumn id="10" name="後段収支（円）"/>
    <x:tableColumn id="11" name="親取引数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3" name="Method148_P02" displayName="Method148_P02" ref="A6:K31" headerRowCount="1" totalsRowCount="0" totalsRowShown="0">
  <x:autoFilter ref="A6:K31"/>
  <x:tableColumns count="11">
    <x:tableColumn id="1" name="セッション"/>
    <x:tableColumn id="2" name="始終値方向"/>
    <x:tableColumn id="3" name="利益（円）"/>
    <x:tableColumn id="4" name="損失（円）"/>
    <x:tableColumn id="5" name="収支（円）"/>
    <x:tableColumn id="6" name="累計（円）"/>
    <x:tableColumn id="7" name="新規件数"/>
    <x:tableColumn id="8" name="新規合計枚数"/>
    <x:tableColumn id="9" name="前段収支（円）"/>
    <x:tableColumn id="10" name="後段収支（円）"/>
    <x:tableColumn id="11" name="親取引数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4" name="Method148_P03" displayName="Method148_P03" ref="A6:K31" headerRowCount="1" totalsRowCount="0" totalsRowShown="0">
  <x:autoFilter ref="A6:K31"/>
  <x:tableColumns count="11">
    <x:tableColumn id="1" name="セッション"/>
    <x:tableColumn id="2" name="始終値方向"/>
    <x:tableColumn id="3" name="利益（円）"/>
    <x:tableColumn id="4" name="損失（円）"/>
    <x:tableColumn id="5" name="収支（円）"/>
    <x:tableColumn id="6" name="累計（円）"/>
    <x:tableColumn id="7" name="新規件数"/>
    <x:tableColumn id="8" name="新規合計枚数"/>
    <x:tableColumn id="9" name="前段収支（円）"/>
    <x:tableColumn id="10" name="後段収支（円）"/>
    <x:tableColumn id="11" name="親取引数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5" name="Method148_P04" displayName="Method148_P04" ref="A6:K31" headerRowCount="1" totalsRowCount="0" totalsRowShown="0">
  <x:autoFilter ref="A6:K31"/>
  <x:tableColumns count="11">
    <x:tableColumn id="1" name="セッション"/>
    <x:tableColumn id="2" name="始終値方向"/>
    <x:tableColumn id="3" name="利益（円）"/>
    <x:tableColumn id="4" name="損失（円）"/>
    <x:tableColumn id="5" name="収支（円）"/>
    <x:tableColumn id="6" name="累計（円）"/>
    <x:tableColumn id="7" name="新規件数"/>
    <x:tableColumn id="8" name="新規合計枚数"/>
    <x:tableColumn id="9" name="前段収支（円）"/>
    <x:tableColumn id="10" name="後段収支（円）"/>
    <x:tableColumn id="11" name="親取引数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6" name="Method148_P05" displayName="Method148_P05" ref="A6:K31" headerRowCount="1" totalsRowCount="0" totalsRowShown="0">
  <x:autoFilter ref="A6:K31"/>
  <x:tableColumns count="11">
    <x:tableColumn id="1" name="セッション"/>
    <x:tableColumn id="2" name="始終値方向"/>
    <x:tableColumn id="3" name="利益（円）"/>
    <x:tableColumn id="4" name="損失（円）"/>
    <x:tableColumn id="5" name="収支（円）"/>
    <x:tableColumn id="6" name="累計（円）"/>
    <x:tableColumn id="7" name="新規件数"/>
    <x:tableColumn id="8" name="新規合計枚数"/>
    <x:tableColumn id="9" name="前段収支（円）"/>
    <x:tableColumn id="10" name="後段収支（円）"/>
    <x:tableColumn id="11" name="親取引数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7" name="Method148_P06" displayName="Method148_P06" ref="A6:K31" headerRowCount="1" totalsRowCount="0" totalsRowShown="0">
  <x:autoFilter ref="A6:K31"/>
  <x:tableColumns count="11">
    <x:tableColumn id="1" name="セッション"/>
    <x:tableColumn id="2" name="始終値方向"/>
    <x:tableColumn id="3" name="利益（円）"/>
    <x:tableColumn id="4" name="損失（円）"/>
    <x:tableColumn id="5" name="収支（円）"/>
    <x:tableColumn id="6" name="累計（円）"/>
    <x:tableColumn id="7" name="新規件数"/>
    <x:tableColumn id="8" name="新規合計枚数"/>
    <x:tableColumn id="9" name="前段収支（円）"/>
    <x:tableColumn id="10" name="後段収支（円）"/>
    <x:tableColumn id="11" name="親取引数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8" name="Method148_P07" displayName="Method148_P07" ref="A6:K31" headerRowCount="1" totalsRowCount="0" totalsRowShown="0">
  <x:autoFilter ref="A6:K31"/>
  <x:tableColumns count="11">
    <x:tableColumn id="1" name="セッション"/>
    <x:tableColumn id="2" name="始終値方向"/>
    <x:tableColumn id="3" name="利益（円）"/>
    <x:tableColumn id="4" name="損失（円）"/>
    <x:tableColumn id="5" name="収支（円）"/>
    <x:tableColumn id="6" name="累計（円）"/>
    <x:tableColumn id="7" name="新規件数"/>
    <x:tableColumn id="8" name="新規合計枚数"/>
    <x:tableColumn id="9" name="前段収支（円）"/>
    <x:tableColumn id="10" name="後段収支（円）"/>
    <x:tableColumn id="11" name="親取引数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9" name="Method148_P08" displayName="Method148_P08" ref="A6:K31" headerRowCount="1" totalsRowCount="0" totalsRowShown="0">
  <x:autoFilter ref="A6:K31"/>
  <x:tableColumns count="11">
    <x:tableColumn id="1" name="セッション"/>
    <x:tableColumn id="2" name="始終値方向"/>
    <x:tableColumn id="3" name="利益（円）"/>
    <x:tableColumn id="4" name="損失（円）"/>
    <x:tableColumn id="5" name="収支（円）"/>
    <x:tableColumn id="6" name="累計（円）"/>
    <x:tableColumn id="7" name="新規件数"/>
    <x:tableColumn id="8" name="新規合計枚数"/>
    <x:tableColumn id="9" name="前段収支（円）"/>
    <x:tableColumn id="10" name="後段収支（円）"/>
    <x:tableColumn id="11" name="親取引数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0" name="Method148_P09" displayName="Method148_P09" ref="A6:K31" headerRowCount="1" totalsRowCount="0" totalsRowShown="0">
  <x:autoFilter ref="A6:K31"/>
  <x:tableColumns count="11">
    <x:tableColumn id="1" name="セッション"/>
    <x:tableColumn id="2" name="始終値方向"/>
    <x:tableColumn id="3" name="利益（円）"/>
    <x:tableColumn id="4" name="損失（円）"/>
    <x:tableColumn id="5" name="収支（円）"/>
    <x:tableColumn id="6" name="累計（円）"/>
    <x:tableColumn id="7" name="新規件数"/>
    <x:tableColumn id="8" name="新規合計枚数"/>
    <x:tableColumn id="9" name="前段収支（円）"/>
    <x:tableColumn id="10" name="後段収支（円）"/>
    <x:tableColumn id="11" name="親取引数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1" name="Method148_P10" displayName="Method148_P10" ref="A6:K31" headerRowCount="1" totalsRowCount="0" totalsRowShown="0">
  <x:autoFilter ref="A6:K31"/>
  <x:tableColumns count="11">
    <x:tableColumn id="1" name="セッション"/>
    <x:tableColumn id="2" name="始終値方向"/>
    <x:tableColumn id="3" name="利益（円）"/>
    <x:tableColumn id="4" name="損失（円）"/>
    <x:tableColumn id="5" name="収支（円）"/>
    <x:tableColumn id="6" name="累計（円）"/>
    <x:tableColumn id="7" name="新規件数"/>
    <x:tableColumn id="8" name="新規合計枚数"/>
    <x:tableColumn id="9" name="前段収支（円）"/>
    <x:tableColumn id="10" name="後段収支（円）"/>
    <x:tableColumn id="11" name="親取引数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2" name="Method148_P11" displayName="Method148_P11" ref="A6:K31" headerRowCount="1" totalsRowCount="0" totalsRowShown="0">
  <x:autoFilter ref="A6:K31"/>
  <x:tableColumns count="11">
    <x:tableColumn id="1" name="セッション"/>
    <x:tableColumn id="2" name="始終値方向"/>
    <x:tableColumn id="3" name="利益（円）"/>
    <x:tableColumn id="4" name="損失（円）"/>
    <x:tableColumn id="5" name="収支（円）"/>
    <x:tableColumn id="6" name="累計（円）"/>
    <x:tableColumn id="7" name="新規件数"/>
    <x:tableColumn id="8" name="新規合計枚数"/>
    <x:tableColumn id="9" name="前段収支（円）"/>
    <x:tableColumn id="10" name="後段収支（円）"/>
    <x:tableColumn id="11" name="親取引数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3" name="Method148_P12" displayName="Method148_P12" ref="A6:K31" headerRowCount="1" totalsRowCount="0" totalsRowShown="0">
  <x:autoFilter ref="A6:K31"/>
  <x:tableColumns count="11">
    <x:tableColumn id="1" name="セッション"/>
    <x:tableColumn id="2" name="始終値方向"/>
    <x:tableColumn id="3" name="利益（円）"/>
    <x:tableColumn id="4" name="損失（円）"/>
    <x:tableColumn id="5" name="収支（円）"/>
    <x:tableColumn id="6" name="累計（円）"/>
    <x:tableColumn id="7" name="新規件数"/>
    <x:tableColumn id="8" name="新規合計枚数"/>
    <x:tableColumn id="9" name="前段収支（円）"/>
    <x:tableColumn id="10" name="後段収支（円）"/>
    <x:tableColumn id="11" name="親取引数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4" name="Method148_P13" displayName="Method148_P13" ref="A6:K31" headerRowCount="1" totalsRowCount="0" totalsRowShown="0">
  <x:autoFilter ref="A6:K31"/>
  <x:tableColumns count="11">
    <x:tableColumn id="1" name="セッション"/>
    <x:tableColumn id="2" name="始終値方向"/>
    <x:tableColumn id="3" name="利益（円）"/>
    <x:tableColumn id="4" name="損失（円）"/>
    <x:tableColumn id="5" name="収支（円）"/>
    <x:tableColumn id="6" name="累計（円）"/>
    <x:tableColumn id="7" name="新規件数"/>
    <x:tableColumn id="8" name="新規合計枚数"/>
    <x:tableColumn id="9" name="前段収支（円）"/>
    <x:tableColumn id="10" name="後段収支（円）"/>
    <x:tableColumn id="11" name="親取引数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5" name="Method148_P14" displayName="Method148_P14" ref="A6:K31" headerRowCount="1" totalsRowCount="0" totalsRowShown="0">
  <x:autoFilter ref="A6:K31"/>
  <x:tableColumns count="11">
    <x:tableColumn id="1" name="セッション"/>
    <x:tableColumn id="2" name="始終値方向"/>
    <x:tableColumn id="3" name="利益（円）"/>
    <x:tableColumn id="4" name="損失（円）"/>
    <x:tableColumn id="5" name="収支（円）"/>
    <x:tableColumn id="6" name="累計（円）"/>
    <x:tableColumn id="7" name="新規件数"/>
    <x:tableColumn id="8" name="新規合計枚数"/>
    <x:tableColumn id="9" name="前段収支（円）"/>
    <x:tableColumn id="10" name="後段収支（円）"/>
    <x:tableColumn id="11" name="親取引数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6" name="Method148_P15" displayName="Method148_P15" ref="A6:K31" headerRowCount="1" totalsRowCount="0" totalsRowShown="0">
  <x:autoFilter ref="A6:K31"/>
  <x:tableColumns count="11">
    <x:tableColumn id="1" name="セッション"/>
    <x:tableColumn id="2" name="始終値方向"/>
    <x:tableColumn id="3" name="利益（円）"/>
    <x:tableColumn id="4" name="損失（円）"/>
    <x:tableColumn id="5" name="収支（円）"/>
    <x:tableColumn id="6" name="累計（円）"/>
    <x:tableColumn id="7" name="新規件数"/>
    <x:tableColumn id="8" name="新規合計枚数"/>
    <x:tableColumn id="9" name="前段収支（円）"/>
    <x:tableColumn id="10" name="後段収支（円）"/>
    <x:tableColumn id="11" name="親取引数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7" name="Method148_P16" displayName="Method148_P16" ref="A6:K31" headerRowCount="1" totalsRowCount="0" totalsRowShown="0">
  <x:autoFilter ref="A6:K31"/>
  <x:tableColumns count="11">
    <x:tableColumn id="1" name="セッション"/>
    <x:tableColumn id="2" name="始終値方向"/>
    <x:tableColumn id="3" name="利益（円）"/>
    <x:tableColumn id="4" name="損失（円）"/>
    <x:tableColumn id="5" name="収支（円）"/>
    <x:tableColumn id="6" name="累計（円）"/>
    <x:tableColumn id="7" name="新規件数"/>
    <x:tableColumn id="8" name="新規合計枚数"/>
    <x:tableColumn id="9" name="前段収支（円）"/>
    <x:tableColumn id="10" name="後段収支（円）"/>
    <x:tableColumn id="11" name="親取引数"/>
  </x:tableColumns>
  <x:tableStyleInfo name="TableStyleMedium2" showFirstColumn="0" showLastColumn="0" showRowStripes="1" showColumnStripes="0"/>
</x:table>
</file>

<file path=xl/tables/table19.xml><?xml version="1.0" encoding="utf-8"?>
<x:table xmlns:x="http://schemas.openxmlformats.org/spreadsheetml/2006/main" id="18" name="Method148_Q01" displayName="Method148_Q01" ref="A6:K31" headerRowCount="1" totalsRowCount="0" totalsRowShown="0">
  <x:autoFilter ref="A6:K31"/>
  <x:tableColumns count="11">
    <x:tableColumn id="1" name="セッション"/>
    <x:tableColumn id="2" name="始終値方向"/>
    <x:tableColumn id="3" name="利益（円）"/>
    <x:tableColumn id="4" name="損失（円）"/>
    <x:tableColumn id="5" name="収支（円）"/>
    <x:tableColumn id="6" name="累計（円）"/>
    <x:tableColumn id="7" name="新規件数"/>
    <x:tableColumn id="8" name="新規合計枚数"/>
    <x:tableColumn id="9" name="前段収支（円）"/>
    <x:tableColumn id="10" name="後段収支（円）"/>
    <x:tableColumn id="11" name="親取引数"/>
  </x:tableColumns>
  <x:tableStyleInfo name="TableStyleMedium2" showFirstColumn="0" showLastColumn="0" showRowStripes="1" showColumnStripes="0"/>
</x:table>
</file>

<file path=xl/tables/table20.xml><?xml version="1.0" encoding="utf-8"?>
<x:table xmlns:x="http://schemas.openxmlformats.org/spreadsheetml/2006/main" id="19" name="Method148_Q02" displayName="Method148_Q02" ref="A6:K31" headerRowCount="1" totalsRowCount="0" totalsRowShown="0">
  <x:autoFilter ref="A6:K31"/>
  <x:tableColumns count="11">
    <x:tableColumn id="1" name="セッション"/>
    <x:tableColumn id="2" name="始終値方向"/>
    <x:tableColumn id="3" name="利益（円）"/>
    <x:tableColumn id="4" name="損失（円）"/>
    <x:tableColumn id="5" name="収支（円）"/>
    <x:tableColumn id="6" name="累計（円）"/>
    <x:tableColumn id="7" name="新規件数"/>
    <x:tableColumn id="8" name="新規合計枚数"/>
    <x:tableColumn id="9" name="前段収支（円）"/>
    <x:tableColumn id="10" name="後段収支（円）"/>
    <x:tableColumn id="11" name="親取引数"/>
  </x:tableColumns>
  <x:tableStyleInfo name="TableStyleMedium2" showFirstColumn="0" showLastColumn="0" showRowStripes="1" showColumnStripes="0"/>
</x:table>
</file>

<file path=xl/tables/table21.xml><?xml version="1.0" encoding="utf-8"?>
<x:table xmlns:x="http://schemas.openxmlformats.org/spreadsheetml/2006/main" id="20" name="Method148_Q03" displayName="Method148_Q03" ref="A6:K31" headerRowCount="1" totalsRowCount="0" totalsRowShown="0">
  <x:autoFilter ref="A6:K31"/>
  <x:tableColumns count="11">
    <x:tableColumn id="1" name="セッション"/>
    <x:tableColumn id="2" name="始終値方向"/>
    <x:tableColumn id="3" name="利益（円）"/>
    <x:tableColumn id="4" name="損失（円）"/>
    <x:tableColumn id="5" name="収支（円）"/>
    <x:tableColumn id="6" name="累計（円）"/>
    <x:tableColumn id="7" name="新規件数"/>
    <x:tableColumn id="8" name="新規合計枚数"/>
    <x:tableColumn id="9" name="前段収支（円）"/>
    <x:tableColumn id="10" name="後段収支（円）"/>
    <x:tableColumn id="11" name="親取引数"/>
  </x:tableColumns>
  <x:tableStyleInfo name="TableStyleMedium2" showFirstColumn="0" showLastColumn="0" showRowStripes="1" showColumnStripes="0"/>
</x:table>
</file>

<file path=xl/tables/table22.xml><?xml version="1.0" encoding="utf-8"?>
<x:table xmlns:x="http://schemas.openxmlformats.org/spreadsheetml/2006/main" id="21" name="Method148_Q04" displayName="Method148_Q04" ref="A6:K31" headerRowCount="1" totalsRowCount="0" totalsRowShown="0">
  <x:autoFilter ref="A6:K31"/>
  <x:tableColumns count="11">
    <x:tableColumn id="1" name="セッション"/>
    <x:tableColumn id="2" name="始終値方向"/>
    <x:tableColumn id="3" name="利益（円）"/>
    <x:tableColumn id="4" name="損失（円）"/>
    <x:tableColumn id="5" name="収支（円）"/>
    <x:tableColumn id="6" name="累計（円）"/>
    <x:tableColumn id="7" name="新規件数"/>
    <x:tableColumn id="8" name="新規合計枚数"/>
    <x:tableColumn id="9" name="前段収支（円）"/>
    <x:tableColumn id="10" name="後段収支（円）"/>
    <x:tableColumn id="11" name="親取引数"/>
  </x:tableColumns>
  <x:tableStyleInfo name="TableStyleMedium2" showFirstColumn="0" showLastColumn="0" showRowStripes="1" showColumnStripes="0"/>
</x:table>
</file>

<file path=xl/tables/table23.xml><?xml version="1.0" encoding="utf-8"?>
<x:table xmlns:x="http://schemas.openxmlformats.org/spreadsheetml/2006/main" id="22" name="Method148_Q05" displayName="Method148_Q05" ref="A6:K31" headerRowCount="1" totalsRowCount="0" totalsRowShown="0">
  <x:autoFilter ref="A6:K31"/>
  <x:tableColumns count="11">
    <x:tableColumn id="1" name="セッション"/>
    <x:tableColumn id="2" name="始終値方向"/>
    <x:tableColumn id="3" name="利益（円）"/>
    <x:tableColumn id="4" name="損失（円）"/>
    <x:tableColumn id="5" name="収支（円）"/>
    <x:tableColumn id="6" name="累計（円）"/>
    <x:tableColumn id="7" name="新規件数"/>
    <x:tableColumn id="8" name="新規合計枚数"/>
    <x:tableColumn id="9" name="前段収支（円）"/>
    <x:tableColumn id="10" name="後段収支（円）"/>
    <x:tableColumn id="11" name="親取引数"/>
  </x:tableColumns>
  <x:tableStyleInfo name="TableStyleMedium2" showFirstColumn="0" showLastColumn="0" showRowStripes="1" showColumnStripes="0"/>
</x:table>
</file>

<file path=xl/tables/table24.xml><?xml version="1.0" encoding="utf-8"?>
<x:table xmlns:x="http://schemas.openxmlformats.org/spreadsheetml/2006/main" id="23" name="Method148_Q06" displayName="Method148_Q06" ref="A6:K31" headerRowCount="1" totalsRowCount="0" totalsRowShown="0">
  <x:autoFilter ref="A6:K31"/>
  <x:tableColumns count="11">
    <x:tableColumn id="1" name="セッション"/>
    <x:tableColumn id="2" name="始終値方向"/>
    <x:tableColumn id="3" name="利益（円）"/>
    <x:tableColumn id="4" name="損失（円）"/>
    <x:tableColumn id="5" name="収支（円）"/>
    <x:tableColumn id="6" name="累計（円）"/>
    <x:tableColumn id="7" name="新規件数"/>
    <x:tableColumn id="8" name="新規合計枚数"/>
    <x:tableColumn id="9" name="前段収支（円）"/>
    <x:tableColumn id="10" name="後段収支（円）"/>
    <x:tableColumn id="11" name="親取引数"/>
  </x:tableColumns>
  <x:tableStyleInfo name="TableStyleMedium2" showFirstColumn="0" showLastColumn="0" showRowStripes="1" showColumnStripes="0"/>
</x:table>
</file>

<file path=xl/tables/table25.xml><?xml version="1.0" encoding="utf-8"?>
<x:table xmlns:x="http://schemas.openxmlformats.org/spreadsheetml/2006/main" id="24" name="Method148_Q07" displayName="Method148_Q07" ref="A6:K31" headerRowCount="1" totalsRowCount="0" totalsRowShown="0">
  <x:autoFilter ref="A6:K31"/>
  <x:tableColumns count="11">
    <x:tableColumn id="1" name="セッション"/>
    <x:tableColumn id="2" name="始終値方向"/>
    <x:tableColumn id="3" name="利益（円）"/>
    <x:tableColumn id="4" name="損失（円）"/>
    <x:tableColumn id="5" name="収支（円）"/>
    <x:tableColumn id="6" name="累計（円）"/>
    <x:tableColumn id="7" name="新規件数"/>
    <x:tableColumn id="8" name="新規合計枚数"/>
    <x:tableColumn id="9" name="前段収支（円）"/>
    <x:tableColumn id="10" name="後段収支（円）"/>
    <x:tableColumn id="11" name="親取引数"/>
  </x:tableColumns>
  <x:tableStyleInfo name="TableStyleMedium2" showFirstColumn="0" showLastColumn="0" showRowStripes="1" showColumnStripes="0"/>
</x:table>
</file>

<file path=xl/tables/table26.xml><?xml version="1.0" encoding="utf-8"?>
<x:table xmlns:x="http://schemas.openxmlformats.org/spreadsheetml/2006/main" id="25" name="Method148_Q08" displayName="Method148_Q08" ref="A6:K31" headerRowCount="1" totalsRowCount="0" totalsRowShown="0">
  <x:autoFilter ref="A6:K31"/>
  <x:tableColumns count="11">
    <x:tableColumn id="1" name="セッション"/>
    <x:tableColumn id="2" name="始終値方向"/>
    <x:tableColumn id="3" name="利益（円）"/>
    <x:tableColumn id="4" name="損失（円）"/>
    <x:tableColumn id="5" name="収支（円）"/>
    <x:tableColumn id="6" name="累計（円）"/>
    <x:tableColumn id="7" name="新規件数"/>
    <x:tableColumn id="8" name="新規合計枚数"/>
    <x:tableColumn id="9" name="前段収支（円）"/>
    <x:tableColumn id="10" name="後段収支（円）"/>
    <x:tableColumn id="11" name="親取引数"/>
  </x:tableColumns>
  <x:tableStyleInfo name="TableStyleMedium2" showFirstColumn="0" showLastColumn="0" showRowStripes="1" showColumnStripes="0"/>
</x:table>
</file>

<file path=xl/tables/table27.xml><?xml version="1.0" encoding="utf-8"?>
<x:table xmlns:x="http://schemas.openxmlformats.org/spreadsheetml/2006/main" id="27" name="CurrentPartial148" displayName="CurrentPartial148" ref="A6:H31" headerRowCount="1" totalsRowCount="0" totalsRowShown="0">
  <x:autoFilter ref="A6:H31"/>
  <x:tableColumns count="8">
    <x:tableColumn id="1" name="手法ID"/>
    <x:tableColumn id="2" name="実現収支（円）"/>
    <x:tableColumn id="3" name="含み損益（円）"/>
    <x:tableColumn id="4" name="合計評価（円）"/>
    <x:tableColumn id="5" name="新規件数"/>
    <x:tableColumn id="6" name="新規合計枚数"/>
    <x:tableColumn id="7" name="買い保有枚数"/>
    <x:tableColumn id="8" name="売り保有枚数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aaee93f552646d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3cd20b04b49452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c4ec9d750821402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49ac68530bba48c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3ec496800da1452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4e44c5ae4583477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36ba3fa722d7409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67ad52753af844c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bb94e4f34d1f42b1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1145549986a848a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b06af99a3bc24875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200502f3564d4f5f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0b1e02e9b75142e0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93677f2eb50843bf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19de7b1b6c514e25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6.xml" Id="Rb4e498cb010d46b6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7.xml" Id="R57d6259c4eeb40cc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8.xml" Id="Rde33bb74c3cb4cc0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9.xml" Id="Rf3e2d52f13ab4664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20.xml" Id="R0de525f4abe54c38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21.xml" Id="Rda49dba8379342f8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22.xml" Id="R92724cebaeab439a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23.xml" Id="Rf271135e3a28495b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table" Target="/xl/tables/table24.xml" Id="R4e3ebbdf73534b62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table" Target="/xl/tables/table25.xml" Id="Rc0bd4d7ad2f54665" /></Relationships>
</file>

<file path=xl/worksheets/_rels/sheet26.xml.rels>&#65279;<?xml version="1.0" encoding="utf-8"?><Relationships xmlns="http://schemas.openxmlformats.org/package/2006/relationships"><Relationship Type="http://schemas.openxmlformats.org/officeDocument/2006/relationships/table" Target="/xl/tables/table26.xml" Id="R2a43d2bee400478f" /></Relationships>
</file>

<file path=xl/worksheets/_rels/sheet27.xml.rels>&#65279;<?xml version="1.0" encoding="utf-8"?><Relationships xmlns="http://schemas.openxmlformats.org/package/2006/relationships"><Relationship Type="http://schemas.openxmlformats.org/officeDocument/2006/relationships/table" Target="/xl/tables/table27.xml" Id="Rd9bdb1b8914f44f6" /></Relationships>
</file>

<file path=xl/worksheets/sheet1.xml><?xml version="1.0" encoding="utf-8"?>
<x:worksheet xmlns:x="http://schemas.openxmlformats.org/spreadsheetml/2006/main">
  <x:sheetPr>
    <x:tabColor rgb="FF244A70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2" hidden="0" customWidth="1"/>
    <x:col min="2" max="2" width="54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23" customHeight="1">
      <x:c r="A2" s="4" t="str">
        <x:v>米国開始前の変更と全夜間比較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</x:row>
    <x:row r="3" ht="23" customHeight="1">
      <x:c r="A3" s="6" t="str">
        <x:v>日経mini・片方向上限10枚・手数料0円・気配差込み。利益と損失は完結した親取引の収支を分類。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 ht="23" customHeight="1">
      <x:c r="A4" s="6" t="str">
        <x:v>後段は開場から仮想継続したD07。実アプリの途中新規起動・時間切替とは同値ではない研究用の合成。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 ht="23" customHeight="1">
      <x:c r="A5" s="6" t="str">
        <x:v>今回24条件は米国前を改善せず。D07維持。今夜は取れても過去25夜で悪化。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</x:row>
    <x:row r="6" ht="40" customHeight="1">
      <x:c r="A6" s="15" t="str">
        <x:v>手法ID</x:v>
      </x:c>
      <x:c r="B6" s="16" t="str">
        <x:v>簡単な説明</x:v>
      </x:c>
      <x:c r="C6" s="16" t="str">
        <x:v>総利益（円）</x:v>
      </x:c>
      <x:c r="D6" s="16" t="str">
        <x:v>総損失（円）</x:v>
      </x:c>
      <x:c r="E6" s="16" t="str">
        <x:v>収支（円）</x:v>
      </x:c>
      <x:c r="F6" s="16" t="str">
        <x:v>D07との差（円）</x:v>
      </x:c>
      <x:c r="G6" s="16" t="str">
        <x:v>利益損失比</x:v>
      </x:c>
      <x:c r="H6" s="16" t="str">
        <x:v>黒字場数</x:v>
      </x:c>
      <x:c r="I6" s="16" t="str">
        <x:v>赤字場数</x:v>
      </x:c>
      <x:c r="J6" s="16" t="str">
        <x:v>最大赤字（円）</x:v>
      </x:c>
      <x:c r="K6" s="16" t="str">
        <x:v>上位3黒字除外（円）</x:v>
      </x:c>
      <x:c r="L6" s="16" t="str">
        <x:v>新規件数</x:v>
      </x:c>
      <x:c r="M6" s="16" t="str">
        <x:v>前段収支（円）</x:v>
      </x:c>
      <x:c r="N6" s="17" t="str">
        <x:v>後段収支（円）</x:v>
      </x:c>
    </x:row>
    <x:row r="7" ht="36" customHeight="1">
      <x:c r="A7" s="2" t="str">
        <x:v>D07</x:v>
      </x:c>
      <x:c r="B7" s="27" t="str">
        <x:v>従来D07。夜間全体の基準</x:v>
      </x:c>
      <x:c r="C7" s="19" t="n">
        <x:f>'日経_D07'!C32</x:f>
        <x:v>2884000</x:v>
      </x:c>
      <x:c r="D7" s="19" t="n">
        <x:f>'日経_D07'!D32</x:f>
        <x:v>1249000</x:v>
      </x:c>
      <x:c r="E7" s="19" t="n">
        <x:f>'日経_D07'!E32</x:f>
        <x:v>1635000</x:v>
      </x:c>
      <x:c r="F7" s="19" t="n">
        <x:f>E7-$E$7</x:f>
        <x:v>0</x:v>
      </x:c>
      <x:c r="G7" s="28" t="n">
        <x:f>IF(D7=0,"損失なし",C7/D7)</x:f>
        <x:v>2.309047237790232</x:v>
      </x:c>
      <x:c r="H7" s="2" t="n">
        <x:f>COUNTIFS('日経_D07'!$E$7:$E$31,"&gt;0")</x:f>
        <x:v>17</x:v>
      </x:c>
      <x:c r="I7" s="2" t="n">
        <x:f>COUNTIFS('日経_D07'!$E$7:$E$31,"&lt;0")</x:f>
        <x:v>8</x:v>
      </x:c>
      <x:c r="J7" s="19" t="n">
        <x:f>MAX(0,-MIN('日経_D07'!$E$7:$E$31))</x:f>
        <x:v>53000</x:v>
      </x:c>
      <x:c r="K7" s="19" t="n">
        <x:f>E7-MAX(0,LARGE('日経_D07'!$E$7:$E$31,1))-MAX(0,LARGE('日経_D07'!$E$7:$E$31,2))-MAX(0,LARGE('日経_D07'!$E$7:$E$31,3))</x:f>
        <x:v>470000</x:v>
      </x:c>
      <x:c r="L7" s="2" t="n">
        <x:f>'日経_D07'!G32</x:f>
        <x:v>179</x:v>
      </x:c>
      <x:c r="M7" s="19" t="n">
        <x:f>'日経_D07'!I32</x:f>
        <x:v>81000</x:v>
      </x:c>
      <x:c r="N7" s="19" t="n">
        <x:f>'日経_D07'!J32</x:f>
        <x:v>1554000</x:v>
      </x:c>
    </x:row>
    <x:row r="8" ht="36" customHeight="1">
      <x:c r="A8" s="2" t="str">
        <x:v>P01</x:v>
      </x:c>
      <x:c r="B8" s="27" t="str">
        <x:v>5分・10分の方向一致で5枚、40pt順行後5枚追加</x:v>
      </x:c>
      <x:c r="C8" s="19" t="n">
        <x:f>'日経_P01'!C32</x:f>
        <x:v>4621000</x:v>
      </x:c>
      <x:c r="D8" s="19" t="n">
        <x:f>'日経_P01'!D32</x:f>
        <x:v>4867000</x:v>
      </x:c>
      <x:c r="E8" s="19" t="n">
        <x:f>'日経_P01'!E32</x:f>
        <x:v>-246000</x:v>
      </x:c>
      <x:c r="F8" s="19" t="n">
        <x:f>E8-$E$7</x:f>
        <x:v>-1881000</x:v>
      </x:c>
      <x:c r="G8" s="28" t="n">
        <x:f>IF(D8=0,"損失なし",C8/D8)</x:f>
        <x:v>0.9494555167454284</x:v>
      </x:c>
      <x:c r="H8" s="2" t="n">
        <x:f>COUNTIFS('日経_P01'!$E$7:$E$31,"&gt;0")</x:f>
        <x:v>7</x:v>
      </x:c>
      <x:c r="I8" s="2" t="n">
        <x:f>COUNTIFS('日経_P01'!$E$7:$E$31,"&lt;0")</x:f>
        <x:v>18</x:v>
      </x:c>
      <x:c r="J8" s="19" t="n">
        <x:f>MAX(0,-MIN('日経_P01'!$E$7:$E$31))</x:f>
        <x:v>210000</x:v>
      </x:c>
      <x:c r="K8" s="19" t="n">
        <x:f>E8-MAX(0,LARGE('日経_P01'!$E$7:$E$31,1))-MAX(0,LARGE('日経_P01'!$E$7:$E$31,2))-MAX(0,LARGE('日経_P01'!$E$7:$E$31,3))</x:f>
        <x:v>-1615000</x:v>
      </x:c>
      <x:c r="L8" s="2" t="n">
        <x:f>'日経_P01'!G32</x:f>
        <x:v>287</x:v>
      </x:c>
      <x:c r="M8" s="19" t="n">
        <x:f>'日経_P01'!I32</x:f>
        <x:v>-1800000</x:v>
      </x:c>
      <x:c r="N8" s="19" t="n">
        <x:f>'日経_P01'!J32</x:f>
        <x:v>1554000</x:v>
      </x:c>
    </x:row>
    <x:row r="9" ht="36" customHeight="1">
      <x:c r="A9" s="2" t="str">
        <x:v>P02</x:v>
      </x:c>
      <x:c r="B9" s="27" t="str">
        <x:v>方向一致に、同じ窓の傾きが順方向へ強まる条件を追加</x:v>
      </x:c>
      <x:c r="C9" s="19" t="n">
        <x:f>'日経_P02'!C32</x:f>
        <x:v>4096000</x:v>
      </x:c>
      <x:c r="D9" s="19" t="n">
        <x:f>'日経_P02'!D32</x:f>
        <x:v>3662000</x:v>
      </x:c>
      <x:c r="E9" s="19" t="n">
        <x:f>'日経_P02'!E32</x:f>
        <x:v>434000</x:v>
      </x:c>
      <x:c r="F9" s="19" t="n">
        <x:f>E9-$E$7</x:f>
        <x:v>-1201000</x:v>
      </x:c>
      <x:c r="G9" s="28" t="n">
        <x:f>IF(D9=0,"損失なし",C9/D9)</x:f>
        <x:v>1.1185144729655925</x:v>
      </x:c>
      <x:c r="H9" s="2" t="n">
        <x:f>COUNTIFS('日経_P02'!$E$7:$E$31,"&gt;0")</x:f>
        <x:v>11</x:v>
      </x:c>
      <x:c r="I9" s="2" t="n">
        <x:f>COUNTIFS('日経_P02'!$E$7:$E$31,"&lt;0")</x:f>
        <x:v>14</x:v>
      </x:c>
      <x:c r="J9" s="19" t="n">
        <x:f>MAX(0,-MIN('日経_P02'!$E$7:$E$31))</x:f>
        <x:v>254000</x:v>
      </x:c>
      <x:c r="K9" s="19" t="n">
        <x:f>E9-MAX(0,LARGE('日経_P02'!$E$7:$E$31,1))-MAX(0,LARGE('日経_P02'!$E$7:$E$31,2))-MAX(0,LARGE('日経_P02'!$E$7:$E$31,3))</x:f>
        <x:v>-805000</x:v>
      </x:c>
      <x:c r="L9" s="2" t="n">
        <x:f>'日経_P02'!G32</x:f>
        <x:v>246</x:v>
      </x:c>
      <x:c r="M9" s="19" t="n">
        <x:f>'日経_P02'!I32</x:f>
        <x:v>-1120000</x:v>
      </x:c>
      <x:c r="N9" s="19" t="n">
        <x:f>'日経_P02'!J32</x:f>
        <x:v>1554000</x:v>
      </x:c>
    </x:row>
    <x:row r="10" ht="36" customHeight="1">
      <x:c r="A10" s="2" t="str">
        <x:v>P03</x:v>
      </x:c>
      <x:c r="B10" s="27" t="str">
        <x:v>短い方向窓を3分に変更</x:v>
      </x:c>
      <x:c r="C10" s="19" t="n">
        <x:f>'日経_P03'!C32</x:f>
        <x:v>4616000</x:v>
      </x:c>
      <x:c r="D10" s="19" t="n">
        <x:f>'日経_P03'!D32</x:f>
        <x:v>4762000</x:v>
      </x:c>
      <x:c r="E10" s="19" t="n">
        <x:f>'日経_P03'!E32</x:f>
        <x:v>-146000</x:v>
      </x:c>
      <x:c r="F10" s="19" t="n">
        <x:f>E10-$E$7</x:f>
        <x:v>-1781000</x:v>
      </x:c>
      <x:c r="G10" s="28" t="n">
        <x:f>IF(D10=0,"損失なし",C10/D10)</x:f>
        <x:v>0.9693406131877362</x:v>
      </x:c>
      <x:c r="H10" s="2" t="n">
        <x:f>COUNTIFS('日経_P03'!$E$7:$E$31,"&gt;0")</x:f>
        <x:v>9</x:v>
      </x:c>
      <x:c r="I10" s="2" t="n">
        <x:f>COUNTIFS('日経_P03'!$E$7:$E$31,"&lt;0")</x:f>
        <x:v>16</x:v>
      </x:c>
      <x:c r="J10" s="19" t="n">
        <x:f>MAX(0,-MIN('日経_P03'!$E$7:$E$31))</x:f>
        <x:v>254000</x:v>
      </x:c>
      <x:c r="K10" s="19" t="n">
        <x:f>E10-MAX(0,LARGE('日経_P03'!$E$7:$E$31,1))-MAX(0,LARGE('日経_P03'!$E$7:$E$31,2))-MAX(0,LARGE('日経_P03'!$E$7:$E$31,3))</x:f>
        <x:v>-1375000</x:v>
      </x:c>
      <x:c r="L10" s="2" t="n">
        <x:f>'日経_P03'!G32</x:f>
        <x:v>286</x:v>
      </x:c>
      <x:c r="M10" s="19" t="n">
        <x:f>'日経_P03'!I32</x:f>
        <x:v>-1700000</x:v>
      </x:c>
      <x:c r="N10" s="19" t="n">
        <x:f>'日経_P03'!J32</x:f>
        <x:v>1554000</x:v>
      </x:c>
    </x:row>
    <x:row r="11" ht="36" customHeight="1">
      <x:c r="A11" s="2" t="str">
        <x:v>P04</x:v>
      </x:c>
      <x:c r="B11" s="27" t="str">
        <x:v>長い方向支持窓を20分に変更</x:v>
      </x:c>
      <x:c r="C11" s="19" t="n">
        <x:f>'日経_P04'!C32</x:f>
        <x:v>3726000</x:v>
      </x:c>
      <x:c r="D11" s="19" t="n">
        <x:f>'日経_P04'!D32</x:f>
        <x:v>3627000</x:v>
      </x:c>
      <x:c r="E11" s="19" t="n">
        <x:f>'日経_P04'!E32</x:f>
        <x:v>99000</x:v>
      </x:c>
      <x:c r="F11" s="19" t="n">
        <x:f>E11-$E$7</x:f>
        <x:v>-1536000</x:v>
      </x:c>
      <x:c r="G11" s="28" t="n">
        <x:f>IF(D11=0,"損失なし",C11/D11)</x:f>
        <x:v>1.0272952853598014</x:v>
      </x:c>
      <x:c r="H11" s="2" t="n">
        <x:f>COUNTIFS('日経_P04'!$E$7:$E$31,"&gt;0")</x:f>
        <x:v>9</x:v>
      </x:c>
      <x:c r="I11" s="2" t="n">
        <x:f>COUNTIFS('日経_P04'!$E$7:$E$31,"&lt;0")</x:f>
        <x:v>16</x:v>
      </x:c>
      <x:c r="J11" s="19" t="n">
        <x:f>MAX(0,-MIN('日経_P04'!$E$7:$E$31))</x:f>
        <x:v>214000</x:v>
      </x:c>
      <x:c r="K11" s="19" t="n">
        <x:f>E11-MAX(0,LARGE('日経_P04'!$E$7:$E$31,1))-MAX(0,LARGE('日経_P04'!$E$7:$E$31,2))-MAX(0,LARGE('日経_P04'!$E$7:$E$31,3))</x:f>
        <x:v>-1060000</x:v>
      </x:c>
      <x:c r="L11" s="2" t="n">
        <x:f>'日経_P04'!G32</x:f>
        <x:v>230</x:v>
      </x:c>
      <x:c r="M11" s="19" t="n">
        <x:f>'日経_P04'!I32</x:f>
        <x:v>-1455000</x:v>
      </x:c>
      <x:c r="N11" s="19" t="n">
        <x:f>'日経_P04'!J32</x:f>
        <x:v>1554000</x:v>
      </x:c>
    </x:row>
    <x:row r="12" ht="36" customHeight="1">
      <x:c r="A12" s="2" t="str">
        <x:v>P05</x:v>
      </x:c>
      <x:c r="B12" s="27" t="str">
        <x:v>3分・5分の短い方向一致</x:v>
      </x:c>
      <x:c r="C12" s="19" t="n">
        <x:f>'日経_P05'!C32</x:f>
        <x:v>5061000</x:v>
      </x:c>
      <x:c r="D12" s="19" t="n">
        <x:f>'日経_P05'!D32</x:f>
        <x:v>5867000</x:v>
      </x:c>
      <x:c r="E12" s="19" t="n">
        <x:f>'日経_P05'!E32</x:f>
        <x:v>-806000</x:v>
      </x:c>
      <x:c r="F12" s="19" t="n">
        <x:f>E12-$E$7</x:f>
        <x:v>-2441000</x:v>
      </x:c>
      <x:c r="G12" s="28" t="n">
        <x:f>IF(D12=0,"損失なし",C12/D12)</x:f>
        <x:v>0.8626214419635247</x:v>
      </x:c>
      <x:c r="H12" s="2" t="n">
        <x:f>COUNTIFS('日経_P05'!$E$7:$E$31,"&gt;0")</x:f>
        <x:v>8</x:v>
      </x:c>
      <x:c r="I12" s="2" t="n">
        <x:f>COUNTIFS('日経_P05'!$E$7:$E$31,"&lt;0")</x:f>
        <x:v>17</x:v>
      </x:c>
      <x:c r="J12" s="19" t="n">
        <x:f>MAX(0,-MIN('日経_P05'!$E$7:$E$31))</x:f>
        <x:v>369000</x:v>
      </x:c>
      <x:c r="K12" s="19" t="n">
        <x:f>E12-MAX(0,LARGE('日経_P05'!$E$7:$E$31,1))-MAX(0,LARGE('日経_P05'!$E$7:$E$31,2))-MAX(0,LARGE('日経_P05'!$E$7:$E$31,3))</x:f>
        <x:v>-2275000</x:v>
      </x:c>
      <x:c r="L12" s="2" t="n">
        <x:f>'日経_P05'!G32</x:f>
        <x:v>326</x:v>
      </x:c>
      <x:c r="M12" s="19" t="n">
        <x:f>'日経_P05'!I32</x:f>
        <x:v>-2360000</x:v>
      </x:c>
      <x:c r="N12" s="19" t="n">
        <x:f>'日経_P05'!J32</x:f>
        <x:v>1554000</x:v>
      </x:c>
    </x:row>
    <x:row r="13" ht="36" customHeight="1">
      <x:c r="A13" s="2" t="str">
        <x:v>P06</x:v>
      </x:c>
      <x:c r="B13" s="27" t="str">
        <x:v>入口の方向一致を30秒確認</x:v>
      </x:c>
      <x:c r="C13" s="19" t="n">
        <x:f>'日経_P06'!C32</x:f>
        <x:v>3356000</x:v>
      </x:c>
      <x:c r="D13" s="19" t="n">
        <x:f>'日経_P06'!D32</x:f>
        <x:v>2022000</x:v>
      </x:c>
      <x:c r="E13" s="19" t="n">
        <x:f>'日経_P06'!E32</x:f>
        <x:v>1334000</x:v>
      </x:c>
      <x:c r="F13" s="19" t="n">
        <x:f>E13-$E$7</x:f>
        <x:v>-301000</x:v>
      </x:c>
      <x:c r="G13" s="28" t="n">
        <x:f>IF(D13=0,"損失なし",C13/D13)</x:f>
        <x:v>1.6597428288822949</x:v>
      </x:c>
      <x:c r="H13" s="2" t="n">
        <x:f>COUNTIFS('日経_P06'!$E$7:$E$31,"&gt;0")</x:f>
        <x:v>13</x:v>
      </x:c>
      <x:c r="I13" s="2" t="n">
        <x:f>COUNTIFS('日経_P06'!$E$7:$E$31,"&lt;0")</x:f>
        <x:v>12</x:v>
      </x:c>
      <x:c r="J13" s="19" t="n">
        <x:f>MAX(0,-MIN('日経_P06'!$E$7:$E$31))</x:f>
        <x:v>147000</x:v>
      </x:c>
      <x:c r="K13" s="19" t="n">
        <x:f>E13-MAX(0,LARGE('日経_P06'!$E$7:$E$31,1))-MAX(0,LARGE('日経_P06'!$E$7:$E$31,2))-MAX(0,LARGE('日経_P06'!$E$7:$E$31,3))</x:f>
        <x:v>75000</x:v>
      </x:c>
      <x:c r="L13" s="2" t="n">
        <x:f>'日経_P06'!G32</x:f>
        <x:v>191</x:v>
      </x:c>
      <x:c r="M13" s="19" t="n">
        <x:f>'日経_P06'!I32</x:f>
        <x:v>-220000</x:v>
      </x:c>
      <x:c r="N13" s="19" t="n">
        <x:f>'日経_P06'!J32</x:f>
        <x:v>1554000</x:v>
      </x:c>
    </x:row>
    <x:row r="14" ht="36" customHeight="1">
      <x:c r="A14" s="2" t="str">
        <x:v>P07</x:v>
      </x:c>
      <x:c r="B14" s="27" t="str">
        <x:v>60pt順行で40ptトレール開始</x:v>
      </x:c>
      <x:c r="C14" s="19" t="n">
        <x:f>'日経_P07'!C32</x:f>
        <x:v>4191000</x:v>
      </x:c>
      <x:c r="D14" s="19" t="n">
        <x:f>'日経_P07'!D32</x:f>
        <x:v>4807000</x:v>
      </x:c>
      <x:c r="E14" s="19" t="n">
        <x:f>'日経_P07'!E32</x:f>
        <x:v>-616000</x:v>
      </x:c>
      <x:c r="F14" s="19" t="n">
        <x:f>E14-$E$7</x:f>
        <x:v>-2251000</x:v>
      </x:c>
      <x:c r="G14" s="28" t="n">
        <x:f>IF(D14=0,"損失なし",C14/D14)</x:f>
        <x:v>0.8718535469107551</x:v>
      </x:c>
      <x:c r="H14" s="2" t="n">
        <x:f>COUNTIFS('日経_P07'!$E$7:$E$31,"&gt;0")</x:f>
        <x:v>6</x:v>
      </x:c>
      <x:c r="I14" s="2" t="n">
        <x:f>COUNTIFS('日経_P07'!$E$7:$E$31,"&lt;0")</x:f>
        <x:v>19</x:v>
      </x:c>
      <x:c r="J14" s="19" t="n">
        <x:f>MAX(0,-MIN('日経_P07'!$E$7:$E$31))</x:f>
        <x:v>216000</x:v>
      </x:c>
      <x:c r="K14" s="19" t="n">
        <x:f>E14-MAX(0,LARGE('日経_P07'!$E$7:$E$31,1))-MAX(0,LARGE('日経_P07'!$E$7:$E$31,2))-MAX(0,LARGE('日経_P07'!$E$7:$E$31,3))</x:f>
        <x:v>-1593000</x:v>
      </x:c>
      <x:c r="L14" s="2" t="n">
        <x:f>'日経_P07'!G32</x:f>
        <x:v>304</x:v>
      </x:c>
      <x:c r="M14" s="19" t="n">
        <x:f>'日経_P07'!I32</x:f>
        <x:v>-2170000</x:v>
      </x:c>
      <x:c r="N14" s="19" t="n">
        <x:f>'日経_P07'!J32</x:f>
        <x:v>1554000</x:v>
      </x:c>
    </x:row>
    <x:row r="15" ht="36" customHeight="1">
      <x:c r="A15" s="2" t="str">
        <x:v>P08</x:v>
      </x:c>
      <x:c r="B15" s="27" t="str">
        <x:v>160pt順行で120ptトレール開始</x:v>
      </x:c>
      <x:c r="C15" s="19" t="n">
        <x:f>'日経_P08'!C32</x:f>
        <x:v>4561000</x:v>
      </x:c>
      <x:c r="D15" s="19" t="n">
        <x:f>'日経_P08'!D32</x:f>
        <x:v>5107000</x:v>
      </x:c>
      <x:c r="E15" s="19" t="n">
        <x:f>'日経_P08'!E32</x:f>
        <x:v>-546000</x:v>
      </x:c>
      <x:c r="F15" s="19" t="n">
        <x:f>E15-$E$7</x:f>
        <x:v>-2181000</x:v>
      </x:c>
      <x:c r="G15" s="28" t="n">
        <x:f>IF(D15=0,"損失なし",C15/D15)</x:f>
        <x:v>0.893087918543176</x:v>
      </x:c>
      <x:c r="H15" s="2" t="n">
        <x:f>COUNTIFS('日経_P08'!$E$7:$E$31,"&gt;0")</x:f>
        <x:v>8</x:v>
      </x:c>
      <x:c r="I15" s="2" t="n">
        <x:f>COUNTIFS('日経_P08'!$E$7:$E$31,"&lt;0")</x:f>
        <x:v>17</x:v>
      </x:c>
      <x:c r="J15" s="19" t="n">
        <x:f>MAX(0,-MIN('日経_P08'!$E$7:$E$31))</x:f>
        <x:v>268000</x:v>
      </x:c>
      <x:c r="K15" s="19" t="n">
        <x:f>E15-MAX(0,LARGE('日経_P08'!$E$7:$E$31,1))-MAX(0,LARGE('日経_P08'!$E$7:$E$31,2))-MAX(0,LARGE('日経_P08'!$E$7:$E$31,3))</x:f>
        <x:v>-1910000</x:v>
      </x:c>
      <x:c r="L15" s="2" t="n">
        <x:f>'日経_P08'!G32</x:f>
        <x:v>276</x:v>
      </x:c>
      <x:c r="M15" s="19" t="n">
        <x:f>'日経_P08'!I32</x:f>
        <x:v>-2100000</x:v>
      </x:c>
      <x:c r="N15" s="19" t="n">
        <x:f>'日経_P08'!J32</x:f>
        <x:v>1554000</x:v>
      </x:c>
    </x:row>
    <x:row r="16" ht="36" customHeight="1">
      <x:c r="A16" s="2" t="str">
        <x:v>P09</x:v>
      </x:c>
      <x:c r="B16" s="27" t="str">
        <x:v>100pt順行後のトレール幅だけ40ptへ短縮</x:v>
      </x:c>
      <x:c r="C16" s="19" t="n">
        <x:f>'日経_P09'!C32</x:f>
        <x:v>4741000</x:v>
      </x:c>
      <x:c r="D16" s="19" t="n">
        <x:f>'日経_P09'!D32</x:f>
        <x:v>5177000</x:v>
      </x:c>
      <x:c r="E16" s="19" t="n">
        <x:f>'日経_P09'!E32</x:f>
        <x:v>-436000</x:v>
      </x:c>
      <x:c r="F16" s="19" t="n">
        <x:f>E16-$E$7</x:f>
        <x:v>-2071000</x:v>
      </x:c>
      <x:c r="G16" s="28" t="n">
        <x:f>IF(D16=0,"損失なし",C16/D16)</x:f>
        <x:v>0.915781340544717</x:v>
      </x:c>
      <x:c r="H16" s="2" t="n">
        <x:f>COUNTIFS('日経_P09'!$E$7:$E$31,"&gt;0")</x:f>
        <x:v>7</x:v>
      </x:c>
      <x:c r="I16" s="2" t="n">
        <x:f>COUNTIFS('日経_P09'!$E$7:$E$31,"&lt;0")</x:f>
        <x:v>18</x:v>
      </x:c>
      <x:c r="J16" s="19" t="n">
        <x:f>MAX(0,-MIN('日経_P09'!$E$7:$E$31))</x:f>
        <x:v>190000</x:v>
      </x:c>
      <x:c r="K16" s="19" t="n">
        <x:f>E16-MAX(0,LARGE('日経_P09'!$E$7:$E$31,1))-MAX(0,LARGE('日経_P09'!$E$7:$E$31,2))-MAX(0,LARGE('日経_P09'!$E$7:$E$31,3))</x:f>
        <x:v>-1533000</x:v>
      </x:c>
      <x:c r="L16" s="2" t="n">
        <x:f>'日経_P09'!G32</x:f>
        <x:v>296</x:v>
      </x:c>
      <x:c r="M16" s="19" t="n">
        <x:f>'日経_P09'!I32</x:f>
        <x:v>-1990000</x:v>
      </x:c>
      <x:c r="N16" s="19" t="n">
        <x:f>'日経_P09'!J32</x:f>
        <x:v>1554000</x:v>
      </x:c>
    </x:row>
    <x:row r="17" ht="36" customHeight="1">
      <x:c r="A17" s="2" t="str">
        <x:v>P10</x:v>
      </x:c>
      <x:c r="B17" s="27" t="str">
        <x:v>初期損切り幅を140ptに変更</x:v>
      </x:c>
      <x:c r="C17" s="19" t="n">
        <x:f>'日経_P10'!C32</x:f>
        <x:v>4741000</x:v>
      </x:c>
      <x:c r="D17" s="19" t="n">
        <x:f>'日経_P10'!D32</x:f>
        <x:v>4337000</x:v>
      </x:c>
      <x:c r="E17" s="19" t="n">
        <x:f>'日経_P10'!E32</x:f>
        <x:v>404000</x:v>
      </x:c>
      <x:c r="F17" s="19" t="n">
        <x:f>E17-$E$7</x:f>
        <x:v>-1231000</x:v>
      </x:c>
      <x:c r="G17" s="28" t="n">
        <x:f>IF(D17=0,"損失なし",C17/D17)</x:f>
        <x:v>1.093151948351395</x:v>
      </x:c>
      <x:c r="H17" s="2" t="n">
        <x:f>COUNTIFS('日経_P10'!$E$7:$E$31,"&gt;0")</x:f>
        <x:v>7</x:v>
      </x:c>
      <x:c r="I17" s="2" t="n">
        <x:f>COUNTIFS('日経_P10'!$E$7:$E$31,"&lt;0")</x:f>
        <x:v>18</x:v>
      </x:c>
      <x:c r="J17" s="19" t="n">
        <x:f>MAX(0,-MIN('日経_P10'!$E$7:$E$31))</x:f>
        <x:v>282000</x:v>
      </x:c>
      <x:c r="K17" s="19" t="n">
        <x:f>E17-MAX(0,LARGE('日経_P10'!$E$7:$E$31,1))-MAX(0,LARGE('日経_P10'!$E$7:$E$31,2))-MAX(0,LARGE('日経_P10'!$E$7:$E$31,3))</x:f>
        <x:v>-1105000</x:v>
      </x:c>
      <x:c r="L17" s="2" t="n">
        <x:f>'日経_P10'!G32</x:f>
        <x:v>270</x:v>
      </x:c>
      <x:c r="M17" s="19" t="n">
        <x:f>'日経_P10'!I32</x:f>
        <x:v>-1150000</x:v>
      </x:c>
      <x:c r="N17" s="19" t="n">
        <x:f>'日経_P10'!J32</x:f>
        <x:v>1554000</x:v>
      </x:c>
    </x:row>
    <x:row r="18" ht="36" customHeight="1">
      <x:c r="A18" s="2" t="str">
        <x:v>P11</x:v>
      </x:c>
      <x:c r="B18" s="27" t="str">
        <x:v>逆向きの方向一致を15秒で損切り判断</x:v>
      </x:c>
      <x:c r="C18" s="19" t="n">
        <x:f>'日経_P11'!C32</x:f>
        <x:v>4596000</x:v>
      </x:c>
      <x:c r="D18" s="19" t="n">
        <x:f>'日経_P11'!D32</x:f>
        <x:v>4827000</x:v>
      </x:c>
      <x:c r="E18" s="19" t="n">
        <x:f>'日経_P11'!E32</x:f>
        <x:v>-231000</x:v>
      </x:c>
      <x:c r="F18" s="19" t="n">
        <x:f>E18-$E$7</x:f>
        <x:v>-1866000</x:v>
      </x:c>
      <x:c r="G18" s="28" t="n">
        <x:f>IF(D18=0,"損失なし",C18/D18)</x:f>
        <x:v>0.9521441889372281</x:v>
      </x:c>
      <x:c r="H18" s="2" t="n">
        <x:f>COUNTIFS('日経_P11'!$E$7:$E$31,"&gt;0")</x:f>
        <x:v>7</x:v>
      </x:c>
      <x:c r="I18" s="2" t="n">
        <x:f>COUNTIFS('日経_P11'!$E$7:$E$31,"&lt;0")</x:f>
        <x:v>18</x:v>
      </x:c>
      <x:c r="J18" s="19" t="n">
        <x:f>MAX(0,-MIN('日経_P11'!$E$7:$E$31))</x:f>
        <x:v>240000</x:v>
      </x:c>
      <x:c r="K18" s="19" t="n">
        <x:f>E18-MAX(0,LARGE('日経_P11'!$E$7:$E$31,1))-MAX(0,LARGE('日経_P11'!$E$7:$E$31,2))-MAX(0,LARGE('日経_P11'!$E$7:$E$31,3))</x:f>
        <x:v>-1600000</x:v>
      </x:c>
      <x:c r="L18" s="2" t="n">
        <x:f>'日経_P11'!G32</x:f>
        <x:v>288</x:v>
      </x:c>
      <x:c r="M18" s="19" t="n">
        <x:f>'日経_P11'!I32</x:f>
        <x:v>-1785000</x:v>
      </x:c>
      <x:c r="N18" s="19" t="n">
        <x:f>'日経_P11'!J32</x:f>
        <x:v>1554000</x:v>
      </x:c>
    </x:row>
    <x:row r="19" ht="36" customHeight="1">
      <x:c r="A19" s="2" t="str">
        <x:v>P12</x:v>
      </x:c>
      <x:c r="B19" s="27" t="str">
        <x:v>逆向きの方向一致を60秒待って損切り判断</x:v>
      </x:c>
      <x:c r="C19" s="19" t="n">
        <x:f>'日経_P12'!C32</x:f>
        <x:v>4621000</x:v>
      </x:c>
      <x:c r="D19" s="19" t="n">
        <x:f>'日経_P12'!D32</x:f>
        <x:v>4867000</x:v>
      </x:c>
      <x:c r="E19" s="19" t="n">
        <x:f>'日経_P12'!E32</x:f>
        <x:v>-246000</x:v>
      </x:c>
      <x:c r="F19" s="19" t="n">
        <x:f>E19-$E$7</x:f>
        <x:v>-1881000</x:v>
      </x:c>
      <x:c r="G19" s="28" t="n">
        <x:f>IF(D19=0,"損失なし",C19/D19)</x:f>
        <x:v>0.9494555167454284</x:v>
      </x:c>
      <x:c r="H19" s="2" t="n">
        <x:f>COUNTIFS('日経_P12'!$E$7:$E$31,"&gt;0")</x:f>
        <x:v>7</x:v>
      </x:c>
      <x:c r="I19" s="2" t="n">
        <x:f>COUNTIFS('日経_P12'!$E$7:$E$31,"&lt;0")</x:f>
        <x:v>18</x:v>
      </x:c>
      <x:c r="J19" s="19" t="n">
        <x:f>MAX(0,-MIN('日経_P12'!$E$7:$E$31))</x:f>
        <x:v>210000</x:v>
      </x:c>
      <x:c r="K19" s="19" t="n">
        <x:f>E19-MAX(0,LARGE('日経_P12'!$E$7:$E$31,1))-MAX(0,LARGE('日経_P12'!$E$7:$E$31,2))-MAX(0,LARGE('日経_P12'!$E$7:$E$31,3))</x:f>
        <x:v>-1615000</x:v>
      </x:c>
      <x:c r="L19" s="2" t="n">
        <x:f>'日経_P12'!G32</x:f>
        <x:v>287</x:v>
      </x:c>
      <x:c r="M19" s="19" t="n">
        <x:f>'日経_P12'!I32</x:f>
        <x:v>-1800000</x:v>
      </x:c>
      <x:c r="N19" s="19" t="n">
        <x:f>'日経_P12'!J32</x:f>
        <x:v>1554000</x:v>
      </x:c>
    </x:row>
    <x:row r="20" ht="36" customHeight="1">
      <x:c r="A20" s="2" t="str">
        <x:v>P13</x:v>
      </x:c>
      <x:c r="B20" s="27" t="str">
        <x:v>全返済後の再開待ちを30秒へ短縮</x:v>
      </x:c>
      <x:c r="C20" s="19" t="n">
        <x:f>'日経_P13'!C32</x:f>
        <x:v>4691000</x:v>
      </x:c>
      <x:c r="D20" s="19" t="n">
        <x:f>'日経_P13'!D32</x:f>
        <x:v>5062000</x:v>
      </x:c>
      <x:c r="E20" s="19" t="n">
        <x:f>'日経_P13'!E32</x:f>
        <x:v>-371000</x:v>
      </x:c>
      <x:c r="F20" s="19" t="n">
        <x:f>E20-$E$7</x:f>
        <x:v>-2006000</x:v>
      </x:c>
      <x:c r="G20" s="28" t="n">
        <x:f>IF(D20=0,"損失なし",C20/D20)</x:f>
        <x:v>0.9267088107467404</x:v>
      </x:c>
      <x:c r="H20" s="2" t="n">
        <x:f>COUNTIFS('日経_P13'!$E$7:$E$31,"&gt;0")</x:f>
        <x:v>7</x:v>
      </x:c>
      <x:c r="I20" s="2" t="n">
        <x:f>COUNTIFS('日経_P13'!$E$7:$E$31,"&lt;0")</x:f>
        <x:v>18</x:v>
      </x:c>
      <x:c r="J20" s="19" t="n">
        <x:f>MAX(0,-MIN('日経_P13'!$E$7:$E$31))</x:f>
        <x:v>260000</x:v>
      </x:c>
      <x:c r="K20" s="19" t="n">
        <x:f>E20-MAX(0,LARGE('日経_P13'!$E$7:$E$31,1))-MAX(0,LARGE('日経_P13'!$E$7:$E$31,2))-MAX(0,LARGE('日経_P13'!$E$7:$E$31,3))</x:f>
        <x:v>-1745000</x:v>
      </x:c>
      <x:c r="L20" s="2" t="n">
        <x:f>'日経_P13'!G32</x:f>
        <x:v>293</x:v>
      </x:c>
      <x:c r="M20" s="19" t="n">
        <x:f>'日経_P13'!I32</x:f>
        <x:v>-1925000</x:v>
      </x:c>
      <x:c r="N20" s="19" t="n">
        <x:f>'日経_P13'!J32</x:f>
        <x:v>1554000</x:v>
      </x:c>
    </x:row>
    <x:row r="21" ht="36" customHeight="1">
      <x:c r="A21" s="2" t="str">
        <x:v>P14</x:v>
      </x:c>
      <x:c r="B21" s="27" t="str">
        <x:v>全返済後の再開待ちを120秒へ延長</x:v>
      </x:c>
      <x:c r="C21" s="19" t="n">
        <x:f>'日経_P14'!C32</x:f>
        <x:v>4441000</x:v>
      </x:c>
      <x:c r="D21" s="19" t="n">
        <x:f>'日経_P14'!D32</x:f>
        <x:v>4642000</x:v>
      </x:c>
      <x:c r="E21" s="19" t="n">
        <x:f>'日経_P14'!E32</x:f>
        <x:v>-201000</x:v>
      </x:c>
      <x:c r="F21" s="19" t="n">
        <x:f>E21-$E$7</x:f>
        <x:v>-1836000</x:v>
      </x:c>
      <x:c r="G21" s="28" t="n">
        <x:f>IF(D21=0,"損失なし",C21/D21)</x:f>
        <x:v>0.9566996984058596</x:v>
      </x:c>
      <x:c r="H21" s="2" t="n">
        <x:f>COUNTIFS('日経_P14'!$E$7:$E$31,"&gt;0")</x:f>
        <x:v>6</x:v>
      </x:c>
      <x:c r="I21" s="2" t="n">
        <x:f>COUNTIFS('日経_P14'!$E$7:$E$31,"&lt;0")</x:f>
        <x:v>19</x:v>
      </x:c>
      <x:c r="J21" s="19" t="n">
        <x:f>MAX(0,-MIN('日経_P14'!$E$7:$E$31))</x:f>
        <x:v>262000</x:v>
      </x:c>
      <x:c r="K21" s="19" t="n">
        <x:f>E21-MAX(0,LARGE('日経_P14'!$E$7:$E$31,1))-MAX(0,LARGE('日経_P14'!$E$7:$E$31,2))-MAX(0,LARGE('日経_P14'!$E$7:$E$31,3))</x:f>
        <x:v>-1610000</x:v>
      </x:c>
      <x:c r="L21" s="2" t="n">
        <x:f>'日経_P14'!G32</x:f>
        <x:v>278</x:v>
      </x:c>
      <x:c r="M21" s="19" t="n">
        <x:f>'日経_P14'!I32</x:f>
        <x:v>-1755000</x:v>
      </x:c>
      <x:c r="N21" s="19" t="n">
        <x:f>'日経_P14'!J32</x:f>
        <x:v>1554000</x:v>
      </x:c>
    </x:row>
    <x:row r="22" ht="36" customHeight="1">
      <x:c r="A22" s="2" t="str">
        <x:v>P15</x:v>
      </x:c>
      <x:c r="B22" s="27" t="str">
        <x:v>10枚を最初に一括投入</x:v>
      </x:c>
      <x:c r="C22" s="19" t="n">
        <x:f>'日経_P15'!C32</x:f>
        <x:v>6396000</x:v>
      </x:c>
      <x:c r="D22" s="19" t="n">
        <x:f>'日経_P15'!D32</x:f>
        <x:v>8012000</x:v>
      </x:c>
      <x:c r="E22" s="19" t="n">
        <x:f>'日経_P15'!E32</x:f>
        <x:v>-1616000</x:v>
      </x:c>
      <x:c r="F22" s="19" t="n">
        <x:f>E22-$E$7</x:f>
        <x:v>-3251000</x:v>
      </x:c>
      <x:c r="G22" s="28" t="n">
        <x:f>IF(D22=0,"損失なし",C22/D22)</x:f>
        <x:v>0.7983025461807289</x:v>
      </x:c>
      <x:c r="H22" s="2" t="n">
        <x:f>COUNTIFS('日経_P15'!$E$7:$E$31,"&gt;0")</x:f>
        <x:v>7</x:v>
      </x:c>
      <x:c r="I22" s="2" t="n">
        <x:f>COUNTIFS('日経_P15'!$E$7:$E$31,"&lt;0")</x:f>
        <x:v>18</x:v>
      </x:c>
      <x:c r="J22" s="19" t="n">
        <x:f>MAX(0,-MIN('日経_P15'!$E$7:$E$31))</x:f>
        <x:v>634000</x:v>
      </x:c>
      <x:c r="K22" s="19" t="n">
        <x:f>E22-MAX(0,LARGE('日経_P15'!$E$7:$E$31,1))-MAX(0,LARGE('日経_P15'!$E$7:$E$31,2))-MAX(0,LARGE('日経_P15'!$E$7:$E$31,3))</x:f>
        <x:v>-3380000</x:v>
      </x:c>
      <x:c r="L22" s="2" t="n">
        <x:f>'日経_P15'!G32</x:f>
        <x:v>268</x:v>
      </x:c>
      <x:c r="M22" s="19" t="n">
        <x:f>'日経_P15'!I32</x:f>
        <x:v>-3170000</x:v>
      </x:c>
      <x:c r="N22" s="19" t="n">
        <x:f>'日経_P15'!J32</x:f>
        <x:v>1554000</x:v>
      </x:c>
    </x:row>
    <x:row r="23" ht="36" customHeight="1">
      <x:c r="A23" s="2" t="str">
        <x:v>P16</x:v>
      </x:c>
      <x:c r="B23" s="27" t="str">
        <x:v>2枚から40ptで3枚、80ptで5枚を追撃</x:v>
      </x:c>
      <x:c r="C23" s="19" t="n">
        <x:f>'日経_P16'!C32</x:f>
        <x:v>3624000</x:v>
      </x:c>
      <x:c r="D23" s="19" t="n">
        <x:f>'日経_P16'!D32</x:f>
        <x:v>3000000</x:v>
      </x:c>
      <x:c r="E23" s="19" t="n">
        <x:f>'日経_P16'!E32</x:f>
        <x:v>624000</x:v>
      </x:c>
      <x:c r="F23" s="19" t="n">
        <x:f>E23-$E$7</x:f>
        <x:v>-1011000</x:v>
      </x:c>
      <x:c r="G23" s="28" t="n">
        <x:f>IF(D23=0,"損失なし",C23/D23)</x:f>
        <x:v>1.208</x:v>
      </x:c>
      <x:c r="H23" s="2" t="n">
        <x:f>COUNTIFS('日経_P16'!$E$7:$E$31,"&gt;0")</x:f>
        <x:v>8</x:v>
      </x:c>
      <x:c r="I23" s="2" t="n">
        <x:f>COUNTIFS('日経_P16'!$E$7:$E$31,"&lt;0")</x:f>
        <x:v>17</x:v>
      </x:c>
      <x:c r="J23" s="19" t="n">
        <x:f>MAX(0,-MIN('日経_P16'!$E$7:$E$31))</x:f>
        <x:v>105000</x:v>
      </x:c>
      <x:c r="K23" s="19" t="n">
        <x:f>E23-MAX(0,LARGE('日経_P16'!$E$7:$E$31,1))-MAX(0,LARGE('日経_P16'!$E$7:$E$31,2))-MAX(0,LARGE('日経_P16'!$E$7:$E$31,3))</x:f>
        <x:v>-586000</x:v>
      </x:c>
      <x:c r="L23" s="2" t="n">
        <x:f>'日経_P16'!G32</x:f>
        <x:v>298</x:v>
      </x:c>
      <x:c r="M23" s="19" t="n">
        <x:f>'日経_P16'!I32</x:f>
        <x:v>-930000</x:v>
      </x:c>
      <x:c r="N23" s="19" t="n">
        <x:f>'日経_P16'!J32</x:f>
        <x:v>1554000</x:v>
      </x:c>
    </x:row>
    <x:row r="24" ht="36" customHeight="1">
      <x:c r="A24" s="2" t="str">
        <x:v>Q01</x:v>
      </x:c>
      <x:c r="B24" s="27" t="str">
        <x:v>更新間隔120秒まで方向確認を維持</x:v>
      </x:c>
      <x:c r="C24" s="19" t="n">
        <x:f>'日経_Q01'!C32</x:f>
        <x:v>7051000</x:v>
      </x:c>
      <x:c r="D24" s="19" t="n">
        <x:f>'日経_Q01'!D32</x:f>
        <x:v>11887000</x:v>
      </x:c>
      <x:c r="E24" s="19" t="n">
        <x:f>'日経_Q01'!E32</x:f>
        <x:v>-4836000</x:v>
      </x:c>
      <x:c r="F24" s="19" t="n">
        <x:f>E24-$E$7</x:f>
        <x:v>-6471000</x:v>
      </x:c>
      <x:c r="G24" s="28" t="n">
        <x:f>IF(D24=0,"損失なし",C24/D24)</x:f>
        <x:v>0.5931690081601749</x:v>
      </x:c>
      <x:c r="H24" s="2" t="n">
        <x:f>COUNTIFS('日経_Q01'!$E$7:$E$31,"&gt;0")</x:f>
        <x:v>6</x:v>
      </x:c>
      <x:c r="I24" s="2" t="n">
        <x:f>COUNTIFS('日経_Q01'!$E$7:$E$31,"&lt;0")</x:f>
        <x:v>19</x:v>
      </x:c>
      <x:c r="J24" s="19" t="n">
        <x:f>MAX(0,-MIN('日経_Q01'!$E$7:$E$31))</x:f>
        <x:v>729000</x:v>
      </x:c>
      <x:c r="K24" s="19" t="n">
        <x:f>E24-MAX(0,LARGE('日経_Q01'!$E$7:$E$31,1))-MAX(0,LARGE('日経_Q01'!$E$7:$E$31,2))-MAX(0,LARGE('日経_Q01'!$E$7:$E$31,3))</x:f>
        <x:v>-5819000</x:v>
      </x:c>
      <x:c r="L24" s="2" t="n">
        <x:f>'日経_Q01'!G32</x:f>
        <x:v>630</x:v>
      </x:c>
      <x:c r="M24" s="19" t="n">
        <x:f>'日経_Q01'!I32</x:f>
        <x:v>-6390000</x:v>
      </x:c>
      <x:c r="N24" s="19" t="n">
        <x:f>'日経_Q01'!J32</x:f>
        <x:v>1554000</x:v>
      </x:c>
    </x:row>
    <x:row r="25" ht="36" customHeight="1">
      <x:c r="A25" s="2" t="str">
        <x:v>Q02</x:v>
      </x:c>
      <x:c r="B25" s="27" t="str">
        <x:v>確認維持に加え、順方向への加速を要求</x:v>
      </x:c>
      <x:c r="C25" s="19" t="n">
        <x:f>'日経_Q02'!C32</x:f>
        <x:v>6611000</x:v>
      </x:c>
      <x:c r="D25" s="19" t="n">
        <x:f>'日経_Q02'!D32</x:f>
        <x:v>10797000</x:v>
      </x:c>
      <x:c r="E25" s="19" t="n">
        <x:f>'日経_Q02'!E32</x:f>
        <x:v>-4186000</x:v>
      </x:c>
      <x:c r="F25" s="19" t="n">
        <x:f>E25-$E$7</x:f>
        <x:v>-5821000</x:v>
      </x:c>
      <x:c r="G25" s="28" t="n">
        <x:f>IF(D25=0,"損失なし",C25/D25)</x:f>
        <x:v>0.6122997128832083</x:v>
      </x:c>
      <x:c r="H25" s="2" t="n">
        <x:f>COUNTIFS('日経_Q02'!$E$7:$E$31,"&gt;0")</x:f>
        <x:v>5</x:v>
      </x:c>
      <x:c r="I25" s="2" t="n">
        <x:f>COUNTIFS('日経_Q02'!$E$7:$E$31,"&lt;0")</x:f>
        <x:v>20</x:v>
      </x:c>
      <x:c r="J25" s="19" t="n">
        <x:f>MAX(0,-MIN('日経_Q02'!$E$7:$E$31))</x:f>
        <x:v>632000</x:v>
      </x:c>
      <x:c r="K25" s="19" t="n">
        <x:f>E25-MAX(0,LARGE('日経_Q02'!$E$7:$E$31,1))-MAX(0,LARGE('日経_Q02'!$E$7:$E$31,2))-MAX(0,LARGE('日経_Q02'!$E$7:$E$31,3))</x:f>
        <x:v>-5104000</x:v>
      </x:c>
      <x:c r="L25" s="2" t="n">
        <x:f>'日経_Q02'!G32</x:f>
        <x:v>572</x:v>
      </x:c>
      <x:c r="M25" s="19" t="n">
        <x:f>'日経_Q02'!I32</x:f>
        <x:v>-5740000</x:v>
      </x:c>
      <x:c r="N25" s="19" t="n">
        <x:f>'日経_Q02'!J32</x:f>
        <x:v>1554000</x:v>
      </x:c>
    </x:row>
    <x:row r="26" ht="36" customHeight="1">
      <x:c r="A26" s="2" t="str">
        <x:v>Q03</x:v>
      </x:c>
      <x:c r="B26" s="27" t="str">
        <x:v>確認維持、3本と10本の方向一致</x:v>
      </x:c>
      <x:c r="C26" s="19" t="n">
        <x:f>'日経_Q03'!C32</x:f>
        <x:v>7216000</x:v>
      </x:c>
      <x:c r="D26" s="19" t="n">
        <x:f>'日経_Q03'!D32</x:f>
        <x:v>12247000</x:v>
      </x:c>
      <x:c r="E26" s="19" t="n">
        <x:f>'日経_Q03'!E32</x:f>
        <x:v>-5031000</x:v>
      </x:c>
      <x:c r="F26" s="19" t="n">
        <x:f>E26-$E$7</x:f>
        <x:v>-6666000</x:v>
      </x:c>
      <x:c r="G26" s="28" t="n">
        <x:f>IF(D26=0,"損失なし",C26/D26)</x:f>
        <x:v>0.5892055197191148</x:v>
      </x:c>
      <x:c r="H26" s="2" t="n">
        <x:f>COUNTIFS('日経_Q03'!$E$7:$E$31,"&gt;0")</x:f>
        <x:v>6</x:v>
      </x:c>
      <x:c r="I26" s="2" t="n">
        <x:f>COUNTIFS('日経_Q03'!$E$7:$E$31,"&lt;0")</x:f>
        <x:v>19</x:v>
      </x:c>
      <x:c r="J26" s="19" t="n">
        <x:f>MAX(0,-MIN('日経_Q03'!$E$7:$E$31))</x:f>
        <x:v>677000</x:v>
      </x:c>
      <x:c r="K26" s="19" t="n">
        <x:f>E26-MAX(0,LARGE('日経_Q03'!$E$7:$E$31,1))-MAX(0,LARGE('日経_Q03'!$E$7:$E$31,2))-MAX(0,LARGE('日経_Q03'!$E$7:$E$31,3))</x:f>
        <x:v>-5674000</x:v>
      </x:c>
      <x:c r="L26" s="2" t="n">
        <x:f>'日経_Q03'!G32</x:f>
        <x:v>642</x:v>
      </x:c>
      <x:c r="M26" s="19" t="n">
        <x:f>'日経_Q03'!I32</x:f>
        <x:v>-6585000</x:v>
      </x:c>
      <x:c r="N26" s="19" t="n">
        <x:f>'日経_Q03'!J32</x:f>
        <x:v>1554000</x:v>
      </x:c>
    </x:row>
    <x:row r="27" ht="36" customHeight="1">
      <x:c r="A27" s="2" t="str">
        <x:v>Q04</x:v>
      </x:c>
      <x:c r="B27" s="27" t="str">
        <x:v>確認維持、5本と20本の方向一致</x:v>
      </x:c>
      <x:c r="C27" s="19" t="n">
        <x:f>'日経_Q04'!C32</x:f>
        <x:v>5376000</x:v>
      </x:c>
      <x:c r="D27" s="19" t="n">
        <x:f>'日経_Q04'!D32</x:f>
        <x:v>8462000</x:v>
      </x:c>
      <x:c r="E27" s="19" t="n">
        <x:f>'日経_Q04'!E32</x:f>
        <x:v>-3086000</x:v>
      </x:c>
      <x:c r="F27" s="19" t="n">
        <x:f>E27-$E$7</x:f>
        <x:v>-4721000</x:v>
      </x:c>
      <x:c r="G27" s="28" t="n">
        <x:f>IF(D27=0,"損失なし",C27/D27)</x:f>
        <x:v>0.6353108012290238</x:v>
      </x:c>
      <x:c r="H27" s="2" t="n">
        <x:f>COUNTIFS('日経_Q04'!$E$7:$E$31,"&gt;0")</x:f>
        <x:v>9</x:v>
      </x:c>
      <x:c r="I27" s="2" t="n">
        <x:f>COUNTIFS('日経_Q04'!$E$7:$E$31,"&lt;0")</x:f>
        <x:v>16</x:v>
      </x:c>
      <x:c r="J27" s="19" t="n">
        <x:f>MAX(0,-MIN('日経_Q04'!$E$7:$E$31))</x:f>
        <x:v>617000</x:v>
      </x:c>
      <x:c r="K27" s="19" t="n">
        <x:f>E27-MAX(0,LARGE('日経_Q04'!$E$7:$E$31,1))-MAX(0,LARGE('日経_Q04'!$E$7:$E$31,2))-MAX(0,LARGE('日経_Q04'!$E$7:$E$31,3))</x:f>
        <x:v>-3799000</x:v>
      </x:c>
      <x:c r="L27" s="2" t="n">
        <x:f>'日経_Q04'!G32</x:f>
        <x:v>423</x:v>
      </x:c>
      <x:c r="M27" s="19" t="n">
        <x:f>'日経_Q04'!I32</x:f>
        <x:v>-4640000</x:v>
      </x:c>
      <x:c r="N27" s="19" t="n">
        <x:f>'日経_Q04'!J32</x:f>
        <x:v>1554000</x:v>
      </x:c>
    </x:row>
    <x:row r="28" ht="36" customHeight="1">
      <x:c r="A28" s="2" t="str">
        <x:v>Q05</x:v>
      </x:c>
      <x:c r="B28" s="27" t="str">
        <x:v>確認維持、速度を12pt毎分と3pt毎分へ引上げ</x:v>
      </x:c>
      <x:c r="C28" s="19" t="n">
        <x:f>'日経_Q05'!C32</x:f>
        <x:v>6121000</x:v>
      </x:c>
      <x:c r="D28" s="19" t="n">
        <x:f>'日経_Q05'!D32</x:f>
        <x:v>8462000</x:v>
      </x:c>
      <x:c r="E28" s="19" t="n">
        <x:f>'日経_Q05'!E32</x:f>
        <x:v>-2341000</x:v>
      </x:c>
      <x:c r="F28" s="19" t="n">
        <x:f>E28-$E$7</x:f>
        <x:v>-3976000</x:v>
      </x:c>
      <x:c r="G28" s="28" t="n">
        <x:f>IF(D28=0,"損失なし",C28/D28)</x:f>
        <x:v>0.7233514535570787</x:v>
      </x:c>
      <x:c r="H28" s="2" t="n">
        <x:f>COUNTIFS('日経_Q05'!$E$7:$E$31,"&gt;0")</x:f>
        <x:v>7</x:v>
      </x:c>
      <x:c r="I28" s="2" t="n">
        <x:f>COUNTIFS('日経_Q05'!$E$7:$E$31,"&lt;0")</x:f>
        <x:v>18</x:v>
      </x:c>
      <x:c r="J28" s="19" t="n">
        <x:f>MAX(0,-MIN('日経_Q05'!$E$7:$E$31))</x:f>
        <x:v>544000</x:v>
      </x:c>
      <x:c r="K28" s="19" t="n">
        <x:f>E28-MAX(0,LARGE('日経_Q05'!$E$7:$E$31,1))-MAX(0,LARGE('日経_Q05'!$E$7:$E$31,2))-MAX(0,LARGE('日経_Q05'!$E$7:$E$31,3))</x:f>
        <x:v>-3379000</x:v>
      </x:c>
      <x:c r="L28" s="2" t="n">
        <x:f>'日経_Q05'!G32</x:f>
        <x:v>462</x:v>
      </x:c>
      <x:c r="M28" s="19" t="n">
        <x:f>'日経_Q05'!I32</x:f>
        <x:v>-3895000</x:v>
      </x:c>
      <x:c r="N28" s="19" t="n">
        <x:f>'日経_Q05'!J32</x:f>
        <x:v>1554000</x:v>
      </x:c>
    </x:row>
    <x:row r="29" ht="36" customHeight="1">
      <x:c r="A29" s="2" t="str">
        <x:v>Q06</x:v>
      </x:c>
      <x:c r="B29" s="27" t="str">
        <x:v>方向一致後40pt押し・30pt再反発で入る</x:v>
      </x:c>
      <x:c r="C29" s="19" t="n">
        <x:f>'日経_Q06'!C32</x:f>
        <x:v>4921000</x:v>
      </x:c>
      <x:c r="D29" s="19" t="n">
        <x:f>'日経_Q06'!D32</x:f>
        <x:v>6957000</x:v>
      </x:c>
      <x:c r="E29" s="19" t="n">
        <x:f>'日経_Q06'!E32</x:f>
        <x:v>-2036000</x:v>
      </x:c>
      <x:c r="F29" s="19" t="n">
        <x:f>E29-$E$7</x:f>
        <x:v>-3671000</x:v>
      </x:c>
      <x:c r="G29" s="28" t="n">
        <x:f>IF(D29=0,"損失なし",C29/D29)</x:f>
        <x:v>0.7073451200229984</x:v>
      </x:c>
      <x:c r="H29" s="2" t="n">
        <x:f>COUNTIFS('日経_Q06'!$E$7:$E$31,"&gt;0")</x:f>
        <x:v>8</x:v>
      </x:c>
      <x:c r="I29" s="2" t="n">
        <x:f>COUNTIFS('日経_Q06'!$E$7:$E$31,"&lt;0")</x:f>
        <x:v>17</x:v>
      </x:c>
      <x:c r="J29" s="19" t="n">
        <x:f>MAX(0,-MIN('日経_Q06'!$E$7:$E$31))</x:f>
        <x:v>377000</x:v>
      </x:c>
      <x:c r="K29" s="19" t="n">
        <x:f>E29-MAX(0,LARGE('日経_Q06'!$E$7:$E$31,1))-MAX(0,LARGE('日経_Q06'!$E$7:$E$31,2))-MAX(0,LARGE('日経_Q06'!$E$7:$E$31,3))</x:f>
        <x:v>-2789000</x:v>
      </x:c>
      <x:c r="L29" s="2" t="n">
        <x:f>'日経_Q06'!G32</x:f>
        <x:v>417</x:v>
      </x:c>
      <x:c r="M29" s="19" t="n">
        <x:f>'日経_Q06'!I32</x:f>
        <x:v>-3590000</x:v>
      </x:c>
      <x:c r="N29" s="19" t="n">
        <x:f>'日経_Q06'!J32</x:f>
        <x:v>1554000</x:v>
      </x:c>
    </x:row>
    <x:row r="30" ht="36" customHeight="1">
      <x:c r="A30" s="2" t="str">
        <x:v>Q07</x:v>
      </x:c>
      <x:c r="B30" s="27" t="str">
        <x:v>押戻り再反発、初期損切140・利益開始160・追跡120pt</x:v>
      </x:c>
      <x:c r="C30" s="19" t="n">
        <x:f>'日経_Q07'!C32</x:f>
        <x:v>4961000</x:v>
      </x:c>
      <x:c r="D30" s="19" t="n">
        <x:f>'日経_Q07'!D32</x:f>
        <x:v>7027000</x:v>
      </x:c>
      <x:c r="E30" s="19" t="n">
        <x:f>'日経_Q07'!E32</x:f>
        <x:v>-2066000</x:v>
      </x:c>
      <x:c r="F30" s="19" t="n">
        <x:f>E30-$E$7</x:f>
        <x:v>-3701000</x:v>
      </x:c>
      <x:c r="G30" s="28" t="n">
        <x:f>IF(D30=0,"損失なし",C30/D30)</x:f>
        <x:v>0.7059911768891419</x:v>
      </x:c>
      <x:c r="H30" s="2" t="n">
        <x:f>COUNTIFS('日経_Q07'!$E$7:$E$31,"&gt;0")</x:f>
        <x:v>9</x:v>
      </x:c>
      <x:c r="I30" s="2" t="n">
        <x:f>COUNTIFS('日経_Q07'!$E$7:$E$31,"&lt;0")</x:f>
        <x:v>16</x:v>
      </x:c>
      <x:c r="J30" s="19" t="n">
        <x:f>MAX(0,-MIN('日経_Q07'!$E$7:$E$31))</x:f>
        <x:v>462000</x:v>
      </x:c>
      <x:c r="K30" s="19" t="n">
        <x:f>E30-MAX(0,LARGE('日経_Q07'!$E$7:$E$31,1))-MAX(0,LARGE('日経_Q07'!$E$7:$E$31,2))-MAX(0,LARGE('日経_Q07'!$E$7:$E$31,3))</x:f>
        <x:v>-3094000</x:v>
      </x:c>
      <x:c r="L30" s="2" t="n">
        <x:f>'日経_Q07'!G32</x:f>
        <x:v>396</x:v>
      </x:c>
      <x:c r="M30" s="19" t="n">
        <x:f>'日経_Q07'!I32</x:f>
        <x:v>-3620000</x:v>
      </x:c>
      <x:c r="N30" s="19" t="n">
        <x:f>'日経_Q07'!J32</x:f>
        <x:v>1554000</x:v>
      </x:c>
    </x:row>
    <x:row r="31" ht="36" customHeight="1">
      <x:c r="A31" s="2" t="str">
        <x:v>Q08</x:v>
      </x:c>
      <x:c r="B31" s="27" t="str">
        <x:v>押戻り再反発の長期支持を20本へ延長</x:v>
      </x:c>
      <x:c r="C31" s="19" t="n">
        <x:f>'日経_Q08'!C32</x:f>
        <x:v>4301000</x:v>
      </x:c>
      <x:c r="D31" s="19" t="n">
        <x:f>'日経_Q08'!D32</x:f>
        <x:v>5737000</x:v>
      </x:c>
      <x:c r="E31" s="19" t="n">
        <x:f>'日経_Q08'!E32</x:f>
        <x:v>-1436000</x:v>
      </x:c>
      <x:c r="F31" s="19" t="n">
        <x:f>E31-$E$7</x:f>
        <x:v>-3071000</x:v>
      </x:c>
      <x:c r="G31" s="28" t="n">
        <x:f>IF(D31=0,"損失なし",C31/D31)</x:f>
        <x:v>0.7496949625239673</x:v>
      </x:c>
      <x:c r="H31" s="2" t="n">
        <x:f>COUNTIFS('日経_Q08'!$E$7:$E$31,"&gt;0")</x:f>
        <x:v>10</x:v>
      </x:c>
      <x:c r="I31" s="2" t="n">
        <x:f>COUNTIFS('日経_Q08'!$E$7:$E$31,"&lt;0")</x:f>
        <x:v>15</x:v>
      </x:c>
      <x:c r="J31" s="19" t="n">
        <x:f>MAX(0,-MIN('日経_Q08'!$E$7:$E$31))</x:f>
        <x:v>429000</x:v>
      </x:c>
      <x:c r="K31" s="19" t="n">
        <x:f>E31-MAX(0,LARGE('日経_Q08'!$E$7:$E$31,1))-MAX(0,LARGE('日経_Q08'!$E$7:$E$31,2))-MAX(0,LARGE('日経_Q08'!$E$7:$E$31,3))</x:f>
        <x:v>-2265000</x:v>
      </x:c>
      <x:c r="L31" s="2" t="n">
        <x:f>'日経_Q08'!G32</x:f>
        <x:v>321</x:v>
      </x:c>
      <x:c r="M31" s="19" t="n">
        <x:f>'日経_Q08'!I32</x:f>
        <x:v>-2990000</x:v>
      </x:c>
      <x:c r="N31" s="19" t="n">
        <x:f>'日経_Q08'!J32</x:f>
        <x:v>1554000</x:v>
      </x:c>
    </x:row>
  </x:sheetData>
  <x:conditionalFormatting sqref="C7:F31">
    <x:cfRule type="cellIs" dxfId="50" priority="1" operator="lessThan">
      <x:formula>0</x:formula>
    </x:cfRule>
  </x:conditionalFormatting>
  <x:conditionalFormatting sqref="J7:K31">
    <x:cfRule type="cellIs" dxfId="51" priority="2" operator="lessThan">
      <x:formula>0</x:formula>
    </x:cfRule>
  </x:conditionalFormatting>
  <x:conditionalFormatting sqref="M7:N31">
    <x:cfRule type="cellIs" dxfId="52" priority="3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aaee93f552646df"/>
  </x:tableParts>
</x:worksheet>
</file>

<file path=xl/worksheets/sheet2.xml><?xml version="1.0" encoding="utf-8"?>
<x:worksheet xmlns:x="http://schemas.openxmlformats.org/spreadsheetml/2006/main">
  <x:sheetPr>
    <x:tabColor rgb="FF244A70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8" hidden="0" customWidth="1"/>
    <x:col min="2" max="2" width="14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23" customHeight="1">
      <x:c r="A2" s="4" t="str">
        <x:v>D07　全夜間の利益・損失・収支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</x:row>
    <x:row r="3" ht="23" customHeight="1">
      <x:c r="A3" s="6" t="str">
        <x:v>日経mini・片方向上限10枚・手数料0円・気配差込み。利益と損失は完結した親取引の収支を分類。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 ht="23" customHeight="1">
      <x:c r="A4" s="6" t="str">
        <x:v>2026/09/21～10/23の既知25夜。前段は米国開始15分前まで、後段は米国開始15分後から。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</x:row>
    <x:row r="5" ht="23" customHeight="1">
      <x:c r="A5" s="6" t="str">
        <x:v>従来D07。夜間全体の基準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</x:row>
    <x:row r="6" ht="40" customHeight="1">
      <x:c r="A6" s="15" t="str">
        <x:v>セッション</x:v>
      </x:c>
      <x:c r="B6" s="16" t="str">
        <x:v>始終値方向</x:v>
      </x:c>
      <x:c r="C6" s="16" t="str">
        <x:v>利益（円）</x:v>
      </x:c>
      <x:c r="D6" s="16" t="str">
        <x:v>損失（円）</x:v>
      </x:c>
      <x:c r="E6" s="16" t="str">
        <x:v>収支（円）</x:v>
      </x:c>
      <x:c r="F6" s="16" t="str">
        <x:v>累計（円）</x:v>
      </x:c>
      <x:c r="G6" s="16" t="str">
        <x:v>新規件数</x:v>
      </x:c>
      <x:c r="H6" s="16" t="str">
        <x:v>新規合計枚数</x:v>
      </x:c>
      <x:c r="I6" s="16" t="str">
        <x:v>前段収支（円）</x:v>
      </x:c>
      <x:c r="J6" s="16" t="str">
        <x:v>後段収支（円）</x:v>
      </x:c>
      <x:c r="K6" s="17" t="str">
        <x:v>親取引数</x:v>
      </x:c>
    </x:row>
    <x:row r="7" ht="23" customHeight="1">
      <x:c r="A7" s="2" t="str">
        <x:v>2026-09-21_Night</x:v>
      </x:c>
      <x:c r="B7" s="2" t="str">
        <x:v>上昇</x:v>
      </x:c>
      <x:c r="C7" s="19" t="n">
        <x:v>0</x:v>
      </x:c>
      <x:c r="D7" s="19" t="n">
        <x:v>45000</x:v>
      </x:c>
      <x:c r="E7" s="19" t="n">
        <x:f>C7-D7</x:f>
        <x:v>-45000</x:v>
      </x:c>
      <x:c r="F7" s="19" t="n">
        <x:f>E7</x:f>
        <x:v>-45000</x:v>
      </x:c>
      <x:c r="G7" s="20" t="n">
        <x:v>1</x:v>
      </x:c>
      <x:c r="H7" s="20" t="n">
        <x:v>5</x:v>
      </x:c>
      <x:c r="I7" s="19" t="n">
        <x:v>0</x:v>
      </x:c>
      <x:c r="J7" s="19" t="n">
        <x:v>-45000</x:v>
      </x:c>
      <x:c r="K7" s="20" t="n">
        <x:v>1</x:v>
      </x:c>
    </x:row>
    <x:row r="8" ht="23" customHeight="1">
      <x:c r="A8" s="2" t="str">
        <x:v>2026-09-22_Night</x:v>
      </x:c>
      <x:c r="B8" s="2" t="str">
        <x:v>上昇</x:v>
      </x:c>
      <x:c r="C8" s="19" t="n">
        <x:v>24000</x:v>
      </x:c>
      <x:c r="D8" s="19" t="n">
        <x:v>0</x:v>
      </x:c>
      <x:c r="E8" s="19" t="n">
        <x:f>C8-D8</x:f>
        <x:v>24000</x:v>
      </x:c>
      <x:c r="F8" s="19" t="n">
        <x:f>F7+E8</x:f>
        <x:v>-21000</x:v>
      </x:c>
      <x:c r="G8" s="20" t="n">
        <x:v>1</x:v>
      </x:c>
      <x:c r="H8" s="20" t="n">
        <x:v>5</x:v>
      </x:c>
      <x:c r="I8" s="19" t="n">
        <x:v>0</x:v>
      </x:c>
      <x:c r="J8" s="19" t="n">
        <x:v>24000</x:v>
      </x:c>
      <x:c r="K8" s="20" t="n">
        <x:v>1</x:v>
      </x:c>
    </x:row>
    <x:row r="9" ht="23" customHeight="1">
      <x:c r="A9" s="2" t="str">
        <x:v>2026-09-23_Night</x:v>
      </x:c>
      <x:c r="B9" s="2" t="str">
        <x:v>下落</x:v>
      </x:c>
      <x:c r="C9" s="19" t="n">
        <x:v>4000</x:v>
      </x:c>
      <x:c r="D9" s="19" t="n">
        <x:v>40000</x:v>
      </x:c>
      <x:c r="E9" s="19" t="n">
        <x:f>C9-D9</x:f>
        <x:v>-36000</x:v>
      </x:c>
      <x:c r="F9" s="19" t="n">
        <x:f>F8+E9</x:f>
        <x:v>-57000</x:v>
      </x:c>
      <x:c r="G9" s="20" t="n">
        <x:v>3</x:v>
      </x:c>
      <x:c r="H9" s="20" t="n">
        <x:v>7</x:v>
      </x:c>
      <x:c r="I9" s="19" t="n">
        <x:v>0</x:v>
      </x:c>
      <x:c r="J9" s="19" t="n">
        <x:v>-36000</x:v>
      </x:c>
      <x:c r="K9" s="20" t="n">
        <x:v>2</x:v>
      </x:c>
    </x:row>
    <x:row r="10" ht="23" customHeight="1">
      <x:c r="A10" s="2" t="str">
        <x:v>2026-09-24_Night</x:v>
      </x:c>
      <x:c r="B10" s="2" t="str">
        <x:v>下落</x:v>
      </x:c>
      <x:c r="C10" s="19" t="n">
        <x:v>20000</x:v>
      </x:c>
      <x:c r="D10" s="19" t="n">
        <x:v>0</x:v>
      </x:c>
      <x:c r="E10" s="19" t="n">
        <x:f>C10-D10</x:f>
        <x:v>20000</x:v>
      </x:c>
      <x:c r="F10" s="19" t="n">
        <x:f>F9+E10</x:f>
        <x:v>-37000</x:v>
      </x:c>
      <x:c r="G10" s="20" t="n">
        <x:v>2</x:v>
      </x:c>
      <x:c r="H10" s="20" t="n">
        <x:v>2</x:v>
      </x:c>
      <x:c r="I10" s="19" t="n">
        <x:v>0</x:v>
      </x:c>
      <x:c r="J10" s="19" t="n">
        <x:v>20000</x:v>
      </x:c>
      <x:c r="K10" s="20" t="n">
        <x:v>1</x:v>
      </x:c>
    </x:row>
    <x:row r="11" ht="23" customHeight="1">
      <x:c r="A11" s="2" t="str">
        <x:v>2026-09-25_Night</x:v>
      </x:c>
      <x:c r="B11" s="2" t="str">
        <x:v>上昇</x:v>
      </x:c>
      <x:c r="C11" s="19" t="n">
        <x:v>17000</x:v>
      </x:c>
      <x:c r="D11" s="19" t="n">
        <x:v>16000</x:v>
      </x:c>
      <x:c r="E11" s="19" t="n">
        <x:f>C11-D11</x:f>
        <x:v>1000</x:v>
      </x:c>
      <x:c r="F11" s="19" t="n">
        <x:f>F10+E11</x:f>
        <x:v>-36000</x:v>
      </x:c>
      <x:c r="G11" s="20" t="n">
        <x:v>2</x:v>
      </x:c>
      <x:c r="H11" s="20" t="n">
        <x:v>6</x:v>
      </x:c>
      <x:c r="I11" s="19" t="n">
        <x:v>0</x:v>
      </x:c>
      <x:c r="J11" s="19" t="n">
        <x:v>1000</x:v>
      </x:c>
      <x:c r="K11" s="20" t="n">
        <x:v>2</x:v>
      </x:c>
    </x:row>
    <x:row r="12" ht="23" customHeight="1">
      <x:c r="A12" s="2" t="str">
        <x:v>2026-09-28_Night</x:v>
      </x:c>
      <x:c r="B12" s="2" t="str">
        <x:v>下落</x:v>
      </x:c>
      <x:c r="C12" s="19" t="n">
        <x:v>10000</x:v>
      </x:c>
      <x:c r="D12" s="19" t="n">
        <x:v>48000</x:v>
      </x:c>
      <x:c r="E12" s="19" t="n">
        <x:f>C12-D12</x:f>
        <x:v>-38000</x:v>
      </x:c>
      <x:c r="F12" s="19" t="n">
        <x:f>F11+E12</x:f>
        <x:v>-74000</x:v>
      </x:c>
      <x:c r="G12" s="20" t="n">
        <x:v>6</x:v>
      </x:c>
      <x:c r="H12" s="20" t="n">
        <x:v>8</x:v>
      </x:c>
      <x:c r="I12" s="19" t="n">
        <x:v>9000</x:v>
      </x:c>
      <x:c r="J12" s="19" t="n">
        <x:v>-47000</x:v>
      </x:c>
      <x:c r="K12" s="20" t="n">
        <x:v>5</x:v>
      </x:c>
    </x:row>
    <x:row r="13" ht="23" customHeight="1">
      <x:c r="A13" s="2" t="str">
        <x:v>2026-09-29_Night</x:v>
      </x:c>
      <x:c r="B13" s="2" t="str">
        <x:v>上昇</x:v>
      </x:c>
      <x:c r="C13" s="19" t="n">
        <x:v>87000</x:v>
      </x:c>
      <x:c r="D13" s="19" t="n">
        <x:v>22000</x:v>
      </x:c>
      <x:c r="E13" s="19" t="n">
        <x:f>C13-D13</x:f>
        <x:v>65000</x:v>
      </x:c>
      <x:c r="F13" s="19" t="n">
        <x:f>F12+E13</x:f>
        <x:v>-9000</x:v>
      </x:c>
      <x:c r="G13" s="20" t="n">
        <x:v>6</x:v>
      </x:c>
      <x:c r="H13" s="20" t="n">
        <x:v>14</x:v>
      </x:c>
      <x:c r="I13" s="19" t="n">
        <x:v>0</x:v>
      </x:c>
      <x:c r="J13" s="19" t="n">
        <x:v>65000</x:v>
      </x:c>
      <x:c r="K13" s="20" t="n">
        <x:v>5</x:v>
      </x:c>
    </x:row>
    <x:row r="14" ht="23" customHeight="1">
      <x:c r="A14" s="2" t="str">
        <x:v>2026-09-30_Night</x:v>
      </x:c>
      <x:c r="B14" s="2" t="str">
        <x:v>下落</x:v>
      </x:c>
      <x:c r="C14" s="19" t="n">
        <x:v>43000</x:v>
      </x:c>
      <x:c r="D14" s="19" t="n">
        <x:v>0</x:v>
      </x:c>
      <x:c r="E14" s="19" t="n">
        <x:f>C14-D14</x:f>
        <x:v>43000</x:v>
      </x:c>
      <x:c r="F14" s="19" t="n">
        <x:f>F13+E14</x:f>
        <x:v>34000</x:v>
      </x:c>
      <x:c r="G14" s="20" t="n">
        <x:v>3</x:v>
      </x:c>
      <x:c r="H14" s="20" t="n">
        <x:v>7</x:v>
      </x:c>
      <x:c r="I14" s="19" t="n">
        <x:v>0</x:v>
      </x:c>
      <x:c r="J14" s="19" t="n">
        <x:v>43000</x:v>
      </x:c>
      <x:c r="K14" s="20" t="n">
        <x:v>2</x:v>
      </x:c>
    </x:row>
    <x:row r="15" ht="23" customHeight="1">
      <x:c r="A15" s="2" t="str">
        <x:v>2026-10-01_Night</x:v>
      </x:c>
      <x:c r="B15" s="2" t="str">
        <x:v>上昇</x:v>
      </x:c>
      <x:c r="C15" s="19" t="n">
        <x:v>237000</x:v>
      </x:c>
      <x:c r="D15" s="19" t="n">
        <x:v>129000</x:v>
      </x:c>
      <x:c r="E15" s="19" t="n">
        <x:f>C15-D15</x:f>
        <x:v>108000</x:v>
      </x:c>
      <x:c r="F15" s="19" t="n">
        <x:f>F14+E15</x:f>
        <x:v>142000</x:v>
      </x:c>
      <x:c r="G15" s="20" t="n">
        <x:v>17</x:v>
      </x:c>
      <x:c r="H15" s="20" t="n">
        <x:v>26</x:v>
      </x:c>
      <x:c r="I15" s="19" t="n">
        <x:v>-1000</x:v>
      </x:c>
      <x:c r="J15" s="19" t="n">
        <x:v>109000</x:v>
      </x:c>
      <x:c r="K15" s="20" t="n">
        <x:v>12</x:v>
      </x:c>
    </x:row>
    <x:row r="16" ht="23" customHeight="1">
      <x:c r="A16" s="2" t="str">
        <x:v>2026-10-02_Night</x:v>
      </x:c>
      <x:c r="B16" s="2" t="str">
        <x:v>上昇</x:v>
      </x:c>
      <x:c r="C16" s="19" t="n">
        <x:v>403000</x:v>
      </x:c>
      <x:c r="D16" s="19" t="n">
        <x:v>65000</x:v>
      </x:c>
      <x:c r="E16" s="19" t="n">
        <x:f>C16-D16</x:f>
        <x:v>338000</x:v>
      </x:c>
      <x:c r="F16" s="19" t="n">
        <x:f>F15+E16</x:f>
        <x:v>480000</x:v>
      </x:c>
      <x:c r="G16" s="20" t="n">
        <x:v>22</x:v>
      </x:c>
      <x:c r="H16" s="20" t="n">
        <x:v>38</x:v>
      </x:c>
      <x:c r="I16" s="19" t="n">
        <x:v>77000</x:v>
      </x:c>
      <x:c r="J16" s="19" t="n">
        <x:v>261000</x:v>
      </x:c>
      <x:c r="K16" s="20" t="n">
        <x:v>13</x:v>
      </x:c>
    </x:row>
    <x:row r="17" ht="23" customHeight="1">
      <x:c r="A17" s="2" t="str">
        <x:v>2026-10-05_Night</x:v>
      </x:c>
      <x:c r="B17" s="2" t="str">
        <x:v>下落</x:v>
      </x:c>
      <x:c r="C17" s="19" t="n">
        <x:v>98000</x:v>
      </x:c>
      <x:c r="D17" s="19" t="n">
        <x:v>64000</x:v>
      </x:c>
      <x:c r="E17" s="19" t="n">
        <x:f>C17-D17</x:f>
        <x:v>34000</x:v>
      </x:c>
      <x:c r="F17" s="19" t="n">
        <x:f>F16+E17</x:f>
        <x:v>514000</x:v>
      </x:c>
      <x:c r="G17" s="20" t="n">
        <x:v>7</x:v>
      </x:c>
      <x:c r="H17" s="20" t="n">
        <x:v>14</x:v>
      </x:c>
      <x:c r="I17" s="19" t="n">
        <x:v>0</x:v>
      </x:c>
      <x:c r="J17" s="19" t="n">
        <x:v>34000</x:v>
      </x:c>
      <x:c r="K17" s="20" t="n">
        <x:v>5</x:v>
      </x:c>
    </x:row>
    <x:row r="18" ht="23" customHeight="1">
      <x:c r="A18" s="2" t="str">
        <x:v>2026-10-06_Night</x:v>
      </x:c>
      <x:c r="B18" s="2" t="str">
        <x:v>下落</x:v>
      </x:c>
      <x:c r="C18" s="19" t="n">
        <x:v>33000</x:v>
      </x:c>
      <x:c r="D18" s="19" t="n">
        <x:v>43000</x:v>
      </x:c>
      <x:c r="E18" s="19" t="n">
        <x:f>C18-D18</x:f>
        <x:v>-10000</x:v>
      </x:c>
      <x:c r="F18" s="19" t="n">
        <x:f>F17+E18</x:f>
        <x:v>504000</x:v>
      </x:c>
      <x:c r="G18" s="20" t="n">
        <x:v>4</x:v>
      </x:c>
      <x:c r="H18" s="20" t="n">
        <x:v>8</x:v>
      </x:c>
      <x:c r="I18" s="19" t="n">
        <x:v>0</x:v>
      </x:c>
      <x:c r="J18" s="19" t="n">
        <x:v>-10000</x:v>
      </x:c>
      <x:c r="K18" s="20" t="n">
        <x:v>3</x:v>
      </x:c>
    </x:row>
    <x:row r="19" ht="23" customHeight="1">
      <x:c r="A19" s="2" t="str">
        <x:v>2026-10-07_Night</x:v>
      </x:c>
      <x:c r="B19" s="2" t="str">
        <x:v>下落</x:v>
      </x:c>
      <x:c r="C19" s="19" t="n">
        <x:v>0</x:v>
      </x:c>
      <x:c r="D19" s="19" t="n">
        <x:v>43000</x:v>
      </x:c>
      <x:c r="E19" s="19" t="n">
        <x:f>C19-D19</x:f>
        <x:v>-43000</x:v>
      </x:c>
      <x:c r="F19" s="19" t="n">
        <x:f>F18+E19</x:f>
        <x:v>461000</x:v>
      </x:c>
      <x:c r="G19" s="20" t="n">
        <x:v>4</x:v>
      </x:c>
      <x:c r="H19" s="20" t="n">
        <x:v>4</x:v>
      </x:c>
      <x:c r="I19" s="19" t="n">
        <x:v>-21000</x:v>
      </x:c>
      <x:c r="J19" s="19" t="n">
        <x:v>-22000</x:v>
      </x:c>
      <x:c r="K19" s="20" t="n">
        <x:v>2</x:v>
      </x:c>
    </x:row>
    <x:row r="20" ht="23" customHeight="1">
      <x:c r="A20" s="2" t="str">
        <x:v>2026-10-08_Night</x:v>
      </x:c>
      <x:c r="B20" s="2" t="str">
        <x:v>下落</x:v>
      </x:c>
      <x:c r="C20" s="19" t="n">
        <x:v>335000</x:v>
      </x:c>
      <x:c r="D20" s="19" t="n">
        <x:v>20000</x:v>
      </x:c>
      <x:c r="E20" s="19" t="n">
        <x:f>C20-D20</x:f>
        <x:v>315000</x:v>
      </x:c>
      <x:c r="F20" s="19" t="n">
        <x:f>F19+E20</x:f>
        <x:v>776000</x:v>
      </x:c>
      <x:c r="G20" s="20" t="n">
        <x:v>17</x:v>
      </x:c>
      <x:c r="H20" s="20" t="n">
        <x:v>30</x:v>
      </x:c>
      <x:c r="I20" s="19" t="n">
        <x:v>5000</x:v>
      </x:c>
      <x:c r="J20" s="19" t="n">
        <x:v>310000</x:v>
      </x:c>
      <x:c r="K20" s="20" t="n">
        <x:v>10</x:v>
      </x:c>
    </x:row>
    <x:row r="21" ht="23" customHeight="1">
      <x:c r="A21" s="2" t="str">
        <x:v>2026-10-09_Night</x:v>
      </x:c>
      <x:c r="B21" s="2" t="str">
        <x:v>下落</x:v>
      </x:c>
      <x:c r="C21" s="19" t="n">
        <x:v>14000</x:v>
      </x:c>
      <x:c r="D21" s="19" t="n">
        <x:v>0</x:v>
      </x:c>
      <x:c r="E21" s="19" t="n">
        <x:f>C21-D21</x:f>
        <x:v>14000</x:v>
      </x:c>
      <x:c r="F21" s="19" t="n">
        <x:f>F20+E21</x:f>
        <x:v>790000</x:v>
      </x:c>
      <x:c r="G21" s="20" t="n">
        <x:v>1</x:v>
      </x:c>
      <x:c r="H21" s="20" t="n">
        <x:v>5</x:v>
      </x:c>
      <x:c r="I21" s="19" t="n">
        <x:v>0</x:v>
      </x:c>
      <x:c r="J21" s="19" t="n">
        <x:v>14000</x:v>
      </x:c>
      <x:c r="K21" s="20" t="n">
        <x:v>1</x:v>
      </x:c>
    </x:row>
    <x:row r="22" ht="23" customHeight="1">
      <x:c r="A22" s="2" t="str">
        <x:v>2026-10-12_Night</x:v>
      </x:c>
      <x:c r="B22" s="2" t="str">
        <x:v>下落</x:v>
      </x:c>
      <x:c r="C22" s="19" t="n">
        <x:v>82000</x:v>
      </x:c>
      <x:c r="D22" s="19" t="n">
        <x:v>0</x:v>
      </x:c>
      <x:c r="E22" s="19" t="n">
        <x:f>C22-D22</x:f>
        <x:v>82000</x:v>
      </x:c>
      <x:c r="F22" s="19" t="n">
        <x:f>F21+E22</x:f>
        <x:v>872000</x:v>
      </x:c>
      <x:c r="G22" s="20" t="n">
        <x:v>1</x:v>
      </x:c>
      <x:c r="H22" s="20" t="n">
        <x:v>5</x:v>
      </x:c>
      <x:c r="I22" s="19" t="n">
        <x:v>0</x:v>
      </x:c>
      <x:c r="J22" s="19" t="n">
        <x:v>82000</x:v>
      </x:c>
      <x:c r="K22" s="20" t="n">
        <x:v>1</x:v>
      </x:c>
    </x:row>
    <x:row r="23" ht="23" customHeight="1">
      <x:c r="A23" s="2" t="str">
        <x:v>2026-10-13_Night</x:v>
      </x:c>
      <x:c r="B23" s="2" t="str">
        <x:v>上昇</x:v>
      </x:c>
      <x:c r="C23" s="19" t="n">
        <x:v>0</x:v>
      </x:c>
      <x:c r="D23" s="19" t="n">
        <x:v>53000</x:v>
      </x:c>
      <x:c r="E23" s="19" t="n">
        <x:f>C23-D23</x:f>
        <x:v>-53000</x:v>
      </x:c>
      <x:c r="F23" s="19" t="n">
        <x:f>F22+E23</x:f>
        <x:v>819000</x:v>
      </x:c>
      <x:c r="G23" s="20" t="n">
        <x:v>2</x:v>
      </x:c>
      <x:c r="H23" s="20" t="n">
        <x:v>6</x:v>
      </x:c>
      <x:c r="I23" s="19" t="n">
        <x:v>0</x:v>
      </x:c>
      <x:c r="J23" s="19" t="n">
        <x:v>-53000</x:v>
      </x:c>
      <x:c r="K23" s="20" t="n">
        <x:v>2</x:v>
      </x:c>
    </x:row>
    <x:row r="24" ht="23" customHeight="1">
      <x:c r="A24" s="2" t="str">
        <x:v>2026-10-14_Night</x:v>
      </x:c>
      <x:c r="B24" s="2" t="str">
        <x:v>下落</x:v>
      </x:c>
      <x:c r="C24" s="19" t="n">
        <x:v>197000</x:v>
      </x:c>
      <x:c r="D24" s="19" t="n">
        <x:v>61000</x:v>
      </x:c>
      <x:c r="E24" s="19" t="n">
        <x:f>C24-D24</x:f>
        <x:v>136000</x:v>
      </x:c>
      <x:c r="F24" s="19" t="n">
        <x:f>F23+E24</x:f>
        <x:v>955000</x:v>
      </x:c>
      <x:c r="G24" s="20" t="n">
        <x:v>4</x:v>
      </x:c>
      <x:c r="H24" s="20" t="n">
        <x:v>9</x:v>
      </x:c>
      <x:c r="I24" s="19" t="n">
        <x:v>0</x:v>
      </x:c>
      <x:c r="J24" s="19" t="n">
        <x:v>136000</x:v>
      </x:c>
      <x:c r="K24" s="20" t="n">
        <x:v>4</x:v>
      </x:c>
    </x:row>
    <x:row r="25" ht="23" customHeight="1">
      <x:c r="A25" s="2" t="str">
        <x:v>2026-10-15_Night</x:v>
      </x:c>
      <x:c r="B25" s="2" t="str">
        <x:v>上昇</x:v>
      </x:c>
      <x:c r="C25" s="19" t="n">
        <x:v>216000</x:v>
      </x:c>
      <x:c r="D25" s="19" t="n">
        <x:v>120000</x:v>
      </x:c>
      <x:c r="E25" s="19" t="n">
        <x:f>C25-D25</x:f>
        <x:v>96000</x:v>
      </x:c>
      <x:c r="F25" s="19" t="n">
        <x:f>F24+E25</x:f>
        <x:v>1051000</x:v>
      </x:c>
      <x:c r="G25" s="20" t="n">
        <x:v>13</x:v>
      </x:c>
      <x:c r="H25" s="20" t="n">
        <x:v>19</x:v>
      </x:c>
      <x:c r="I25" s="19" t="n">
        <x:v>0</x:v>
      </x:c>
      <x:c r="J25" s="19" t="n">
        <x:v>96000</x:v>
      </x:c>
      <x:c r="K25" s="20" t="n">
        <x:v>9</x:v>
      </x:c>
    </x:row>
    <x:row r="26" ht="23" customHeight="1">
      <x:c r="A26" s="2" t="str">
        <x:v>2026-10-16_Night</x:v>
      </x:c>
      <x:c r="B26" s="2" t="str">
        <x:v>下落</x:v>
      </x:c>
      <x:c r="C26" s="19" t="n">
        <x:v>159000</x:v>
      </x:c>
      <x:c r="D26" s="19" t="n">
        <x:v>142000</x:v>
      </x:c>
      <x:c r="E26" s="19" t="n">
        <x:f>C26-D26</x:f>
        <x:v>17000</x:v>
      </x:c>
      <x:c r="F26" s="19" t="n">
        <x:f>F25+E26</x:f>
        <x:v>1068000</x:v>
      </x:c>
      <x:c r="G26" s="20" t="n">
        <x:v>15</x:v>
      </x:c>
      <x:c r="H26" s="20" t="n">
        <x:v>29</x:v>
      </x:c>
      <x:c r="I26" s="19" t="n">
        <x:v>6000</x:v>
      </x:c>
      <x:c r="J26" s="19" t="n">
        <x:v>11000</x:v>
      </x:c>
      <x:c r="K26" s="20" t="n">
        <x:v>12</x:v>
      </x:c>
    </x:row>
    <x:row r="27" ht="23" customHeight="1">
      <x:c r="A27" s="2" t="str">
        <x:v>2026-10-19_Night</x:v>
      </x:c>
      <x:c r="B27" s="2" t="str">
        <x:v>上昇</x:v>
      </x:c>
      <x:c r="C27" s="19" t="n">
        <x:v>108000</x:v>
      </x:c>
      <x:c r="D27" s="19" t="n">
        <x:v>93000</x:v>
      </x:c>
      <x:c r="E27" s="19" t="n">
        <x:f>C27-D27</x:f>
        <x:v>15000</x:v>
      </x:c>
      <x:c r="F27" s="19" t="n">
        <x:f>F26+E27</x:f>
        <x:v>1083000</x:v>
      </x:c>
      <x:c r="G27" s="20" t="n">
        <x:v>14</x:v>
      </x:c>
      <x:c r="H27" s="20" t="n">
        <x:v>23</x:v>
      </x:c>
      <x:c r="I27" s="19" t="n">
        <x:v>0</x:v>
      </x:c>
      <x:c r="J27" s="19" t="n">
        <x:v>15000</x:v>
      </x:c>
      <x:c r="K27" s="20" t="n">
        <x:v>9</x:v>
      </x:c>
    </x:row>
    <x:row r="28" ht="23" customHeight="1">
      <x:c r="A28" s="2" t="str">
        <x:v>2026-10-20_Night</x:v>
      </x:c>
      <x:c r="B28" s="2" t="str">
        <x:v>上昇</x:v>
      </x:c>
      <x:c r="C28" s="19" t="n">
        <x:v>536000</x:v>
      </x:c>
      <x:c r="D28" s="19" t="n">
        <x:v>24000</x:v>
      </x:c>
      <x:c r="E28" s="19" t="n">
        <x:f>C28-D28</x:f>
        <x:v>512000</x:v>
      </x:c>
      <x:c r="F28" s="19" t="n">
        <x:f>F27+E28</x:f>
        <x:v>1595000</x:v>
      </x:c>
      <x:c r="G28" s="20" t="n">
        <x:v>12</x:v>
      </x:c>
      <x:c r="H28" s="20" t="n">
        <x:v>16</x:v>
      </x:c>
      <x:c r="I28" s="19" t="n">
        <x:v>34000</x:v>
      </x:c>
      <x:c r="J28" s="19" t="n">
        <x:v>478000</x:v>
      </x:c>
      <x:c r="K28" s="20" t="n">
        <x:v>7</x:v>
      </x:c>
    </x:row>
    <x:row r="29" ht="23" customHeight="1">
      <x:c r="A29" s="2" t="str">
        <x:v>2026-10-21_Night</x:v>
      </x:c>
      <x:c r="B29" s="2" t="str">
        <x:v>上昇</x:v>
      </x:c>
      <x:c r="C29" s="19" t="n">
        <x:v>61000</x:v>
      </x:c>
      <x:c r="D29" s="19" t="n">
        <x:v>85000</x:v>
      </x:c>
      <x:c r="E29" s="19" t="n">
        <x:f>C29-D29</x:f>
        <x:v>-24000</x:v>
      </x:c>
      <x:c r="F29" s="19" t="n">
        <x:f>F28+E29</x:f>
        <x:v>1571000</x:v>
      </x:c>
      <x:c r="G29" s="20" t="n">
        <x:v>5</x:v>
      </x:c>
      <x:c r="H29" s="20" t="n">
        <x:v>17</x:v>
      </x:c>
      <x:c r="I29" s="19" t="n">
        <x:v>0</x:v>
      </x:c>
      <x:c r="J29" s="19" t="n">
        <x:v>-24000</x:v>
      </x:c>
      <x:c r="K29" s="20" t="n">
        <x:v>4</x:v>
      </x:c>
    </x:row>
    <x:row r="30" ht="23" customHeight="1">
      <x:c r="A30" s="2" t="str">
        <x:v>2026-10-22_Night</x:v>
      </x:c>
      <x:c r="B30" s="2" t="str">
        <x:v>下落</x:v>
      </x:c>
      <x:c r="C30" s="19" t="n">
        <x:v>160000</x:v>
      </x:c>
      <x:c r="D30" s="19" t="n">
        <x:v>83000</x:v>
      </x:c>
      <x:c r="E30" s="19" t="n">
        <x:f>C30-D30</x:f>
        <x:v>77000</x:v>
      </x:c>
      <x:c r="F30" s="19" t="n">
        <x:f>F29+E30</x:f>
        <x:v>1648000</x:v>
      </x:c>
      <x:c r="G30" s="20" t="n">
        <x:v>7</x:v>
      </x:c>
      <x:c r="H30" s="20" t="n">
        <x:v>15</x:v>
      </x:c>
      <x:c r="I30" s="19" t="n">
        <x:v>0</x:v>
      </x:c>
      <x:c r="J30" s="19" t="n">
        <x:v>77000</x:v>
      </x:c>
      <x:c r="K30" s="20" t="n">
        <x:v>6</x:v>
      </x:c>
    </x:row>
    <x:row r="31" ht="23" customHeight="1">
      <x:c r="A31" s="2" t="str">
        <x:v>2026-10-23_Night</x:v>
      </x:c>
      <x:c r="B31" s="2" t="str">
        <x:v>上昇</x:v>
      </x:c>
      <x:c r="C31" s="19" t="n">
        <x:v>40000</x:v>
      </x:c>
      <x:c r="D31" s="19" t="n">
        <x:v>53000</x:v>
      </x:c>
      <x:c r="E31" s="19" t="n">
        <x:f>C31-D31</x:f>
        <x:v>-13000</x:v>
      </x:c>
      <x:c r="F31" s="19" t="n">
        <x:f>F30+E31</x:f>
        <x:v>1635000</x:v>
      </x:c>
      <x:c r="G31" s="20" t="n">
        <x:v>10</x:v>
      </x:c>
      <x:c r="H31" s="20" t="n">
        <x:v>15</x:v>
      </x:c>
      <x:c r="I31" s="19" t="n">
        <x:v>-28000</x:v>
      </x:c>
      <x:c r="J31" s="19" t="n">
        <x:v>15000</x:v>
      </x:c>
      <x:c r="K31" s="20" t="n">
        <x:v>6</x:v>
      </x:c>
    </x:row>
    <x:row r="32" ht="23" customHeight="1">
      <x:c r="A32" s="24" t="str">
        <x:v>25夜累計</x:v>
      </x:c>
      <x:c r="B32" s="24"/>
      <x:c r="C32" s="25" t="n">
        <x:f>SUM(C7:C31)</x:f>
        <x:v>2884000</x:v>
      </x:c>
      <x:c r="D32" s="25" t="n">
        <x:f>SUM(D7:D31)</x:f>
        <x:v>1249000</x:v>
      </x:c>
      <x:c r="E32" s="25" t="n">
        <x:f>C32-D32</x:f>
        <x:v>1635000</x:v>
      </x:c>
      <x:c r="F32" s="25" t="n">
        <x:f>F31</x:f>
        <x:v>1635000</x:v>
      </x:c>
      <x:c r="G32" s="26" t="n">
        <x:f>SUM(G7:G31)</x:f>
        <x:v>179</x:v>
      </x:c>
      <x:c r="H32" s="26" t="n">
        <x:f>SUM(H7:H31)</x:f>
        <x:v>333</x:v>
      </x:c>
      <x:c r="I32" s="25" t="n">
        <x:f>SUM(I7:I31)</x:f>
        <x:v>81000</x:v>
      </x:c>
      <x:c r="J32" s="25" t="n">
        <x:f>SUM(J7:J31)</x:f>
        <x:v>1554000</x:v>
      </x:c>
      <x:c r="K32" s="26" t="n">
        <x:f>SUM(K7:K31)</x:f>
        <x:v>125</x:v>
      </x:c>
    </x:row>
    <x:row r="33" ht="23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</x:row>
  </x:sheetData>
  <x:conditionalFormatting sqref="C7:F32">
    <x:cfRule type="cellIs" dxfId="0" priority="1" operator="lessThan">
      <x:formula>0</x:formula>
    </x:cfRule>
  </x:conditionalFormatting>
  <x:conditionalFormatting sqref="I7:J32">
    <x:cfRule type="cellIs" dxfId="1" priority="2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3cd20b04b494521"/>
  </x:tableParts>
</x:worksheet>
</file>

<file path=xl/worksheets/sheet3.xml><?xml version="1.0" encoding="utf-8"?>
<x:worksheet xmlns:x="http://schemas.openxmlformats.org/spreadsheetml/2006/main">
  <x:sheetPr>
    <x:tabColor rgb="FF244A70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8" hidden="0" customWidth="1"/>
    <x:col min="2" max="2" width="14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23" customHeight="1">
      <x:c r="A2" s="4" t="str">
        <x:v>P01　全夜間の利益・損失・収支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</x:row>
    <x:row r="3" ht="23" customHeight="1">
      <x:c r="A3" s="6" t="str">
        <x:v>日経mini・片方向上限10枚・手数料0円・気配差込み。利益と損失は完結した親取引の収支を分類。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 ht="23" customHeight="1">
      <x:c r="A4" s="6" t="str">
        <x:v>2026/09/21～10/23の既知25夜。前段は米国開始15分前まで、後段は米国開始15分後から。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</x:row>
    <x:row r="5" ht="23" customHeight="1">
      <x:c r="A5" s="6" t="str">
        <x:v>5分・10分の方向一致で5枚、40pt順行後5枚追加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</x:row>
    <x:row r="6" ht="40" customHeight="1">
      <x:c r="A6" s="15" t="str">
        <x:v>セッション</x:v>
      </x:c>
      <x:c r="B6" s="16" t="str">
        <x:v>始終値方向</x:v>
      </x:c>
      <x:c r="C6" s="16" t="str">
        <x:v>利益（円）</x:v>
      </x:c>
      <x:c r="D6" s="16" t="str">
        <x:v>損失（円）</x:v>
      </x:c>
      <x:c r="E6" s="16" t="str">
        <x:v>収支（円）</x:v>
      </x:c>
      <x:c r="F6" s="16" t="str">
        <x:v>累計（円）</x:v>
      </x:c>
      <x:c r="G6" s="16" t="str">
        <x:v>新規件数</x:v>
      </x:c>
      <x:c r="H6" s="16" t="str">
        <x:v>新規合計枚数</x:v>
      </x:c>
      <x:c r="I6" s="16" t="str">
        <x:v>前段収支（円）</x:v>
      </x:c>
      <x:c r="J6" s="16" t="str">
        <x:v>後段収支（円）</x:v>
      </x:c>
      <x:c r="K6" s="17" t="str">
        <x:v>親取引数</x:v>
      </x:c>
    </x:row>
    <x:row r="7" ht="23" customHeight="1">
      <x:c r="A7" s="2" t="str">
        <x:v>2026-09-21_Night</x:v>
      </x:c>
      <x:c r="B7" s="2" t="str">
        <x:v>上昇</x:v>
      </x:c>
      <x:c r="C7" s="19" t="n">
        <x:v>0</x:v>
      </x:c>
      <x:c r="D7" s="19" t="n">
        <x:v>45000</x:v>
      </x:c>
      <x:c r="E7" s="19" t="n">
        <x:f>C7-D7</x:f>
        <x:v>-45000</x:v>
      </x:c>
      <x:c r="F7" s="19" t="n">
        <x:f>E7</x:f>
        <x:v>-45000</x:v>
      </x:c>
      <x:c r="G7" s="20" t="n">
        <x:v>1</x:v>
      </x:c>
      <x:c r="H7" s="20" t="n">
        <x:v>5</x:v>
      </x:c>
      <x:c r="I7" s="19" t="n">
        <x:v>0</x:v>
      </x:c>
      <x:c r="J7" s="19" t="n">
        <x:v>-45000</x:v>
      </x:c>
      <x:c r="K7" s="20" t="n">
        <x:v>1</x:v>
      </x:c>
    </x:row>
    <x:row r="8" ht="23" customHeight="1">
      <x:c r="A8" s="2" t="str">
        <x:v>2026-09-22_Night</x:v>
      </x:c>
      <x:c r="B8" s="2" t="str">
        <x:v>上昇</x:v>
      </x:c>
      <x:c r="C8" s="19" t="n">
        <x:v>189000</x:v>
      </x:c>
      <x:c r="D8" s="19" t="n">
        <x:v>45000</x:v>
      </x:c>
      <x:c r="E8" s="19" t="n">
        <x:f>C8-D8</x:f>
        <x:v>144000</x:v>
      </x:c>
      <x:c r="F8" s="19" t="n">
        <x:f>F7+E8</x:f>
        <x:v>99000</x:v>
      </x:c>
      <x:c r="G8" s="20" t="n">
        <x:v>5</x:v>
      </x:c>
      <x:c r="H8" s="20" t="n">
        <x:v>25</x:v>
      </x:c>
      <x:c r="I8" s="19" t="n">
        <x:v>120000</x:v>
      </x:c>
      <x:c r="J8" s="19" t="n">
        <x:v>24000</x:v>
      </x:c>
      <x:c r="K8" s="20" t="n">
        <x:v>4</x:v>
      </x:c>
    </x:row>
    <x:row r="9" ht="23" customHeight="1">
      <x:c r="A9" s="2" t="str">
        <x:v>2026-09-23_Night</x:v>
      </x:c>
      <x:c r="B9" s="2" t="str">
        <x:v>下落</x:v>
      </x:c>
      <x:c r="C9" s="19" t="n">
        <x:v>4000</x:v>
      </x:c>
      <x:c r="D9" s="19" t="n">
        <x:v>40000</x:v>
      </x:c>
      <x:c r="E9" s="19" t="n">
        <x:f>C9-D9</x:f>
        <x:v>-36000</x:v>
      </x:c>
      <x:c r="F9" s="19" t="n">
        <x:f>F8+E9</x:f>
        <x:v>63000</x:v>
      </x:c>
      <x:c r="G9" s="20" t="n">
        <x:v>3</x:v>
      </x:c>
      <x:c r="H9" s="20" t="n">
        <x:v>7</x:v>
      </x:c>
      <x:c r="I9" s="19" t="n">
        <x:v>0</x:v>
      </x:c>
      <x:c r="J9" s="19" t="n">
        <x:v>-36000</x:v>
      </x:c>
      <x:c r="K9" s="20" t="n">
        <x:v>2</x:v>
      </x:c>
    </x:row>
    <x:row r="10" ht="23" customHeight="1">
      <x:c r="A10" s="2" t="str">
        <x:v>2026-09-24_Night</x:v>
      </x:c>
      <x:c r="B10" s="2" t="str">
        <x:v>下落</x:v>
      </x:c>
      <x:c r="C10" s="19" t="n">
        <x:v>80000</x:v>
      </x:c>
      <x:c r="D10" s="19" t="n">
        <x:v>100000</x:v>
      </x:c>
      <x:c r="E10" s="19" t="n">
        <x:f>C10-D10</x:f>
        <x:v>-20000</x:v>
      </x:c>
      <x:c r="F10" s="19" t="n">
        <x:f>F9+E10</x:f>
        <x:v>43000</x:v>
      </x:c>
      <x:c r="G10" s="20" t="n">
        <x:v>8</x:v>
      </x:c>
      <x:c r="H10" s="20" t="n">
        <x:v>32</x:v>
      </x:c>
      <x:c r="I10" s="19" t="n">
        <x:v>-40000</x:v>
      </x:c>
      <x:c r="J10" s="19" t="n">
        <x:v>20000</x:v>
      </x:c>
      <x:c r="K10" s="20" t="n">
        <x:v>6</x:v>
      </x:c>
    </x:row>
    <x:row r="11" ht="23" customHeight="1">
      <x:c r="A11" s="2" t="str">
        <x:v>2026-09-25_Night</x:v>
      </x:c>
      <x:c r="B11" s="2" t="str">
        <x:v>上昇</x:v>
      </x:c>
      <x:c r="C11" s="19" t="n">
        <x:v>57000</x:v>
      </x:c>
      <x:c r="D11" s="19" t="n">
        <x:v>166000</x:v>
      </x:c>
      <x:c r="E11" s="19" t="n">
        <x:f>C11-D11</x:f>
        <x:v>-109000</x:v>
      </x:c>
      <x:c r="F11" s="19" t="n">
        <x:f>F10+E11</x:f>
        <x:v>-66000</x:v>
      </x:c>
      <x:c r="G11" s="20" t="n">
        <x:v>6</x:v>
      </x:c>
      <x:c r="H11" s="20" t="n">
        <x:v>26</x:v>
      </x:c>
      <x:c r="I11" s="19" t="n">
        <x:v>-110000</x:v>
      </x:c>
      <x:c r="J11" s="19" t="n">
        <x:v>1000</x:v>
      </x:c>
      <x:c r="K11" s="20" t="n">
        <x:v>6</x:v>
      </x:c>
    </x:row>
    <x:row r="12" ht="23" customHeight="1">
      <x:c r="A12" s="2" t="str">
        <x:v>2026-09-28_Night</x:v>
      </x:c>
      <x:c r="B12" s="2" t="str">
        <x:v>下落</x:v>
      </x:c>
      <x:c r="C12" s="19" t="n">
        <x:v>21000</x:v>
      </x:c>
      <x:c r="D12" s="19" t="n">
        <x:v>213000</x:v>
      </x:c>
      <x:c r="E12" s="19" t="n">
        <x:f>C12-D12</x:f>
        <x:v>-192000</x:v>
      </x:c>
      <x:c r="F12" s="19" t="n">
        <x:f>F11+E12</x:f>
        <x:v>-258000</x:v>
      </x:c>
      <x:c r="G12" s="20" t="n">
        <x:v>11</x:v>
      </x:c>
      <x:c r="H12" s="20" t="n">
        <x:v>37</x:v>
      </x:c>
      <x:c r="I12" s="19" t="n">
        <x:v>-145000</x:v>
      </x:c>
      <x:c r="J12" s="19" t="n">
        <x:v>-47000</x:v>
      </x:c>
      <x:c r="K12" s="20" t="n">
        <x:v>10</x:v>
      </x:c>
    </x:row>
    <x:row r="13" ht="23" customHeight="1">
      <x:c r="A13" s="2" t="str">
        <x:v>2026-09-29_Night</x:v>
      </x:c>
      <x:c r="B13" s="2" t="str">
        <x:v>上昇</x:v>
      </x:c>
      <x:c r="C13" s="19" t="n">
        <x:v>87000</x:v>
      </x:c>
      <x:c r="D13" s="19" t="n">
        <x:v>167000</x:v>
      </x:c>
      <x:c r="E13" s="19" t="n">
        <x:f>C13-D13</x:f>
        <x:v>-80000</x:v>
      </x:c>
      <x:c r="F13" s="19" t="n">
        <x:f>F12+E13</x:f>
        <x:v>-338000</x:v>
      </x:c>
      <x:c r="G13" s="20" t="n">
        <x:v>9</x:v>
      </x:c>
      <x:c r="H13" s="20" t="n">
        <x:v>29</x:v>
      </x:c>
      <x:c r="I13" s="19" t="n">
        <x:v>-145000</x:v>
      </x:c>
      <x:c r="J13" s="19" t="n">
        <x:v>65000</x:v>
      </x:c>
      <x:c r="K13" s="20" t="n">
        <x:v>7</x:v>
      </x:c>
    </x:row>
    <x:row r="14" ht="23" customHeight="1">
      <x:c r="A14" s="2" t="str">
        <x:v>2026-09-30_Night</x:v>
      </x:c>
      <x:c r="B14" s="2" t="str">
        <x:v>下落</x:v>
      </x:c>
      <x:c r="C14" s="19" t="n">
        <x:v>158000</x:v>
      </x:c>
      <x:c r="D14" s="19" t="n">
        <x:v>305000</x:v>
      </x:c>
      <x:c r="E14" s="19" t="n">
        <x:f>C14-D14</x:f>
        <x:v>-147000</x:v>
      </x:c>
      <x:c r="F14" s="19" t="n">
        <x:f>F13+E14</x:f>
        <x:v>-485000</x:v>
      </x:c>
      <x:c r="G14" s="20" t="n">
        <x:v>14</x:v>
      </x:c>
      <x:c r="H14" s="20" t="n">
        <x:v>62</x:v>
      </x:c>
      <x:c r="I14" s="19" t="n">
        <x:v>-190000</x:v>
      </x:c>
      <x:c r="J14" s="19" t="n">
        <x:v>43000</x:v>
      </x:c>
      <x:c r="K14" s="20" t="n">
        <x:v>10</x:v>
      </x:c>
    </x:row>
    <x:row r="15" ht="23" customHeight="1">
      <x:c r="A15" s="2" t="str">
        <x:v>2026-10-01_Night</x:v>
      </x:c>
      <x:c r="B15" s="2" t="str">
        <x:v>上昇</x:v>
      </x:c>
      <x:c r="C15" s="19" t="n">
        <x:v>360000</x:v>
      </x:c>
      <x:c r="D15" s="19" t="n">
        <x:v>196000</x:v>
      </x:c>
      <x:c r="E15" s="19" t="n">
        <x:f>C15-D15</x:f>
        <x:v>164000</x:v>
      </x:c>
      <x:c r="F15" s="19" t="n">
        <x:f>F14+E15</x:f>
        <x:v>-321000</x:v>
      </x:c>
      <x:c r="G15" s="20" t="n">
        <x:v>18</x:v>
      </x:c>
      <x:c r="H15" s="20" t="n">
        <x:v>49</x:v>
      </x:c>
      <x:c r="I15" s="19" t="n">
        <x:v>55000</x:v>
      </x:c>
      <x:c r="J15" s="19" t="n">
        <x:v>109000</x:v>
      </x:c>
      <x:c r="K15" s="20" t="n">
        <x:v>13</x:v>
      </x:c>
    </x:row>
    <x:row r="16" ht="23" customHeight="1">
      <x:c r="A16" s="2" t="str">
        <x:v>2026-10-02_Night</x:v>
      </x:c>
      <x:c r="B16" s="2" t="str">
        <x:v>上昇</x:v>
      </x:c>
      <x:c r="C16" s="19" t="n">
        <x:v>439000</x:v>
      </x:c>
      <x:c r="D16" s="19" t="n">
        <x:v>358000</x:v>
      </x:c>
      <x:c r="E16" s="19" t="n">
        <x:f>C16-D16</x:f>
        <x:v>81000</x:v>
      </x:c>
      <x:c r="F16" s="19" t="n">
        <x:f>F15+E16</x:f>
        <x:v>-240000</x:v>
      </x:c>
      <x:c r="G16" s="20" t="n">
        <x:v>27</x:v>
      </x:c>
      <x:c r="H16" s="20" t="n">
        <x:v>88</x:v>
      </x:c>
      <x:c r="I16" s="19" t="n">
        <x:v>-180000</x:v>
      </x:c>
      <x:c r="J16" s="19" t="n">
        <x:v>261000</x:v>
      </x:c>
      <x:c r="K16" s="20" t="n">
        <x:v>20</x:v>
      </x:c>
    </x:row>
    <x:row r="17" ht="23" customHeight="1">
      <x:c r="A17" s="2" t="str">
        <x:v>2026-10-05_Night</x:v>
      </x:c>
      <x:c r="B17" s="2" t="str">
        <x:v>下落</x:v>
      </x:c>
      <x:c r="C17" s="19" t="n">
        <x:v>193000</x:v>
      </x:c>
      <x:c r="D17" s="19" t="n">
        <x:v>264000</x:v>
      </x:c>
      <x:c r="E17" s="19" t="n">
        <x:f>C17-D17</x:f>
        <x:v>-71000</x:v>
      </x:c>
      <x:c r="F17" s="19" t="n">
        <x:f>F16+E17</x:f>
        <x:v>-311000</x:v>
      </x:c>
      <x:c r="G17" s="20" t="n">
        <x:v>13</x:v>
      </x:c>
      <x:c r="H17" s="20" t="n">
        <x:v>44</x:v>
      </x:c>
      <x:c r="I17" s="19" t="n">
        <x:v>-105000</x:v>
      </x:c>
      <x:c r="J17" s="19" t="n">
        <x:v>34000</x:v>
      </x:c>
      <x:c r="K17" s="20" t="n">
        <x:v>10</x:v>
      </x:c>
    </x:row>
    <x:row r="18" ht="23" customHeight="1">
      <x:c r="A18" s="2" t="str">
        <x:v>2026-10-06_Night</x:v>
      </x:c>
      <x:c r="B18" s="2" t="str">
        <x:v>下落</x:v>
      </x:c>
      <x:c r="C18" s="19" t="n">
        <x:v>33000</x:v>
      </x:c>
      <x:c r="D18" s="19" t="n">
        <x:v>173000</x:v>
      </x:c>
      <x:c r="E18" s="19" t="n">
        <x:f>C18-D18</x:f>
        <x:v>-140000</x:v>
      </x:c>
      <x:c r="F18" s="19" t="n">
        <x:f>F17+E18</x:f>
        <x:v>-451000</x:v>
      </x:c>
      <x:c r="G18" s="20" t="n">
        <x:v>8</x:v>
      </x:c>
      <x:c r="H18" s="20" t="n">
        <x:v>28</x:v>
      </x:c>
      <x:c r="I18" s="19" t="n">
        <x:v>-130000</x:v>
      </x:c>
      <x:c r="J18" s="19" t="n">
        <x:v>-10000</x:v>
      </x:c>
      <x:c r="K18" s="20" t="n">
        <x:v>5</x:v>
      </x:c>
    </x:row>
    <x:row r="19" ht="23" customHeight="1">
      <x:c r="A19" s="2" t="str">
        <x:v>2026-10-07_Night</x:v>
      </x:c>
      <x:c r="B19" s="2" t="str">
        <x:v>下落</x:v>
      </x:c>
      <x:c r="C19" s="19" t="n">
        <x:v>0</x:v>
      </x:c>
      <x:c r="D19" s="19" t="n">
        <x:v>172000</x:v>
      </x:c>
      <x:c r="E19" s="19" t="n">
        <x:f>C19-D19</x:f>
        <x:v>-172000</x:v>
      </x:c>
      <x:c r="F19" s="19" t="n">
        <x:f>F18+E19</x:f>
        <x:v>-623000</x:v>
      </x:c>
      <x:c r="G19" s="20" t="n">
        <x:v>5</x:v>
      </x:c>
      <x:c r="H19" s="20" t="n">
        <x:v>17</x:v>
      </x:c>
      <x:c r="I19" s="19" t="n">
        <x:v>-150000</x:v>
      </x:c>
      <x:c r="J19" s="19" t="n">
        <x:v>-22000</x:v>
      </x:c>
      <x:c r="K19" s="20" t="n">
        <x:v>4</x:v>
      </x:c>
    </x:row>
    <x:row r="20" ht="23" customHeight="1">
      <x:c r="A20" s="2" t="str">
        <x:v>2026-10-08_Night</x:v>
      </x:c>
      <x:c r="B20" s="2" t="str">
        <x:v>下落</x:v>
      </x:c>
      <x:c r="C20" s="19" t="n">
        <x:v>445000</x:v>
      </x:c>
      <x:c r="D20" s="19" t="n">
        <x:v>70000</x:v>
      </x:c>
      <x:c r="E20" s="19" t="n">
        <x:f>C20-D20</x:f>
        <x:v>375000</x:v>
      </x:c>
      <x:c r="F20" s="19" t="n">
        <x:f>F19+E20</x:f>
        <x:v>-248000</x:v>
      </x:c>
      <x:c r="G20" s="20" t="n">
        <x:v>20</x:v>
      </x:c>
      <x:c r="H20" s="20" t="n">
        <x:v>53</x:v>
      </x:c>
      <x:c r="I20" s="19" t="n">
        <x:v>65000</x:v>
      </x:c>
      <x:c r="J20" s="19" t="n">
        <x:v>310000</x:v>
      </x:c>
      <x:c r="K20" s="20" t="n">
        <x:v>14</x:v>
      </x:c>
    </x:row>
    <x:row r="21" ht="23" customHeight="1">
      <x:c r="A21" s="2" t="str">
        <x:v>2026-10-09_Night</x:v>
      </x:c>
      <x:c r="B21" s="2" t="str">
        <x:v>下落</x:v>
      </x:c>
      <x:c r="C21" s="19" t="n">
        <x:v>14000</x:v>
      </x:c>
      <x:c r="D21" s="19" t="n">
        <x:v>95000</x:v>
      </x:c>
      <x:c r="E21" s="19" t="n">
        <x:f>C21-D21</x:f>
        <x:v>-81000</x:v>
      </x:c>
      <x:c r="F21" s="19" t="n">
        <x:f>F20+E21</x:f>
        <x:v>-329000</x:v>
      </x:c>
      <x:c r="G21" s="20" t="n">
        <x:v>3</x:v>
      </x:c>
      <x:c r="H21" s="20" t="n">
        <x:v>15</x:v>
      </x:c>
      <x:c r="I21" s="19" t="n">
        <x:v>-95000</x:v>
      </x:c>
      <x:c r="J21" s="19" t="n">
        <x:v>14000</x:v>
      </x:c>
      <x:c r="K21" s="20" t="n">
        <x:v>3</x:v>
      </x:c>
    </x:row>
    <x:row r="22" ht="23" customHeight="1">
      <x:c r="A22" s="2" t="str">
        <x:v>2026-10-12_Night</x:v>
      </x:c>
      <x:c r="B22" s="2" t="str">
        <x:v>下落</x:v>
      </x:c>
      <x:c r="C22" s="19" t="n">
        <x:v>82000</x:v>
      </x:c>
      <x:c r="D22" s="19" t="n">
        <x:v>50000</x:v>
      </x:c>
      <x:c r="E22" s="19" t="n">
        <x:f>C22-D22</x:f>
        <x:v>32000</x:v>
      </x:c>
      <x:c r="F22" s="19" t="n">
        <x:f>F21+E22</x:f>
        <x:v>-297000</x:v>
      </x:c>
      <x:c r="G22" s="20" t="n">
        <x:v>2</x:v>
      </x:c>
      <x:c r="H22" s="20" t="n">
        <x:v>10</x:v>
      </x:c>
      <x:c r="I22" s="19" t="n">
        <x:v>-50000</x:v>
      </x:c>
      <x:c r="J22" s="19" t="n">
        <x:v>82000</x:v>
      </x:c>
      <x:c r="K22" s="20" t="n">
        <x:v>2</x:v>
      </x:c>
    </x:row>
    <x:row r="23" ht="23" customHeight="1">
      <x:c r="A23" s="2" t="str">
        <x:v>2026-10-13_Night</x:v>
      </x:c>
      <x:c r="B23" s="2" t="str">
        <x:v>上昇</x:v>
      </x:c>
      <x:c r="C23" s="19" t="n">
        <x:v>35000</x:v>
      </x:c>
      <x:c r="D23" s="19" t="n">
        <x:v>68000</x:v>
      </x:c>
      <x:c r="E23" s="19" t="n">
        <x:f>C23-D23</x:f>
        <x:v>-33000</x:v>
      </x:c>
      <x:c r="F23" s="19" t="n">
        <x:f>F22+E23</x:f>
        <x:v>-330000</x:v>
      </x:c>
      <x:c r="G23" s="20" t="n">
        <x:v>5</x:v>
      </x:c>
      <x:c r="H23" s="20" t="n">
        <x:v>21</x:v>
      </x:c>
      <x:c r="I23" s="19" t="n">
        <x:v>20000</x:v>
      </x:c>
      <x:c r="J23" s="19" t="n">
        <x:v>-53000</x:v>
      </x:c>
      <x:c r="K23" s="20" t="n">
        <x:v>4</x:v>
      </x:c>
    </x:row>
    <x:row r="24" ht="23" customHeight="1">
      <x:c r="A24" s="2" t="str">
        <x:v>2026-10-14_Night</x:v>
      </x:c>
      <x:c r="B24" s="2" t="str">
        <x:v>下落</x:v>
      </x:c>
      <x:c r="C24" s="19" t="n">
        <x:v>222000</x:v>
      </x:c>
      <x:c r="D24" s="19" t="n">
        <x:v>411000</x:v>
      </x:c>
      <x:c r="E24" s="19" t="n">
        <x:f>C24-D24</x:f>
        <x:v>-189000</x:v>
      </x:c>
      <x:c r="F24" s="19" t="n">
        <x:f>F23+E24</x:f>
        <x:v>-519000</x:v>
      </x:c>
      <x:c r="G24" s="20" t="n">
        <x:v>11</x:v>
      </x:c>
      <x:c r="H24" s="20" t="n">
        <x:v>44</x:v>
      </x:c>
      <x:c r="I24" s="19" t="n">
        <x:v>-325000</x:v>
      </x:c>
      <x:c r="J24" s="19" t="n">
        <x:v>136000</x:v>
      </x:c>
      <x:c r="K24" s="20" t="n">
        <x:v>10</x:v>
      </x:c>
    </x:row>
    <x:row r="25" ht="23" customHeight="1">
      <x:c r="A25" s="2" t="str">
        <x:v>2026-10-15_Night</x:v>
      </x:c>
      <x:c r="B25" s="2" t="str">
        <x:v>上昇</x:v>
      </x:c>
      <x:c r="C25" s="19" t="n">
        <x:v>231000</x:v>
      </x:c>
      <x:c r="D25" s="19" t="n">
        <x:v>320000</x:v>
      </x:c>
      <x:c r="E25" s="19" t="n">
        <x:f>C25-D25</x:f>
        <x:v>-89000</x:v>
      </x:c>
      <x:c r="F25" s="19" t="n">
        <x:f>F24+E25</x:f>
        <x:v>-608000</x:v>
      </x:c>
      <x:c r="G25" s="20" t="n">
        <x:v>18</x:v>
      </x:c>
      <x:c r="H25" s="20" t="n">
        <x:v>44</x:v>
      </x:c>
      <x:c r="I25" s="19" t="n">
        <x:v>-185000</x:v>
      </x:c>
      <x:c r="J25" s="19" t="n">
        <x:v>96000</x:v>
      </x:c>
      <x:c r="K25" s="20" t="n">
        <x:v>14</x:v>
      </x:c>
    </x:row>
    <x:row r="26" ht="23" customHeight="1">
      <x:c r="A26" s="2" t="str">
        <x:v>2026-10-16_Night</x:v>
      </x:c>
      <x:c r="B26" s="2" t="str">
        <x:v>下落</x:v>
      </x:c>
      <x:c r="C26" s="19" t="n">
        <x:v>153000</x:v>
      </x:c>
      <x:c r="D26" s="19" t="n">
        <x:v>242000</x:v>
      </x:c>
      <x:c r="E26" s="19" t="n">
        <x:f>C26-D26</x:f>
        <x:v>-89000</x:v>
      </x:c>
      <x:c r="F26" s="19" t="n">
        <x:f>F25+E26</x:f>
        <x:v>-697000</x:v>
      </x:c>
      <x:c r="G26" s="20" t="n">
        <x:v>15</x:v>
      </x:c>
      <x:c r="H26" s="20" t="n">
        <x:v>37</x:v>
      </x:c>
      <x:c r="I26" s="19" t="n">
        <x:v>-100000</x:v>
      </x:c>
      <x:c r="J26" s="19" t="n">
        <x:v>11000</x:v>
      </x:c>
      <x:c r="K26" s="20" t="n">
        <x:v>13</x:v>
      </x:c>
    </x:row>
    <x:row r="27" ht="23" customHeight="1">
      <x:c r="A27" s="2" t="str">
        <x:v>2026-10-19_Night</x:v>
      </x:c>
      <x:c r="B27" s="2" t="str">
        <x:v>上昇</x:v>
      </x:c>
      <x:c r="C27" s="19" t="n">
        <x:v>133000</x:v>
      </x:c>
      <x:c r="D27" s="19" t="n">
        <x:v>343000</x:v>
      </x:c>
      <x:c r="E27" s="19" t="n">
        <x:f>C27-D27</x:f>
        <x:v>-210000</x:v>
      </x:c>
      <x:c r="F27" s="19" t="n">
        <x:f>F26+E27</x:f>
        <x:v>-907000</x:v>
      </x:c>
      <x:c r="G27" s="20" t="n">
        <x:v>20</x:v>
      </x:c>
      <x:c r="H27" s="20" t="n">
        <x:v>53</x:v>
      </x:c>
      <x:c r="I27" s="19" t="n">
        <x:v>-225000</x:v>
      </x:c>
      <x:c r="J27" s="19" t="n">
        <x:v>15000</x:v>
      </x:c>
      <x:c r="K27" s="20" t="n">
        <x:v>15</x:v>
      </x:c>
    </x:row>
    <x:row r="28" ht="23" customHeight="1">
      <x:c r="A28" s="2" t="str">
        <x:v>2026-10-20_Night</x:v>
      </x:c>
      <x:c r="B28" s="2" t="str">
        <x:v>上昇</x:v>
      </x:c>
      <x:c r="C28" s="19" t="n">
        <x:v>1027000</x:v>
      </x:c>
      <x:c r="D28" s="19" t="n">
        <x:v>254000</x:v>
      </x:c>
      <x:c r="E28" s="19" t="n">
        <x:f>C28-D28</x:f>
        <x:v>773000</x:v>
      </x:c>
      <x:c r="F28" s="19" t="n">
        <x:f>F27+E28</x:f>
        <x:v>-134000</x:v>
      </x:c>
      <x:c r="G28" s="20" t="n">
        <x:v>23</x:v>
      </x:c>
      <x:c r="H28" s="20" t="n">
        <x:v>79</x:v>
      </x:c>
      <x:c r="I28" s="19" t="n">
        <x:v>295000</x:v>
      </x:c>
      <x:c r="J28" s="19" t="n">
        <x:v>478000</x:v>
      </x:c>
      <x:c r="K28" s="20" t="n">
        <x:v>15</x:v>
      </x:c>
    </x:row>
    <x:row r="29" ht="23" customHeight="1">
      <x:c r="A29" s="2" t="str">
        <x:v>2026-10-21_Night</x:v>
      </x:c>
      <x:c r="B29" s="2" t="str">
        <x:v>上昇</x:v>
      </x:c>
      <x:c r="C29" s="19" t="n">
        <x:v>366000</x:v>
      </x:c>
      <x:c r="D29" s="19" t="n">
        <x:v>145000</x:v>
      </x:c>
      <x:c r="E29" s="19" t="n">
        <x:f>C29-D29</x:f>
        <x:v>221000</x:v>
      </x:c>
      <x:c r="F29" s="19" t="n">
        <x:f>F28+E29</x:f>
        <x:v>87000</x:v>
      </x:c>
      <x:c r="G29" s="20" t="n">
        <x:v>13</x:v>
      </x:c>
      <x:c r="H29" s="20" t="n">
        <x:v>57</x:v>
      </x:c>
      <x:c r="I29" s="19" t="n">
        <x:v>245000</x:v>
      </x:c>
      <x:c r="J29" s="19" t="n">
        <x:v>-24000</x:v>
      </x:c>
      <x:c r="K29" s="20" t="n">
        <x:v>9</x:v>
      </x:c>
    </x:row>
    <x:row r="30" ht="23" customHeight="1">
      <x:c r="A30" s="2" t="str">
        <x:v>2026-10-22_Night</x:v>
      </x:c>
      <x:c r="B30" s="2" t="str">
        <x:v>下落</x:v>
      </x:c>
      <x:c r="C30" s="19" t="n">
        <x:v>160000</x:v>
      </x:c>
      <x:c r="D30" s="19" t="n">
        <x:v>368000</x:v>
      </x:c>
      <x:c r="E30" s="19" t="n">
        <x:f>C30-D30</x:f>
        <x:v>-208000</x:v>
      </x:c>
      <x:c r="F30" s="19" t="n">
        <x:f>F29+E30</x:f>
        <x:v>-121000</x:v>
      </x:c>
      <x:c r="G30" s="20" t="n">
        <x:v>14</x:v>
      </x:c>
      <x:c r="H30" s="20" t="n">
        <x:v>50</x:v>
      </x:c>
      <x:c r="I30" s="19" t="n">
        <x:v>-285000</x:v>
      </x:c>
      <x:c r="J30" s="19" t="n">
        <x:v>77000</x:v>
      </x:c>
      <x:c r="K30" s="20" t="n">
        <x:v>11</x:v>
      </x:c>
    </x:row>
    <x:row r="31" ht="23" customHeight="1">
      <x:c r="A31" s="2" t="str">
        <x:v>2026-10-23_Night</x:v>
      </x:c>
      <x:c r="B31" s="2" t="str">
        <x:v>上昇</x:v>
      </x:c>
      <x:c r="C31" s="19" t="n">
        <x:v>132000</x:v>
      </x:c>
      <x:c r="D31" s="19" t="n">
        <x:v>257000</x:v>
      </x:c>
      <x:c r="E31" s="19" t="n">
        <x:f>C31-D31</x:f>
        <x:v>-125000</x:v>
      </x:c>
      <x:c r="F31" s="19" t="n">
        <x:f>F30+E31</x:f>
        <x:v>-246000</x:v>
      </x:c>
      <x:c r="G31" s="20" t="n">
        <x:v>15</x:v>
      </x:c>
      <x:c r="H31" s="20" t="n">
        <x:v>56</x:v>
      </x:c>
      <x:c r="I31" s="19" t="n">
        <x:v>-140000</x:v>
      </x:c>
      <x:c r="J31" s="19" t="n">
        <x:v>15000</x:v>
      </x:c>
      <x:c r="K31" s="20" t="n">
        <x:v>11</x:v>
      </x:c>
    </x:row>
    <x:row r="32" ht="23" customHeight="1">
      <x:c r="A32" s="24" t="str">
        <x:v>25夜累計</x:v>
      </x:c>
      <x:c r="B32" s="24"/>
      <x:c r="C32" s="25" t="n">
        <x:f>SUM(C7:C31)</x:f>
        <x:v>4621000</x:v>
      </x:c>
      <x:c r="D32" s="25" t="n">
        <x:f>SUM(D7:D31)</x:f>
        <x:v>4867000</x:v>
      </x:c>
      <x:c r="E32" s="25" t="n">
        <x:f>C32-D32</x:f>
        <x:v>-246000</x:v>
      </x:c>
      <x:c r="F32" s="25" t="n">
        <x:f>F31</x:f>
        <x:v>-246000</x:v>
      </x:c>
      <x:c r="G32" s="26" t="n">
        <x:f>SUM(G7:G31)</x:f>
        <x:v>287</x:v>
      </x:c>
      <x:c r="H32" s="26" t="n">
        <x:f>SUM(H7:H31)</x:f>
        <x:v>968</x:v>
      </x:c>
      <x:c r="I32" s="25" t="n">
        <x:f>SUM(I7:I31)</x:f>
        <x:v>-1800000</x:v>
      </x:c>
      <x:c r="J32" s="25" t="n">
        <x:f>SUM(J7:J31)</x:f>
        <x:v>1554000</x:v>
      </x:c>
      <x:c r="K32" s="26" t="n">
        <x:f>SUM(K7:K31)</x:f>
        <x:v>219</x:v>
      </x:c>
    </x:row>
    <x:row r="33" ht="23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</x:row>
  </x:sheetData>
  <x:conditionalFormatting sqref="C7:F32">
    <x:cfRule type="cellIs" dxfId="2" priority="1" operator="lessThan">
      <x:formula>0</x:formula>
    </x:cfRule>
  </x:conditionalFormatting>
  <x:conditionalFormatting sqref="I7:J32">
    <x:cfRule type="cellIs" dxfId="3" priority="2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4ec9d7508214023"/>
  </x:tableParts>
</x:worksheet>
</file>

<file path=xl/worksheets/sheet4.xml><?xml version="1.0" encoding="utf-8"?>
<x:worksheet xmlns:x="http://schemas.openxmlformats.org/spreadsheetml/2006/main">
  <x:sheetPr>
    <x:tabColor rgb="FF244A70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8" hidden="0" customWidth="1"/>
    <x:col min="2" max="2" width="14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23" customHeight="1">
      <x:c r="A2" s="4" t="str">
        <x:v>P02　全夜間の利益・損失・収支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</x:row>
    <x:row r="3" ht="23" customHeight="1">
      <x:c r="A3" s="6" t="str">
        <x:v>日経mini・片方向上限10枚・手数料0円・気配差込み。利益と損失は完結した親取引の収支を分類。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 ht="23" customHeight="1">
      <x:c r="A4" s="6" t="str">
        <x:v>2026/09/21～10/23の既知25夜。前段は米国開始15分前まで、後段は米国開始15分後から。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</x:row>
    <x:row r="5" ht="23" customHeight="1">
      <x:c r="A5" s="6" t="str">
        <x:v>方向一致に、同じ窓の傾きが順方向へ強まる条件を追加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</x:row>
    <x:row r="6" ht="40" customHeight="1">
      <x:c r="A6" s="15" t="str">
        <x:v>セッション</x:v>
      </x:c>
      <x:c r="B6" s="16" t="str">
        <x:v>始終値方向</x:v>
      </x:c>
      <x:c r="C6" s="16" t="str">
        <x:v>利益（円）</x:v>
      </x:c>
      <x:c r="D6" s="16" t="str">
        <x:v>損失（円）</x:v>
      </x:c>
      <x:c r="E6" s="16" t="str">
        <x:v>収支（円）</x:v>
      </x:c>
      <x:c r="F6" s="16" t="str">
        <x:v>累計（円）</x:v>
      </x:c>
      <x:c r="G6" s="16" t="str">
        <x:v>新規件数</x:v>
      </x:c>
      <x:c r="H6" s="16" t="str">
        <x:v>新規合計枚数</x:v>
      </x:c>
      <x:c r="I6" s="16" t="str">
        <x:v>前段収支（円）</x:v>
      </x:c>
      <x:c r="J6" s="16" t="str">
        <x:v>後段収支（円）</x:v>
      </x:c>
      <x:c r="K6" s="17" t="str">
        <x:v>親取引数</x:v>
      </x:c>
    </x:row>
    <x:row r="7" ht="23" customHeight="1">
      <x:c r="A7" s="2" t="str">
        <x:v>2026-09-21_Night</x:v>
      </x:c>
      <x:c r="B7" s="2" t="str">
        <x:v>上昇</x:v>
      </x:c>
      <x:c r="C7" s="19" t="n">
        <x:v>0</x:v>
      </x:c>
      <x:c r="D7" s="19" t="n">
        <x:v>45000</x:v>
      </x:c>
      <x:c r="E7" s="19" t="n">
        <x:f>C7-D7</x:f>
        <x:v>-45000</x:v>
      </x:c>
      <x:c r="F7" s="19" t="n">
        <x:f>E7</x:f>
        <x:v>-45000</x:v>
      </x:c>
      <x:c r="G7" s="20" t="n">
        <x:v>1</x:v>
      </x:c>
      <x:c r="H7" s="20" t="n">
        <x:v>5</x:v>
      </x:c>
      <x:c r="I7" s="19" t="n">
        <x:v>0</x:v>
      </x:c>
      <x:c r="J7" s="19" t="n">
        <x:v>-45000</x:v>
      </x:c>
      <x:c r="K7" s="20" t="n">
        <x:v>1</x:v>
      </x:c>
    </x:row>
    <x:row r="8" ht="23" customHeight="1">
      <x:c r="A8" s="2" t="str">
        <x:v>2026-09-22_Night</x:v>
      </x:c>
      <x:c r="B8" s="2" t="str">
        <x:v>上昇</x:v>
      </x:c>
      <x:c r="C8" s="19" t="n">
        <x:v>149000</x:v>
      </x:c>
      <x:c r="D8" s="19" t="n">
        <x:v>0</x:v>
      </x:c>
      <x:c r="E8" s="19" t="n">
        <x:f>C8-D8</x:f>
        <x:v>149000</x:v>
      </x:c>
      <x:c r="F8" s="19" t="n">
        <x:f>F7+E8</x:f>
        <x:v>104000</x:v>
      </x:c>
      <x:c r="G8" s="20" t="n">
        <x:v>3</x:v>
      </x:c>
      <x:c r="H8" s="20" t="n">
        <x:v>15</x:v>
      </x:c>
      <x:c r="I8" s="19" t="n">
        <x:v>125000</x:v>
      </x:c>
      <x:c r="J8" s="19" t="n">
        <x:v>24000</x:v>
      </x:c>
      <x:c r="K8" s="20" t="n">
        <x:v>2</x:v>
      </x:c>
    </x:row>
    <x:row r="9" ht="23" customHeight="1">
      <x:c r="A9" s="2" t="str">
        <x:v>2026-09-23_Night</x:v>
      </x:c>
      <x:c r="B9" s="2" t="str">
        <x:v>下落</x:v>
      </x:c>
      <x:c r="C9" s="19" t="n">
        <x:v>4000</x:v>
      </x:c>
      <x:c r="D9" s="19" t="n">
        <x:v>40000</x:v>
      </x:c>
      <x:c r="E9" s="19" t="n">
        <x:f>C9-D9</x:f>
        <x:v>-36000</x:v>
      </x:c>
      <x:c r="F9" s="19" t="n">
        <x:f>F8+E9</x:f>
        <x:v>68000</x:v>
      </x:c>
      <x:c r="G9" s="20" t="n">
        <x:v>3</x:v>
      </x:c>
      <x:c r="H9" s="20" t="n">
        <x:v>7</x:v>
      </x:c>
      <x:c r="I9" s="19" t="n">
        <x:v>0</x:v>
      </x:c>
      <x:c r="J9" s="19" t="n">
        <x:v>-36000</x:v>
      </x:c>
      <x:c r="K9" s="20" t="n">
        <x:v>2</x:v>
      </x:c>
    </x:row>
    <x:row r="10" ht="23" customHeight="1">
      <x:c r="A10" s="2" t="str">
        <x:v>2026-09-24_Night</x:v>
      </x:c>
      <x:c r="B10" s="2" t="str">
        <x:v>下落</x:v>
      </x:c>
      <x:c r="C10" s="19" t="n">
        <x:v>20000</x:v>
      </x:c>
      <x:c r="D10" s="19" t="n">
        <x:v>40000</x:v>
      </x:c>
      <x:c r="E10" s="19" t="n">
        <x:f>C10-D10</x:f>
        <x:v>-20000</x:v>
      </x:c>
      <x:c r="F10" s="19" t="n">
        <x:f>F9+E10</x:f>
        <x:v>48000</x:v>
      </x:c>
      <x:c r="G10" s="20" t="n">
        <x:v>4</x:v>
      </x:c>
      <x:c r="H10" s="20" t="n">
        <x:v>12</x:v>
      </x:c>
      <x:c r="I10" s="19" t="n">
        <x:v>-40000</x:v>
      </x:c>
      <x:c r="J10" s="19" t="n">
        <x:v>20000</x:v>
      </x:c>
      <x:c r="K10" s="20" t="n">
        <x:v>2</x:v>
      </x:c>
    </x:row>
    <x:row r="11" ht="23" customHeight="1">
      <x:c r="A11" s="2" t="str">
        <x:v>2026-09-25_Night</x:v>
      </x:c>
      <x:c r="B11" s="2" t="str">
        <x:v>上昇</x:v>
      </x:c>
      <x:c r="C11" s="19" t="n">
        <x:v>17000</x:v>
      </x:c>
      <x:c r="D11" s="19" t="n">
        <x:v>116000</x:v>
      </x:c>
      <x:c r="E11" s="19" t="n">
        <x:f>C11-D11</x:f>
        <x:v>-99000</x:v>
      </x:c>
      <x:c r="F11" s="19" t="n">
        <x:f>F10+E11</x:f>
        <x:v>-51000</x:v>
      </x:c>
      <x:c r="G11" s="20" t="n">
        <x:v>4</x:v>
      </x:c>
      <x:c r="H11" s="20" t="n">
        <x:v>16</x:v>
      </x:c>
      <x:c r="I11" s="19" t="n">
        <x:v>-100000</x:v>
      </x:c>
      <x:c r="J11" s="19" t="n">
        <x:v>1000</x:v>
      </x:c>
      <x:c r="K11" s="20" t="n">
        <x:v>4</x:v>
      </x:c>
    </x:row>
    <x:row r="12" ht="23" customHeight="1">
      <x:c r="A12" s="2" t="str">
        <x:v>2026-09-28_Night</x:v>
      </x:c>
      <x:c r="B12" s="2" t="str">
        <x:v>下落</x:v>
      </x:c>
      <x:c r="C12" s="19" t="n">
        <x:v>26000</x:v>
      </x:c>
      <x:c r="D12" s="19" t="n">
        <x:v>98000</x:v>
      </x:c>
      <x:c r="E12" s="19" t="n">
        <x:f>C12-D12</x:f>
        <x:v>-72000</x:v>
      </x:c>
      <x:c r="F12" s="19" t="n">
        <x:f>F11+E12</x:f>
        <x:v>-123000</x:v>
      </x:c>
      <x:c r="G12" s="20" t="n">
        <x:v>8</x:v>
      </x:c>
      <x:c r="H12" s="20" t="n">
        <x:v>22</x:v>
      </x:c>
      <x:c r="I12" s="19" t="n">
        <x:v>-25000</x:v>
      </x:c>
      <x:c r="J12" s="19" t="n">
        <x:v>-47000</x:v>
      </x:c>
      <x:c r="K12" s="20" t="n">
        <x:v>7</x:v>
      </x:c>
    </x:row>
    <x:row r="13" ht="23" customHeight="1">
      <x:c r="A13" s="2" t="str">
        <x:v>2026-09-29_Night</x:v>
      </x:c>
      <x:c r="B13" s="2" t="str">
        <x:v>上昇</x:v>
      </x:c>
      <x:c r="C13" s="19" t="n">
        <x:v>87000</x:v>
      </x:c>
      <x:c r="D13" s="19" t="n">
        <x:v>72000</x:v>
      </x:c>
      <x:c r="E13" s="19" t="n">
        <x:f>C13-D13</x:f>
        <x:v>15000</x:v>
      </x:c>
      <x:c r="F13" s="19" t="n">
        <x:f>F12+E13</x:f>
        <x:v>-108000</x:v>
      </x:c>
      <x:c r="G13" s="20" t="n">
        <x:v>7</x:v>
      </x:c>
      <x:c r="H13" s="20" t="n">
        <x:v>19</x:v>
      </x:c>
      <x:c r="I13" s="19" t="n">
        <x:v>-50000</x:v>
      </x:c>
      <x:c r="J13" s="19" t="n">
        <x:v>65000</x:v>
      </x:c>
      <x:c r="K13" s="20" t="n">
        <x:v>6</x:v>
      </x:c>
    </x:row>
    <x:row r="14" ht="23" customHeight="1">
      <x:c r="A14" s="2" t="str">
        <x:v>2026-09-30_Night</x:v>
      </x:c>
      <x:c r="B14" s="2" t="str">
        <x:v>下落</x:v>
      </x:c>
      <x:c r="C14" s="19" t="n">
        <x:v>173000</x:v>
      </x:c>
      <x:c r="D14" s="19" t="n">
        <x:v>155000</x:v>
      </x:c>
      <x:c r="E14" s="19" t="n">
        <x:f>C14-D14</x:f>
        <x:v>18000</x:v>
      </x:c>
      <x:c r="F14" s="19" t="n">
        <x:f>F13+E14</x:f>
        <x:v>-90000</x:v>
      </x:c>
      <x:c r="G14" s="20" t="n">
        <x:v>10</x:v>
      </x:c>
      <x:c r="H14" s="20" t="n">
        <x:v>42</x:v>
      </x:c>
      <x:c r="I14" s="19" t="n">
        <x:v>-25000</x:v>
      </x:c>
      <x:c r="J14" s="19" t="n">
        <x:v>43000</x:v>
      </x:c>
      <x:c r="K14" s="20" t="n">
        <x:v>7</x:v>
      </x:c>
    </x:row>
    <x:row r="15" ht="23" customHeight="1">
      <x:c r="A15" s="2" t="str">
        <x:v>2026-10-01_Night</x:v>
      </x:c>
      <x:c r="B15" s="2" t="str">
        <x:v>上昇</x:v>
      </x:c>
      <x:c r="C15" s="19" t="n">
        <x:v>345000</x:v>
      </x:c>
      <x:c r="D15" s="19" t="n">
        <x:v>196000</x:v>
      </x:c>
      <x:c r="E15" s="19" t="n">
        <x:f>C15-D15</x:f>
        <x:v>149000</x:v>
      </x:c>
      <x:c r="F15" s="19" t="n">
        <x:f>F14+E15</x:f>
        <x:v>59000</x:v>
      </x:c>
      <x:c r="G15" s="20" t="n">
        <x:v>18</x:v>
      </x:c>
      <x:c r="H15" s="20" t="n">
        <x:v>49</x:v>
      </x:c>
      <x:c r="I15" s="19" t="n">
        <x:v>40000</x:v>
      </x:c>
      <x:c r="J15" s="19" t="n">
        <x:v>109000</x:v>
      </x:c>
      <x:c r="K15" s="20" t="n">
        <x:v>13</x:v>
      </x:c>
    </x:row>
    <x:row r="16" ht="23" customHeight="1">
      <x:c r="A16" s="2" t="str">
        <x:v>2026-10-02_Night</x:v>
      </x:c>
      <x:c r="B16" s="2" t="str">
        <x:v>上昇</x:v>
      </x:c>
      <x:c r="C16" s="19" t="n">
        <x:v>349000</x:v>
      </x:c>
      <x:c r="D16" s="19" t="n">
        <x:v>223000</x:v>
      </x:c>
      <x:c r="E16" s="19" t="n">
        <x:f>C16-D16</x:f>
        <x:v>126000</x:v>
      </x:c>
      <x:c r="F16" s="19" t="n">
        <x:f>F15+E16</x:f>
        <x:v>185000</x:v>
      </x:c>
      <x:c r="G16" s="20" t="n">
        <x:v>22</x:v>
      </x:c>
      <x:c r="H16" s="20" t="n">
        <x:v>63</x:v>
      </x:c>
      <x:c r="I16" s="19" t="n">
        <x:v>-135000</x:v>
      </x:c>
      <x:c r="J16" s="19" t="n">
        <x:v>261000</x:v>
      </x:c>
      <x:c r="K16" s="20" t="n">
        <x:v>15</x:v>
      </x:c>
    </x:row>
    <x:row r="17" ht="23" customHeight="1">
      <x:c r="A17" s="2" t="str">
        <x:v>2026-10-05_Night</x:v>
      </x:c>
      <x:c r="B17" s="2" t="str">
        <x:v>下落</x:v>
      </x:c>
      <x:c r="C17" s="19" t="n">
        <x:v>193000</x:v>
      </x:c>
      <x:c r="D17" s="19" t="n">
        <x:v>179000</x:v>
      </x:c>
      <x:c r="E17" s="19" t="n">
        <x:f>C17-D17</x:f>
        <x:v>14000</x:v>
      </x:c>
      <x:c r="F17" s="19" t="n">
        <x:f>F16+E17</x:f>
        <x:v>199000</x:v>
      </x:c>
      <x:c r="G17" s="20" t="n">
        <x:v>11</x:v>
      </x:c>
      <x:c r="H17" s="20" t="n">
        <x:v>34</x:v>
      </x:c>
      <x:c r="I17" s="19" t="n">
        <x:v>-20000</x:v>
      </x:c>
      <x:c r="J17" s="19" t="n">
        <x:v>34000</x:v>
      </x:c>
      <x:c r="K17" s="20" t="n">
        <x:v>8</x:v>
      </x:c>
    </x:row>
    <x:row r="18" ht="23" customHeight="1">
      <x:c r="A18" s="2" t="str">
        <x:v>2026-10-06_Night</x:v>
      </x:c>
      <x:c r="B18" s="2" t="str">
        <x:v>下落</x:v>
      </x:c>
      <x:c r="C18" s="19" t="n">
        <x:v>33000</x:v>
      </x:c>
      <x:c r="D18" s="19" t="n">
        <x:v>93000</x:v>
      </x:c>
      <x:c r="E18" s="19" t="n">
        <x:f>C18-D18</x:f>
        <x:v>-60000</x:v>
      </x:c>
      <x:c r="F18" s="19" t="n">
        <x:f>F17+E18</x:f>
        <x:v>139000</x:v>
      </x:c>
      <x:c r="G18" s="20" t="n">
        <x:v>5</x:v>
      </x:c>
      <x:c r="H18" s="20" t="n">
        <x:v>13</x:v>
      </x:c>
      <x:c r="I18" s="19" t="n">
        <x:v>-50000</x:v>
      </x:c>
      <x:c r="J18" s="19" t="n">
        <x:v>-10000</x:v>
      </x:c>
      <x:c r="K18" s="20" t="n">
        <x:v>4</x:v>
      </x:c>
    </x:row>
    <x:row r="19" ht="23" customHeight="1">
      <x:c r="A19" s="2" t="str">
        <x:v>2026-10-07_Night</x:v>
      </x:c>
      <x:c r="B19" s="2" t="str">
        <x:v>下落</x:v>
      </x:c>
      <x:c r="C19" s="19" t="n">
        <x:v>0</x:v>
      </x:c>
      <x:c r="D19" s="19" t="n">
        <x:v>72000</x:v>
      </x:c>
      <x:c r="E19" s="19" t="n">
        <x:f>C19-D19</x:f>
        <x:v>-72000</x:v>
      </x:c>
      <x:c r="F19" s="19" t="n">
        <x:f>F18+E19</x:f>
        <x:v>67000</x:v>
      </x:c>
      <x:c r="G19" s="20" t="n">
        <x:v>3</x:v>
      </x:c>
      <x:c r="H19" s="20" t="n">
        <x:v>7</x:v>
      </x:c>
      <x:c r="I19" s="19" t="n">
        <x:v>-50000</x:v>
      </x:c>
      <x:c r="J19" s="19" t="n">
        <x:v>-22000</x:v>
      </x:c>
      <x:c r="K19" s="20" t="n">
        <x:v>2</x:v>
      </x:c>
    </x:row>
    <x:row r="20" ht="23" customHeight="1">
      <x:c r="A20" s="2" t="str">
        <x:v>2026-10-08_Night</x:v>
      </x:c>
      <x:c r="B20" s="2" t="str">
        <x:v>下落</x:v>
      </x:c>
      <x:c r="C20" s="19" t="n">
        <x:v>350000</x:v>
      </x:c>
      <x:c r="D20" s="19" t="n">
        <x:v>70000</x:v>
      </x:c>
      <x:c r="E20" s="19" t="n">
        <x:f>C20-D20</x:f>
        <x:v>280000</x:v>
      </x:c>
      <x:c r="F20" s="19" t="n">
        <x:f>F19+E20</x:f>
        <x:v>347000</x:v>
      </x:c>
      <x:c r="G20" s="20" t="n">
        <x:v>18</x:v>
      </x:c>
      <x:c r="H20" s="20" t="n">
        <x:v>43</x:v>
      </x:c>
      <x:c r="I20" s="19" t="n">
        <x:v>-30000</x:v>
      </x:c>
      <x:c r="J20" s="19" t="n">
        <x:v>310000</x:v>
      </x:c>
      <x:c r="K20" s="20" t="n">
        <x:v>12</x:v>
      </x:c>
    </x:row>
    <x:row r="21" ht="23" customHeight="1">
      <x:c r="A21" s="2" t="str">
        <x:v>2026-10-09_Night</x:v>
      </x:c>
      <x:c r="B21" s="2" t="str">
        <x:v>下落</x:v>
      </x:c>
      <x:c r="C21" s="19" t="n">
        <x:v>14000</x:v>
      </x:c>
      <x:c r="D21" s="19" t="n">
        <x:v>95000</x:v>
      </x:c>
      <x:c r="E21" s="19" t="n">
        <x:f>C21-D21</x:f>
        <x:v>-81000</x:v>
      </x:c>
      <x:c r="F21" s="19" t="n">
        <x:f>F20+E21</x:f>
        <x:v>266000</x:v>
      </x:c>
      <x:c r="G21" s="20" t="n">
        <x:v>3</x:v>
      </x:c>
      <x:c r="H21" s="20" t="n">
        <x:v>15</x:v>
      </x:c>
      <x:c r="I21" s="19" t="n">
        <x:v>-95000</x:v>
      </x:c>
      <x:c r="J21" s="19" t="n">
        <x:v>14000</x:v>
      </x:c>
      <x:c r="K21" s="20" t="n">
        <x:v>3</x:v>
      </x:c>
    </x:row>
    <x:row r="22" ht="23" customHeight="1">
      <x:c r="A22" s="2" t="str">
        <x:v>2026-10-12_Night</x:v>
      </x:c>
      <x:c r="B22" s="2" t="str">
        <x:v>下落</x:v>
      </x:c>
      <x:c r="C22" s="19" t="n">
        <x:v>82000</x:v>
      </x:c>
      <x:c r="D22" s="19" t="n">
        <x:v>50000</x:v>
      </x:c>
      <x:c r="E22" s="19" t="n">
        <x:f>C22-D22</x:f>
        <x:v>32000</x:v>
      </x:c>
      <x:c r="F22" s="19" t="n">
        <x:f>F21+E22</x:f>
        <x:v>298000</x:v>
      </x:c>
      <x:c r="G22" s="20" t="n">
        <x:v>2</x:v>
      </x:c>
      <x:c r="H22" s="20" t="n">
        <x:v>10</x:v>
      </x:c>
      <x:c r="I22" s="19" t="n">
        <x:v>-50000</x:v>
      </x:c>
      <x:c r="J22" s="19" t="n">
        <x:v>82000</x:v>
      </x:c>
      <x:c r="K22" s="20" t="n">
        <x:v>2</x:v>
      </x:c>
    </x:row>
    <x:row r="23" ht="23" customHeight="1">
      <x:c r="A23" s="2" t="str">
        <x:v>2026-10-13_Night</x:v>
      </x:c>
      <x:c r="B23" s="2" t="str">
        <x:v>上昇</x:v>
      </x:c>
      <x:c r="C23" s="19" t="n">
        <x:v>0</x:v>
      </x:c>
      <x:c r="D23" s="19" t="n">
        <x:v>68000</x:v>
      </x:c>
      <x:c r="E23" s="19" t="n">
        <x:f>C23-D23</x:f>
        <x:v>-68000</x:v>
      </x:c>
      <x:c r="F23" s="19" t="n">
        <x:f>F22+E23</x:f>
        <x:v>230000</x:v>
      </x:c>
      <x:c r="G23" s="20" t="n">
        <x:v>4</x:v>
      </x:c>
      <x:c r="H23" s="20" t="n">
        <x:v>16</x:v>
      </x:c>
      <x:c r="I23" s="19" t="n">
        <x:v>-15000</x:v>
      </x:c>
      <x:c r="J23" s="19" t="n">
        <x:v>-53000</x:v>
      </x:c>
      <x:c r="K23" s="20" t="n">
        <x:v>3</x:v>
      </x:c>
    </x:row>
    <x:row r="24" ht="23" customHeight="1">
      <x:c r="A24" s="2" t="str">
        <x:v>2026-10-14_Night</x:v>
      </x:c>
      <x:c r="B24" s="2" t="str">
        <x:v>下落</x:v>
      </x:c>
      <x:c r="C24" s="19" t="n">
        <x:v>197000</x:v>
      </x:c>
      <x:c r="D24" s="19" t="n">
        <x:v>451000</x:v>
      </x:c>
      <x:c r="E24" s="19" t="n">
        <x:f>C24-D24</x:f>
        <x:v>-254000</x:v>
      </x:c>
      <x:c r="F24" s="19" t="n">
        <x:f>F23+E24</x:f>
        <x:v>-24000</x:v>
      </x:c>
      <x:c r="G24" s="20" t="n">
        <x:v>11</x:v>
      </x:c>
      <x:c r="H24" s="20" t="n">
        <x:v>44</x:v>
      </x:c>
      <x:c r="I24" s="19" t="n">
        <x:v>-390000</x:v>
      </x:c>
      <x:c r="J24" s="19" t="n">
        <x:v>136000</x:v>
      </x:c>
      <x:c r="K24" s="20" t="n">
        <x:v>10</x:v>
      </x:c>
    </x:row>
    <x:row r="25" ht="23" customHeight="1">
      <x:c r="A25" s="2" t="str">
        <x:v>2026-10-15_Night</x:v>
      </x:c>
      <x:c r="B25" s="2" t="str">
        <x:v>上昇</x:v>
      </x:c>
      <x:c r="C25" s="19" t="n">
        <x:v>216000</x:v>
      </x:c>
      <x:c r="D25" s="19" t="n">
        <x:v>315000</x:v>
      </x:c>
      <x:c r="E25" s="19" t="n">
        <x:f>C25-D25</x:f>
        <x:v>-99000</x:v>
      </x:c>
      <x:c r="F25" s="19" t="n">
        <x:f>F24+E25</x:f>
        <x:v>-123000</x:v>
      </x:c>
      <x:c r="G25" s="20" t="n">
        <x:v>17</x:v>
      </x:c>
      <x:c r="H25" s="20" t="n">
        <x:v>39</x:v>
      </x:c>
      <x:c r="I25" s="19" t="n">
        <x:v>-195000</x:v>
      </x:c>
      <x:c r="J25" s="19" t="n">
        <x:v>96000</x:v>
      </x:c>
      <x:c r="K25" s="20" t="n">
        <x:v>13</x:v>
      </x:c>
    </x:row>
    <x:row r="26" ht="23" customHeight="1">
      <x:c r="A26" s="2" t="str">
        <x:v>2026-10-16_Night</x:v>
      </x:c>
      <x:c r="B26" s="2" t="str">
        <x:v>下落</x:v>
      </x:c>
      <x:c r="C26" s="19" t="n">
        <x:v>153000</x:v>
      </x:c>
      <x:c r="D26" s="19" t="n">
        <x:v>242000</x:v>
      </x:c>
      <x:c r="E26" s="19" t="n">
        <x:f>C26-D26</x:f>
        <x:v>-89000</x:v>
      </x:c>
      <x:c r="F26" s="19" t="n">
        <x:f>F25+E26</x:f>
        <x:v>-212000</x:v>
      </x:c>
      <x:c r="G26" s="20" t="n">
        <x:v>15</x:v>
      </x:c>
      <x:c r="H26" s="20" t="n">
        <x:v>37</x:v>
      </x:c>
      <x:c r="I26" s="19" t="n">
        <x:v>-100000</x:v>
      </x:c>
      <x:c r="J26" s="19" t="n">
        <x:v>11000</x:v>
      </x:c>
      <x:c r="K26" s="20" t="n">
        <x:v>13</x:v>
      </x:c>
    </x:row>
    <x:row r="27" ht="23" customHeight="1">
      <x:c r="A27" s="2" t="str">
        <x:v>2026-10-19_Night</x:v>
      </x:c>
      <x:c r="B27" s="2" t="str">
        <x:v>上昇</x:v>
      </x:c>
      <x:c r="C27" s="19" t="n">
        <x:v>108000</x:v>
      </x:c>
      <x:c r="D27" s="19" t="n">
        <x:v>293000</x:v>
      </x:c>
      <x:c r="E27" s="19" t="n">
        <x:f>C27-D27</x:f>
        <x:v>-185000</x:v>
      </x:c>
      <x:c r="F27" s="19" t="n">
        <x:f>F26+E27</x:f>
        <x:v>-397000</x:v>
      </x:c>
      <x:c r="G27" s="20" t="n">
        <x:v>18</x:v>
      </x:c>
      <x:c r="H27" s="20" t="n">
        <x:v>43</x:v>
      </x:c>
      <x:c r="I27" s="19" t="n">
        <x:v>-200000</x:v>
      </x:c>
      <x:c r="J27" s="19" t="n">
        <x:v>15000</x:v>
      </x:c>
      <x:c r="K27" s="20" t="n">
        <x:v>13</x:v>
      </x:c>
    </x:row>
    <x:row r="28" ht="23" customHeight="1">
      <x:c r="A28" s="2" t="str">
        <x:v>2026-10-20_Night</x:v>
      </x:c>
      <x:c r="B28" s="2" t="str">
        <x:v>上昇</x:v>
      </x:c>
      <x:c r="C28" s="19" t="n">
        <x:v>922000</x:v>
      </x:c>
      <x:c r="D28" s="19" t="n">
        <x:v>224000</x:v>
      </x:c>
      <x:c r="E28" s="19" t="n">
        <x:f>C28-D28</x:f>
        <x:v>698000</x:v>
      </x:c>
      <x:c r="F28" s="19" t="n">
        <x:f>F27+E28</x:f>
        <x:v>301000</x:v>
      </x:c>
      <x:c r="G28" s="20" t="n">
        <x:v>21</x:v>
      </x:c>
      <x:c r="H28" s="20" t="n">
        <x:v>69</x:v>
      </x:c>
      <x:c r="I28" s="19" t="n">
        <x:v>220000</x:v>
      </x:c>
      <x:c r="J28" s="19" t="n">
        <x:v>478000</x:v>
      </x:c>
      <x:c r="K28" s="20" t="n">
        <x:v>14</x:v>
      </x:c>
    </x:row>
    <x:row r="29" ht="23" customHeight="1">
      <x:c r="A29" s="2" t="str">
        <x:v>2026-10-21_Night</x:v>
      </x:c>
      <x:c r="B29" s="2" t="str">
        <x:v>上昇</x:v>
      </x:c>
      <x:c r="C29" s="19" t="n">
        <x:v>406000</x:v>
      </x:c>
      <x:c r="D29" s="19" t="n">
        <x:v>145000</x:v>
      </x:c>
      <x:c r="E29" s="19" t="n">
        <x:f>C29-D29</x:f>
        <x:v>261000</x:v>
      </x:c>
      <x:c r="F29" s="19" t="n">
        <x:f>F28+E29</x:f>
        <x:v>562000</x:v>
      </x:c>
      <x:c r="G29" s="20" t="n">
        <x:v>13</x:v>
      </x:c>
      <x:c r="H29" s="20" t="n">
        <x:v>57</x:v>
      </x:c>
      <x:c r="I29" s="19" t="n">
        <x:v>285000</x:v>
      </x:c>
      <x:c r="J29" s="19" t="n">
        <x:v>-24000</x:v>
      </x:c>
      <x:c r="K29" s="20" t="n">
        <x:v>9</x:v>
      </x:c>
    </x:row>
    <x:row r="30" ht="23" customHeight="1">
      <x:c r="A30" s="2" t="str">
        <x:v>2026-10-22_Night</x:v>
      </x:c>
      <x:c r="B30" s="2" t="str">
        <x:v>下落</x:v>
      </x:c>
      <x:c r="C30" s="19" t="n">
        <x:v>175000</x:v>
      </x:c>
      <x:c r="D30" s="19" t="n">
        <x:v>168000</x:v>
      </x:c>
      <x:c r="E30" s="19" t="n">
        <x:f>C30-D30</x:f>
        <x:v>7000</x:v>
      </x:c>
      <x:c r="F30" s="19" t="n">
        <x:f>F29+E30</x:f>
        <x:v>569000</x:v>
      </x:c>
      <x:c r="G30" s="20" t="n">
        <x:v>12</x:v>
      </x:c>
      <x:c r="H30" s="20" t="n">
        <x:v>40</x:v>
      </x:c>
      <x:c r="I30" s="19" t="n">
        <x:v>-70000</x:v>
      </x:c>
      <x:c r="J30" s="19" t="n">
        <x:v>77000</x:v>
      </x:c>
      <x:c r="K30" s="20" t="n">
        <x:v>9</x:v>
      </x:c>
    </x:row>
    <x:row r="31" ht="23" customHeight="1">
      <x:c r="A31" s="2" t="str">
        <x:v>2026-10-23_Night</x:v>
      </x:c>
      <x:c r="B31" s="2" t="str">
        <x:v>上昇</x:v>
      </x:c>
      <x:c r="C31" s="19" t="n">
        <x:v>77000</x:v>
      </x:c>
      <x:c r="D31" s="19" t="n">
        <x:v>212000</x:v>
      </x:c>
      <x:c r="E31" s="19" t="n">
        <x:f>C31-D31</x:f>
        <x:v>-135000</x:v>
      </x:c>
      <x:c r="F31" s="19" t="n">
        <x:f>F30+E31</x:f>
        <x:v>434000</x:v>
      </x:c>
      <x:c r="G31" s="20" t="n">
        <x:v>13</x:v>
      </x:c>
      <x:c r="H31" s="20" t="n">
        <x:v>46</x:v>
      </x:c>
      <x:c r="I31" s="19" t="n">
        <x:v>-150000</x:v>
      </x:c>
      <x:c r="J31" s="19" t="n">
        <x:v>15000</x:v>
      </x:c>
      <x:c r="K31" s="20" t="n">
        <x:v>10</x:v>
      </x:c>
    </x:row>
    <x:row r="32" ht="23" customHeight="1">
      <x:c r="A32" s="24" t="str">
        <x:v>25夜累計</x:v>
      </x:c>
      <x:c r="B32" s="24"/>
      <x:c r="C32" s="25" t="n">
        <x:f>SUM(C7:C31)</x:f>
        <x:v>4096000</x:v>
      </x:c>
      <x:c r="D32" s="25" t="n">
        <x:f>SUM(D7:D31)</x:f>
        <x:v>3662000</x:v>
      </x:c>
      <x:c r="E32" s="25" t="n">
        <x:f>C32-D32</x:f>
        <x:v>434000</x:v>
      </x:c>
      <x:c r="F32" s="25" t="n">
        <x:f>F31</x:f>
        <x:v>434000</x:v>
      </x:c>
      <x:c r="G32" s="26" t="n">
        <x:f>SUM(G7:G31)</x:f>
        <x:v>246</x:v>
      </x:c>
      <x:c r="H32" s="26" t="n">
        <x:f>SUM(H7:H31)</x:f>
        <x:v>763</x:v>
      </x:c>
      <x:c r="I32" s="25" t="n">
        <x:f>SUM(I7:I31)</x:f>
        <x:v>-1120000</x:v>
      </x:c>
      <x:c r="J32" s="25" t="n">
        <x:f>SUM(J7:J31)</x:f>
        <x:v>1554000</x:v>
      </x:c>
      <x:c r="K32" s="26" t="n">
        <x:f>SUM(K7:K31)</x:f>
        <x:v>184</x:v>
      </x:c>
    </x:row>
    <x:row r="33" ht="23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</x:row>
  </x:sheetData>
  <x:conditionalFormatting sqref="C7:F32">
    <x:cfRule type="cellIs" dxfId="4" priority="1" operator="lessThan">
      <x:formula>0</x:formula>
    </x:cfRule>
  </x:conditionalFormatting>
  <x:conditionalFormatting sqref="I7:J32">
    <x:cfRule type="cellIs" dxfId="5" priority="2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9ac68530bba48cb"/>
  </x:tableParts>
</x:worksheet>
</file>

<file path=xl/worksheets/sheet5.xml><?xml version="1.0" encoding="utf-8"?>
<x:worksheet xmlns:x="http://schemas.openxmlformats.org/spreadsheetml/2006/main">
  <x:sheetPr>
    <x:tabColor rgb="FF244A70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8" hidden="0" customWidth="1"/>
    <x:col min="2" max="2" width="14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23" customHeight="1">
      <x:c r="A2" s="4" t="str">
        <x:v>P03　全夜間の利益・損失・収支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</x:row>
    <x:row r="3" ht="23" customHeight="1">
      <x:c r="A3" s="6" t="str">
        <x:v>日経mini・片方向上限10枚・手数料0円・気配差込み。利益と損失は完結した親取引の収支を分類。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 ht="23" customHeight="1">
      <x:c r="A4" s="6" t="str">
        <x:v>2026/09/21～10/23の既知25夜。前段は米国開始15分前まで、後段は米国開始15分後から。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</x:row>
    <x:row r="5" ht="23" customHeight="1">
      <x:c r="A5" s="6" t="str">
        <x:v>短い方向窓を3分に変更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</x:row>
    <x:row r="6" ht="40" customHeight="1">
      <x:c r="A6" s="15" t="str">
        <x:v>セッション</x:v>
      </x:c>
      <x:c r="B6" s="16" t="str">
        <x:v>始終値方向</x:v>
      </x:c>
      <x:c r="C6" s="16" t="str">
        <x:v>利益（円）</x:v>
      </x:c>
      <x:c r="D6" s="16" t="str">
        <x:v>損失（円）</x:v>
      </x:c>
      <x:c r="E6" s="16" t="str">
        <x:v>収支（円）</x:v>
      </x:c>
      <x:c r="F6" s="16" t="str">
        <x:v>累計（円）</x:v>
      </x:c>
      <x:c r="G6" s="16" t="str">
        <x:v>新規件数</x:v>
      </x:c>
      <x:c r="H6" s="16" t="str">
        <x:v>新規合計枚数</x:v>
      </x:c>
      <x:c r="I6" s="16" t="str">
        <x:v>前段収支（円）</x:v>
      </x:c>
      <x:c r="J6" s="16" t="str">
        <x:v>後段収支（円）</x:v>
      </x:c>
      <x:c r="K6" s="17" t="str">
        <x:v>親取引数</x:v>
      </x:c>
    </x:row>
    <x:row r="7" ht="23" customHeight="1">
      <x:c r="A7" s="2" t="str">
        <x:v>2026-09-21_Night</x:v>
      </x:c>
      <x:c r="B7" s="2" t="str">
        <x:v>上昇</x:v>
      </x:c>
      <x:c r="C7" s="19" t="n">
        <x:v>0</x:v>
      </x:c>
      <x:c r="D7" s="19" t="n">
        <x:v>45000</x:v>
      </x:c>
      <x:c r="E7" s="19" t="n">
        <x:f>C7-D7</x:f>
        <x:v>-45000</x:v>
      </x:c>
      <x:c r="F7" s="19" t="n">
        <x:f>E7</x:f>
        <x:v>-45000</x:v>
      </x:c>
      <x:c r="G7" s="20" t="n">
        <x:v>1</x:v>
      </x:c>
      <x:c r="H7" s="20" t="n">
        <x:v>5</x:v>
      </x:c>
      <x:c r="I7" s="19" t="n">
        <x:v>0</x:v>
      </x:c>
      <x:c r="J7" s="19" t="n">
        <x:v>-45000</x:v>
      </x:c>
      <x:c r="K7" s="20" t="n">
        <x:v>1</x:v>
      </x:c>
    </x:row>
    <x:row r="8" ht="23" customHeight="1">
      <x:c r="A8" s="2" t="str">
        <x:v>2026-09-22_Night</x:v>
      </x:c>
      <x:c r="B8" s="2" t="str">
        <x:v>上昇</x:v>
      </x:c>
      <x:c r="C8" s="19" t="n">
        <x:v>204000</x:v>
      </x:c>
      <x:c r="D8" s="19" t="n">
        <x:v>0</x:v>
      </x:c>
      <x:c r="E8" s="19" t="n">
        <x:f>C8-D8</x:f>
        <x:v>204000</x:v>
      </x:c>
      <x:c r="F8" s="19" t="n">
        <x:f>F7+E8</x:f>
        <x:v>159000</x:v>
      </x:c>
      <x:c r="G8" s="20" t="n">
        <x:v>3</x:v>
      </x:c>
      <x:c r="H8" s="20" t="n">
        <x:v>15</x:v>
      </x:c>
      <x:c r="I8" s="19" t="n">
        <x:v>180000</x:v>
      </x:c>
      <x:c r="J8" s="19" t="n">
        <x:v>24000</x:v>
      </x:c>
      <x:c r="K8" s="20" t="n">
        <x:v>2</x:v>
      </x:c>
    </x:row>
    <x:row r="9" ht="23" customHeight="1">
      <x:c r="A9" s="2" t="str">
        <x:v>2026-09-23_Night</x:v>
      </x:c>
      <x:c r="B9" s="2" t="str">
        <x:v>下落</x:v>
      </x:c>
      <x:c r="C9" s="19" t="n">
        <x:v>4000</x:v>
      </x:c>
      <x:c r="D9" s="19" t="n">
        <x:v>40000</x:v>
      </x:c>
      <x:c r="E9" s="19" t="n">
        <x:f>C9-D9</x:f>
        <x:v>-36000</x:v>
      </x:c>
      <x:c r="F9" s="19" t="n">
        <x:f>F8+E9</x:f>
        <x:v>123000</x:v>
      </x:c>
      <x:c r="G9" s="20" t="n">
        <x:v>3</x:v>
      </x:c>
      <x:c r="H9" s="20" t="n">
        <x:v>7</x:v>
      </x:c>
      <x:c r="I9" s="19" t="n">
        <x:v>0</x:v>
      </x:c>
      <x:c r="J9" s="19" t="n">
        <x:v>-36000</x:v>
      </x:c>
      <x:c r="K9" s="20" t="n">
        <x:v>2</x:v>
      </x:c>
    </x:row>
    <x:row r="10" ht="23" customHeight="1">
      <x:c r="A10" s="2" t="str">
        <x:v>2026-09-24_Night</x:v>
      </x:c>
      <x:c r="B10" s="2" t="str">
        <x:v>下落</x:v>
      </x:c>
      <x:c r="C10" s="19" t="n">
        <x:v>80000</x:v>
      </x:c>
      <x:c r="D10" s="19" t="n">
        <x:v>50000</x:v>
      </x:c>
      <x:c r="E10" s="19" t="n">
        <x:f>C10-D10</x:f>
        <x:v>30000</x:v>
      </x:c>
      <x:c r="F10" s="19" t="n">
        <x:f>F9+E10</x:f>
        <x:v>153000</x:v>
      </x:c>
      <x:c r="G10" s="20" t="n">
        <x:v>7</x:v>
      </x:c>
      <x:c r="H10" s="20" t="n">
        <x:v>27</x:v>
      </x:c>
      <x:c r="I10" s="19" t="n">
        <x:v>10000</x:v>
      </x:c>
      <x:c r="J10" s="19" t="n">
        <x:v>20000</x:v>
      </x:c>
      <x:c r="K10" s="20" t="n">
        <x:v>5</x:v>
      </x:c>
    </x:row>
    <x:row r="11" ht="23" customHeight="1">
      <x:c r="A11" s="2" t="str">
        <x:v>2026-09-25_Night</x:v>
      </x:c>
      <x:c r="B11" s="2" t="str">
        <x:v>上昇</x:v>
      </x:c>
      <x:c r="C11" s="19" t="n">
        <x:v>57000</x:v>
      </x:c>
      <x:c r="D11" s="19" t="n">
        <x:v>166000</x:v>
      </x:c>
      <x:c r="E11" s="19" t="n">
        <x:f>C11-D11</x:f>
        <x:v>-109000</x:v>
      </x:c>
      <x:c r="F11" s="19" t="n">
        <x:f>F10+E11</x:f>
        <x:v>44000</x:v>
      </x:c>
      <x:c r="G11" s="20" t="n">
        <x:v>6</x:v>
      </x:c>
      <x:c r="H11" s="20" t="n">
        <x:v>26</x:v>
      </x:c>
      <x:c r="I11" s="19" t="n">
        <x:v>-110000</x:v>
      </x:c>
      <x:c r="J11" s="19" t="n">
        <x:v>1000</x:v>
      </x:c>
      <x:c r="K11" s="20" t="n">
        <x:v>6</x:v>
      </x:c>
    </x:row>
    <x:row r="12" ht="23" customHeight="1">
      <x:c r="A12" s="2" t="str">
        <x:v>2026-09-28_Night</x:v>
      </x:c>
      <x:c r="B12" s="2" t="str">
        <x:v>下落</x:v>
      </x:c>
      <x:c r="C12" s="19" t="n">
        <x:v>26000</x:v>
      </x:c>
      <x:c r="D12" s="19" t="n">
        <x:v>263000</x:v>
      </x:c>
      <x:c r="E12" s="19" t="n">
        <x:f>C12-D12</x:f>
        <x:v>-237000</x:v>
      </x:c>
      <x:c r="F12" s="19" t="n">
        <x:f>F11+E12</x:f>
        <x:v>-193000</x:v>
      </x:c>
      <x:c r="G12" s="20" t="n">
        <x:v>12</x:v>
      </x:c>
      <x:c r="H12" s="20" t="n">
        <x:v>42</x:v>
      </x:c>
      <x:c r="I12" s="19" t="n">
        <x:v>-190000</x:v>
      </x:c>
      <x:c r="J12" s="19" t="n">
        <x:v>-47000</x:v>
      </x:c>
      <x:c r="K12" s="20" t="n">
        <x:v>11</x:v>
      </x:c>
    </x:row>
    <x:row r="13" ht="23" customHeight="1">
      <x:c r="A13" s="2" t="str">
        <x:v>2026-09-29_Night</x:v>
      </x:c>
      <x:c r="B13" s="2" t="str">
        <x:v>上昇</x:v>
      </x:c>
      <x:c r="C13" s="19" t="n">
        <x:v>87000</x:v>
      </x:c>
      <x:c r="D13" s="19" t="n">
        <x:v>122000</x:v>
      </x:c>
      <x:c r="E13" s="19" t="n">
        <x:f>C13-D13</x:f>
        <x:v>-35000</x:v>
      </x:c>
      <x:c r="F13" s="19" t="n">
        <x:f>F12+E13</x:f>
        <x:v>-228000</x:v>
      </x:c>
      <x:c r="G13" s="20" t="n">
        <x:v>8</x:v>
      </x:c>
      <x:c r="H13" s="20" t="n">
        <x:v>24</x:v>
      </x:c>
      <x:c r="I13" s="19" t="n">
        <x:v>-100000</x:v>
      </x:c>
      <x:c r="J13" s="19" t="n">
        <x:v>65000</x:v>
      </x:c>
      <x:c r="K13" s="20" t="n">
        <x:v>6</x:v>
      </x:c>
    </x:row>
    <x:row r="14" ht="23" customHeight="1">
      <x:c r="A14" s="2" t="str">
        <x:v>2026-09-30_Night</x:v>
      </x:c>
      <x:c r="B14" s="2" t="str">
        <x:v>下落</x:v>
      </x:c>
      <x:c r="C14" s="19" t="n">
        <x:v>173000</x:v>
      </x:c>
      <x:c r="D14" s="19" t="n">
        <x:v>385000</x:v>
      </x:c>
      <x:c r="E14" s="19" t="n">
        <x:f>C14-D14</x:f>
        <x:v>-212000</x:v>
      </x:c>
      <x:c r="F14" s="19" t="n">
        <x:f>F13+E14</x:f>
        <x:v>-440000</x:v>
      </x:c>
      <x:c r="G14" s="20" t="n">
        <x:v>14</x:v>
      </x:c>
      <x:c r="H14" s="20" t="n">
        <x:v>62</x:v>
      </x:c>
      <x:c r="I14" s="19" t="n">
        <x:v>-255000</x:v>
      </x:c>
      <x:c r="J14" s="19" t="n">
        <x:v>43000</x:v>
      </x:c>
      <x:c r="K14" s="20" t="n">
        <x:v>9</x:v>
      </x:c>
    </x:row>
    <x:row r="15" ht="23" customHeight="1">
      <x:c r="A15" s="2" t="str">
        <x:v>2026-10-01_Night</x:v>
      </x:c>
      <x:c r="B15" s="2" t="str">
        <x:v>上昇</x:v>
      </x:c>
      <x:c r="C15" s="19" t="n">
        <x:v>380000</x:v>
      </x:c>
      <x:c r="D15" s="19" t="n">
        <x:v>171000</x:v>
      </x:c>
      <x:c r="E15" s="19" t="n">
        <x:f>C15-D15</x:f>
        <x:v>209000</x:v>
      </x:c>
      <x:c r="F15" s="19" t="n">
        <x:f>F14+E15</x:f>
        <x:v>-231000</x:v>
      </x:c>
      <x:c r="G15" s="20" t="n">
        <x:v>21</x:v>
      </x:c>
      <x:c r="H15" s="20" t="n">
        <x:v>64</x:v>
      </x:c>
      <x:c r="I15" s="19" t="n">
        <x:v>100000</x:v>
      </x:c>
      <x:c r="J15" s="19" t="n">
        <x:v>109000</x:v>
      </x:c>
      <x:c r="K15" s="20" t="n">
        <x:v>14</x:v>
      </x:c>
    </x:row>
    <x:row r="16" ht="23" customHeight="1">
      <x:c r="A16" s="2" t="str">
        <x:v>2026-10-02_Night</x:v>
      </x:c>
      <x:c r="B16" s="2" t="str">
        <x:v>上昇</x:v>
      </x:c>
      <x:c r="C16" s="19" t="n">
        <x:v>429000</x:v>
      </x:c>
      <x:c r="D16" s="19" t="n">
        <x:v>298000</x:v>
      </x:c>
      <x:c r="E16" s="19" t="n">
        <x:f>C16-D16</x:f>
        <x:v>131000</x:v>
      </x:c>
      <x:c r="F16" s="19" t="n">
        <x:f>F15+E16</x:f>
        <x:v>-100000</x:v>
      </x:c>
      <x:c r="G16" s="20" t="n">
        <x:v>25</x:v>
      </x:c>
      <x:c r="H16" s="20" t="n">
        <x:v>78</x:v>
      </x:c>
      <x:c r="I16" s="19" t="n">
        <x:v>-130000</x:v>
      </x:c>
      <x:c r="J16" s="19" t="n">
        <x:v>261000</x:v>
      </x:c>
      <x:c r="K16" s="20" t="n">
        <x:v>18</x:v>
      </x:c>
    </x:row>
    <x:row r="17" ht="23" customHeight="1">
      <x:c r="A17" s="2" t="str">
        <x:v>2026-10-05_Night</x:v>
      </x:c>
      <x:c r="B17" s="2" t="str">
        <x:v>下落</x:v>
      </x:c>
      <x:c r="C17" s="19" t="n">
        <x:v>113000</x:v>
      </x:c>
      <x:c r="D17" s="19" t="n">
        <x:v>279000</x:v>
      </x:c>
      <x:c r="E17" s="19" t="n">
        <x:f>C17-D17</x:f>
        <x:v>-166000</x:v>
      </x:c>
      <x:c r="F17" s="19" t="n">
        <x:f>F16+E17</x:f>
        <x:v>-266000</x:v>
      </x:c>
      <x:c r="G17" s="20" t="n">
        <x:v>13</x:v>
      </x:c>
      <x:c r="H17" s="20" t="n">
        <x:v>44</x:v>
      </x:c>
      <x:c r="I17" s="19" t="n">
        <x:v>-200000</x:v>
      </x:c>
      <x:c r="J17" s="19" t="n">
        <x:v>34000</x:v>
      </x:c>
      <x:c r="K17" s="20" t="n">
        <x:v>10</x:v>
      </x:c>
    </x:row>
    <x:row r="18" ht="23" customHeight="1">
      <x:c r="A18" s="2" t="str">
        <x:v>2026-10-06_Night</x:v>
      </x:c>
      <x:c r="B18" s="2" t="str">
        <x:v>下落</x:v>
      </x:c>
      <x:c r="C18" s="19" t="n">
        <x:v>33000</x:v>
      </x:c>
      <x:c r="D18" s="19" t="n">
        <x:v>173000</x:v>
      </x:c>
      <x:c r="E18" s="19" t="n">
        <x:f>C18-D18</x:f>
        <x:v>-140000</x:v>
      </x:c>
      <x:c r="F18" s="19" t="n">
        <x:f>F17+E18</x:f>
        <x:v>-406000</x:v>
      </x:c>
      <x:c r="G18" s="20" t="n">
        <x:v>8</x:v>
      </x:c>
      <x:c r="H18" s="20" t="n">
        <x:v>28</x:v>
      </x:c>
      <x:c r="I18" s="19" t="n">
        <x:v>-130000</x:v>
      </x:c>
      <x:c r="J18" s="19" t="n">
        <x:v>-10000</x:v>
      </x:c>
      <x:c r="K18" s="20" t="n">
        <x:v>5</x:v>
      </x:c>
    </x:row>
    <x:row r="19" ht="23" customHeight="1">
      <x:c r="A19" s="2" t="str">
        <x:v>2026-10-07_Night</x:v>
      </x:c>
      <x:c r="B19" s="2" t="str">
        <x:v>下落</x:v>
      </x:c>
      <x:c r="C19" s="19" t="n">
        <x:v>0</x:v>
      </x:c>
      <x:c r="D19" s="19" t="n">
        <x:v>117000</x:v>
      </x:c>
      <x:c r="E19" s="19" t="n">
        <x:f>C19-D19</x:f>
        <x:v>-117000</x:v>
      </x:c>
      <x:c r="F19" s="19" t="n">
        <x:f>F18+E19</x:f>
        <x:v>-523000</x:v>
      </x:c>
      <x:c r="G19" s="20" t="n">
        <x:v>4</x:v>
      </x:c>
      <x:c r="H19" s="20" t="n">
        <x:v>12</x:v>
      </x:c>
      <x:c r="I19" s="19" t="n">
        <x:v>-95000</x:v>
      </x:c>
      <x:c r="J19" s="19" t="n">
        <x:v>-22000</x:v>
      </x:c>
      <x:c r="K19" s="20" t="n">
        <x:v>3</x:v>
      </x:c>
    </x:row>
    <x:row r="20" ht="23" customHeight="1">
      <x:c r="A20" s="2" t="str">
        <x:v>2026-10-08_Night</x:v>
      </x:c>
      <x:c r="B20" s="2" t="str">
        <x:v>下落</x:v>
      </x:c>
      <x:c r="C20" s="19" t="n">
        <x:v>375000</x:v>
      </x:c>
      <x:c r="D20" s="19" t="n">
        <x:v>160000</x:v>
      </x:c>
      <x:c r="E20" s="19" t="n">
        <x:f>C20-D20</x:f>
        <x:v>215000</x:v>
      </x:c>
      <x:c r="F20" s="19" t="n">
        <x:f>F19+E20</x:f>
        <x:v>-308000</x:v>
      </x:c>
      <x:c r="G20" s="20" t="n">
        <x:v>21</x:v>
      </x:c>
      <x:c r="H20" s="20" t="n">
        <x:v>58</x:v>
      </x:c>
      <x:c r="I20" s="19" t="n">
        <x:v>-95000</x:v>
      </x:c>
      <x:c r="J20" s="19" t="n">
        <x:v>310000</x:v>
      </x:c>
      <x:c r="K20" s="20" t="n">
        <x:v>15</x:v>
      </x:c>
    </x:row>
    <x:row r="21" ht="23" customHeight="1">
      <x:c r="A21" s="2" t="str">
        <x:v>2026-10-09_Night</x:v>
      </x:c>
      <x:c r="B21" s="2" t="str">
        <x:v>下落</x:v>
      </x:c>
      <x:c r="C21" s="19" t="n">
        <x:v>14000</x:v>
      </x:c>
      <x:c r="D21" s="19" t="n">
        <x:v>95000</x:v>
      </x:c>
      <x:c r="E21" s="19" t="n">
        <x:f>C21-D21</x:f>
        <x:v>-81000</x:v>
      </x:c>
      <x:c r="F21" s="19" t="n">
        <x:f>F20+E21</x:f>
        <x:v>-389000</x:v>
      </x:c>
      <x:c r="G21" s="20" t="n">
        <x:v>3</x:v>
      </x:c>
      <x:c r="H21" s="20" t="n">
        <x:v>15</x:v>
      </x:c>
      <x:c r="I21" s="19" t="n">
        <x:v>-95000</x:v>
      </x:c>
      <x:c r="J21" s="19" t="n">
        <x:v>14000</x:v>
      </x:c>
      <x:c r="K21" s="20" t="n">
        <x:v>3</x:v>
      </x:c>
    </x:row>
    <x:row r="22" ht="23" customHeight="1">
      <x:c r="A22" s="2" t="str">
        <x:v>2026-10-12_Night</x:v>
      </x:c>
      <x:c r="B22" s="2" t="str">
        <x:v>下落</x:v>
      </x:c>
      <x:c r="C22" s="19" t="n">
        <x:v>82000</x:v>
      </x:c>
      <x:c r="D22" s="19" t="n">
        <x:v>50000</x:v>
      </x:c>
      <x:c r="E22" s="19" t="n">
        <x:f>C22-D22</x:f>
        <x:v>32000</x:v>
      </x:c>
      <x:c r="F22" s="19" t="n">
        <x:f>F21+E22</x:f>
        <x:v>-357000</x:v>
      </x:c>
      <x:c r="G22" s="20" t="n">
        <x:v>2</x:v>
      </x:c>
      <x:c r="H22" s="20" t="n">
        <x:v>10</x:v>
      </x:c>
      <x:c r="I22" s="19" t="n">
        <x:v>-50000</x:v>
      </x:c>
      <x:c r="J22" s="19" t="n">
        <x:v>82000</x:v>
      </x:c>
      <x:c r="K22" s="20" t="n">
        <x:v>2</x:v>
      </x:c>
    </x:row>
    <x:row r="23" ht="23" customHeight="1">
      <x:c r="A23" s="2" t="str">
        <x:v>2026-10-13_Night</x:v>
      </x:c>
      <x:c r="B23" s="2" t="str">
        <x:v>上昇</x:v>
      </x:c>
      <x:c r="C23" s="19" t="n">
        <x:v>35000</x:v>
      </x:c>
      <x:c r="D23" s="19" t="n">
        <x:v>68000</x:v>
      </x:c>
      <x:c r="E23" s="19" t="n">
        <x:f>C23-D23</x:f>
        <x:v>-33000</x:v>
      </x:c>
      <x:c r="F23" s="19" t="n">
        <x:f>F22+E23</x:f>
        <x:v>-390000</x:v>
      </x:c>
      <x:c r="G23" s="20" t="n">
        <x:v>5</x:v>
      </x:c>
      <x:c r="H23" s="20" t="n">
        <x:v>21</x:v>
      </x:c>
      <x:c r="I23" s="19" t="n">
        <x:v>20000</x:v>
      </x:c>
      <x:c r="J23" s="19" t="n">
        <x:v>-53000</x:v>
      </x:c>
      <x:c r="K23" s="20" t="n">
        <x:v>4</x:v>
      </x:c>
    </x:row>
    <x:row r="24" ht="23" customHeight="1">
      <x:c r="A24" s="2" t="str">
        <x:v>2026-10-14_Night</x:v>
      </x:c>
      <x:c r="B24" s="2" t="str">
        <x:v>下落</x:v>
      </x:c>
      <x:c r="C24" s="19" t="n">
        <x:v>197000</x:v>
      </x:c>
      <x:c r="D24" s="19" t="n">
        <x:v>451000</x:v>
      </x:c>
      <x:c r="E24" s="19" t="n">
        <x:f>C24-D24</x:f>
        <x:v>-254000</x:v>
      </x:c>
      <x:c r="F24" s="19" t="n">
        <x:f>F23+E24</x:f>
        <x:v>-644000</x:v>
      </x:c>
      <x:c r="G24" s="20" t="n">
        <x:v>11</x:v>
      </x:c>
      <x:c r="H24" s="20" t="n">
        <x:v>44</x:v>
      </x:c>
      <x:c r="I24" s="19" t="n">
        <x:v>-390000</x:v>
      </x:c>
      <x:c r="J24" s="19" t="n">
        <x:v>136000</x:v>
      </x:c>
      <x:c r="K24" s="20" t="n">
        <x:v>10</x:v>
      </x:c>
    </x:row>
    <x:row r="25" ht="23" customHeight="1">
      <x:c r="A25" s="2" t="str">
        <x:v>2026-10-15_Night</x:v>
      </x:c>
      <x:c r="B25" s="2" t="str">
        <x:v>上昇</x:v>
      </x:c>
      <x:c r="C25" s="19" t="n">
        <x:v>246000</x:v>
      </x:c>
      <x:c r="D25" s="19" t="n">
        <x:v>365000</x:v>
      </x:c>
      <x:c r="E25" s="19" t="n">
        <x:f>C25-D25</x:f>
        <x:v>-119000</x:v>
      </x:c>
      <x:c r="F25" s="19" t="n">
        <x:f>F24+E25</x:f>
        <x:v>-763000</x:v>
      </x:c>
      <x:c r="G25" s="20" t="n">
        <x:v>20</x:v>
      </x:c>
      <x:c r="H25" s="20" t="n">
        <x:v>54</x:v>
      </x:c>
      <x:c r="I25" s="19" t="n">
        <x:v>-215000</x:v>
      </x:c>
      <x:c r="J25" s="19" t="n">
        <x:v>96000</x:v>
      </x:c>
      <x:c r="K25" s="20" t="n">
        <x:v>16</x:v>
      </x:c>
    </x:row>
    <x:row r="26" ht="23" customHeight="1">
      <x:c r="A26" s="2" t="str">
        <x:v>2026-10-16_Night</x:v>
      </x:c>
      <x:c r="B26" s="2" t="str">
        <x:v>下落</x:v>
      </x:c>
      <x:c r="C26" s="19" t="n">
        <x:v>153000</x:v>
      </x:c>
      <x:c r="D26" s="19" t="n">
        <x:v>242000</x:v>
      </x:c>
      <x:c r="E26" s="19" t="n">
        <x:f>C26-D26</x:f>
        <x:v>-89000</x:v>
      </x:c>
      <x:c r="F26" s="19" t="n">
        <x:f>F25+E26</x:f>
        <x:v>-852000</x:v>
      </x:c>
      <x:c r="G26" s="20" t="n">
        <x:v>15</x:v>
      </x:c>
      <x:c r="H26" s="20" t="n">
        <x:v>37</x:v>
      </x:c>
      <x:c r="I26" s="19" t="n">
        <x:v>-100000</x:v>
      </x:c>
      <x:c r="J26" s="19" t="n">
        <x:v>11000</x:v>
      </x:c>
      <x:c r="K26" s="20" t="n">
        <x:v>13</x:v>
      </x:c>
    </x:row>
    <x:row r="27" ht="23" customHeight="1">
      <x:c r="A27" s="2" t="str">
        <x:v>2026-10-19_Night</x:v>
      </x:c>
      <x:c r="B27" s="2" t="str">
        <x:v>上昇</x:v>
      </x:c>
      <x:c r="C27" s="19" t="n">
        <x:v>133000</x:v>
      </x:c>
      <x:c r="D27" s="19" t="n">
        <x:v>293000</x:v>
      </x:c>
      <x:c r="E27" s="19" t="n">
        <x:f>C27-D27</x:f>
        <x:v>-160000</x:v>
      </x:c>
      <x:c r="F27" s="19" t="n">
        <x:f>F26+E27</x:f>
        <x:v>-1012000</x:v>
      </x:c>
      <x:c r="G27" s="20" t="n">
        <x:v>19</x:v>
      </x:c>
      <x:c r="H27" s="20" t="n">
        <x:v>48</x:v>
      </x:c>
      <x:c r="I27" s="19" t="n">
        <x:v>-175000</x:v>
      </x:c>
      <x:c r="J27" s="19" t="n">
        <x:v>15000</x:v>
      </x:c>
      <x:c r="K27" s="20" t="n">
        <x:v>14</x:v>
      </x:c>
    </x:row>
    <x:row r="28" ht="23" customHeight="1">
      <x:c r="A28" s="2" t="str">
        <x:v>2026-10-20_Night</x:v>
      </x:c>
      <x:c r="B28" s="2" t="str">
        <x:v>上昇</x:v>
      </x:c>
      <x:c r="C28" s="19" t="n">
        <x:v>982000</x:v>
      </x:c>
      <x:c r="D28" s="19" t="n">
        <x:v>254000</x:v>
      </x:c>
      <x:c r="E28" s="19" t="n">
        <x:f>C28-D28</x:f>
        <x:v>728000</x:v>
      </x:c>
      <x:c r="F28" s="19" t="n">
        <x:f>F27+E28</x:f>
        <x:v>-284000</x:v>
      </x:c>
      <x:c r="G28" s="20" t="n">
        <x:v>23</x:v>
      </x:c>
      <x:c r="H28" s="20" t="n">
        <x:v>79</x:v>
      </x:c>
      <x:c r="I28" s="19" t="n">
        <x:v>250000</x:v>
      </x:c>
      <x:c r="J28" s="19" t="n">
        <x:v>478000</x:v>
      </x:c>
      <x:c r="K28" s="20" t="n">
        <x:v>15</x:v>
      </x:c>
    </x:row>
    <x:row r="29" ht="23" customHeight="1">
      <x:c r="A29" s="2" t="str">
        <x:v>2026-10-21_Night</x:v>
      </x:c>
      <x:c r="B29" s="2" t="str">
        <x:v>上昇</x:v>
      </x:c>
      <x:c r="C29" s="19" t="n">
        <x:v>431000</x:v>
      </x:c>
      <x:c r="D29" s="19" t="n">
        <x:v>145000</x:v>
      </x:c>
      <x:c r="E29" s="19" t="n">
        <x:f>C29-D29</x:f>
        <x:v>286000</x:v>
      </x:c>
      <x:c r="F29" s="19" t="n">
        <x:f>F28+E29</x:f>
        <x:v>2000</x:v>
      </x:c>
      <x:c r="G29" s="20" t="n">
        <x:v>14</x:v>
      </x:c>
      <x:c r="H29" s="20" t="n">
        <x:v>62</x:v>
      </x:c>
      <x:c r="I29" s="19" t="n">
        <x:v>310000</x:v>
      </x:c>
      <x:c r="J29" s="19" t="n">
        <x:v>-24000</x:v>
      </x:c>
      <x:c r="K29" s="20" t="n">
        <x:v>10</x:v>
      </x:c>
    </x:row>
    <x:row r="30" ht="23" customHeight="1">
      <x:c r="A30" s="2" t="str">
        <x:v>2026-10-22_Night</x:v>
      </x:c>
      <x:c r="B30" s="2" t="str">
        <x:v>下落</x:v>
      </x:c>
      <x:c r="C30" s="19" t="n">
        <x:v>160000</x:v>
      </x:c>
      <x:c r="D30" s="19" t="n">
        <x:v>318000</x:v>
      </x:c>
      <x:c r="E30" s="19" t="n">
        <x:f>C30-D30</x:f>
        <x:v>-158000</x:v>
      </x:c>
      <x:c r="F30" s="19" t="n">
        <x:f>F29+E30</x:f>
        <x:v>-156000</x:v>
      </x:c>
      <x:c r="G30" s="20" t="n">
        <x:v>13</x:v>
      </x:c>
      <x:c r="H30" s="20" t="n">
        <x:v>45</x:v>
      </x:c>
      <x:c r="I30" s="19" t="n">
        <x:v>-235000</x:v>
      </x:c>
      <x:c r="J30" s="19" t="n">
        <x:v>77000</x:v>
      </x:c>
      <x:c r="K30" s="20" t="n">
        <x:v>10</x:v>
      </x:c>
    </x:row>
    <x:row r="31" ht="23" customHeight="1">
      <x:c r="A31" s="2" t="str">
        <x:v>2026-10-23_Night</x:v>
      </x:c>
      <x:c r="B31" s="2" t="str">
        <x:v>上昇</x:v>
      </x:c>
      <x:c r="C31" s="19" t="n">
        <x:v>222000</x:v>
      </x:c>
      <x:c r="D31" s="19" t="n">
        <x:v>212000</x:v>
      </x:c>
      <x:c r="E31" s="19" t="n">
        <x:f>C31-D31</x:f>
        <x:v>10000</x:v>
      </x:c>
      <x:c r="F31" s="19" t="n">
        <x:f>F30+E31</x:f>
        <x:v>-146000</x:v>
      </x:c>
      <x:c r="G31" s="20" t="n">
        <x:v>15</x:v>
      </x:c>
      <x:c r="H31" s="20" t="n">
        <x:v>56</x:v>
      </x:c>
      <x:c r="I31" s="19" t="n">
        <x:v>-5000</x:v>
      </x:c>
      <x:c r="J31" s="19" t="n">
        <x:v>15000</x:v>
      </x:c>
      <x:c r="K31" s="20" t="n">
        <x:v>10</x:v>
      </x:c>
    </x:row>
    <x:row r="32" ht="23" customHeight="1">
      <x:c r="A32" s="24" t="str">
        <x:v>25夜累計</x:v>
      </x:c>
      <x:c r="B32" s="24"/>
      <x:c r="C32" s="25" t="n">
        <x:f>SUM(C7:C31)</x:f>
        <x:v>4616000</x:v>
      </x:c>
      <x:c r="D32" s="25" t="n">
        <x:f>SUM(D7:D31)</x:f>
        <x:v>4762000</x:v>
      </x:c>
      <x:c r="E32" s="25" t="n">
        <x:f>C32-D32</x:f>
        <x:v>-146000</x:v>
      </x:c>
      <x:c r="F32" s="25" t="n">
        <x:f>F31</x:f>
        <x:v>-146000</x:v>
      </x:c>
      <x:c r="G32" s="26" t="n">
        <x:f>SUM(G7:G31)</x:f>
        <x:v>286</x:v>
      </x:c>
      <x:c r="H32" s="26" t="n">
        <x:f>SUM(H7:H31)</x:f>
        <x:v>963</x:v>
      </x:c>
      <x:c r="I32" s="25" t="n">
        <x:f>SUM(I7:I31)</x:f>
        <x:v>-1700000</x:v>
      </x:c>
      <x:c r="J32" s="25" t="n">
        <x:f>SUM(J7:J31)</x:f>
        <x:v>1554000</x:v>
      </x:c>
      <x:c r="K32" s="26" t="n">
        <x:f>SUM(K7:K31)</x:f>
        <x:v>214</x:v>
      </x:c>
    </x:row>
    <x:row r="33" ht="23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</x:row>
  </x:sheetData>
  <x:conditionalFormatting sqref="C7:F32">
    <x:cfRule type="cellIs" dxfId="6" priority="1" operator="lessThan">
      <x:formula>0</x:formula>
    </x:cfRule>
  </x:conditionalFormatting>
  <x:conditionalFormatting sqref="I7:J32">
    <x:cfRule type="cellIs" dxfId="7" priority="2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ec496800da14522"/>
  </x:tableParts>
</x:worksheet>
</file>

<file path=xl/worksheets/sheet6.xml><?xml version="1.0" encoding="utf-8"?>
<x:worksheet xmlns:x="http://schemas.openxmlformats.org/spreadsheetml/2006/main">
  <x:sheetPr>
    <x:tabColor rgb="FF244A70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8" hidden="0" customWidth="1"/>
    <x:col min="2" max="2" width="14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23" customHeight="1">
      <x:c r="A2" s="4" t="str">
        <x:v>P04　全夜間の利益・損失・収支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</x:row>
    <x:row r="3" ht="23" customHeight="1">
      <x:c r="A3" s="6" t="str">
        <x:v>日経mini・片方向上限10枚・手数料0円・気配差込み。利益と損失は完結した親取引の収支を分類。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 ht="23" customHeight="1">
      <x:c r="A4" s="6" t="str">
        <x:v>2026/09/21～10/23の既知25夜。前段は米国開始15分前まで、後段は米国開始15分後から。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</x:row>
    <x:row r="5" ht="23" customHeight="1">
      <x:c r="A5" s="6" t="str">
        <x:v>長い方向支持窓を20分に変更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</x:row>
    <x:row r="6" ht="40" customHeight="1">
      <x:c r="A6" s="15" t="str">
        <x:v>セッション</x:v>
      </x:c>
      <x:c r="B6" s="16" t="str">
        <x:v>始終値方向</x:v>
      </x:c>
      <x:c r="C6" s="16" t="str">
        <x:v>利益（円）</x:v>
      </x:c>
      <x:c r="D6" s="16" t="str">
        <x:v>損失（円）</x:v>
      </x:c>
      <x:c r="E6" s="16" t="str">
        <x:v>収支（円）</x:v>
      </x:c>
      <x:c r="F6" s="16" t="str">
        <x:v>累計（円）</x:v>
      </x:c>
      <x:c r="G6" s="16" t="str">
        <x:v>新規件数</x:v>
      </x:c>
      <x:c r="H6" s="16" t="str">
        <x:v>新規合計枚数</x:v>
      </x:c>
      <x:c r="I6" s="16" t="str">
        <x:v>前段収支（円）</x:v>
      </x:c>
      <x:c r="J6" s="16" t="str">
        <x:v>後段収支（円）</x:v>
      </x:c>
      <x:c r="K6" s="17" t="str">
        <x:v>親取引数</x:v>
      </x:c>
    </x:row>
    <x:row r="7" ht="23" customHeight="1">
      <x:c r="A7" s="2" t="str">
        <x:v>2026-09-21_Night</x:v>
      </x:c>
      <x:c r="B7" s="2" t="str">
        <x:v>上昇</x:v>
      </x:c>
      <x:c r="C7" s="19" t="n">
        <x:v>0</x:v>
      </x:c>
      <x:c r="D7" s="19" t="n">
        <x:v>45000</x:v>
      </x:c>
      <x:c r="E7" s="19" t="n">
        <x:f>C7-D7</x:f>
        <x:v>-45000</x:v>
      </x:c>
      <x:c r="F7" s="19" t="n">
        <x:f>E7</x:f>
        <x:v>-45000</x:v>
      </x:c>
      <x:c r="G7" s="20" t="n">
        <x:v>1</x:v>
      </x:c>
      <x:c r="H7" s="20" t="n">
        <x:v>5</x:v>
      </x:c>
      <x:c r="I7" s="19" t="n">
        <x:v>0</x:v>
      </x:c>
      <x:c r="J7" s="19" t="n">
        <x:v>-45000</x:v>
      </x:c>
      <x:c r="K7" s="20" t="n">
        <x:v>1</x:v>
      </x:c>
    </x:row>
    <x:row r="8" ht="23" customHeight="1">
      <x:c r="A8" s="2" t="str">
        <x:v>2026-09-22_Night</x:v>
      </x:c>
      <x:c r="B8" s="2" t="str">
        <x:v>上昇</x:v>
      </x:c>
      <x:c r="C8" s="19" t="n">
        <x:v>104000</x:v>
      </x:c>
      <x:c r="D8" s="19" t="n">
        <x:v>0</x:v>
      </x:c>
      <x:c r="E8" s="19" t="n">
        <x:f>C8-D8</x:f>
        <x:v>104000</x:v>
      </x:c>
      <x:c r="F8" s="19" t="n">
        <x:f>F7+E8</x:f>
        <x:v>59000</x:v>
      </x:c>
      <x:c r="G8" s="20" t="n">
        <x:v>3</x:v>
      </x:c>
      <x:c r="H8" s="20" t="n">
        <x:v>15</x:v>
      </x:c>
      <x:c r="I8" s="19" t="n">
        <x:v>80000</x:v>
      </x:c>
      <x:c r="J8" s="19" t="n">
        <x:v>24000</x:v>
      </x:c>
      <x:c r="K8" s="20" t="n">
        <x:v>2</x:v>
      </x:c>
    </x:row>
    <x:row r="9" ht="23" customHeight="1">
      <x:c r="A9" s="2" t="str">
        <x:v>2026-09-23_Night</x:v>
      </x:c>
      <x:c r="B9" s="2" t="str">
        <x:v>下落</x:v>
      </x:c>
      <x:c r="C9" s="19" t="n">
        <x:v>4000</x:v>
      </x:c>
      <x:c r="D9" s="19" t="n">
        <x:v>40000</x:v>
      </x:c>
      <x:c r="E9" s="19" t="n">
        <x:f>C9-D9</x:f>
        <x:v>-36000</x:v>
      </x:c>
      <x:c r="F9" s="19" t="n">
        <x:f>F8+E9</x:f>
        <x:v>23000</x:v>
      </x:c>
      <x:c r="G9" s="20" t="n">
        <x:v>3</x:v>
      </x:c>
      <x:c r="H9" s="20" t="n">
        <x:v>7</x:v>
      </x:c>
      <x:c r="I9" s="19" t="n">
        <x:v>0</x:v>
      </x:c>
      <x:c r="J9" s="19" t="n">
        <x:v>-36000</x:v>
      </x:c>
      <x:c r="K9" s="20" t="n">
        <x:v>2</x:v>
      </x:c>
    </x:row>
    <x:row r="10" ht="23" customHeight="1">
      <x:c r="A10" s="2" t="str">
        <x:v>2026-09-24_Night</x:v>
      </x:c>
      <x:c r="B10" s="2" t="str">
        <x:v>下落</x:v>
      </x:c>
      <x:c r="C10" s="19" t="n">
        <x:v>30000</x:v>
      </x:c>
      <x:c r="D10" s="19" t="n">
        <x:v>100000</x:v>
      </x:c>
      <x:c r="E10" s="19" t="n">
        <x:f>C10-D10</x:f>
        <x:v>-70000</x:v>
      </x:c>
      <x:c r="F10" s="19" t="n">
        <x:f>F9+E10</x:f>
        <x:v>-47000</x:v>
      </x:c>
      <x:c r="G10" s="20" t="n">
        <x:v>5</x:v>
      </x:c>
      <x:c r="H10" s="20" t="n">
        <x:v>17</x:v>
      </x:c>
      <x:c r="I10" s="19" t="n">
        <x:v>-90000</x:v>
      </x:c>
      <x:c r="J10" s="19" t="n">
        <x:v>20000</x:v>
      </x:c>
      <x:c r="K10" s="20" t="n">
        <x:v>4</x:v>
      </x:c>
    </x:row>
    <x:row r="11" ht="23" customHeight="1">
      <x:c r="A11" s="2" t="str">
        <x:v>2026-09-25_Night</x:v>
      </x:c>
      <x:c r="B11" s="2" t="str">
        <x:v>上昇</x:v>
      </x:c>
      <x:c r="C11" s="19" t="n">
        <x:v>17000</x:v>
      </x:c>
      <x:c r="D11" s="19" t="n">
        <x:v>66000</x:v>
      </x:c>
      <x:c r="E11" s="19" t="n">
        <x:f>C11-D11</x:f>
        <x:v>-49000</x:v>
      </x:c>
      <x:c r="F11" s="19" t="n">
        <x:f>F10+E11</x:f>
        <x:v>-96000</x:v>
      </x:c>
      <x:c r="G11" s="20" t="n">
        <x:v>3</x:v>
      </x:c>
      <x:c r="H11" s="20" t="n">
        <x:v>11</x:v>
      </x:c>
      <x:c r="I11" s="19" t="n">
        <x:v>-50000</x:v>
      </x:c>
      <x:c r="J11" s="19" t="n">
        <x:v>1000</x:v>
      </x:c>
      <x:c r="K11" s="20" t="n">
        <x:v>3</x:v>
      </x:c>
    </x:row>
    <x:row r="12" ht="23" customHeight="1">
      <x:c r="A12" s="2" t="str">
        <x:v>2026-09-28_Night</x:v>
      </x:c>
      <x:c r="B12" s="2" t="str">
        <x:v>下落</x:v>
      </x:c>
      <x:c r="C12" s="19" t="n">
        <x:v>1000</x:v>
      </x:c>
      <x:c r="D12" s="19" t="n">
        <x:v>113000</x:v>
      </x:c>
      <x:c r="E12" s="19" t="n">
        <x:f>C12-D12</x:f>
        <x:v>-112000</x:v>
      </x:c>
      <x:c r="F12" s="19" t="n">
        <x:f>F11+E12</x:f>
        <x:v>-208000</x:v>
      </x:c>
      <x:c r="G12" s="20" t="n">
        <x:v>7</x:v>
      </x:c>
      <x:c r="H12" s="20" t="n">
        <x:v>17</x:v>
      </x:c>
      <x:c r="I12" s="19" t="n">
        <x:v>-65000</x:v>
      </x:c>
      <x:c r="J12" s="19" t="n">
        <x:v>-47000</x:v>
      </x:c>
      <x:c r="K12" s="20" t="n">
        <x:v>6</x:v>
      </x:c>
    </x:row>
    <x:row r="13" ht="23" customHeight="1">
      <x:c r="A13" s="2" t="str">
        <x:v>2026-09-29_Night</x:v>
      </x:c>
      <x:c r="B13" s="2" t="str">
        <x:v>上昇</x:v>
      </x:c>
      <x:c r="C13" s="19" t="n">
        <x:v>87000</x:v>
      </x:c>
      <x:c r="D13" s="19" t="n">
        <x:v>72000</x:v>
      </x:c>
      <x:c r="E13" s="19" t="n">
        <x:f>C13-D13</x:f>
        <x:v>15000</x:v>
      </x:c>
      <x:c r="F13" s="19" t="n">
        <x:f>F12+E13</x:f>
        <x:v>-193000</x:v>
      </x:c>
      <x:c r="G13" s="20" t="n">
        <x:v>7</x:v>
      </x:c>
      <x:c r="H13" s="20" t="n">
        <x:v>19</x:v>
      </x:c>
      <x:c r="I13" s="19" t="n">
        <x:v>-50000</x:v>
      </x:c>
      <x:c r="J13" s="19" t="n">
        <x:v>65000</x:v>
      </x:c>
      <x:c r="K13" s="20" t="n">
        <x:v>6</x:v>
      </x:c>
    </x:row>
    <x:row r="14" ht="23" customHeight="1">
      <x:c r="A14" s="2" t="str">
        <x:v>2026-09-30_Night</x:v>
      </x:c>
      <x:c r="B14" s="2" t="str">
        <x:v>下落</x:v>
      </x:c>
      <x:c r="C14" s="19" t="n">
        <x:v>173000</x:v>
      </x:c>
      <x:c r="D14" s="19" t="n">
        <x:v>290000</x:v>
      </x:c>
      <x:c r="E14" s="19" t="n">
        <x:f>C14-D14</x:f>
        <x:v>-117000</x:v>
      </x:c>
      <x:c r="F14" s="19" t="n">
        <x:f>F13+E14</x:f>
        <x:v>-310000</x:v>
      </x:c>
      <x:c r="G14" s="20" t="n">
        <x:v>11</x:v>
      </x:c>
      <x:c r="H14" s="20" t="n">
        <x:v>47</x:v>
      </x:c>
      <x:c r="I14" s="19" t="n">
        <x:v>-160000</x:v>
      </x:c>
      <x:c r="J14" s="19" t="n">
        <x:v>43000</x:v>
      </x:c>
      <x:c r="K14" s="20" t="n">
        <x:v>7</x:v>
      </x:c>
    </x:row>
    <x:row r="15" ht="23" customHeight="1">
      <x:c r="A15" s="2" t="str">
        <x:v>2026-10-01_Night</x:v>
      </x:c>
      <x:c r="B15" s="2" t="str">
        <x:v>上昇</x:v>
      </x:c>
      <x:c r="C15" s="19" t="n">
        <x:v>310000</x:v>
      </x:c>
      <x:c r="D15" s="19" t="n">
        <x:v>261000</x:v>
      </x:c>
      <x:c r="E15" s="19" t="n">
        <x:f>C15-D15</x:f>
        <x:v>49000</x:v>
      </x:c>
      <x:c r="F15" s="19" t="n">
        <x:f>F14+E15</x:f>
        <x:v>-261000</x:v>
      </x:c>
      <x:c r="G15" s="20" t="n">
        <x:v>16</x:v>
      </x:c>
      <x:c r="H15" s="20" t="n">
        <x:v>39</x:v>
      </x:c>
      <x:c r="I15" s="19" t="n">
        <x:v>-60000</x:v>
      </x:c>
      <x:c r="J15" s="19" t="n">
        <x:v>109000</x:v>
      </x:c>
      <x:c r="K15" s="20" t="n">
        <x:v>12</x:v>
      </x:c>
    </x:row>
    <x:row r="16" ht="23" customHeight="1">
      <x:c r="A16" s="2" t="str">
        <x:v>2026-10-02_Night</x:v>
      </x:c>
      <x:c r="B16" s="2" t="str">
        <x:v>上昇</x:v>
      </x:c>
      <x:c r="C16" s="19" t="n">
        <x:v>359000</x:v>
      </x:c>
      <x:c r="D16" s="19" t="n">
        <x:v>158000</x:v>
      </x:c>
      <x:c r="E16" s="19" t="n">
        <x:f>C16-D16</x:f>
        <x:v>201000</x:v>
      </x:c>
      <x:c r="F16" s="19" t="n">
        <x:f>F15+E16</x:f>
        <x:v>-60000</x:v>
      </x:c>
      <x:c r="G16" s="20" t="n">
        <x:v>22</x:v>
      </x:c>
      <x:c r="H16" s="20" t="n">
        <x:v>63</x:v>
      </x:c>
      <x:c r="I16" s="19" t="n">
        <x:v>-60000</x:v>
      </x:c>
      <x:c r="J16" s="19" t="n">
        <x:v>261000</x:v>
      </x:c>
      <x:c r="K16" s="20" t="n">
        <x:v>15</x:v>
      </x:c>
    </x:row>
    <x:row r="17" ht="23" customHeight="1">
      <x:c r="A17" s="2" t="str">
        <x:v>2026-10-05_Night</x:v>
      </x:c>
      <x:c r="B17" s="2" t="str">
        <x:v>下落</x:v>
      </x:c>
      <x:c r="C17" s="19" t="n">
        <x:v>188000</x:v>
      </x:c>
      <x:c r="D17" s="19" t="n">
        <x:v>114000</x:v>
      </x:c>
      <x:c r="E17" s="19" t="n">
        <x:f>C17-D17</x:f>
        <x:v>74000</x:v>
      </x:c>
      <x:c r="F17" s="19" t="n">
        <x:f>F16+E17</x:f>
        <x:v>14000</x:v>
      </x:c>
      <x:c r="G17" s="20" t="n">
        <x:v>10</x:v>
      </x:c>
      <x:c r="H17" s="20" t="n">
        <x:v>29</x:v>
      </x:c>
      <x:c r="I17" s="19" t="n">
        <x:v>40000</x:v>
      </x:c>
      <x:c r="J17" s="19" t="n">
        <x:v>34000</x:v>
      </x:c>
      <x:c r="K17" s="20" t="n">
        <x:v>7</x:v>
      </x:c>
    </x:row>
    <x:row r="18" ht="23" customHeight="1">
      <x:c r="A18" s="2" t="str">
        <x:v>2026-10-06_Night</x:v>
      </x:c>
      <x:c r="B18" s="2" t="str">
        <x:v>下落</x:v>
      </x:c>
      <x:c r="C18" s="19" t="n">
        <x:v>33000</x:v>
      </x:c>
      <x:c r="D18" s="19" t="n">
        <x:v>138000</x:v>
      </x:c>
      <x:c r="E18" s="19" t="n">
        <x:f>C18-D18</x:f>
        <x:v>-105000</x:v>
      </x:c>
      <x:c r="F18" s="19" t="n">
        <x:f>F17+E18</x:f>
        <x:v>-91000</x:v>
      </x:c>
      <x:c r="G18" s="20" t="n">
        <x:v>6</x:v>
      </x:c>
      <x:c r="H18" s="20" t="n">
        <x:v>18</x:v>
      </x:c>
      <x:c r="I18" s="19" t="n">
        <x:v>-95000</x:v>
      </x:c>
      <x:c r="J18" s="19" t="n">
        <x:v>-10000</x:v>
      </x:c>
      <x:c r="K18" s="20" t="n">
        <x:v>4</x:v>
      </x:c>
    </x:row>
    <x:row r="19" ht="23" customHeight="1">
      <x:c r="A19" s="2" t="str">
        <x:v>2026-10-07_Night</x:v>
      </x:c>
      <x:c r="B19" s="2" t="str">
        <x:v>下落</x:v>
      </x:c>
      <x:c r="C19" s="19" t="n">
        <x:v>0</x:v>
      </x:c>
      <x:c r="D19" s="19" t="n">
        <x:v>72000</x:v>
      </x:c>
      <x:c r="E19" s="19" t="n">
        <x:f>C19-D19</x:f>
        <x:v>-72000</x:v>
      </x:c>
      <x:c r="F19" s="19" t="n">
        <x:f>F18+E19</x:f>
        <x:v>-163000</x:v>
      </x:c>
      <x:c r="G19" s="20" t="n">
        <x:v>3</x:v>
      </x:c>
      <x:c r="H19" s="20" t="n">
        <x:v>7</x:v>
      </x:c>
      <x:c r="I19" s="19" t="n">
        <x:v>-50000</x:v>
      </x:c>
      <x:c r="J19" s="19" t="n">
        <x:v>-22000</x:v>
      </x:c>
      <x:c r="K19" s="20" t="n">
        <x:v>2</x:v>
      </x:c>
    </x:row>
    <x:row r="20" ht="23" customHeight="1">
      <x:c r="A20" s="2" t="str">
        <x:v>2026-10-08_Night</x:v>
      </x:c>
      <x:c r="B20" s="2" t="str">
        <x:v>下落</x:v>
      </x:c>
      <x:c r="C20" s="19" t="n">
        <x:v>375000</x:v>
      </x:c>
      <x:c r="D20" s="19" t="n">
        <x:v>20000</x:v>
      </x:c>
      <x:c r="E20" s="19" t="n">
        <x:f>C20-D20</x:f>
        <x:v>355000</x:v>
      </x:c>
      <x:c r="F20" s="19" t="n">
        <x:f>F19+E20</x:f>
        <x:v>192000</x:v>
      </x:c>
      <x:c r="G20" s="20" t="n">
        <x:v>18</x:v>
      </x:c>
      <x:c r="H20" s="20" t="n">
        <x:v>43</x:v>
      </x:c>
      <x:c r="I20" s="19" t="n">
        <x:v>45000</x:v>
      </x:c>
      <x:c r="J20" s="19" t="n">
        <x:v>310000</x:v>
      </x:c>
      <x:c r="K20" s="20" t="n">
        <x:v>12</x:v>
      </x:c>
    </x:row>
    <x:row r="21" ht="23" customHeight="1">
      <x:c r="A21" s="2" t="str">
        <x:v>2026-10-09_Night</x:v>
      </x:c>
      <x:c r="B21" s="2" t="str">
        <x:v>下落</x:v>
      </x:c>
      <x:c r="C21" s="19" t="n">
        <x:v>14000</x:v>
      </x:c>
      <x:c r="D21" s="19" t="n">
        <x:v>95000</x:v>
      </x:c>
      <x:c r="E21" s="19" t="n">
        <x:f>C21-D21</x:f>
        <x:v>-81000</x:v>
      </x:c>
      <x:c r="F21" s="19" t="n">
        <x:f>F20+E21</x:f>
        <x:v>111000</x:v>
      </x:c>
      <x:c r="G21" s="20" t="n">
        <x:v>3</x:v>
      </x:c>
      <x:c r="H21" s="20" t="n">
        <x:v>15</x:v>
      </x:c>
      <x:c r="I21" s="19" t="n">
        <x:v>-95000</x:v>
      </x:c>
      <x:c r="J21" s="19" t="n">
        <x:v>14000</x:v>
      </x:c>
      <x:c r="K21" s="20" t="n">
        <x:v>3</x:v>
      </x:c>
    </x:row>
    <x:row r="22" ht="23" customHeight="1">
      <x:c r="A22" s="2" t="str">
        <x:v>2026-10-12_Night</x:v>
      </x:c>
      <x:c r="B22" s="2" t="str">
        <x:v>下落</x:v>
      </x:c>
      <x:c r="C22" s="19" t="n">
        <x:v>82000</x:v>
      </x:c>
      <x:c r="D22" s="19" t="n">
        <x:v>50000</x:v>
      </x:c>
      <x:c r="E22" s="19" t="n">
        <x:f>C22-D22</x:f>
        <x:v>32000</x:v>
      </x:c>
      <x:c r="F22" s="19" t="n">
        <x:f>F21+E22</x:f>
        <x:v>143000</x:v>
      </x:c>
      <x:c r="G22" s="20" t="n">
        <x:v>2</x:v>
      </x:c>
      <x:c r="H22" s="20" t="n">
        <x:v>10</x:v>
      </x:c>
      <x:c r="I22" s="19" t="n">
        <x:v>-50000</x:v>
      </x:c>
      <x:c r="J22" s="19" t="n">
        <x:v>82000</x:v>
      </x:c>
      <x:c r="K22" s="20" t="n">
        <x:v>2</x:v>
      </x:c>
    </x:row>
    <x:row r="23" ht="23" customHeight="1">
      <x:c r="A23" s="2" t="str">
        <x:v>2026-10-13_Night</x:v>
      </x:c>
      <x:c r="B23" s="2" t="str">
        <x:v>上昇</x:v>
      </x:c>
      <x:c r="C23" s="19" t="n">
        <x:v>0</x:v>
      </x:c>
      <x:c r="D23" s="19" t="n">
        <x:v>53000</x:v>
      </x:c>
      <x:c r="E23" s="19" t="n">
        <x:f>C23-D23</x:f>
        <x:v>-53000</x:v>
      </x:c>
      <x:c r="F23" s="19" t="n">
        <x:f>F22+E23</x:f>
        <x:v>90000</x:v>
      </x:c>
      <x:c r="G23" s="20" t="n">
        <x:v>2</x:v>
      </x:c>
      <x:c r="H23" s="20" t="n">
        <x:v>6</x:v>
      </x:c>
      <x:c r="I23" s="19" t="n">
        <x:v>0</x:v>
      </x:c>
      <x:c r="J23" s="19" t="n">
        <x:v>-53000</x:v>
      </x:c>
      <x:c r="K23" s="20" t="n">
        <x:v>2</x:v>
      </x:c>
    </x:row>
    <x:row r="24" ht="23" customHeight="1">
      <x:c r="A24" s="2" t="str">
        <x:v>2026-10-14_Night</x:v>
      </x:c>
      <x:c r="B24" s="2" t="str">
        <x:v>下落</x:v>
      </x:c>
      <x:c r="C24" s="19" t="n">
        <x:v>197000</x:v>
      </x:c>
      <x:c r="D24" s="19" t="n">
        <x:v>411000</x:v>
      </x:c>
      <x:c r="E24" s="19" t="n">
        <x:f>C24-D24</x:f>
        <x:v>-214000</x:v>
      </x:c>
      <x:c r="F24" s="19" t="n">
        <x:f>F23+E24</x:f>
        <x:v>-124000</x:v>
      </x:c>
      <x:c r="G24" s="20" t="n">
        <x:v>9</x:v>
      </x:c>
      <x:c r="H24" s="20" t="n">
        <x:v>34</x:v>
      </x:c>
      <x:c r="I24" s="19" t="n">
        <x:v>-350000</x:v>
      </x:c>
      <x:c r="J24" s="19" t="n">
        <x:v>136000</x:v>
      </x:c>
      <x:c r="K24" s="20" t="n">
        <x:v>9</x:v>
      </x:c>
    </x:row>
    <x:row r="25" ht="23" customHeight="1">
      <x:c r="A25" s="2" t="str">
        <x:v>2026-10-15_Night</x:v>
      </x:c>
      <x:c r="B25" s="2" t="str">
        <x:v>上昇</x:v>
      </x:c>
      <x:c r="C25" s="19" t="n">
        <x:v>216000</x:v>
      </x:c>
      <x:c r="D25" s="19" t="n">
        <x:v>400000</x:v>
      </x:c>
      <x:c r="E25" s="19" t="n">
        <x:f>C25-D25</x:f>
        <x:v>-184000</x:v>
      </x:c>
      <x:c r="F25" s="19" t="n">
        <x:f>F24+E25</x:f>
        <x:v>-308000</x:v>
      </x:c>
      <x:c r="G25" s="20" t="n">
        <x:v>20</x:v>
      </x:c>
      <x:c r="H25" s="20" t="n">
        <x:v>54</x:v>
      </x:c>
      <x:c r="I25" s="19" t="n">
        <x:v>-280000</x:v>
      </x:c>
      <x:c r="J25" s="19" t="n">
        <x:v>96000</x:v>
      </x:c>
      <x:c r="K25" s="20" t="n">
        <x:v>14</x:v>
      </x:c>
    </x:row>
    <x:row r="26" ht="23" customHeight="1">
      <x:c r="A26" s="2" t="str">
        <x:v>2026-10-16_Night</x:v>
      </x:c>
      <x:c r="B26" s="2" t="str">
        <x:v>下落</x:v>
      </x:c>
      <x:c r="C26" s="19" t="n">
        <x:v>153000</x:v>
      </x:c>
      <x:c r="D26" s="19" t="n">
        <x:v>242000</x:v>
      </x:c>
      <x:c r="E26" s="19" t="n">
        <x:f>C26-D26</x:f>
        <x:v>-89000</x:v>
      </x:c>
      <x:c r="F26" s="19" t="n">
        <x:f>F25+E26</x:f>
        <x:v>-397000</x:v>
      </x:c>
      <x:c r="G26" s="20" t="n">
        <x:v>15</x:v>
      </x:c>
      <x:c r="H26" s="20" t="n">
        <x:v>37</x:v>
      </x:c>
      <x:c r="I26" s="19" t="n">
        <x:v>-100000</x:v>
      </x:c>
      <x:c r="J26" s="19" t="n">
        <x:v>11000</x:v>
      </x:c>
      <x:c r="K26" s="20" t="n">
        <x:v>13</x:v>
      </x:c>
    </x:row>
    <x:row r="27" ht="23" customHeight="1">
      <x:c r="A27" s="2" t="str">
        <x:v>2026-10-19_Night</x:v>
      </x:c>
      <x:c r="B27" s="2" t="str">
        <x:v>上昇</x:v>
      </x:c>
      <x:c r="C27" s="19" t="n">
        <x:v>108000</x:v>
      </x:c>
      <x:c r="D27" s="19" t="n">
        <x:v>193000</x:v>
      </x:c>
      <x:c r="E27" s="19" t="n">
        <x:f>C27-D27</x:f>
        <x:v>-85000</x:v>
      </x:c>
      <x:c r="F27" s="19" t="n">
        <x:f>F26+E27</x:f>
        <x:v>-482000</x:v>
      </x:c>
      <x:c r="G27" s="20" t="n">
        <x:v>16</x:v>
      </x:c>
      <x:c r="H27" s="20" t="n">
        <x:v>33</x:v>
      </x:c>
      <x:c r="I27" s="19" t="n">
        <x:v>-100000</x:v>
      </x:c>
      <x:c r="J27" s="19" t="n">
        <x:v>15000</x:v>
      </x:c>
      <x:c r="K27" s="20" t="n">
        <x:v>11</x:v>
      </x:c>
    </x:row>
    <x:row r="28" ht="23" customHeight="1">
      <x:c r="A28" s="2" t="str">
        <x:v>2026-10-20_Night</x:v>
      </x:c>
      <x:c r="B28" s="2" t="str">
        <x:v>上昇</x:v>
      </x:c>
      <x:c r="C28" s="19" t="n">
        <x:v>727000</x:v>
      </x:c>
      <x:c r="D28" s="19" t="n">
        <x:v>124000</x:v>
      </x:c>
      <x:c r="E28" s="19" t="n">
        <x:f>C28-D28</x:f>
        <x:v>603000</x:v>
      </x:c>
      <x:c r="F28" s="19" t="n">
        <x:f>F27+E28</x:f>
        <x:v>121000</x:v>
      </x:c>
      <x:c r="G28" s="20" t="n">
        <x:v>18</x:v>
      </x:c>
      <x:c r="H28" s="20" t="n">
        <x:v>54</x:v>
      </x:c>
      <x:c r="I28" s="19" t="n">
        <x:v>125000</x:v>
      </x:c>
      <x:c r="J28" s="19" t="n">
        <x:v>478000</x:v>
      </x:c>
      <x:c r="K28" s="20" t="n">
        <x:v>11</x:v>
      </x:c>
    </x:row>
    <x:row r="29" ht="23" customHeight="1">
      <x:c r="A29" s="2" t="str">
        <x:v>2026-10-21_Night</x:v>
      </x:c>
      <x:c r="B29" s="2" t="str">
        <x:v>上昇</x:v>
      </x:c>
      <x:c r="C29" s="19" t="n">
        <x:v>286000</x:v>
      </x:c>
      <x:c r="D29" s="19" t="n">
        <x:v>170000</x:v>
      </x:c>
      <x:c r="E29" s="19" t="n">
        <x:f>C29-D29</x:f>
        <x:v>116000</x:v>
      </x:c>
      <x:c r="F29" s="19" t="n">
        <x:f>F28+E29</x:f>
        <x:v>237000</x:v>
      </x:c>
      <x:c r="G29" s="20" t="n">
        <x:v>9</x:v>
      </x:c>
      <x:c r="H29" s="20" t="n">
        <x:v>37</x:v>
      </x:c>
      <x:c r="I29" s="19" t="n">
        <x:v>140000</x:v>
      </x:c>
      <x:c r="J29" s="19" t="n">
        <x:v>-24000</x:v>
      </x:c>
      <x:c r="K29" s="20" t="n">
        <x:v>7</x:v>
      </x:c>
    </x:row>
    <x:row r="30" ht="23" customHeight="1">
      <x:c r="A30" s="2" t="str">
        <x:v>2026-10-22_Night</x:v>
      </x:c>
      <x:c r="B30" s="2" t="str">
        <x:v>下落</x:v>
      </x:c>
      <x:c r="C30" s="19" t="n">
        <x:v>160000</x:v>
      </x:c>
      <x:c r="D30" s="19" t="n">
        <x:v>233000</x:v>
      </x:c>
      <x:c r="E30" s="19" t="n">
        <x:f>C30-D30</x:f>
        <x:v>-73000</x:v>
      </x:c>
      <x:c r="F30" s="19" t="n">
        <x:f>F29+E30</x:f>
        <x:v>164000</x:v>
      </x:c>
      <x:c r="G30" s="20" t="n">
        <x:v>10</x:v>
      </x:c>
      <x:c r="H30" s="20" t="n">
        <x:v>30</x:v>
      </x:c>
      <x:c r="I30" s="19" t="n">
        <x:v>-150000</x:v>
      </x:c>
      <x:c r="J30" s="19" t="n">
        <x:v>77000</x:v>
      </x:c>
      <x:c r="K30" s="20" t="n">
        <x:v>8</x:v>
      </x:c>
    </x:row>
    <x:row r="31" ht="23" customHeight="1">
      <x:c r="A31" s="2" t="str">
        <x:v>2026-10-23_Night</x:v>
      </x:c>
      <x:c r="B31" s="2" t="str">
        <x:v>上昇</x:v>
      </x:c>
      <x:c r="C31" s="19" t="n">
        <x:v>102000</x:v>
      </x:c>
      <x:c r="D31" s="19" t="n">
        <x:v>167000</x:v>
      </x:c>
      <x:c r="E31" s="19" t="n">
        <x:f>C31-D31</x:f>
        <x:v>-65000</x:v>
      </x:c>
      <x:c r="F31" s="19" t="n">
        <x:f>F30+E31</x:f>
        <x:v>99000</x:v>
      </x:c>
      <x:c r="G31" s="20" t="n">
        <x:v>11</x:v>
      </x:c>
      <x:c r="H31" s="20" t="n">
        <x:v>36</x:v>
      </x:c>
      <x:c r="I31" s="19" t="n">
        <x:v>-80000</x:v>
      </x:c>
      <x:c r="J31" s="19" t="n">
        <x:v>15000</x:v>
      </x:c>
      <x:c r="K31" s="20" t="n">
        <x:v>8</x:v>
      </x:c>
    </x:row>
    <x:row r="32" ht="23" customHeight="1">
      <x:c r="A32" s="24" t="str">
        <x:v>25夜累計</x:v>
      </x:c>
      <x:c r="B32" s="24"/>
      <x:c r="C32" s="25" t="n">
        <x:f>SUM(C7:C31)</x:f>
        <x:v>3726000</x:v>
      </x:c>
      <x:c r="D32" s="25" t="n">
        <x:f>SUM(D7:D31)</x:f>
        <x:v>3627000</x:v>
      </x:c>
      <x:c r="E32" s="25" t="n">
        <x:f>C32-D32</x:f>
        <x:v>99000</x:v>
      </x:c>
      <x:c r="F32" s="25" t="n">
        <x:f>F31</x:f>
        <x:v>99000</x:v>
      </x:c>
      <x:c r="G32" s="26" t="n">
        <x:f>SUM(G7:G31)</x:f>
        <x:v>230</x:v>
      </x:c>
      <x:c r="H32" s="26" t="n">
        <x:f>SUM(H7:H31)</x:f>
        <x:v>683</x:v>
      </x:c>
      <x:c r="I32" s="25" t="n">
        <x:f>SUM(I7:I31)</x:f>
        <x:v>-1455000</x:v>
      </x:c>
      <x:c r="J32" s="25" t="n">
        <x:f>SUM(J7:J31)</x:f>
        <x:v>1554000</x:v>
      </x:c>
      <x:c r="K32" s="26" t="n">
        <x:f>SUM(K7:K31)</x:f>
        <x:v>171</x:v>
      </x:c>
    </x:row>
    <x:row r="33" ht="23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</x:row>
  </x:sheetData>
  <x:conditionalFormatting sqref="C7:F32">
    <x:cfRule type="cellIs" dxfId="8" priority="1" operator="lessThan">
      <x:formula>0</x:formula>
    </x:cfRule>
  </x:conditionalFormatting>
  <x:conditionalFormatting sqref="I7:J32">
    <x:cfRule type="cellIs" dxfId="9" priority="2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e44c5ae45834778"/>
  </x:tableParts>
</x:worksheet>
</file>

<file path=xl/worksheets/sheet7.xml><?xml version="1.0" encoding="utf-8"?>
<x:worksheet xmlns:x="http://schemas.openxmlformats.org/spreadsheetml/2006/main">
  <x:sheetPr>
    <x:tabColor rgb="FF244A70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8" hidden="0" customWidth="1"/>
    <x:col min="2" max="2" width="14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23" customHeight="1">
      <x:c r="A2" s="4" t="str">
        <x:v>P05　全夜間の利益・損失・収支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</x:row>
    <x:row r="3" ht="23" customHeight="1">
      <x:c r="A3" s="6" t="str">
        <x:v>日経mini・片方向上限10枚・手数料0円・気配差込み。利益と損失は完結した親取引の収支を分類。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 ht="23" customHeight="1">
      <x:c r="A4" s="6" t="str">
        <x:v>2026/09/21～10/23の既知25夜。前段は米国開始15分前まで、後段は米国開始15分後から。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</x:row>
    <x:row r="5" ht="23" customHeight="1">
      <x:c r="A5" s="6" t="str">
        <x:v>3分・5分の短い方向一致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</x:row>
    <x:row r="6" ht="40" customHeight="1">
      <x:c r="A6" s="15" t="str">
        <x:v>セッション</x:v>
      </x:c>
      <x:c r="B6" s="16" t="str">
        <x:v>始終値方向</x:v>
      </x:c>
      <x:c r="C6" s="16" t="str">
        <x:v>利益（円）</x:v>
      </x:c>
      <x:c r="D6" s="16" t="str">
        <x:v>損失（円）</x:v>
      </x:c>
      <x:c r="E6" s="16" t="str">
        <x:v>収支（円）</x:v>
      </x:c>
      <x:c r="F6" s="16" t="str">
        <x:v>累計（円）</x:v>
      </x:c>
      <x:c r="G6" s="16" t="str">
        <x:v>新規件数</x:v>
      </x:c>
      <x:c r="H6" s="16" t="str">
        <x:v>新規合計枚数</x:v>
      </x:c>
      <x:c r="I6" s="16" t="str">
        <x:v>前段収支（円）</x:v>
      </x:c>
      <x:c r="J6" s="16" t="str">
        <x:v>後段収支（円）</x:v>
      </x:c>
      <x:c r="K6" s="17" t="str">
        <x:v>親取引数</x:v>
      </x:c>
    </x:row>
    <x:row r="7" ht="23" customHeight="1">
      <x:c r="A7" s="2" t="str">
        <x:v>2026-09-21_Night</x:v>
      </x:c>
      <x:c r="B7" s="2" t="str">
        <x:v>上昇</x:v>
      </x:c>
      <x:c r="C7" s="19" t="n">
        <x:v>0</x:v>
      </x:c>
      <x:c r="D7" s="19" t="n">
        <x:v>45000</x:v>
      </x:c>
      <x:c r="E7" s="19" t="n">
        <x:f>C7-D7</x:f>
        <x:v>-45000</x:v>
      </x:c>
      <x:c r="F7" s="19" t="n">
        <x:f>E7</x:f>
        <x:v>-45000</x:v>
      </x:c>
      <x:c r="G7" s="20" t="n">
        <x:v>1</x:v>
      </x:c>
      <x:c r="H7" s="20" t="n">
        <x:v>5</x:v>
      </x:c>
      <x:c r="I7" s="19" t="n">
        <x:v>0</x:v>
      </x:c>
      <x:c r="J7" s="19" t="n">
        <x:v>-45000</x:v>
      </x:c>
      <x:c r="K7" s="20" t="n">
        <x:v>1</x:v>
      </x:c>
    </x:row>
    <x:row r="8" ht="23" customHeight="1">
      <x:c r="A8" s="2" t="str">
        <x:v>2026-09-22_Night</x:v>
      </x:c>
      <x:c r="B8" s="2" t="str">
        <x:v>上昇</x:v>
      </x:c>
      <x:c r="C8" s="19" t="n">
        <x:v>204000</x:v>
      </x:c>
      <x:c r="D8" s="19" t="n">
        <x:v>45000</x:v>
      </x:c>
      <x:c r="E8" s="19" t="n">
        <x:f>C8-D8</x:f>
        <x:v>159000</x:v>
      </x:c>
      <x:c r="F8" s="19" t="n">
        <x:f>F7+E8</x:f>
        <x:v>114000</x:v>
      </x:c>
      <x:c r="G8" s="20" t="n">
        <x:v>4</x:v>
      </x:c>
      <x:c r="H8" s="20" t="n">
        <x:v>20</x:v>
      </x:c>
      <x:c r="I8" s="19" t="n">
        <x:v>135000</x:v>
      </x:c>
      <x:c r="J8" s="19" t="n">
        <x:v>24000</x:v>
      </x:c>
      <x:c r="K8" s="20" t="n">
        <x:v>3</x:v>
      </x:c>
    </x:row>
    <x:row r="9" ht="23" customHeight="1">
      <x:c r="A9" s="2" t="str">
        <x:v>2026-09-23_Night</x:v>
      </x:c>
      <x:c r="B9" s="2" t="str">
        <x:v>下落</x:v>
      </x:c>
      <x:c r="C9" s="19" t="n">
        <x:v>4000</x:v>
      </x:c>
      <x:c r="D9" s="19" t="n">
        <x:v>40000</x:v>
      </x:c>
      <x:c r="E9" s="19" t="n">
        <x:f>C9-D9</x:f>
        <x:v>-36000</x:v>
      </x:c>
      <x:c r="F9" s="19" t="n">
        <x:f>F8+E9</x:f>
        <x:v>78000</x:v>
      </x:c>
      <x:c r="G9" s="20" t="n">
        <x:v>3</x:v>
      </x:c>
      <x:c r="H9" s="20" t="n">
        <x:v>7</x:v>
      </x:c>
      <x:c r="I9" s="19" t="n">
        <x:v>0</x:v>
      </x:c>
      <x:c r="J9" s="19" t="n">
        <x:v>-36000</x:v>
      </x:c>
      <x:c r="K9" s="20" t="n">
        <x:v>2</x:v>
      </x:c>
    </x:row>
    <x:row r="10" ht="23" customHeight="1">
      <x:c r="A10" s="2" t="str">
        <x:v>2026-09-24_Night</x:v>
      </x:c>
      <x:c r="B10" s="2" t="str">
        <x:v>下落</x:v>
      </x:c>
      <x:c r="C10" s="19" t="n">
        <x:v>130000</x:v>
      </x:c>
      <x:c r="D10" s="19" t="n">
        <x:v>100000</x:v>
      </x:c>
      <x:c r="E10" s="19" t="n">
        <x:f>C10-D10</x:f>
        <x:v>30000</x:v>
      </x:c>
      <x:c r="F10" s="19" t="n">
        <x:f>F9+E10</x:f>
        <x:v>108000</x:v>
      </x:c>
      <x:c r="G10" s="20" t="n">
        <x:v>8</x:v>
      </x:c>
      <x:c r="H10" s="20" t="n">
        <x:v>32</x:v>
      </x:c>
      <x:c r="I10" s="19" t="n">
        <x:v>10000</x:v>
      </x:c>
      <x:c r="J10" s="19" t="n">
        <x:v>20000</x:v>
      </x:c>
      <x:c r="K10" s="20" t="n">
        <x:v>6</x:v>
      </x:c>
    </x:row>
    <x:row r="11" ht="23" customHeight="1">
      <x:c r="A11" s="2" t="str">
        <x:v>2026-09-25_Night</x:v>
      </x:c>
      <x:c r="B11" s="2" t="str">
        <x:v>上昇</x:v>
      </x:c>
      <x:c r="C11" s="19" t="n">
        <x:v>57000</x:v>
      </x:c>
      <x:c r="D11" s="19" t="n">
        <x:v>311000</x:v>
      </x:c>
      <x:c r="E11" s="19" t="n">
        <x:f>C11-D11</x:f>
        <x:v>-254000</x:v>
      </x:c>
      <x:c r="F11" s="19" t="n">
        <x:f>F10+E11</x:f>
        <x:v>-146000</x:v>
      </x:c>
      <x:c r="G11" s="20" t="n">
        <x:v>9</x:v>
      </x:c>
      <x:c r="H11" s="20" t="n">
        <x:v>41</x:v>
      </x:c>
      <x:c r="I11" s="19" t="n">
        <x:v>-255000</x:v>
      </x:c>
      <x:c r="J11" s="19" t="n">
        <x:v>1000</x:v>
      </x:c>
      <x:c r="K11" s="20" t="n">
        <x:v>9</x:v>
      </x:c>
    </x:row>
    <x:row r="12" ht="23" customHeight="1">
      <x:c r="A12" s="2" t="str">
        <x:v>2026-09-28_Night</x:v>
      </x:c>
      <x:c r="B12" s="2" t="str">
        <x:v>下落</x:v>
      </x:c>
      <x:c r="C12" s="19" t="n">
        <x:v>71000</x:v>
      </x:c>
      <x:c r="D12" s="19" t="n">
        <x:v>313000</x:v>
      </x:c>
      <x:c r="E12" s="19" t="n">
        <x:f>C12-D12</x:f>
        <x:v>-242000</x:v>
      </x:c>
      <x:c r="F12" s="19" t="n">
        <x:f>F11+E12</x:f>
        <x:v>-388000</x:v>
      </x:c>
      <x:c r="G12" s="20" t="n">
        <x:v>15</x:v>
      </x:c>
      <x:c r="H12" s="20" t="n">
        <x:v>57</x:v>
      </x:c>
      <x:c r="I12" s="19" t="n">
        <x:v>-195000</x:v>
      </x:c>
      <x:c r="J12" s="19" t="n">
        <x:v>-47000</x:v>
      </x:c>
      <x:c r="K12" s="20" t="n">
        <x:v>13</x:v>
      </x:c>
    </x:row>
    <x:row r="13" ht="23" customHeight="1">
      <x:c r="A13" s="2" t="str">
        <x:v>2026-09-29_Night</x:v>
      </x:c>
      <x:c r="B13" s="2" t="str">
        <x:v>上昇</x:v>
      </x:c>
      <x:c r="C13" s="19" t="n">
        <x:v>87000</x:v>
      </x:c>
      <x:c r="D13" s="19" t="n">
        <x:v>172000</x:v>
      </x:c>
      <x:c r="E13" s="19" t="n">
        <x:f>C13-D13</x:f>
        <x:v>-85000</x:v>
      </x:c>
      <x:c r="F13" s="19" t="n">
        <x:f>F12+E13</x:f>
        <x:v>-473000</x:v>
      </x:c>
      <x:c r="G13" s="20" t="n">
        <x:v>9</x:v>
      </x:c>
      <x:c r="H13" s="20" t="n">
        <x:v>29</x:v>
      </x:c>
      <x:c r="I13" s="19" t="n">
        <x:v>-150000</x:v>
      </x:c>
      <x:c r="J13" s="19" t="n">
        <x:v>65000</x:v>
      </x:c>
      <x:c r="K13" s="20" t="n">
        <x:v>7</x:v>
      </x:c>
    </x:row>
    <x:row r="14" ht="23" customHeight="1">
      <x:c r="A14" s="2" t="str">
        <x:v>2026-09-30_Night</x:v>
      </x:c>
      <x:c r="B14" s="2" t="str">
        <x:v>下落</x:v>
      </x:c>
      <x:c r="C14" s="19" t="n">
        <x:v>268000</x:v>
      </x:c>
      <x:c r="D14" s="19" t="n">
        <x:v>390000</x:v>
      </x:c>
      <x:c r="E14" s="19" t="n">
        <x:f>C14-D14</x:f>
        <x:v>-122000</x:v>
      </x:c>
      <x:c r="F14" s="19" t="n">
        <x:f>F13+E14</x:f>
        <x:v>-595000</x:v>
      </x:c>
      <x:c r="G14" s="20" t="n">
        <x:v>17</x:v>
      </x:c>
      <x:c r="H14" s="20" t="n">
        <x:v>77</x:v>
      </x:c>
      <x:c r="I14" s="19" t="n">
        <x:v>-165000</x:v>
      </x:c>
      <x:c r="J14" s="19" t="n">
        <x:v>43000</x:v>
      </x:c>
      <x:c r="K14" s="20" t="n">
        <x:v>12</x:v>
      </x:c>
    </x:row>
    <x:row r="15" ht="23" customHeight="1">
      <x:c r="A15" s="2" t="str">
        <x:v>2026-10-01_Night</x:v>
      </x:c>
      <x:c r="B15" s="2" t="str">
        <x:v>上昇</x:v>
      </x:c>
      <x:c r="C15" s="19" t="n">
        <x:v>360000</x:v>
      </x:c>
      <x:c r="D15" s="19" t="n">
        <x:v>236000</x:v>
      </x:c>
      <x:c r="E15" s="19" t="n">
        <x:f>C15-D15</x:f>
        <x:v>124000</x:v>
      </x:c>
      <x:c r="F15" s="19" t="n">
        <x:f>F14+E15</x:f>
        <x:v>-471000</x:v>
      </x:c>
      <x:c r="G15" s="20" t="n">
        <x:v>19</x:v>
      </x:c>
      <x:c r="H15" s="20" t="n">
        <x:v>54</x:v>
      </x:c>
      <x:c r="I15" s="19" t="n">
        <x:v>15000</x:v>
      </x:c>
      <x:c r="J15" s="19" t="n">
        <x:v>109000</x:v>
      </x:c>
      <x:c r="K15" s="20" t="n">
        <x:v>14</x:v>
      </x:c>
    </x:row>
    <x:row r="16" ht="23" customHeight="1">
      <x:c r="A16" s="2" t="str">
        <x:v>2026-10-02_Night</x:v>
      </x:c>
      <x:c r="B16" s="2" t="str">
        <x:v>上昇</x:v>
      </x:c>
      <x:c r="C16" s="19" t="n">
        <x:v>479000</x:v>
      </x:c>
      <x:c r="D16" s="19" t="n">
        <x:v>413000</x:v>
      </x:c>
      <x:c r="E16" s="19" t="n">
        <x:f>C16-D16</x:f>
        <x:v>66000</x:v>
      </x:c>
      <x:c r="F16" s="19" t="n">
        <x:f>F15+E16</x:f>
        <x:v>-405000</x:v>
      </x:c>
      <x:c r="G16" s="20" t="n">
        <x:v>29</x:v>
      </x:c>
      <x:c r="H16" s="20" t="n">
        <x:v>98</x:v>
      </x:c>
      <x:c r="I16" s="19" t="n">
        <x:v>-195000</x:v>
      </x:c>
      <x:c r="J16" s="19" t="n">
        <x:v>261000</x:v>
      </x:c>
      <x:c r="K16" s="20" t="n">
        <x:v>21</x:v>
      </x:c>
    </x:row>
    <x:row r="17" ht="23" customHeight="1">
      <x:c r="A17" s="2" t="str">
        <x:v>2026-10-05_Night</x:v>
      </x:c>
      <x:c r="B17" s="2" t="str">
        <x:v>下落</x:v>
      </x:c>
      <x:c r="C17" s="19" t="n">
        <x:v>168000</x:v>
      </x:c>
      <x:c r="D17" s="19" t="n">
        <x:v>424000</x:v>
      </x:c>
      <x:c r="E17" s="19" t="n">
        <x:f>C17-D17</x:f>
        <x:v>-256000</x:v>
      </x:c>
      <x:c r="F17" s="19" t="n">
        <x:f>F16+E17</x:f>
        <x:v>-661000</x:v>
      </x:c>
      <x:c r="G17" s="20" t="n">
        <x:v>16</x:v>
      </x:c>
      <x:c r="H17" s="20" t="n">
        <x:v>59</x:v>
      </x:c>
      <x:c r="I17" s="19" t="n">
        <x:v>-290000</x:v>
      </x:c>
      <x:c r="J17" s="19" t="n">
        <x:v>34000</x:v>
      </x:c>
      <x:c r="K17" s="20" t="n">
        <x:v>12</x:v>
      </x:c>
    </x:row>
    <x:row r="18" ht="23" customHeight="1">
      <x:c r="A18" s="2" t="str">
        <x:v>2026-10-06_Night</x:v>
      </x:c>
      <x:c r="B18" s="2" t="str">
        <x:v>下落</x:v>
      </x:c>
      <x:c r="C18" s="19" t="n">
        <x:v>33000</x:v>
      </x:c>
      <x:c r="D18" s="19" t="n">
        <x:v>218000</x:v>
      </x:c>
      <x:c r="E18" s="19" t="n">
        <x:f>C18-D18</x:f>
        <x:v>-185000</x:v>
      </x:c>
      <x:c r="F18" s="19" t="n">
        <x:f>F17+E18</x:f>
        <x:v>-846000</x:v>
      </x:c>
      <x:c r="G18" s="20" t="n">
        <x:v>9</x:v>
      </x:c>
      <x:c r="H18" s="20" t="n">
        <x:v>33</x:v>
      </x:c>
      <x:c r="I18" s="19" t="n">
        <x:v>-175000</x:v>
      </x:c>
      <x:c r="J18" s="19" t="n">
        <x:v>-10000</x:v>
      </x:c>
      <x:c r="K18" s="20" t="n">
        <x:v>6</x:v>
      </x:c>
    </x:row>
    <x:row r="19" ht="23" customHeight="1">
      <x:c r="A19" s="2" t="str">
        <x:v>2026-10-07_Night</x:v>
      </x:c>
      <x:c r="B19" s="2" t="str">
        <x:v>下落</x:v>
      </x:c>
      <x:c r="C19" s="19" t="n">
        <x:v>35000</x:v>
      </x:c>
      <x:c r="D19" s="19" t="n">
        <x:v>217000</x:v>
      </x:c>
      <x:c r="E19" s="19" t="n">
        <x:f>C19-D19</x:f>
        <x:v>-182000</x:v>
      </x:c>
      <x:c r="F19" s="19" t="n">
        <x:f>F18+E19</x:f>
        <x:v>-1028000</x:v>
      </x:c>
      <x:c r="G19" s="20" t="n">
        <x:v>8</x:v>
      </x:c>
      <x:c r="H19" s="20" t="n">
        <x:v>32</x:v>
      </x:c>
      <x:c r="I19" s="19" t="n">
        <x:v>-160000</x:v>
      </x:c>
      <x:c r="J19" s="19" t="n">
        <x:v>-22000</x:v>
      </x:c>
      <x:c r="K19" s="20" t="n">
        <x:v>7</x:v>
      </x:c>
    </x:row>
    <x:row r="20" ht="23" customHeight="1">
      <x:c r="A20" s="2" t="str">
        <x:v>2026-10-08_Night</x:v>
      </x:c>
      <x:c r="B20" s="2" t="str">
        <x:v>下落</x:v>
      </x:c>
      <x:c r="C20" s="19" t="n">
        <x:v>375000</x:v>
      </x:c>
      <x:c r="D20" s="19" t="n">
        <x:v>85000</x:v>
      </x:c>
      <x:c r="E20" s="19" t="n">
        <x:f>C20-D20</x:f>
        <x:v>290000</x:v>
      </x:c>
      <x:c r="F20" s="19" t="n">
        <x:f>F19+E20</x:f>
        <x:v>-738000</x:v>
      </x:c>
      <x:c r="G20" s="20" t="n">
        <x:v>21</x:v>
      </x:c>
      <x:c r="H20" s="20" t="n">
        <x:v>58</x:v>
      </x:c>
      <x:c r="I20" s="19" t="n">
        <x:v>-20000</x:v>
      </x:c>
      <x:c r="J20" s="19" t="n">
        <x:v>310000</x:v>
      </x:c>
      <x:c r="K20" s="20" t="n">
        <x:v>14</x:v>
      </x:c>
    </x:row>
    <x:row r="21" ht="23" customHeight="1">
      <x:c r="A21" s="2" t="str">
        <x:v>2026-10-09_Night</x:v>
      </x:c>
      <x:c r="B21" s="2" t="str">
        <x:v>下落</x:v>
      </x:c>
      <x:c r="C21" s="19" t="n">
        <x:v>14000</x:v>
      </x:c>
      <x:c r="D21" s="19" t="n">
        <x:v>95000</x:v>
      </x:c>
      <x:c r="E21" s="19" t="n">
        <x:f>C21-D21</x:f>
        <x:v>-81000</x:v>
      </x:c>
      <x:c r="F21" s="19" t="n">
        <x:f>F20+E21</x:f>
        <x:v>-819000</x:v>
      </x:c>
      <x:c r="G21" s="20" t="n">
        <x:v>3</x:v>
      </x:c>
      <x:c r="H21" s="20" t="n">
        <x:v>15</x:v>
      </x:c>
      <x:c r="I21" s="19" t="n">
        <x:v>-95000</x:v>
      </x:c>
      <x:c r="J21" s="19" t="n">
        <x:v>14000</x:v>
      </x:c>
      <x:c r="K21" s="20" t="n">
        <x:v>3</x:v>
      </x:c>
    </x:row>
    <x:row r="22" ht="23" customHeight="1">
      <x:c r="A22" s="2" t="str">
        <x:v>2026-10-12_Night</x:v>
      </x:c>
      <x:c r="B22" s="2" t="str">
        <x:v>下落</x:v>
      </x:c>
      <x:c r="C22" s="19" t="n">
        <x:v>127000</x:v>
      </x:c>
      <x:c r="D22" s="19" t="n">
        <x:v>100000</x:v>
      </x:c>
      <x:c r="E22" s="19" t="n">
        <x:f>C22-D22</x:f>
        <x:v>27000</x:v>
      </x:c>
      <x:c r="F22" s="19" t="n">
        <x:f>F21+E22</x:f>
        <x:v>-792000</x:v>
      </x:c>
      <x:c r="G22" s="20" t="n">
        <x:v>4</x:v>
      </x:c>
      <x:c r="H22" s="20" t="n">
        <x:v>20</x:v>
      </x:c>
      <x:c r="I22" s="19" t="n">
        <x:v>-55000</x:v>
      </x:c>
      <x:c r="J22" s="19" t="n">
        <x:v>82000</x:v>
      </x:c>
      <x:c r="K22" s="20" t="n">
        <x:v>4</x:v>
      </x:c>
    </x:row>
    <x:row r="23" ht="23" customHeight="1">
      <x:c r="A23" s="2" t="str">
        <x:v>2026-10-13_Night</x:v>
      </x:c>
      <x:c r="B23" s="2" t="str">
        <x:v>上昇</x:v>
      </x:c>
      <x:c r="C23" s="19" t="n">
        <x:v>35000</x:v>
      </x:c>
      <x:c r="D23" s="19" t="n">
        <x:v>68000</x:v>
      </x:c>
      <x:c r="E23" s="19" t="n">
        <x:f>C23-D23</x:f>
        <x:v>-33000</x:v>
      </x:c>
      <x:c r="F23" s="19" t="n">
        <x:f>F22+E23</x:f>
        <x:v>-825000</x:v>
      </x:c>
      <x:c r="G23" s="20" t="n">
        <x:v>5</x:v>
      </x:c>
      <x:c r="H23" s="20" t="n">
        <x:v>21</x:v>
      </x:c>
      <x:c r="I23" s="19" t="n">
        <x:v>20000</x:v>
      </x:c>
      <x:c r="J23" s="19" t="n">
        <x:v>-53000</x:v>
      </x:c>
      <x:c r="K23" s="20" t="n">
        <x:v>4</x:v>
      </x:c>
    </x:row>
    <x:row r="24" ht="23" customHeight="1">
      <x:c r="A24" s="2" t="str">
        <x:v>2026-10-14_Night</x:v>
      </x:c>
      <x:c r="B24" s="2" t="str">
        <x:v>下落</x:v>
      </x:c>
      <x:c r="C24" s="19" t="n">
        <x:v>212000</x:v>
      </x:c>
      <x:c r="D24" s="19" t="n">
        <x:v>386000</x:v>
      </x:c>
      <x:c r="E24" s="19" t="n">
        <x:f>C24-D24</x:f>
        <x:v>-174000</x:v>
      </x:c>
      <x:c r="F24" s="19" t="n">
        <x:f>F23+E24</x:f>
        <x:v>-999000</x:v>
      </x:c>
      <x:c r="G24" s="20" t="n">
        <x:v>12</x:v>
      </x:c>
      <x:c r="H24" s="20" t="n">
        <x:v>49</x:v>
      </x:c>
      <x:c r="I24" s="19" t="n">
        <x:v>-310000</x:v>
      </x:c>
      <x:c r="J24" s="19" t="n">
        <x:v>136000</x:v>
      </x:c>
      <x:c r="K24" s="20" t="n">
        <x:v>9</x:v>
      </x:c>
    </x:row>
    <x:row r="25" ht="23" customHeight="1">
      <x:c r="A25" s="2" t="str">
        <x:v>2026-10-15_Night</x:v>
      </x:c>
      <x:c r="B25" s="2" t="str">
        <x:v>上昇</x:v>
      </x:c>
      <x:c r="C25" s="19" t="n">
        <x:v>216000</x:v>
      </x:c>
      <x:c r="D25" s="19" t="n">
        <x:v>585000</x:v>
      </x:c>
      <x:c r="E25" s="19" t="n">
        <x:f>C25-D25</x:f>
        <x:v>-369000</x:v>
      </x:c>
      <x:c r="F25" s="19" t="n">
        <x:f>F24+E25</x:f>
        <x:v>-1368000</x:v>
      </x:c>
      <x:c r="G25" s="20" t="n">
        <x:v>25</x:v>
      </x:c>
      <x:c r="H25" s="20" t="n">
        <x:v>79</x:v>
      </x:c>
      <x:c r="I25" s="19" t="n">
        <x:v>-465000</x:v>
      </x:c>
      <x:c r="J25" s="19" t="n">
        <x:v>96000</x:v>
      </x:c>
      <x:c r="K25" s="20" t="n">
        <x:v>17</x:v>
      </x:c>
    </x:row>
    <x:row r="26" ht="23" customHeight="1">
      <x:c r="A26" s="2" t="str">
        <x:v>2026-10-16_Night</x:v>
      </x:c>
      <x:c r="B26" s="2" t="str">
        <x:v>下落</x:v>
      </x:c>
      <x:c r="C26" s="19" t="n">
        <x:v>168000</x:v>
      </x:c>
      <x:c r="D26" s="19" t="n">
        <x:v>287000</x:v>
      </x:c>
      <x:c r="E26" s="19" t="n">
        <x:f>C26-D26</x:f>
        <x:v>-119000</x:v>
      </x:c>
      <x:c r="F26" s="19" t="n">
        <x:f>F25+E26</x:f>
        <x:v>-1487000</x:v>
      </x:c>
      <x:c r="G26" s="20" t="n">
        <x:v>19</x:v>
      </x:c>
      <x:c r="H26" s="20" t="n">
        <x:v>57</x:v>
      </x:c>
      <x:c r="I26" s="19" t="n">
        <x:v>-130000</x:v>
      </x:c>
      <x:c r="J26" s="19" t="n">
        <x:v>11000</x:v>
      </x:c>
      <x:c r="K26" s="20" t="n">
        <x:v>16</x:v>
      </x:c>
    </x:row>
    <x:row r="27" ht="23" customHeight="1">
      <x:c r="A27" s="2" t="str">
        <x:v>2026-10-19_Night</x:v>
      </x:c>
      <x:c r="B27" s="2" t="str">
        <x:v>上昇</x:v>
      </x:c>
      <x:c r="C27" s="19" t="n">
        <x:v>133000</x:v>
      </x:c>
      <x:c r="D27" s="19" t="n">
        <x:v>303000</x:v>
      </x:c>
      <x:c r="E27" s="19" t="n">
        <x:f>C27-D27</x:f>
        <x:v>-170000</x:v>
      </x:c>
      <x:c r="F27" s="19" t="n">
        <x:f>F26+E27</x:f>
        <x:v>-1657000</x:v>
      </x:c>
      <x:c r="G27" s="20" t="n">
        <x:v>21</x:v>
      </x:c>
      <x:c r="H27" s="20" t="n">
        <x:v>58</x:v>
      </x:c>
      <x:c r="I27" s="19" t="n">
        <x:v>-185000</x:v>
      </x:c>
      <x:c r="J27" s="19" t="n">
        <x:v>15000</x:v>
      </x:c>
      <x:c r="K27" s="20" t="n">
        <x:v>15</x:v>
      </x:c>
    </x:row>
    <x:row r="28" ht="23" customHeight="1">
      <x:c r="A28" s="2" t="str">
        <x:v>2026-10-20_Night</x:v>
      </x:c>
      <x:c r="B28" s="2" t="str">
        <x:v>上昇</x:v>
      </x:c>
      <x:c r="C28" s="19" t="n">
        <x:v>1042000</x:v>
      </x:c>
      <x:c r="D28" s="19" t="n">
        <x:v>254000</x:v>
      </x:c>
      <x:c r="E28" s="19" t="n">
        <x:f>C28-D28</x:f>
        <x:v>788000</x:v>
      </x:c>
      <x:c r="F28" s="19" t="n">
        <x:f>F27+E28</x:f>
        <x:v>-869000</x:v>
      </x:c>
      <x:c r="G28" s="20" t="n">
        <x:v>24</x:v>
      </x:c>
      <x:c r="H28" s="20" t="n">
        <x:v>84</x:v>
      </x:c>
      <x:c r="I28" s="19" t="n">
        <x:v>310000</x:v>
      </x:c>
      <x:c r="J28" s="19" t="n">
        <x:v>478000</x:v>
      </x:c>
      <x:c r="K28" s="20" t="n">
        <x:v>16</x:v>
      </x:c>
    </x:row>
    <x:row r="29" ht="23" customHeight="1">
      <x:c r="A29" s="2" t="str">
        <x:v>2026-10-21_Night</x:v>
      </x:c>
      <x:c r="B29" s="2" t="str">
        <x:v>上昇</x:v>
      </x:c>
      <x:c r="C29" s="19" t="n">
        <x:v>526000</x:v>
      </x:c>
      <x:c r="D29" s="19" t="n">
        <x:v>135000</x:v>
      </x:c>
      <x:c r="E29" s="19" t="n">
        <x:f>C29-D29</x:f>
        <x:v>391000</x:v>
      </x:c>
      <x:c r="F29" s="19" t="n">
        <x:f>F28+E29</x:f>
        <x:v>-478000</x:v>
      </x:c>
      <x:c r="G29" s="20" t="n">
        <x:v>14</x:v>
      </x:c>
      <x:c r="H29" s="20" t="n">
        <x:v>62</x:v>
      </x:c>
      <x:c r="I29" s="19" t="n">
        <x:v>415000</x:v>
      </x:c>
      <x:c r="J29" s="19" t="n">
        <x:v>-24000</x:v>
      </x:c>
      <x:c r="K29" s="20" t="n">
        <x:v>10</x:v>
      </x:c>
    </x:row>
    <x:row r="30" ht="23" customHeight="1">
      <x:c r="A30" s="2" t="str">
        <x:v>2026-10-22_Night</x:v>
      </x:c>
      <x:c r="B30" s="2" t="str">
        <x:v>下落</x:v>
      </x:c>
      <x:c r="C30" s="19" t="n">
        <x:v>175000</x:v>
      </x:c>
      <x:c r="D30" s="19" t="n">
        <x:v>413000</x:v>
      </x:c>
      <x:c r="E30" s="19" t="n">
        <x:f>C30-D30</x:f>
        <x:v>-238000</x:v>
      </x:c>
      <x:c r="F30" s="19" t="n">
        <x:f>F29+E30</x:f>
        <x:v>-716000</x:v>
      </x:c>
      <x:c r="G30" s="20" t="n">
        <x:v>15</x:v>
      </x:c>
      <x:c r="H30" s="20" t="n">
        <x:v>55</x:v>
      </x:c>
      <x:c r="I30" s="19" t="n">
        <x:v>-315000</x:v>
      </x:c>
      <x:c r="J30" s="19" t="n">
        <x:v>77000</x:v>
      </x:c>
      <x:c r="K30" s="20" t="n">
        <x:v>13</x:v>
      </x:c>
    </x:row>
    <x:row r="31" ht="23" customHeight="1">
      <x:c r="A31" s="2" t="str">
        <x:v>2026-10-23_Night</x:v>
      </x:c>
      <x:c r="B31" s="2" t="str">
        <x:v>上昇</x:v>
      </x:c>
      <x:c r="C31" s="19" t="n">
        <x:v>142000</x:v>
      </x:c>
      <x:c r="D31" s="19" t="n">
        <x:v>232000</x:v>
      </x:c>
      <x:c r="E31" s="19" t="n">
        <x:f>C31-D31</x:f>
        <x:v>-90000</x:v>
      </x:c>
      <x:c r="F31" s="19" t="n">
        <x:f>F30+E31</x:f>
        <x:v>-806000</x:v>
      </x:c>
      <x:c r="G31" s="20" t="n">
        <x:v>16</x:v>
      </x:c>
      <x:c r="H31" s="20" t="n">
        <x:v>61</x:v>
      </x:c>
      <x:c r="I31" s="19" t="n">
        <x:v>-105000</x:v>
      </x:c>
      <x:c r="J31" s="19" t="n">
        <x:v>15000</x:v>
      </x:c>
      <x:c r="K31" s="20" t="n">
        <x:v>11</x:v>
      </x:c>
    </x:row>
    <x:row r="32" ht="23" customHeight="1">
      <x:c r="A32" s="24" t="str">
        <x:v>25夜累計</x:v>
      </x:c>
      <x:c r="B32" s="24"/>
      <x:c r="C32" s="25" t="n">
        <x:f>SUM(C7:C31)</x:f>
        <x:v>5061000</x:v>
      </x:c>
      <x:c r="D32" s="25" t="n">
        <x:f>SUM(D7:D31)</x:f>
        <x:v>5867000</x:v>
      </x:c>
      <x:c r="E32" s="25" t="n">
        <x:f>C32-D32</x:f>
        <x:v>-806000</x:v>
      </x:c>
      <x:c r="F32" s="25" t="n">
        <x:f>F31</x:f>
        <x:v>-806000</x:v>
      </x:c>
      <x:c r="G32" s="26" t="n">
        <x:f>SUM(G7:G31)</x:f>
        <x:v>326</x:v>
      </x:c>
      <x:c r="H32" s="26" t="n">
        <x:f>SUM(H7:H31)</x:f>
        <x:v>1163</x:v>
      </x:c>
      <x:c r="I32" s="25" t="n">
        <x:f>SUM(I7:I31)</x:f>
        <x:v>-2360000</x:v>
      </x:c>
      <x:c r="J32" s="25" t="n">
        <x:f>SUM(J7:J31)</x:f>
        <x:v>1554000</x:v>
      </x:c>
      <x:c r="K32" s="26" t="n">
        <x:f>SUM(K7:K31)</x:f>
        <x:v>245</x:v>
      </x:c>
    </x:row>
    <x:row r="33" ht="23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</x:row>
  </x:sheetData>
  <x:conditionalFormatting sqref="C7:F32">
    <x:cfRule type="cellIs" dxfId="10" priority="1" operator="lessThan">
      <x:formula>0</x:formula>
    </x:cfRule>
  </x:conditionalFormatting>
  <x:conditionalFormatting sqref="I7:J32">
    <x:cfRule type="cellIs" dxfId="11" priority="2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6ba3fa722d74098"/>
  </x:tableParts>
</x:worksheet>
</file>

<file path=xl/worksheets/sheet8.xml><?xml version="1.0" encoding="utf-8"?>
<x:worksheet xmlns:x="http://schemas.openxmlformats.org/spreadsheetml/2006/main">
  <x:sheetPr>
    <x:tabColor rgb="FF244A70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8" hidden="0" customWidth="1"/>
    <x:col min="2" max="2" width="14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23" customHeight="1">
      <x:c r="A2" s="4" t="str">
        <x:v>P06　全夜間の利益・損失・収支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</x:row>
    <x:row r="3" ht="23" customHeight="1">
      <x:c r="A3" s="6" t="str">
        <x:v>日経mini・片方向上限10枚・手数料0円・気配差込み。利益と損失は完結した親取引の収支を分類。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 ht="23" customHeight="1">
      <x:c r="A4" s="6" t="str">
        <x:v>2026/09/21～10/23の既知25夜。前段は米国開始15分前まで、後段は米国開始15分後から。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</x:row>
    <x:row r="5" ht="23" customHeight="1">
      <x:c r="A5" s="6" t="str">
        <x:v>入口の方向一致を30秒確認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</x:row>
    <x:row r="6" ht="40" customHeight="1">
      <x:c r="A6" s="15" t="str">
        <x:v>セッション</x:v>
      </x:c>
      <x:c r="B6" s="16" t="str">
        <x:v>始終値方向</x:v>
      </x:c>
      <x:c r="C6" s="16" t="str">
        <x:v>利益（円）</x:v>
      </x:c>
      <x:c r="D6" s="16" t="str">
        <x:v>損失（円）</x:v>
      </x:c>
      <x:c r="E6" s="16" t="str">
        <x:v>収支（円）</x:v>
      </x:c>
      <x:c r="F6" s="16" t="str">
        <x:v>累計（円）</x:v>
      </x:c>
      <x:c r="G6" s="16" t="str">
        <x:v>新規件数</x:v>
      </x:c>
      <x:c r="H6" s="16" t="str">
        <x:v>新規合計枚数</x:v>
      </x:c>
      <x:c r="I6" s="16" t="str">
        <x:v>前段収支（円）</x:v>
      </x:c>
      <x:c r="J6" s="16" t="str">
        <x:v>後段収支（円）</x:v>
      </x:c>
      <x:c r="K6" s="17" t="str">
        <x:v>親取引数</x:v>
      </x:c>
    </x:row>
    <x:row r="7" ht="23" customHeight="1">
      <x:c r="A7" s="2" t="str">
        <x:v>2026-09-21_Night</x:v>
      </x:c>
      <x:c r="B7" s="2" t="str">
        <x:v>上昇</x:v>
      </x:c>
      <x:c r="C7" s="19" t="n">
        <x:v>0</x:v>
      </x:c>
      <x:c r="D7" s="19" t="n">
        <x:v>45000</x:v>
      </x:c>
      <x:c r="E7" s="19" t="n">
        <x:f>C7-D7</x:f>
        <x:v>-45000</x:v>
      </x:c>
      <x:c r="F7" s="19" t="n">
        <x:f>E7</x:f>
        <x:v>-45000</x:v>
      </x:c>
      <x:c r="G7" s="20" t="n">
        <x:v>1</x:v>
      </x:c>
      <x:c r="H7" s="20" t="n">
        <x:v>5</x:v>
      </x:c>
      <x:c r="I7" s="19" t="n">
        <x:v>0</x:v>
      </x:c>
      <x:c r="J7" s="19" t="n">
        <x:v>-45000</x:v>
      </x:c>
      <x:c r="K7" s="20" t="n">
        <x:v>1</x:v>
      </x:c>
    </x:row>
    <x:row r="8" ht="23" customHeight="1">
      <x:c r="A8" s="2" t="str">
        <x:v>2026-09-22_Night</x:v>
      </x:c>
      <x:c r="B8" s="2" t="str">
        <x:v>上昇</x:v>
      </x:c>
      <x:c r="C8" s="19" t="n">
        <x:v>84000</x:v>
      </x:c>
      <x:c r="D8" s="19" t="n">
        <x:v>0</x:v>
      </x:c>
      <x:c r="E8" s="19" t="n">
        <x:f>C8-D8</x:f>
        <x:v>84000</x:v>
      </x:c>
      <x:c r="F8" s="19" t="n">
        <x:f>F7+E8</x:f>
        <x:v>39000</x:v>
      </x:c>
      <x:c r="G8" s="20" t="n">
        <x:v>2</x:v>
      </x:c>
      <x:c r="H8" s="20" t="n">
        <x:v>10</x:v>
      </x:c>
      <x:c r="I8" s="19" t="n">
        <x:v>60000</x:v>
      </x:c>
      <x:c r="J8" s="19" t="n">
        <x:v>24000</x:v>
      </x:c>
      <x:c r="K8" s="20" t="n">
        <x:v>2</x:v>
      </x:c>
    </x:row>
    <x:row r="9" ht="23" customHeight="1">
      <x:c r="A9" s="2" t="str">
        <x:v>2026-09-23_Night</x:v>
      </x:c>
      <x:c r="B9" s="2" t="str">
        <x:v>下落</x:v>
      </x:c>
      <x:c r="C9" s="19" t="n">
        <x:v>4000</x:v>
      </x:c>
      <x:c r="D9" s="19" t="n">
        <x:v>40000</x:v>
      </x:c>
      <x:c r="E9" s="19" t="n">
        <x:f>C9-D9</x:f>
        <x:v>-36000</x:v>
      </x:c>
      <x:c r="F9" s="19" t="n">
        <x:f>F8+E9</x:f>
        <x:v>3000</x:v>
      </x:c>
      <x:c r="G9" s="20" t="n">
        <x:v>3</x:v>
      </x:c>
      <x:c r="H9" s="20" t="n">
        <x:v>7</x:v>
      </x:c>
      <x:c r="I9" s="19" t="n">
        <x:v>0</x:v>
      </x:c>
      <x:c r="J9" s="19" t="n">
        <x:v>-36000</x:v>
      </x:c>
      <x:c r="K9" s="20" t="n">
        <x:v>2</x:v>
      </x:c>
    </x:row>
    <x:row r="10" ht="23" customHeight="1">
      <x:c r="A10" s="2" t="str">
        <x:v>2026-09-24_Night</x:v>
      </x:c>
      <x:c r="B10" s="2" t="str">
        <x:v>下落</x:v>
      </x:c>
      <x:c r="C10" s="19" t="n">
        <x:v>40000</x:v>
      </x:c>
      <x:c r="D10" s="19" t="n">
        <x:v>50000</x:v>
      </x:c>
      <x:c r="E10" s="19" t="n">
        <x:f>C10-D10</x:f>
        <x:v>-10000</x:v>
      </x:c>
      <x:c r="F10" s="19" t="n">
        <x:f>F9+E10</x:f>
        <x:v>-7000</x:v>
      </x:c>
      <x:c r="G10" s="20" t="n">
        <x:v>4</x:v>
      </x:c>
      <x:c r="H10" s="20" t="n">
        <x:v>12</x:v>
      </x:c>
      <x:c r="I10" s="19" t="n">
        <x:v>-30000</x:v>
      </x:c>
      <x:c r="J10" s="19" t="n">
        <x:v>20000</x:v>
      </x:c>
      <x:c r="K10" s="20" t="n">
        <x:v>3</x:v>
      </x:c>
    </x:row>
    <x:row r="11" ht="23" customHeight="1">
      <x:c r="A11" s="2" t="str">
        <x:v>2026-09-25_Night</x:v>
      </x:c>
      <x:c r="B11" s="2" t="str">
        <x:v>上昇</x:v>
      </x:c>
      <x:c r="C11" s="19" t="n">
        <x:v>62000</x:v>
      </x:c>
      <x:c r="D11" s="19" t="n">
        <x:v>16000</x:v>
      </x:c>
      <x:c r="E11" s="19" t="n">
        <x:f>C11-D11</x:f>
        <x:v>46000</x:v>
      </x:c>
      <x:c r="F11" s="19" t="n">
        <x:f>F10+E11</x:f>
        <x:v>39000</x:v>
      </x:c>
      <x:c r="G11" s="20" t="n">
        <x:v>3</x:v>
      </x:c>
      <x:c r="H11" s="20" t="n">
        <x:v>11</x:v>
      </x:c>
      <x:c r="I11" s="19" t="n">
        <x:v>45000</x:v>
      </x:c>
      <x:c r="J11" s="19" t="n">
        <x:v>1000</x:v>
      </x:c>
      <x:c r="K11" s="20" t="n">
        <x:v>3</x:v>
      </x:c>
    </x:row>
    <x:row r="12" ht="23" customHeight="1">
      <x:c r="A12" s="2" t="str">
        <x:v>2026-09-28_Night</x:v>
      </x:c>
      <x:c r="B12" s="2" t="str">
        <x:v>下落</x:v>
      </x:c>
      <x:c r="C12" s="19" t="n">
        <x:v>1000</x:v>
      </x:c>
      <x:c r="D12" s="19" t="n">
        <x:v>148000</x:v>
      </x:c>
      <x:c r="E12" s="19" t="n">
        <x:f>C12-D12</x:f>
        <x:v>-147000</x:v>
      </x:c>
      <x:c r="F12" s="19" t="n">
        <x:f>F11+E12</x:f>
        <x:v>-108000</x:v>
      </x:c>
      <x:c r="G12" s="20" t="n">
        <x:v>7</x:v>
      </x:c>
      <x:c r="H12" s="20" t="n">
        <x:v>17</x:v>
      </x:c>
      <x:c r="I12" s="19" t="n">
        <x:v>-100000</x:v>
      </x:c>
      <x:c r="J12" s="19" t="n">
        <x:v>-47000</x:v>
      </x:c>
      <x:c r="K12" s="20" t="n">
        <x:v>6</x:v>
      </x:c>
    </x:row>
    <x:row r="13" ht="23" customHeight="1">
      <x:c r="A13" s="2" t="str">
        <x:v>2026-09-29_Night</x:v>
      </x:c>
      <x:c r="B13" s="2" t="str">
        <x:v>上昇</x:v>
      </x:c>
      <x:c r="C13" s="19" t="n">
        <x:v>87000</x:v>
      </x:c>
      <x:c r="D13" s="19" t="n">
        <x:v>72000</x:v>
      </x:c>
      <x:c r="E13" s="19" t="n">
        <x:f>C13-D13</x:f>
        <x:v>15000</x:v>
      </x:c>
      <x:c r="F13" s="19" t="n">
        <x:f>F12+E13</x:f>
        <x:v>-93000</x:v>
      </x:c>
      <x:c r="G13" s="20" t="n">
        <x:v>7</x:v>
      </x:c>
      <x:c r="H13" s="20" t="n">
        <x:v>19</x:v>
      </x:c>
      <x:c r="I13" s="19" t="n">
        <x:v>-50000</x:v>
      </x:c>
      <x:c r="J13" s="19" t="n">
        <x:v>65000</x:v>
      </x:c>
      <x:c r="K13" s="20" t="n">
        <x:v>6</x:v>
      </x:c>
    </x:row>
    <x:row r="14" ht="23" customHeight="1">
      <x:c r="A14" s="2" t="str">
        <x:v>2026-09-30_Night</x:v>
      </x:c>
      <x:c r="B14" s="2" t="str">
        <x:v>下落</x:v>
      </x:c>
      <x:c r="C14" s="19" t="n">
        <x:v>148000</x:v>
      </x:c>
      <x:c r="D14" s="19" t="n">
        <x:v>150000</x:v>
      </x:c>
      <x:c r="E14" s="19" t="n">
        <x:f>C14-D14</x:f>
        <x:v>-2000</x:v>
      </x:c>
      <x:c r="F14" s="19" t="n">
        <x:f>F13+E14</x:f>
        <x:v>-95000</x:v>
      </x:c>
      <x:c r="G14" s="20" t="n">
        <x:v>8</x:v>
      </x:c>
      <x:c r="H14" s="20" t="n">
        <x:v>32</x:v>
      </x:c>
      <x:c r="I14" s="19" t="n">
        <x:v>-45000</x:v>
      </x:c>
      <x:c r="J14" s="19" t="n">
        <x:v>43000</x:v>
      </x:c>
      <x:c r="K14" s="20" t="n">
        <x:v>6</x:v>
      </x:c>
    </x:row>
    <x:row r="15" ht="23" customHeight="1">
      <x:c r="A15" s="2" t="str">
        <x:v>2026-10-01_Night</x:v>
      </x:c>
      <x:c r="B15" s="2" t="str">
        <x:v>上昇</x:v>
      </x:c>
      <x:c r="C15" s="19" t="n">
        <x:v>265000</x:v>
      </x:c>
      <x:c r="D15" s="19" t="n">
        <x:v>111000</x:v>
      </x:c>
      <x:c r="E15" s="19" t="n">
        <x:f>C15-D15</x:f>
        <x:v>154000</x:v>
      </x:c>
      <x:c r="F15" s="19" t="n">
        <x:f>F14+E15</x:f>
        <x:v>59000</x:v>
      </x:c>
      <x:c r="G15" s="20" t="n">
        <x:v>15</x:v>
      </x:c>
      <x:c r="H15" s="20" t="n">
        <x:v>34</x:v>
      </x:c>
      <x:c r="I15" s="19" t="n">
        <x:v>45000</x:v>
      </x:c>
      <x:c r="J15" s="19" t="n">
        <x:v>109000</x:v>
      </x:c>
      <x:c r="K15" s="20" t="n">
        <x:v>11</x:v>
      </x:c>
    </x:row>
    <x:row r="16" ht="23" customHeight="1">
      <x:c r="A16" s="2" t="str">
        <x:v>2026-10-02_Night</x:v>
      </x:c>
      <x:c r="B16" s="2" t="str">
        <x:v>上昇</x:v>
      </x:c>
      <x:c r="C16" s="19" t="n">
        <x:v>369000</x:v>
      </x:c>
      <x:c r="D16" s="19" t="n">
        <x:v>53000</x:v>
      </x:c>
      <x:c r="E16" s="19" t="n">
        <x:f>C16-D16</x:f>
        <x:v>316000</x:v>
      </x:c>
      <x:c r="F16" s="19" t="n">
        <x:f>F15+E16</x:f>
        <x:v>375000</x:v>
      </x:c>
      <x:c r="G16" s="20" t="n">
        <x:v>18</x:v>
      </x:c>
      <x:c r="H16" s="20" t="n">
        <x:v>43</x:v>
      </x:c>
      <x:c r="I16" s="19" t="n">
        <x:v>55000</x:v>
      </x:c>
      <x:c r="J16" s="19" t="n">
        <x:v>261000</x:v>
      </x:c>
      <x:c r="K16" s="20" t="n">
        <x:v>11</x:v>
      </x:c>
    </x:row>
    <x:row r="17" ht="23" customHeight="1">
      <x:c r="A17" s="2" t="str">
        <x:v>2026-10-05_Night</x:v>
      </x:c>
      <x:c r="B17" s="2" t="str">
        <x:v>下落</x:v>
      </x:c>
      <x:c r="C17" s="19" t="n">
        <x:v>98000</x:v>
      </x:c>
      <x:c r="D17" s="19" t="n">
        <x:v>169000</x:v>
      </x:c>
      <x:c r="E17" s="19" t="n">
        <x:f>C17-D17</x:f>
        <x:v>-71000</x:v>
      </x:c>
      <x:c r="F17" s="19" t="n">
        <x:f>F16+E17</x:f>
        <x:v>304000</x:v>
      </x:c>
      <x:c r="G17" s="20" t="n">
        <x:v>9</x:v>
      </x:c>
      <x:c r="H17" s="20" t="n">
        <x:v>24</x:v>
      </x:c>
      <x:c r="I17" s="19" t="n">
        <x:v>-105000</x:v>
      </x:c>
      <x:c r="J17" s="19" t="n">
        <x:v>34000</x:v>
      </x:c>
      <x:c r="K17" s="20" t="n">
        <x:v>7</x:v>
      </x:c>
    </x:row>
    <x:row r="18" ht="23" customHeight="1">
      <x:c r="A18" s="2" t="str">
        <x:v>2026-10-06_Night</x:v>
      </x:c>
      <x:c r="B18" s="2" t="str">
        <x:v>下落</x:v>
      </x:c>
      <x:c r="C18" s="19" t="n">
        <x:v>33000</x:v>
      </x:c>
      <x:c r="D18" s="19" t="n">
        <x:v>43000</x:v>
      </x:c>
      <x:c r="E18" s="19" t="n">
        <x:f>C18-D18</x:f>
        <x:v>-10000</x:v>
      </x:c>
      <x:c r="F18" s="19" t="n">
        <x:f>F17+E18</x:f>
        <x:v>294000</x:v>
      </x:c>
      <x:c r="G18" s="20" t="n">
        <x:v>4</x:v>
      </x:c>
      <x:c r="H18" s="20" t="n">
        <x:v>8</x:v>
      </x:c>
      <x:c r="I18" s="19" t="n">
        <x:v>0</x:v>
      </x:c>
      <x:c r="J18" s="19" t="n">
        <x:v>-10000</x:v>
      </x:c>
      <x:c r="K18" s="20" t="n">
        <x:v>3</x:v>
      </x:c>
    </x:row>
    <x:row r="19" ht="23" customHeight="1">
      <x:c r="A19" s="2" t="str">
        <x:v>2026-10-07_Night</x:v>
      </x:c>
      <x:c r="B19" s="2" t="str">
        <x:v>下落</x:v>
      </x:c>
      <x:c r="C19" s="19" t="n">
        <x:v>0</x:v>
      </x:c>
      <x:c r="D19" s="19" t="n">
        <x:v>22000</x:v>
      </x:c>
      <x:c r="E19" s="19" t="n">
        <x:f>C19-D19</x:f>
        <x:v>-22000</x:v>
      </x:c>
      <x:c r="F19" s="19" t="n">
        <x:f>F18+E19</x:f>
        <x:v>272000</x:v>
      </x:c>
      <x:c r="G19" s="20" t="n">
        <x:v>2</x:v>
      </x:c>
      <x:c r="H19" s="20" t="n">
        <x:v>2</x:v>
      </x:c>
      <x:c r="I19" s="19" t="n">
        <x:v>0</x:v>
      </x:c>
      <x:c r="J19" s="19" t="n">
        <x:v>-22000</x:v>
      </x:c>
      <x:c r="K19" s="20" t="n">
        <x:v>1</x:v>
      </x:c>
    </x:row>
    <x:row r="20" ht="23" customHeight="1">
      <x:c r="A20" s="2" t="str">
        <x:v>2026-10-08_Night</x:v>
      </x:c>
      <x:c r="B20" s="2" t="str">
        <x:v>下落</x:v>
      </x:c>
      <x:c r="C20" s="19" t="n">
        <x:v>340000</x:v>
      </x:c>
      <x:c r="D20" s="19" t="n">
        <x:v>20000</x:v>
      </x:c>
      <x:c r="E20" s="19" t="n">
        <x:f>C20-D20</x:f>
        <x:v>320000</x:v>
      </x:c>
      <x:c r="F20" s="19" t="n">
        <x:f>F19+E20</x:f>
        <x:v>592000</x:v>
      </x:c>
      <x:c r="G20" s="20" t="n">
        <x:v>16</x:v>
      </x:c>
      <x:c r="H20" s="20" t="n">
        <x:v>33</x:v>
      </x:c>
      <x:c r="I20" s="19" t="n">
        <x:v>10000</x:v>
      </x:c>
      <x:c r="J20" s="19" t="n">
        <x:v>310000</x:v>
      </x:c>
      <x:c r="K20" s="20" t="n">
        <x:v>10</x:v>
      </x:c>
    </x:row>
    <x:row r="21" ht="23" customHeight="1">
      <x:c r="A21" s="2" t="str">
        <x:v>2026-10-09_Night</x:v>
      </x:c>
      <x:c r="B21" s="2" t="str">
        <x:v>下落</x:v>
      </x:c>
      <x:c r="C21" s="19" t="n">
        <x:v>14000</x:v>
      </x:c>
      <x:c r="D21" s="19" t="n">
        <x:v>0</x:v>
      </x:c>
      <x:c r="E21" s="19" t="n">
        <x:f>C21-D21</x:f>
        <x:v>14000</x:v>
      </x:c>
      <x:c r="F21" s="19" t="n">
        <x:f>F20+E21</x:f>
        <x:v>606000</x:v>
      </x:c>
      <x:c r="G21" s="20" t="n">
        <x:v>1</x:v>
      </x:c>
      <x:c r="H21" s="20" t="n">
        <x:v>5</x:v>
      </x:c>
      <x:c r="I21" s="19" t="n">
        <x:v>0</x:v>
      </x:c>
      <x:c r="J21" s="19" t="n">
        <x:v>14000</x:v>
      </x:c>
      <x:c r="K21" s="20" t="n">
        <x:v>1</x:v>
      </x:c>
    </x:row>
    <x:row r="22" ht="23" customHeight="1">
      <x:c r="A22" s="2" t="str">
        <x:v>2026-10-12_Night</x:v>
      </x:c>
      <x:c r="B22" s="2" t="str">
        <x:v>下落</x:v>
      </x:c>
      <x:c r="C22" s="19" t="n">
        <x:v>82000</x:v>
      </x:c>
      <x:c r="D22" s="19" t="n">
        <x:v>0</x:v>
      </x:c>
      <x:c r="E22" s="19" t="n">
        <x:f>C22-D22</x:f>
        <x:v>82000</x:v>
      </x:c>
      <x:c r="F22" s="19" t="n">
        <x:f>F21+E22</x:f>
        <x:v>688000</x:v>
      </x:c>
      <x:c r="G22" s="20" t="n">
        <x:v>1</x:v>
      </x:c>
      <x:c r="H22" s="20" t="n">
        <x:v>5</x:v>
      </x:c>
      <x:c r="I22" s="19" t="n">
        <x:v>0</x:v>
      </x:c>
      <x:c r="J22" s="19" t="n">
        <x:v>82000</x:v>
      </x:c>
      <x:c r="K22" s="20" t="n">
        <x:v>1</x:v>
      </x:c>
    </x:row>
    <x:row r="23" ht="23" customHeight="1">
      <x:c r="A23" s="2" t="str">
        <x:v>2026-10-13_Night</x:v>
      </x:c>
      <x:c r="B23" s="2" t="str">
        <x:v>上昇</x:v>
      </x:c>
      <x:c r="C23" s="19" t="n">
        <x:v>0</x:v>
      </x:c>
      <x:c r="D23" s="19" t="n">
        <x:v>53000</x:v>
      </x:c>
      <x:c r="E23" s="19" t="n">
        <x:f>C23-D23</x:f>
        <x:v>-53000</x:v>
      </x:c>
      <x:c r="F23" s="19" t="n">
        <x:f>F22+E23</x:f>
        <x:v>635000</x:v>
      </x:c>
      <x:c r="G23" s="20" t="n">
        <x:v>2</x:v>
      </x:c>
      <x:c r="H23" s="20" t="n">
        <x:v>6</x:v>
      </x:c>
      <x:c r="I23" s="19" t="n">
        <x:v>0</x:v>
      </x:c>
      <x:c r="J23" s="19" t="n">
        <x:v>-53000</x:v>
      </x:c>
      <x:c r="K23" s="20" t="n">
        <x:v>2</x:v>
      </x:c>
    </x:row>
    <x:row r="24" ht="23" customHeight="1">
      <x:c r="A24" s="2" t="str">
        <x:v>2026-10-14_Night</x:v>
      </x:c>
      <x:c r="B24" s="2" t="str">
        <x:v>下落</x:v>
      </x:c>
      <x:c r="C24" s="19" t="n">
        <x:v>257000</x:v>
      </x:c>
      <x:c r="D24" s="19" t="n">
        <x:v>221000</x:v>
      </x:c>
      <x:c r="E24" s="19" t="n">
        <x:f>C24-D24</x:f>
        <x:v>36000</x:v>
      </x:c>
      <x:c r="F24" s="19" t="n">
        <x:f>F23+E24</x:f>
        <x:v>671000</x:v>
      </x:c>
      <x:c r="G24" s="20" t="n">
        <x:v>7</x:v>
      </x:c>
      <x:c r="H24" s="20" t="n">
        <x:v>24</x:v>
      </x:c>
      <x:c r="I24" s="19" t="n">
        <x:v>-100000</x:v>
      </x:c>
      <x:c r="J24" s="19" t="n">
        <x:v>136000</x:v>
      </x:c>
      <x:c r="K24" s="20" t="n">
        <x:v>6</x:v>
      </x:c>
    </x:row>
    <x:row r="25" ht="23" customHeight="1">
      <x:c r="A25" s="2" t="str">
        <x:v>2026-10-15_Night</x:v>
      </x:c>
      <x:c r="B25" s="2" t="str">
        <x:v>上昇</x:v>
      </x:c>
      <x:c r="C25" s="19" t="n">
        <x:v>246000</x:v>
      </x:c>
      <x:c r="D25" s="19" t="n">
        <x:v>170000</x:v>
      </x:c>
      <x:c r="E25" s="19" t="n">
        <x:f>C25-D25</x:f>
        <x:v>76000</x:v>
      </x:c>
      <x:c r="F25" s="19" t="n">
        <x:f>F24+E25</x:f>
        <x:v>747000</x:v>
      </x:c>
      <x:c r="G25" s="20" t="n">
        <x:v>15</x:v>
      </x:c>
      <x:c r="H25" s="20" t="n">
        <x:v>29</x:v>
      </x:c>
      <x:c r="I25" s="19" t="n">
        <x:v>-20000</x:v>
      </x:c>
      <x:c r="J25" s="19" t="n">
        <x:v>96000</x:v>
      </x:c>
      <x:c r="K25" s="20" t="n">
        <x:v>11</x:v>
      </x:c>
    </x:row>
    <x:row r="26" ht="23" customHeight="1">
      <x:c r="A26" s="2" t="str">
        <x:v>2026-10-16_Night</x:v>
      </x:c>
      <x:c r="B26" s="2" t="str">
        <x:v>下落</x:v>
      </x:c>
      <x:c r="C26" s="19" t="n">
        <x:v>153000</x:v>
      </x:c>
      <x:c r="D26" s="19" t="n">
        <x:v>142000</x:v>
      </x:c>
      <x:c r="E26" s="19" t="n">
        <x:f>C26-D26</x:f>
        <x:v>11000</x:v>
      </x:c>
      <x:c r="F26" s="19" t="n">
        <x:f>F25+E26</x:f>
        <x:v>758000</x:v>
      </x:c>
      <x:c r="G26" s="20" t="n">
        <x:v>13</x:v>
      </x:c>
      <x:c r="H26" s="20" t="n">
        <x:v>27</x:v>
      </x:c>
      <x:c r="I26" s="19" t="n">
        <x:v>0</x:v>
      </x:c>
      <x:c r="J26" s="19" t="n">
        <x:v>11000</x:v>
      </x:c>
      <x:c r="K26" s="20" t="n">
        <x:v>11</x:v>
      </x:c>
    </x:row>
    <x:row r="27" ht="23" customHeight="1">
      <x:c r="A27" s="2" t="str">
        <x:v>2026-10-19_Night</x:v>
      </x:c>
      <x:c r="B27" s="2" t="str">
        <x:v>上昇</x:v>
      </x:c>
      <x:c r="C27" s="19" t="n">
        <x:v>108000</x:v>
      </x:c>
      <x:c r="D27" s="19" t="n">
        <x:v>143000</x:v>
      </x:c>
      <x:c r="E27" s="19" t="n">
        <x:f>C27-D27</x:f>
        <x:v>-35000</x:v>
      </x:c>
      <x:c r="F27" s="19" t="n">
        <x:f>F26+E27</x:f>
        <x:v>723000</x:v>
      </x:c>
      <x:c r="G27" s="20" t="n">
        <x:v>15</x:v>
      </x:c>
      <x:c r="H27" s="20" t="n">
        <x:v>28</x:v>
      </x:c>
      <x:c r="I27" s="19" t="n">
        <x:v>-50000</x:v>
      </x:c>
      <x:c r="J27" s="19" t="n">
        <x:v>15000</x:v>
      </x:c>
      <x:c r="K27" s="20" t="n">
        <x:v>10</x:v>
      </x:c>
    </x:row>
    <x:row r="28" ht="23" customHeight="1">
      <x:c r="A28" s="2" t="str">
        <x:v>2026-10-20_Night</x:v>
      </x:c>
      <x:c r="B28" s="2" t="str">
        <x:v>上昇</x:v>
      </x:c>
      <x:c r="C28" s="19" t="n">
        <x:v>697000</x:v>
      </x:c>
      <x:c r="D28" s="19" t="n">
        <x:v>74000</x:v>
      </x:c>
      <x:c r="E28" s="19" t="n">
        <x:f>C28-D28</x:f>
        <x:v>623000</x:v>
      </x:c>
      <x:c r="F28" s="19" t="n">
        <x:f>F27+E28</x:f>
        <x:v>1346000</x:v>
      </x:c>
      <x:c r="G28" s="20" t="n">
        <x:v>17</x:v>
      </x:c>
      <x:c r="H28" s="20" t="n">
        <x:v>49</x:v>
      </x:c>
      <x:c r="I28" s="19" t="n">
        <x:v>145000</x:v>
      </x:c>
      <x:c r="J28" s="19" t="n">
        <x:v>478000</x:v>
      </x:c>
      <x:c r="K28" s="20" t="n">
        <x:v>10</x:v>
      </x:c>
    </x:row>
    <x:row r="29" ht="23" customHeight="1">
      <x:c r="A29" s="2" t="str">
        <x:v>2026-10-21_Night</x:v>
      </x:c>
      <x:c r="B29" s="2" t="str">
        <x:v>上昇</x:v>
      </x:c>
      <x:c r="C29" s="19" t="n">
        <x:v>61000</x:v>
      </x:c>
      <x:c r="D29" s="19" t="n">
        <x:v>85000</x:v>
      </x:c>
      <x:c r="E29" s="19" t="n">
        <x:f>C29-D29</x:f>
        <x:v>-24000</x:v>
      </x:c>
      <x:c r="F29" s="19" t="n">
        <x:f>F28+E29</x:f>
        <x:v>1322000</x:v>
      </x:c>
      <x:c r="G29" s="20" t="n">
        <x:v>5</x:v>
      </x:c>
      <x:c r="H29" s="20" t="n">
        <x:v>17</x:v>
      </x:c>
      <x:c r="I29" s="19" t="n">
        <x:v>0</x:v>
      </x:c>
      <x:c r="J29" s="19" t="n">
        <x:v>-24000</x:v>
      </x:c>
      <x:c r="K29" s="20" t="n">
        <x:v>4</x:v>
      </x:c>
    </x:row>
    <x:row r="30" ht="23" customHeight="1">
      <x:c r="A30" s="2" t="str">
        <x:v>2026-10-22_Night</x:v>
      </x:c>
      <x:c r="B30" s="2" t="str">
        <x:v>下落</x:v>
      </x:c>
      <x:c r="C30" s="19" t="n">
        <x:v>170000</x:v>
      </x:c>
      <x:c r="D30" s="19" t="n">
        <x:v>133000</x:v>
      </x:c>
      <x:c r="E30" s="19" t="n">
        <x:f>C30-D30</x:f>
        <x:v>37000</x:v>
      </x:c>
      <x:c r="F30" s="19" t="n">
        <x:f>F29+E30</x:f>
        <x:v>1359000</x:v>
      </x:c>
      <x:c r="G30" s="20" t="n">
        <x:v>9</x:v>
      </x:c>
      <x:c r="H30" s="20" t="n">
        <x:v>25</x:v>
      </x:c>
      <x:c r="I30" s="19" t="n">
        <x:v>-40000</x:v>
      </x:c>
      <x:c r="J30" s="19" t="n">
        <x:v>77000</x:v>
      </x:c>
      <x:c r="K30" s="20" t="n">
        <x:v>8</x:v>
      </x:c>
    </x:row>
    <x:row r="31" ht="23" customHeight="1">
      <x:c r="A31" s="2" t="str">
        <x:v>2026-10-23_Night</x:v>
      </x:c>
      <x:c r="B31" s="2" t="str">
        <x:v>上昇</x:v>
      </x:c>
      <x:c r="C31" s="19" t="n">
        <x:v>37000</x:v>
      </x:c>
      <x:c r="D31" s="19" t="n">
        <x:v>62000</x:v>
      </x:c>
      <x:c r="E31" s="19" t="n">
        <x:f>C31-D31</x:f>
        <x:v>-25000</x:v>
      </x:c>
      <x:c r="F31" s="19" t="n">
        <x:f>F30+E31</x:f>
        <x:v>1334000</x:v>
      </x:c>
      <x:c r="G31" s="20" t="n">
        <x:v>7</x:v>
      </x:c>
      <x:c r="H31" s="20" t="n">
        <x:v>16</x:v>
      </x:c>
      <x:c r="I31" s="19" t="n">
        <x:v>-40000</x:v>
      </x:c>
      <x:c r="J31" s="19" t="n">
        <x:v>15000</x:v>
      </x:c>
      <x:c r="K31" s="20" t="n">
        <x:v>5</x:v>
      </x:c>
    </x:row>
    <x:row r="32" ht="23" customHeight="1">
      <x:c r="A32" s="24" t="str">
        <x:v>25夜累計</x:v>
      </x:c>
      <x:c r="B32" s="24"/>
      <x:c r="C32" s="25" t="n">
        <x:f>SUM(C7:C31)</x:f>
        <x:v>3356000</x:v>
      </x:c>
      <x:c r="D32" s="25" t="n">
        <x:f>SUM(D7:D31)</x:f>
        <x:v>2022000</x:v>
      </x:c>
      <x:c r="E32" s="25" t="n">
        <x:f>C32-D32</x:f>
        <x:v>1334000</x:v>
      </x:c>
      <x:c r="F32" s="25" t="n">
        <x:f>F31</x:f>
        <x:v>1334000</x:v>
      </x:c>
      <x:c r="G32" s="26" t="n">
        <x:f>SUM(G7:G31)</x:f>
        <x:v>191</x:v>
      </x:c>
      <x:c r="H32" s="26" t="n">
        <x:f>SUM(H7:H31)</x:f>
        <x:v>488</x:v>
      </x:c>
      <x:c r="I32" s="25" t="n">
        <x:f>SUM(I7:I31)</x:f>
        <x:v>-220000</x:v>
      </x:c>
      <x:c r="J32" s="25" t="n">
        <x:f>SUM(J7:J31)</x:f>
        <x:v>1554000</x:v>
      </x:c>
      <x:c r="K32" s="26" t="n">
        <x:f>SUM(K7:K31)</x:f>
        <x:v>141</x:v>
      </x:c>
    </x:row>
    <x:row r="33" ht="23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</x:row>
  </x:sheetData>
  <x:conditionalFormatting sqref="C7:F32">
    <x:cfRule type="cellIs" dxfId="12" priority="1" operator="lessThan">
      <x:formula>0</x:formula>
    </x:cfRule>
  </x:conditionalFormatting>
  <x:conditionalFormatting sqref="I7:J32">
    <x:cfRule type="cellIs" dxfId="13" priority="2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7ad52753af844c2"/>
  </x:tableParts>
</x:worksheet>
</file>

<file path=xl/worksheets/sheet9.xml><?xml version="1.0" encoding="utf-8"?>
<x:worksheet xmlns:x="http://schemas.openxmlformats.org/spreadsheetml/2006/main">
  <x:sheetPr>
    <x:tabColor rgb="FF244A70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8" hidden="0" customWidth="1"/>
    <x:col min="2" max="2" width="14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23" customHeight="1">
      <x:c r="A2" s="4" t="str">
        <x:v>P07　全夜間の利益・損失・収支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</x:row>
    <x:row r="3" ht="23" customHeight="1">
      <x:c r="A3" s="6" t="str">
        <x:v>日経mini・片方向上限10枚・手数料0円・気配差込み。利益と損失は完結した親取引の収支を分類。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 ht="23" customHeight="1">
      <x:c r="A4" s="6" t="str">
        <x:v>2026/09/21～10/23の既知25夜。前段は米国開始15分前まで、後段は米国開始15分後から。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</x:row>
    <x:row r="5" ht="23" customHeight="1">
      <x:c r="A5" s="6" t="str">
        <x:v>60pt順行で40ptトレール開始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</x:row>
    <x:row r="6" ht="40" customHeight="1">
      <x:c r="A6" s="15" t="str">
        <x:v>セッション</x:v>
      </x:c>
      <x:c r="B6" s="16" t="str">
        <x:v>始終値方向</x:v>
      </x:c>
      <x:c r="C6" s="16" t="str">
        <x:v>利益（円）</x:v>
      </x:c>
      <x:c r="D6" s="16" t="str">
        <x:v>損失（円）</x:v>
      </x:c>
      <x:c r="E6" s="16" t="str">
        <x:v>収支（円）</x:v>
      </x:c>
      <x:c r="F6" s="16" t="str">
        <x:v>累計（円）</x:v>
      </x:c>
      <x:c r="G6" s="16" t="str">
        <x:v>新規件数</x:v>
      </x:c>
      <x:c r="H6" s="16" t="str">
        <x:v>新規合計枚数</x:v>
      </x:c>
      <x:c r="I6" s="16" t="str">
        <x:v>前段収支（円）</x:v>
      </x:c>
      <x:c r="J6" s="16" t="str">
        <x:v>後段収支（円）</x:v>
      </x:c>
      <x:c r="K6" s="17" t="str">
        <x:v>親取引数</x:v>
      </x:c>
    </x:row>
    <x:row r="7" ht="23" customHeight="1">
      <x:c r="A7" s="2" t="str">
        <x:v>2026-09-21_Night</x:v>
      </x:c>
      <x:c r="B7" s="2" t="str">
        <x:v>上昇</x:v>
      </x:c>
      <x:c r="C7" s="19" t="n">
        <x:v>0</x:v>
      </x:c>
      <x:c r="D7" s="19" t="n">
        <x:v>45000</x:v>
      </x:c>
      <x:c r="E7" s="19" t="n">
        <x:f>C7-D7</x:f>
        <x:v>-45000</x:v>
      </x:c>
      <x:c r="F7" s="19" t="n">
        <x:f>E7</x:f>
        <x:v>-45000</x:v>
      </x:c>
      <x:c r="G7" s="20" t="n">
        <x:v>1</x:v>
      </x:c>
      <x:c r="H7" s="20" t="n">
        <x:v>5</x:v>
      </x:c>
      <x:c r="I7" s="19" t="n">
        <x:v>0</x:v>
      </x:c>
      <x:c r="J7" s="19" t="n">
        <x:v>-45000</x:v>
      </x:c>
      <x:c r="K7" s="20" t="n">
        <x:v>1</x:v>
      </x:c>
    </x:row>
    <x:row r="8" ht="23" customHeight="1">
      <x:c r="A8" s="2" t="str">
        <x:v>2026-09-22_Night</x:v>
      </x:c>
      <x:c r="B8" s="2" t="str">
        <x:v>上昇</x:v>
      </x:c>
      <x:c r="C8" s="19" t="n">
        <x:v>179000</x:v>
      </x:c>
      <x:c r="D8" s="19" t="n">
        <x:v>95000</x:v>
      </x:c>
      <x:c r="E8" s="19" t="n">
        <x:f>C8-D8</x:f>
        <x:v>84000</x:v>
      </x:c>
      <x:c r="F8" s="19" t="n">
        <x:f>F7+E8</x:f>
        <x:v>39000</x:v>
      </x:c>
      <x:c r="G8" s="20" t="n">
        <x:v>6</x:v>
      </x:c>
      <x:c r="H8" s="20" t="n">
        <x:v>30</x:v>
      </x:c>
      <x:c r="I8" s="19" t="n">
        <x:v>60000</x:v>
      </x:c>
      <x:c r="J8" s="19" t="n">
        <x:v>24000</x:v>
      </x:c>
      <x:c r="K8" s="20" t="n">
        <x:v>5</x:v>
      </x:c>
    </x:row>
    <x:row r="9" ht="23" customHeight="1">
      <x:c r="A9" s="2" t="str">
        <x:v>2026-09-23_Night</x:v>
      </x:c>
      <x:c r="B9" s="2" t="str">
        <x:v>下落</x:v>
      </x:c>
      <x:c r="C9" s="19" t="n">
        <x:v>4000</x:v>
      </x:c>
      <x:c r="D9" s="19" t="n">
        <x:v>40000</x:v>
      </x:c>
      <x:c r="E9" s="19" t="n">
        <x:f>C9-D9</x:f>
        <x:v>-36000</x:v>
      </x:c>
      <x:c r="F9" s="19" t="n">
        <x:f>F8+E9</x:f>
        <x:v>3000</x:v>
      </x:c>
      <x:c r="G9" s="20" t="n">
        <x:v>3</x:v>
      </x:c>
      <x:c r="H9" s="20" t="n">
        <x:v>7</x:v>
      </x:c>
      <x:c r="I9" s="19" t="n">
        <x:v>0</x:v>
      </x:c>
      <x:c r="J9" s="19" t="n">
        <x:v>-36000</x:v>
      </x:c>
      <x:c r="K9" s="20" t="n">
        <x:v>2</x:v>
      </x:c>
    </x:row>
    <x:row r="10" ht="23" customHeight="1">
      <x:c r="A10" s="2" t="str">
        <x:v>2026-09-24_Night</x:v>
      </x:c>
      <x:c r="B10" s="2" t="str">
        <x:v>下落</x:v>
      </x:c>
      <x:c r="C10" s="19" t="n">
        <x:v>70000</x:v>
      </x:c>
      <x:c r="D10" s="19" t="n">
        <x:v>150000</x:v>
      </x:c>
      <x:c r="E10" s="19" t="n">
        <x:f>C10-D10</x:f>
        <x:v>-80000</x:v>
      </x:c>
      <x:c r="F10" s="19" t="n">
        <x:f>F9+E10</x:f>
        <x:v>-77000</x:v>
      </x:c>
      <x:c r="G10" s="20" t="n">
        <x:v>9</x:v>
      </x:c>
      <x:c r="H10" s="20" t="n">
        <x:v>37</x:v>
      </x:c>
      <x:c r="I10" s="19" t="n">
        <x:v>-100000</x:v>
      </x:c>
      <x:c r="J10" s="19" t="n">
        <x:v>20000</x:v>
      </x:c>
      <x:c r="K10" s="20" t="n">
        <x:v>8</x:v>
      </x:c>
    </x:row>
    <x:row r="11" ht="23" customHeight="1">
      <x:c r="A11" s="2" t="str">
        <x:v>2026-09-25_Night</x:v>
      </x:c>
      <x:c r="B11" s="2" t="str">
        <x:v>上昇</x:v>
      </x:c>
      <x:c r="C11" s="19" t="n">
        <x:v>67000</x:v>
      </x:c>
      <x:c r="D11" s="19" t="n">
        <x:v>166000</x:v>
      </x:c>
      <x:c r="E11" s="19" t="n">
        <x:f>C11-D11</x:f>
        <x:v>-99000</x:v>
      </x:c>
      <x:c r="F11" s="19" t="n">
        <x:f>F10+E11</x:f>
        <x:v>-176000</x:v>
      </x:c>
      <x:c r="G11" s="20" t="n">
        <x:v>6</x:v>
      </x:c>
      <x:c r="H11" s="20" t="n">
        <x:v>26</x:v>
      </x:c>
      <x:c r="I11" s="19" t="n">
        <x:v>-100000</x:v>
      </x:c>
      <x:c r="J11" s="19" t="n">
        <x:v>1000</x:v>
      </x:c>
      <x:c r="K11" s="20" t="n">
        <x:v>6</x:v>
      </x:c>
    </x:row>
    <x:row r="12" ht="23" customHeight="1">
      <x:c r="A12" s="2" t="str">
        <x:v>2026-09-28_Night</x:v>
      </x:c>
      <x:c r="B12" s="2" t="str">
        <x:v>下落</x:v>
      </x:c>
      <x:c r="C12" s="19" t="n">
        <x:v>56000</x:v>
      </x:c>
      <x:c r="D12" s="19" t="n">
        <x:v>163000</x:v>
      </x:c>
      <x:c r="E12" s="19" t="n">
        <x:f>C12-D12</x:f>
        <x:v>-107000</x:v>
      </x:c>
      <x:c r="F12" s="19" t="n">
        <x:f>F11+E12</x:f>
        <x:v>-283000</x:v>
      </x:c>
      <x:c r="G12" s="20" t="n">
        <x:v>11</x:v>
      </x:c>
      <x:c r="H12" s="20" t="n">
        <x:v>37</x:v>
      </x:c>
      <x:c r="I12" s="19" t="n">
        <x:v>-60000</x:v>
      </x:c>
      <x:c r="J12" s="19" t="n">
        <x:v>-47000</x:v>
      </x:c>
      <x:c r="K12" s="20" t="n">
        <x:v>10</x:v>
      </x:c>
    </x:row>
    <x:row r="13" ht="23" customHeight="1">
      <x:c r="A13" s="2" t="str">
        <x:v>2026-09-29_Night</x:v>
      </x:c>
      <x:c r="B13" s="2" t="str">
        <x:v>上昇</x:v>
      </x:c>
      <x:c r="C13" s="19" t="n">
        <x:v>87000</x:v>
      </x:c>
      <x:c r="D13" s="19" t="n">
        <x:v>167000</x:v>
      </x:c>
      <x:c r="E13" s="19" t="n">
        <x:f>C13-D13</x:f>
        <x:v>-80000</x:v>
      </x:c>
      <x:c r="F13" s="19" t="n">
        <x:f>F12+E13</x:f>
        <x:v>-363000</x:v>
      </x:c>
      <x:c r="G13" s="20" t="n">
        <x:v>9</x:v>
      </x:c>
      <x:c r="H13" s="20" t="n">
        <x:v>29</x:v>
      </x:c>
      <x:c r="I13" s="19" t="n">
        <x:v>-145000</x:v>
      </x:c>
      <x:c r="J13" s="19" t="n">
        <x:v>65000</x:v>
      </x:c>
      <x:c r="K13" s="20" t="n">
        <x:v>7</x:v>
      </x:c>
    </x:row>
    <x:row r="14" ht="23" customHeight="1">
      <x:c r="A14" s="2" t="str">
        <x:v>2026-09-30_Night</x:v>
      </x:c>
      <x:c r="B14" s="2" t="str">
        <x:v>下落</x:v>
      </x:c>
      <x:c r="C14" s="19" t="n">
        <x:v>153000</x:v>
      </x:c>
      <x:c r="D14" s="19" t="n">
        <x:v>335000</x:v>
      </x:c>
      <x:c r="E14" s="19" t="n">
        <x:f>C14-D14</x:f>
        <x:v>-182000</x:v>
      </x:c>
      <x:c r="F14" s="19" t="n">
        <x:f>F13+E14</x:f>
        <x:v>-545000</x:v>
      </x:c>
      <x:c r="G14" s="20" t="n">
        <x:v>16</x:v>
      </x:c>
      <x:c r="H14" s="20" t="n">
        <x:v>72</x:v>
      </x:c>
      <x:c r="I14" s="19" t="n">
        <x:v>-225000</x:v>
      </x:c>
      <x:c r="J14" s="19" t="n">
        <x:v>43000</x:v>
      </x:c>
      <x:c r="K14" s="20" t="n">
        <x:v>12</x:v>
      </x:c>
    </x:row>
    <x:row r="15" ht="23" customHeight="1">
      <x:c r="A15" s="2" t="str">
        <x:v>2026-10-01_Night</x:v>
      </x:c>
      <x:c r="B15" s="2" t="str">
        <x:v>上昇</x:v>
      </x:c>
      <x:c r="C15" s="19" t="n">
        <x:v>360000</x:v>
      </x:c>
      <x:c r="D15" s="19" t="n">
        <x:v>236000</x:v>
      </x:c>
      <x:c r="E15" s="19" t="n">
        <x:f>C15-D15</x:f>
        <x:v>124000</x:v>
      </x:c>
      <x:c r="F15" s="19" t="n">
        <x:f>F14+E15</x:f>
        <x:v>-421000</x:v>
      </x:c>
      <x:c r="G15" s="20" t="n">
        <x:v>21</x:v>
      </x:c>
      <x:c r="H15" s="20" t="n">
        <x:v>64</x:v>
      </x:c>
      <x:c r="I15" s="19" t="n">
        <x:v>15000</x:v>
      </x:c>
      <x:c r="J15" s="19" t="n">
        <x:v>109000</x:v>
      </x:c>
      <x:c r="K15" s="20" t="n">
        <x:v>16</x:v>
      </x:c>
    </x:row>
    <x:row r="16" ht="23" customHeight="1">
      <x:c r="A16" s="2" t="str">
        <x:v>2026-10-02_Night</x:v>
      </x:c>
      <x:c r="B16" s="2" t="str">
        <x:v>上昇</x:v>
      </x:c>
      <x:c r="C16" s="19" t="n">
        <x:v>384000</x:v>
      </x:c>
      <x:c r="D16" s="19" t="n">
        <x:v>403000</x:v>
      </x:c>
      <x:c r="E16" s="19" t="n">
        <x:f>C16-D16</x:f>
        <x:v>-19000</x:v>
      </x:c>
      <x:c r="F16" s="19" t="n">
        <x:f>F15+E16</x:f>
        <x:v>-440000</x:v>
      </x:c>
      <x:c r="G16" s="20" t="n">
        <x:v>29</x:v>
      </x:c>
      <x:c r="H16" s="20" t="n">
        <x:v>98</x:v>
      </x:c>
      <x:c r="I16" s="19" t="n">
        <x:v>-280000</x:v>
      </x:c>
      <x:c r="J16" s="19" t="n">
        <x:v>261000</x:v>
      </x:c>
      <x:c r="K16" s="20" t="n">
        <x:v>22</x:v>
      </x:c>
    </x:row>
    <x:row r="17" ht="23" customHeight="1">
      <x:c r="A17" s="2" t="str">
        <x:v>2026-10-05_Night</x:v>
      </x:c>
      <x:c r="B17" s="2" t="str">
        <x:v>下落</x:v>
      </x:c>
      <x:c r="C17" s="19" t="n">
        <x:v>98000</x:v>
      </x:c>
      <x:c r="D17" s="19" t="n">
        <x:v>314000</x:v>
      </x:c>
      <x:c r="E17" s="19" t="n">
        <x:f>C17-D17</x:f>
        <x:v>-216000</x:v>
      </x:c>
      <x:c r="F17" s="19" t="n">
        <x:f>F16+E17</x:f>
        <x:v>-656000</x:v>
      </x:c>
      <x:c r="G17" s="20" t="n">
        <x:v>13</x:v>
      </x:c>
      <x:c r="H17" s="20" t="n">
        <x:v>44</x:v>
      </x:c>
      <x:c r="I17" s="19" t="n">
        <x:v>-250000</x:v>
      </x:c>
      <x:c r="J17" s="19" t="n">
        <x:v>34000</x:v>
      </x:c>
      <x:c r="K17" s="20" t="n">
        <x:v>11</x:v>
      </x:c>
    </x:row>
    <x:row r="18" ht="23" customHeight="1">
      <x:c r="A18" s="2" t="str">
        <x:v>2026-10-06_Night</x:v>
      </x:c>
      <x:c r="B18" s="2" t="str">
        <x:v>下落</x:v>
      </x:c>
      <x:c r="C18" s="19" t="n">
        <x:v>33000</x:v>
      </x:c>
      <x:c r="D18" s="19" t="n">
        <x:v>68000</x:v>
      </x:c>
      <x:c r="E18" s="19" t="n">
        <x:f>C18-D18</x:f>
        <x:v>-35000</x:v>
      </x:c>
      <x:c r="F18" s="19" t="n">
        <x:f>F17+E18</x:f>
        <x:v>-691000</x:v>
      </x:c>
      <x:c r="G18" s="20" t="n">
        <x:v>7</x:v>
      </x:c>
      <x:c r="H18" s="20" t="n">
        <x:v>23</x:v>
      </x:c>
      <x:c r="I18" s="19" t="n">
        <x:v>-25000</x:v>
      </x:c>
      <x:c r="J18" s="19" t="n">
        <x:v>-10000</x:v>
      </x:c>
      <x:c r="K18" s="20" t="n">
        <x:v>5</x:v>
      </x:c>
    </x:row>
    <x:row r="19" ht="23" customHeight="1">
      <x:c r="A19" s="2" t="str">
        <x:v>2026-10-07_Night</x:v>
      </x:c>
      <x:c r="B19" s="2" t="str">
        <x:v>下落</x:v>
      </x:c>
      <x:c r="C19" s="19" t="n">
        <x:v>15000</x:v>
      </x:c>
      <x:c r="D19" s="19" t="n">
        <x:v>122000</x:v>
      </x:c>
      <x:c r="E19" s="19" t="n">
        <x:f>C19-D19</x:f>
        <x:v>-107000</x:v>
      </x:c>
      <x:c r="F19" s="19" t="n">
        <x:f>F18+E19</x:f>
        <x:v>-798000</x:v>
      </x:c>
      <x:c r="G19" s="20" t="n">
        <x:v>5</x:v>
      </x:c>
      <x:c r="H19" s="20" t="n">
        <x:v>17</x:v>
      </x:c>
      <x:c r="I19" s="19" t="n">
        <x:v>-85000</x:v>
      </x:c>
      <x:c r="J19" s="19" t="n">
        <x:v>-22000</x:v>
      </x:c>
      <x:c r="K19" s="20" t="n">
        <x:v>4</x:v>
      </x:c>
    </x:row>
    <x:row r="20" ht="23" customHeight="1">
      <x:c r="A20" s="2" t="str">
        <x:v>2026-10-08_Night</x:v>
      </x:c>
      <x:c r="B20" s="2" t="str">
        <x:v>下落</x:v>
      </x:c>
      <x:c r="C20" s="19" t="n">
        <x:v>470000</x:v>
      </x:c>
      <x:c r="D20" s="19" t="n">
        <x:v>70000</x:v>
      </x:c>
      <x:c r="E20" s="19" t="n">
        <x:f>C20-D20</x:f>
        <x:v>400000</x:v>
      </x:c>
      <x:c r="F20" s="19" t="n">
        <x:f>F19+E20</x:f>
        <x:v>-398000</x:v>
      </x:c>
      <x:c r="G20" s="20" t="n">
        <x:v>20</x:v>
      </x:c>
      <x:c r="H20" s="20" t="n">
        <x:v>53</x:v>
      </x:c>
      <x:c r="I20" s="19" t="n">
        <x:v>90000</x:v>
      </x:c>
      <x:c r="J20" s="19" t="n">
        <x:v>310000</x:v>
      </x:c>
      <x:c r="K20" s="20" t="n">
        <x:v>14</x:v>
      </x:c>
    </x:row>
    <x:row r="21" ht="23" customHeight="1">
      <x:c r="A21" s="2" t="str">
        <x:v>2026-10-09_Night</x:v>
      </x:c>
      <x:c r="B21" s="2" t="str">
        <x:v>下落</x:v>
      </x:c>
      <x:c r="C21" s="19" t="n">
        <x:v>24000</x:v>
      </x:c>
      <x:c r="D21" s="19" t="n">
        <x:v>50000</x:v>
      </x:c>
      <x:c r="E21" s="19" t="n">
        <x:f>C21-D21</x:f>
        <x:v>-26000</x:v>
      </x:c>
      <x:c r="F21" s="19" t="n">
        <x:f>F20+E21</x:f>
        <x:v>-424000</x:v>
      </x:c>
      <x:c r="G21" s="20" t="n">
        <x:v>3</x:v>
      </x:c>
      <x:c r="H21" s="20" t="n">
        <x:v>15</x:v>
      </x:c>
      <x:c r="I21" s="19" t="n">
        <x:v>-40000</x:v>
      </x:c>
      <x:c r="J21" s="19" t="n">
        <x:v>14000</x:v>
      </x:c>
      <x:c r="K21" s="20" t="n">
        <x:v>3</x:v>
      </x:c>
    </x:row>
    <x:row r="22" ht="23" customHeight="1">
      <x:c r="A22" s="2" t="str">
        <x:v>2026-10-12_Night</x:v>
      </x:c>
      <x:c r="B22" s="2" t="str">
        <x:v>下落</x:v>
      </x:c>
      <x:c r="C22" s="19" t="n">
        <x:v>82000</x:v>
      </x:c>
      <x:c r="D22" s="19" t="n">
        <x:v>50000</x:v>
      </x:c>
      <x:c r="E22" s="19" t="n">
        <x:f>C22-D22</x:f>
        <x:v>32000</x:v>
      </x:c>
      <x:c r="F22" s="19" t="n">
        <x:f>F21+E22</x:f>
        <x:v>-392000</x:v>
      </x:c>
      <x:c r="G22" s="20" t="n">
        <x:v>2</x:v>
      </x:c>
      <x:c r="H22" s="20" t="n">
        <x:v>10</x:v>
      </x:c>
      <x:c r="I22" s="19" t="n">
        <x:v>-50000</x:v>
      </x:c>
      <x:c r="J22" s="19" t="n">
        <x:v>82000</x:v>
      </x:c>
      <x:c r="K22" s="20" t="n">
        <x:v>2</x:v>
      </x:c>
    </x:row>
    <x:row r="23" ht="23" customHeight="1">
      <x:c r="A23" s="2" t="str">
        <x:v>2026-10-13_Night</x:v>
      </x:c>
      <x:c r="B23" s="2" t="str">
        <x:v>上昇</x:v>
      </x:c>
      <x:c r="C23" s="19" t="n">
        <x:v>25000</x:v>
      </x:c>
      <x:c r="D23" s="19" t="n">
        <x:v>103000</x:v>
      </x:c>
      <x:c r="E23" s="19" t="n">
        <x:f>C23-D23</x:f>
        <x:v>-78000</x:v>
      </x:c>
      <x:c r="F23" s="19" t="n">
        <x:f>F22+E23</x:f>
        <x:v>-470000</x:v>
      </x:c>
      <x:c r="G23" s="20" t="n">
        <x:v>5</x:v>
      </x:c>
      <x:c r="H23" s="20" t="n">
        <x:v>21</x:v>
      </x:c>
      <x:c r="I23" s="19" t="n">
        <x:v>-25000</x:v>
      </x:c>
      <x:c r="J23" s="19" t="n">
        <x:v>-53000</x:v>
      </x:c>
      <x:c r="K23" s="20" t="n">
        <x:v>5</x:v>
      </x:c>
    </x:row>
    <x:row r="24" ht="23" customHeight="1">
      <x:c r="A24" s="2" t="str">
        <x:v>2026-10-14_Night</x:v>
      </x:c>
      <x:c r="B24" s="2" t="str">
        <x:v>下落</x:v>
      </x:c>
      <x:c r="C24" s="19" t="n">
        <x:v>247000</x:v>
      </x:c>
      <x:c r="D24" s="19" t="n">
        <x:v>461000</x:v>
      </x:c>
      <x:c r="E24" s="19" t="n">
        <x:f>C24-D24</x:f>
        <x:v>-214000</x:v>
      </x:c>
      <x:c r="F24" s="19" t="n">
        <x:f>F23+E24</x:f>
        <x:v>-684000</x:v>
      </x:c>
      <x:c r="G24" s="20" t="n">
        <x:v>12</x:v>
      </x:c>
      <x:c r="H24" s="20" t="n">
        <x:v>49</x:v>
      </x:c>
      <x:c r="I24" s="19" t="n">
        <x:v>-350000</x:v>
      </x:c>
      <x:c r="J24" s="19" t="n">
        <x:v>136000</x:v>
      </x:c>
      <x:c r="K24" s="20" t="n">
        <x:v>11</x:v>
      </x:c>
    </x:row>
    <x:row r="25" ht="23" customHeight="1">
      <x:c r="A25" s="2" t="str">
        <x:v>2026-10-15_Night</x:v>
      </x:c>
      <x:c r="B25" s="2" t="str">
        <x:v>上昇</x:v>
      </x:c>
      <x:c r="C25" s="19" t="n">
        <x:v>276000</x:v>
      </x:c>
      <x:c r="D25" s="19" t="n">
        <x:v>320000</x:v>
      </x:c>
      <x:c r="E25" s="19" t="n">
        <x:f>C25-D25</x:f>
        <x:v>-44000</x:v>
      </x:c>
      <x:c r="F25" s="19" t="n">
        <x:f>F24+E25</x:f>
        <x:v>-728000</x:v>
      </x:c>
      <x:c r="G25" s="20" t="n">
        <x:v>19</x:v>
      </x:c>
      <x:c r="H25" s="20" t="n">
        <x:v>49</x:v>
      </x:c>
      <x:c r="I25" s="19" t="n">
        <x:v>-140000</x:v>
      </x:c>
      <x:c r="J25" s="19" t="n">
        <x:v>96000</x:v>
      </x:c>
      <x:c r="K25" s="20" t="n">
        <x:v>15</x:v>
      </x:c>
    </x:row>
    <x:row r="26" ht="23" customHeight="1">
      <x:c r="A26" s="2" t="str">
        <x:v>2026-10-16_Night</x:v>
      </x:c>
      <x:c r="B26" s="2" t="str">
        <x:v>下落</x:v>
      </x:c>
      <x:c r="C26" s="19" t="n">
        <x:v>168000</x:v>
      </x:c>
      <x:c r="D26" s="19" t="n">
        <x:v>192000</x:v>
      </x:c>
      <x:c r="E26" s="19" t="n">
        <x:f>C26-D26</x:f>
        <x:v>-24000</x:v>
      </x:c>
      <x:c r="F26" s="19" t="n">
        <x:f>F25+E26</x:f>
        <x:v>-752000</x:v>
      </x:c>
      <x:c r="G26" s="20" t="n">
        <x:v>15</x:v>
      </x:c>
      <x:c r="H26" s="20" t="n">
        <x:v>37</x:v>
      </x:c>
      <x:c r="I26" s="19" t="n">
        <x:v>-35000</x:v>
      </x:c>
      <x:c r="J26" s="19" t="n">
        <x:v>11000</x:v>
      </x:c>
      <x:c r="K26" s="20" t="n">
        <x:v>13</x:v>
      </x:c>
    </x:row>
    <x:row r="27" ht="23" customHeight="1">
      <x:c r="A27" s="2" t="str">
        <x:v>2026-10-19_Night</x:v>
      </x:c>
      <x:c r="B27" s="2" t="str">
        <x:v>上昇</x:v>
      </x:c>
      <x:c r="C27" s="19" t="n">
        <x:v>153000</x:v>
      </x:c>
      <x:c r="D27" s="19" t="n">
        <x:v>343000</x:v>
      </x:c>
      <x:c r="E27" s="19" t="n">
        <x:f>C27-D27</x:f>
        <x:v>-190000</x:v>
      </x:c>
      <x:c r="F27" s="19" t="n">
        <x:f>F26+E27</x:f>
        <x:v>-942000</x:v>
      </x:c>
      <x:c r="G27" s="20" t="n">
        <x:v>20</x:v>
      </x:c>
      <x:c r="H27" s="20" t="n">
        <x:v>53</x:v>
      </x:c>
      <x:c r="I27" s="19" t="n">
        <x:v>-205000</x:v>
      </x:c>
      <x:c r="J27" s="19" t="n">
        <x:v>15000</x:v>
      </x:c>
      <x:c r="K27" s="20" t="n">
        <x:v>15</x:v>
      </x:c>
    </x:row>
    <x:row r="28" ht="23" customHeight="1">
      <x:c r="A28" s="2" t="str">
        <x:v>2026-10-20_Night</x:v>
      </x:c>
      <x:c r="B28" s="2" t="str">
        <x:v>上昇</x:v>
      </x:c>
      <x:c r="C28" s="19" t="n">
        <x:v>682000</x:v>
      </x:c>
      <x:c r="D28" s="19" t="n">
        <x:v>229000</x:v>
      </x:c>
      <x:c r="E28" s="19" t="n">
        <x:f>C28-D28</x:f>
        <x:v>453000</x:v>
      </x:c>
      <x:c r="F28" s="19" t="n">
        <x:f>F27+E28</x:f>
        <x:v>-489000</x:v>
      </x:c>
      <x:c r="G28" s="20" t="n">
        <x:v>26</x:v>
      </x:c>
      <x:c r="H28" s="20" t="n">
        <x:v>94</x:v>
      </x:c>
      <x:c r="I28" s="19" t="n">
        <x:v>-25000</x:v>
      </x:c>
      <x:c r="J28" s="19" t="n">
        <x:v>478000</x:v>
      </x:c>
      <x:c r="K28" s="20" t="n">
        <x:v>16</x:v>
      </x:c>
    </x:row>
    <x:row r="29" ht="23" customHeight="1">
      <x:c r="A29" s="2" t="str">
        <x:v>2026-10-21_Night</x:v>
      </x:c>
      <x:c r="B29" s="2" t="str">
        <x:v>上昇</x:v>
      </x:c>
      <x:c r="C29" s="19" t="n">
        <x:v>206000</x:v>
      </x:c>
      <x:c r="D29" s="19" t="n">
        <x:v>185000</x:v>
      </x:c>
      <x:c r="E29" s="19" t="n">
        <x:f>C29-D29</x:f>
        <x:v>21000</x:v>
      </x:c>
      <x:c r="F29" s="19" t="n">
        <x:f>F28+E29</x:f>
        <x:v>-468000</x:v>
      </x:c>
      <x:c r="G29" s="20" t="n">
        <x:v>16</x:v>
      </x:c>
      <x:c r="H29" s="20" t="n">
        <x:v>72</x:v>
      </x:c>
      <x:c r="I29" s="19" t="n">
        <x:v>45000</x:v>
      </x:c>
      <x:c r="J29" s="19" t="n">
        <x:v>-24000</x:v>
      </x:c>
      <x:c r="K29" s="20" t="n">
        <x:v>12</x:v>
      </x:c>
    </x:row>
    <x:row r="30" ht="23" customHeight="1">
      <x:c r="A30" s="2" t="str">
        <x:v>2026-10-22_Night</x:v>
      </x:c>
      <x:c r="B30" s="2" t="str">
        <x:v>下落</x:v>
      </x:c>
      <x:c r="C30" s="19" t="n">
        <x:v>195000</x:v>
      </x:c>
      <x:c r="D30" s="19" t="n">
        <x:v>253000</x:v>
      </x:c>
      <x:c r="E30" s="19" t="n">
        <x:f>C30-D30</x:f>
        <x:v>-58000</x:v>
      </x:c>
      <x:c r="F30" s="19" t="n">
        <x:f>F29+E30</x:f>
        <x:v>-526000</x:v>
      </x:c>
      <x:c r="G30" s="20" t="n">
        <x:v>14</x:v>
      </x:c>
      <x:c r="H30" s="20" t="n">
        <x:v>50</x:v>
      </x:c>
      <x:c r="I30" s="19" t="n">
        <x:v>-135000</x:v>
      </x:c>
      <x:c r="J30" s="19" t="n">
        <x:v>77000</x:v>
      </x:c>
      <x:c r="K30" s="20" t="n">
        <x:v>11</x:v>
      </x:c>
    </x:row>
    <x:row r="31" ht="23" customHeight="1">
      <x:c r="A31" s="2" t="str">
        <x:v>2026-10-23_Night</x:v>
      </x:c>
      <x:c r="B31" s="2" t="str">
        <x:v>上昇</x:v>
      </x:c>
      <x:c r="C31" s="19" t="n">
        <x:v>157000</x:v>
      </x:c>
      <x:c r="D31" s="19" t="n">
        <x:v>247000</x:v>
      </x:c>
      <x:c r="E31" s="19" t="n">
        <x:f>C31-D31</x:f>
        <x:v>-90000</x:v>
      </x:c>
      <x:c r="F31" s="19" t="n">
        <x:f>F30+E31</x:f>
        <x:v>-616000</x:v>
      </x:c>
      <x:c r="G31" s="20" t="n">
        <x:v>16</x:v>
      </x:c>
      <x:c r="H31" s="20" t="n">
        <x:v>61</x:v>
      </x:c>
      <x:c r="I31" s="19" t="n">
        <x:v>-105000</x:v>
      </x:c>
      <x:c r="J31" s="19" t="n">
        <x:v>15000</x:v>
      </x:c>
      <x:c r="K31" s="20" t="n">
        <x:v>12</x:v>
      </x:c>
    </x:row>
    <x:row r="32" ht="23" customHeight="1">
      <x:c r="A32" s="24" t="str">
        <x:v>25夜累計</x:v>
      </x:c>
      <x:c r="B32" s="24"/>
      <x:c r="C32" s="25" t="n">
        <x:f>SUM(C7:C31)</x:f>
        <x:v>4191000</x:v>
      </x:c>
      <x:c r="D32" s="25" t="n">
        <x:f>SUM(D7:D31)</x:f>
        <x:v>4807000</x:v>
      </x:c>
      <x:c r="E32" s="25" t="n">
        <x:f>C32-D32</x:f>
        <x:v>-616000</x:v>
      </x:c>
      <x:c r="F32" s="25" t="n">
        <x:f>F31</x:f>
        <x:v>-616000</x:v>
      </x:c>
      <x:c r="G32" s="26" t="n">
        <x:f>SUM(G7:G31)</x:f>
        <x:v>304</x:v>
      </x:c>
      <x:c r="H32" s="26" t="n">
        <x:f>SUM(H7:H31)</x:f>
        <x:v>1053</x:v>
      </x:c>
      <x:c r="I32" s="25" t="n">
        <x:f>SUM(I7:I31)</x:f>
        <x:v>-2170000</x:v>
      </x:c>
      <x:c r="J32" s="25" t="n">
        <x:f>SUM(J7:J31)</x:f>
        <x:v>1554000</x:v>
      </x:c>
      <x:c r="K32" s="26" t="n">
        <x:f>SUM(K7:K31)</x:f>
        <x:v>238</x:v>
      </x:c>
    </x:row>
    <x:row r="33" ht="23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</x:row>
  </x:sheetData>
  <x:conditionalFormatting sqref="C7:F32">
    <x:cfRule type="cellIs" dxfId="14" priority="1" operator="lessThan">
      <x:formula>0</x:formula>
    </x:cfRule>
  </x:conditionalFormatting>
  <x:conditionalFormatting sqref="I7:J32">
    <x:cfRule type="cellIs" dxfId="15" priority="2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b94e4f34d1f42b1"/>
  </x:tableParts>
</x:worksheet>
</file>

<file path=xl/worksheets/sheet10.xml><?xml version="1.0" encoding="utf-8"?>
<x:worksheet xmlns:x="http://schemas.openxmlformats.org/spreadsheetml/2006/main">
  <x:sheetPr>
    <x:tabColor rgb="FF244A70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8" hidden="0" customWidth="1"/>
    <x:col min="2" max="2" width="14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23" customHeight="1">
      <x:c r="A2" s="4" t="str">
        <x:v>P08　全夜間の利益・損失・収支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</x:row>
    <x:row r="3" ht="23" customHeight="1">
      <x:c r="A3" s="6" t="str">
        <x:v>日経mini・片方向上限10枚・手数料0円・気配差込み。利益と損失は完結した親取引の収支を分類。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 ht="23" customHeight="1">
      <x:c r="A4" s="6" t="str">
        <x:v>2026/09/21～10/23の既知25夜。前段は米国開始15分前まで、後段は米国開始15分後から。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</x:row>
    <x:row r="5" ht="23" customHeight="1">
      <x:c r="A5" s="6" t="str">
        <x:v>160pt順行で120ptトレール開始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</x:row>
    <x:row r="6" ht="40" customHeight="1">
      <x:c r="A6" s="15" t="str">
        <x:v>セッション</x:v>
      </x:c>
      <x:c r="B6" s="16" t="str">
        <x:v>始終値方向</x:v>
      </x:c>
      <x:c r="C6" s="16" t="str">
        <x:v>利益（円）</x:v>
      </x:c>
      <x:c r="D6" s="16" t="str">
        <x:v>損失（円）</x:v>
      </x:c>
      <x:c r="E6" s="16" t="str">
        <x:v>収支（円）</x:v>
      </x:c>
      <x:c r="F6" s="16" t="str">
        <x:v>累計（円）</x:v>
      </x:c>
      <x:c r="G6" s="16" t="str">
        <x:v>新規件数</x:v>
      </x:c>
      <x:c r="H6" s="16" t="str">
        <x:v>新規合計枚数</x:v>
      </x:c>
      <x:c r="I6" s="16" t="str">
        <x:v>前段収支（円）</x:v>
      </x:c>
      <x:c r="J6" s="16" t="str">
        <x:v>後段収支（円）</x:v>
      </x:c>
      <x:c r="K6" s="17" t="str">
        <x:v>親取引数</x:v>
      </x:c>
    </x:row>
    <x:row r="7" ht="23" customHeight="1">
      <x:c r="A7" s="2" t="str">
        <x:v>2026-09-21_Night</x:v>
      </x:c>
      <x:c r="B7" s="2" t="str">
        <x:v>上昇</x:v>
      </x:c>
      <x:c r="C7" s="19" t="n">
        <x:v>0</x:v>
      </x:c>
      <x:c r="D7" s="19" t="n">
        <x:v>45000</x:v>
      </x:c>
      <x:c r="E7" s="19" t="n">
        <x:f>C7-D7</x:f>
        <x:v>-45000</x:v>
      </x:c>
      <x:c r="F7" s="19" t="n">
        <x:f>E7</x:f>
        <x:v>-45000</x:v>
      </x:c>
      <x:c r="G7" s="20" t="n">
        <x:v>1</x:v>
      </x:c>
      <x:c r="H7" s="20" t="n">
        <x:v>5</x:v>
      </x:c>
      <x:c r="I7" s="19" t="n">
        <x:v>0</x:v>
      </x:c>
      <x:c r="J7" s="19" t="n">
        <x:v>-45000</x:v>
      </x:c>
      <x:c r="K7" s="20" t="n">
        <x:v>1</x:v>
      </x:c>
    </x:row>
    <x:row r="8" ht="23" customHeight="1">
      <x:c r="A8" s="2" t="str">
        <x:v>2026-09-22_Night</x:v>
      </x:c>
      <x:c r="B8" s="2" t="str">
        <x:v>上昇</x:v>
      </x:c>
      <x:c r="C8" s="19" t="n">
        <x:v>144000</x:v>
      </x:c>
      <x:c r="D8" s="19" t="n">
        <x:v>45000</x:v>
      </x:c>
      <x:c r="E8" s="19" t="n">
        <x:f>C8-D8</x:f>
        <x:v>99000</x:v>
      </x:c>
      <x:c r="F8" s="19" t="n">
        <x:f>F7+E8</x:f>
        <x:v>54000</x:v>
      </x:c>
      <x:c r="G8" s="20" t="n">
        <x:v>5</x:v>
      </x:c>
      <x:c r="H8" s="20" t="n">
        <x:v>25</x:v>
      </x:c>
      <x:c r="I8" s="19" t="n">
        <x:v>75000</x:v>
      </x:c>
      <x:c r="J8" s="19" t="n">
        <x:v>24000</x:v>
      </x:c>
      <x:c r="K8" s="20" t="n">
        <x:v>4</x:v>
      </x:c>
    </x:row>
    <x:row r="9" ht="23" customHeight="1">
      <x:c r="A9" s="2" t="str">
        <x:v>2026-09-23_Night</x:v>
      </x:c>
      <x:c r="B9" s="2" t="str">
        <x:v>下落</x:v>
      </x:c>
      <x:c r="C9" s="19" t="n">
        <x:v>4000</x:v>
      </x:c>
      <x:c r="D9" s="19" t="n">
        <x:v>40000</x:v>
      </x:c>
      <x:c r="E9" s="19" t="n">
        <x:f>C9-D9</x:f>
        <x:v>-36000</x:v>
      </x:c>
      <x:c r="F9" s="19" t="n">
        <x:f>F8+E9</x:f>
        <x:v>18000</x:v>
      </x:c>
      <x:c r="G9" s="20" t="n">
        <x:v>3</x:v>
      </x:c>
      <x:c r="H9" s="20" t="n">
        <x:v>7</x:v>
      </x:c>
      <x:c r="I9" s="19" t="n">
        <x:v>0</x:v>
      </x:c>
      <x:c r="J9" s="19" t="n">
        <x:v>-36000</x:v>
      </x:c>
      <x:c r="K9" s="20" t="n">
        <x:v>2</x:v>
      </x:c>
    </x:row>
    <x:row r="10" ht="23" customHeight="1">
      <x:c r="A10" s="2" t="str">
        <x:v>2026-09-24_Night</x:v>
      </x:c>
      <x:c r="B10" s="2" t="str">
        <x:v>下落</x:v>
      </x:c>
      <x:c r="C10" s="19" t="n">
        <x:v>20000</x:v>
      </x:c>
      <x:c r="D10" s="19" t="n">
        <x:v>180000</x:v>
      </x:c>
      <x:c r="E10" s="19" t="n">
        <x:f>C10-D10</x:f>
        <x:v>-160000</x:v>
      </x:c>
      <x:c r="F10" s="19" t="n">
        <x:f>F9+E10</x:f>
        <x:v>-142000</x:v>
      </x:c>
      <x:c r="G10" s="20" t="n">
        <x:v>7</x:v>
      </x:c>
      <x:c r="H10" s="20" t="n">
        <x:v>27</x:v>
      </x:c>
      <x:c r="I10" s="19" t="n">
        <x:v>-180000</x:v>
      </x:c>
      <x:c r="J10" s="19" t="n">
        <x:v>20000</x:v>
      </x:c>
      <x:c r="K10" s="20" t="n">
        <x:v>5</x:v>
      </x:c>
    </x:row>
    <x:row r="11" ht="23" customHeight="1">
      <x:c r="A11" s="2" t="str">
        <x:v>2026-09-25_Night</x:v>
      </x:c>
      <x:c r="B11" s="2" t="str">
        <x:v>上昇</x:v>
      </x:c>
      <x:c r="C11" s="19" t="n">
        <x:v>102000</x:v>
      </x:c>
      <x:c r="D11" s="19" t="n">
        <x:v>166000</x:v>
      </x:c>
      <x:c r="E11" s="19" t="n">
        <x:f>C11-D11</x:f>
        <x:v>-64000</x:v>
      </x:c>
      <x:c r="F11" s="19" t="n">
        <x:f>F10+E11</x:f>
        <x:v>-206000</x:v>
      </x:c>
      <x:c r="G11" s="20" t="n">
        <x:v>6</x:v>
      </x:c>
      <x:c r="H11" s="20" t="n">
        <x:v>26</x:v>
      </x:c>
      <x:c r="I11" s="19" t="n">
        <x:v>-65000</x:v>
      </x:c>
      <x:c r="J11" s="19" t="n">
        <x:v>1000</x:v>
      </x:c>
      <x:c r="K11" s="20" t="n">
        <x:v>6</x:v>
      </x:c>
    </x:row>
    <x:row r="12" ht="23" customHeight="1">
      <x:c r="A12" s="2" t="str">
        <x:v>2026-09-28_Night</x:v>
      </x:c>
      <x:c r="B12" s="2" t="str">
        <x:v>下落</x:v>
      </x:c>
      <x:c r="C12" s="19" t="n">
        <x:v>41000</x:v>
      </x:c>
      <x:c r="D12" s="19" t="n">
        <x:v>213000</x:v>
      </x:c>
      <x:c r="E12" s="19" t="n">
        <x:f>C12-D12</x:f>
        <x:v>-172000</x:v>
      </x:c>
      <x:c r="F12" s="19" t="n">
        <x:f>F11+E12</x:f>
        <x:v>-378000</x:v>
      </x:c>
      <x:c r="G12" s="20" t="n">
        <x:v>10</x:v>
      </x:c>
      <x:c r="H12" s="20" t="n">
        <x:v>32</x:v>
      </x:c>
      <x:c r="I12" s="19" t="n">
        <x:v>-125000</x:v>
      </x:c>
      <x:c r="J12" s="19" t="n">
        <x:v>-47000</x:v>
      </x:c>
      <x:c r="K12" s="20" t="n">
        <x:v>9</x:v>
      </x:c>
    </x:row>
    <x:row r="13" ht="23" customHeight="1">
      <x:c r="A13" s="2" t="str">
        <x:v>2026-09-29_Night</x:v>
      </x:c>
      <x:c r="B13" s="2" t="str">
        <x:v>上昇</x:v>
      </x:c>
      <x:c r="C13" s="19" t="n">
        <x:v>87000</x:v>
      </x:c>
      <x:c r="D13" s="19" t="n">
        <x:v>167000</x:v>
      </x:c>
      <x:c r="E13" s="19" t="n">
        <x:f>C13-D13</x:f>
        <x:v>-80000</x:v>
      </x:c>
      <x:c r="F13" s="19" t="n">
        <x:f>F12+E13</x:f>
        <x:v>-458000</x:v>
      </x:c>
      <x:c r="G13" s="20" t="n">
        <x:v>9</x:v>
      </x:c>
      <x:c r="H13" s="20" t="n">
        <x:v>29</x:v>
      </x:c>
      <x:c r="I13" s="19" t="n">
        <x:v>-145000</x:v>
      </x:c>
      <x:c r="J13" s="19" t="n">
        <x:v>65000</x:v>
      </x:c>
      <x:c r="K13" s="20" t="n">
        <x:v>7</x:v>
      </x:c>
    </x:row>
    <x:row r="14" ht="23" customHeight="1">
      <x:c r="A14" s="2" t="str">
        <x:v>2026-09-30_Night</x:v>
      </x:c>
      <x:c r="B14" s="2" t="str">
        <x:v>下落</x:v>
      </x:c>
      <x:c r="C14" s="19" t="n">
        <x:v>138000</x:v>
      </x:c>
      <x:c r="D14" s="19" t="n">
        <x:v>345000</x:v>
      </x:c>
      <x:c r="E14" s="19" t="n">
        <x:f>C14-D14</x:f>
        <x:v>-207000</x:v>
      </x:c>
      <x:c r="F14" s="19" t="n">
        <x:f>F13+E14</x:f>
        <x:v>-665000</x:v>
      </x:c>
      <x:c r="G14" s="20" t="n">
        <x:v>14</x:v>
      </x:c>
      <x:c r="H14" s="20" t="n">
        <x:v>62</x:v>
      </x:c>
      <x:c r="I14" s="19" t="n">
        <x:v>-250000</x:v>
      </x:c>
      <x:c r="J14" s="19" t="n">
        <x:v>43000</x:v>
      </x:c>
      <x:c r="K14" s="20" t="n">
        <x:v>10</x:v>
      </x:c>
    </x:row>
    <x:row r="15" ht="23" customHeight="1">
      <x:c r="A15" s="2" t="str">
        <x:v>2026-10-01_Night</x:v>
      </x:c>
      <x:c r="B15" s="2" t="str">
        <x:v>上昇</x:v>
      </x:c>
      <x:c r="C15" s="19" t="n">
        <x:v>280000</x:v>
      </x:c>
      <x:c r="D15" s="19" t="n">
        <x:v>166000</x:v>
      </x:c>
      <x:c r="E15" s="19" t="n">
        <x:f>C15-D15</x:f>
        <x:v>114000</x:v>
      </x:c>
      <x:c r="F15" s="19" t="n">
        <x:f>F14+E15</x:f>
        <x:v>-551000</x:v>
      </x:c>
      <x:c r="G15" s="20" t="n">
        <x:v>16</x:v>
      </x:c>
      <x:c r="H15" s="20" t="n">
        <x:v>39</x:v>
      </x:c>
      <x:c r="I15" s="19" t="n">
        <x:v>5000</x:v>
      </x:c>
      <x:c r="J15" s="19" t="n">
        <x:v>109000</x:v>
      </x:c>
      <x:c r="K15" s="20" t="n">
        <x:v>12</x:v>
      </x:c>
    </x:row>
    <x:row r="16" ht="23" customHeight="1">
      <x:c r="A16" s="2" t="str">
        <x:v>2026-10-02_Night</x:v>
      </x:c>
      <x:c r="B16" s="2" t="str">
        <x:v>上昇</x:v>
      </x:c>
      <x:c r="C16" s="19" t="n">
        <x:v>429000</x:v>
      </x:c>
      <x:c r="D16" s="19" t="n">
        <x:v>368000</x:v>
      </x:c>
      <x:c r="E16" s="19" t="n">
        <x:f>C16-D16</x:f>
        <x:v>61000</x:v>
      </x:c>
      <x:c r="F16" s="19" t="n">
        <x:f>F15+E16</x:f>
        <x:v>-490000</x:v>
      </x:c>
      <x:c r="G16" s="20" t="n">
        <x:v>26</x:v>
      </x:c>
      <x:c r="H16" s="20" t="n">
        <x:v>83</x:v>
      </x:c>
      <x:c r="I16" s="19" t="n">
        <x:v>-200000</x:v>
      </x:c>
      <x:c r="J16" s="19" t="n">
        <x:v>261000</x:v>
      </x:c>
      <x:c r="K16" s="20" t="n">
        <x:v>18</x:v>
      </x:c>
    </x:row>
    <x:row r="17" ht="23" customHeight="1">
      <x:c r="A17" s="2" t="str">
        <x:v>2026-10-05_Night</x:v>
      </x:c>
      <x:c r="B17" s="2" t="str">
        <x:v>下落</x:v>
      </x:c>
      <x:c r="C17" s="19" t="n">
        <x:v>98000</x:v>
      </x:c>
      <x:c r="D17" s="19" t="n">
        <x:v>264000</x:v>
      </x:c>
      <x:c r="E17" s="19" t="n">
        <x:f>C17-D17</x:f>
        <x:v>-166000</x:v>
      </x:c>
      <x:c r="F17" s="19" t="n">
        <x:f>F16+E17</x:f>
        <x:v>-656000</x:v>
      </x:c>
      <x:c r="G17" s="20" t="n">
        <x:v>13</x:v>
      </x:c>
      <x:c r="H17" s="20" t="n">
        <x:v>44</x:v>
      </x:c>
      <x:c r="I17" s="19" t="n">
        <x:v>-200000</x:v>
      </x:c>
      <x:c r="J17" s="19" t="n">
        <x:v>34000</x:v>
      </x:c>
      <x:c r="K17" s="20" t="n">
        <x:v>10</x:v>
      </x:c>
    </x:row>
    <x:row r="18" ht="23" customHeight="1">
      <x:c r="A18" s="2" t="str">
        <x:v>2026-10-06_Night</x:v>
      </x:c>
      <x:c r="B18" s="2" t="str">
        <x:v>下落</x:v>
      </x:c>
      <x:c r="C18" s="19" t="n">
        <x:v>33000</x:v>
      </x:c>
      <x:c r="D18" s="19" t="n">
        <x:v>233000</x:v>
      </x:c>
      <x:c r="E18" s="19" t="n">
        <x:f>C18-D18</x:f>
        <x:v>-200000</x:v>
      </x:c>
      <x:c r="F18" s="19" t="n">
        <x:f>F17+E18</x:f>
        <x:v>-856000</x:v>
      </x:c>
      <x:c r="G18" s="20" t="n">
        <x:v>8</x:v>
      </x:c>
      <x:c r="H18" s="20" t="n">
        <x:v>28</x:v>
      </x:c>
      <x:c r="I18" s="19" t="n">
        <x:v>-190000</x:v>
      </x:c>
      <x:c r="J18" s="19" t="n">
        <x:v>-10000</x:v>
      </x:c>
      <x:c r="K18" s="20" t="n">
        <x:v>5</x:v>
      </x:c>
    </x:row>
    <x:row r="19" ht="23" customHeight="1">
      <x:c r="A19" s="2" t="str">
        <x:v>2026-10-07_Night</x:v>
      </x:c>
      <x:c r="B19" s="2" t="str">
        <x:v>下落</x:v>
      </x:c>
      <x:c r="C19" s="19" t="n">
        <x:v>0</x:v>
      </x:c>
      <x:c r="D19" s="19" t="n">
        <x:v>172000</x:v>
      </x:c>
      <x:c r="E19" s="19" t="n">
        <x:f>C19-D19</x:f>
        <x:v>-172000</x:v>
      </x:c>
      <x:c r="F19" s="19" t="n">
        <x:f>F18+E19</x:f>
        <x:v>-1028000</x:v>
      </x:c>
      <x:c r="G19" s="20" t="n">
        <x:v>5</x:v>
      </x:c>
      <x:c r="H19" s="20" t="n">
        <x:v>17</x:v>
      </x:c>
      <x:c r="I19" s="19" t="n">
        <x:v>-150000</x:v>
      </x:c>
      <x:c r="J19" s="19" t="n">
        <x:v>-22000</x:v>
      </x:c>
      <x:c r="K19" s="20" t="n">
        <x:v>4</x:v>
      </x:c>
    </x:row>
    <x:row r="20" ht="23" customHeight="1">
      <x:c r="A20" s="2" t="str">
        <x:v>2026-10-08_Night</x:v>
      </x:c>
      <x:c r="B20" s="2" t="str">
        <x:v>下落</x:v>
      </x:c>
      <x:c r="C20" s="19" t="n">
        <x:v>400000</x:v>
      </x:c>
      <x:c r="D20" s="19" t="n">
        <x:v>145000</x:v>
      </x:c>
      <x:c r="E20" s="19" t="n">
        <x:f>C20-D20</x:f>
        <x:v>255000</x:v>
      </x:c>
      <x:c r="F20" s="19" t="n">
        <x:f>F19+E20</x:f>
        <x:v>-773000</x:v>
      </x:c>
      <x:c r="G20" s="20" t="n">
        <x:v>20</x:v>
      </x:c>
      <x:c r="H20" s="20" t="n">
        <x:v>53</x:v>
      </x:c>
      <x:c r="I20" s="19" t="n">
        <x:v>-55000</x:v>
      </x:c>
      <x:c r="J20" s="19" t="n">
        <x:v>310000</x:v>
      </x:c>
      <x:c r="K20" s="20" t="n">
        <x:v>13</x:v>
      </x:c>
    </x:row>
    <x:row r="21" ht="23" customHeight="1">
      <x:c r="A21" s="2" t="str">
        <x:v>2026-10-09_Night</x:v>
      </x:c>
      <x:c r="B21" s="2" t="str">
        <x:v>下落</x:v>
      </x:c>
      <x:c r="C21" s="19" t="n">
        <x:v>14000</x:v>
      </x:c>
      <x:c r="D21" s="19" t="n">
        <x:v>95000</x:v>
      </x:c>
      <x:c r="E21" s="19" t="n">
        <x:f>C21-D21</x:f>
        <x:v>-81000</x:v>
      </x:c>
      <x:c r="F21" s="19" t="n">
        <x:f>F20+E21</x:f>
        <x:v>-854000</x:v>
      </x:c>
      <x:c r="G21" s="20" t="n">
        <x:v>3</x:v>
      </x:c>
      <x:c r="H21" s="20" t="n">
        <x:v>15</x:v>
      </x:c>
      <x:c r="I21" s="19" t="n">
        <x:v>-95000</x:v>
      </x:c>
      <x:c r="J21" s="19" t="n">
        <x:v>14000</x:v>
      </x:c>
      <x:c r="K21" s="20" t="n">
        <x:v>3</x:v>
      </x:c>
    </x:row>
    <x:row r="22" ht="23" customHeight="1">
      <x:c r="A22" s="2" t="str">
        <x:v>2026-10-12_Night</x:v>
      </x:c>
      <x:c r="B22" s="2" t="str">
        <x:v>下落</x:v>
      </x:c>
      <x:c r="C22" s="19" t="n">
        <x:v>82000</x:v>
      </x:c>
      <x:c r="D22" s="19" t="n">
        <x:v>50000</x:v>
      </x:c>
      <x:c r="E22" s="19" t="n">
        <x:f>C22-D22</x:f>
        <x:v>32000</x:v>
      </x:c>
      <x:c r="F22" s="19" t="n">
        <x:f>F21+E22</x:f>
        <x:v>-822000</x:v>
      </x:c>
      <x:c r="G22" s="20" t="n">
        <x:v>2</x:v>
      </x:c>
      <x:c r="H22" s="20" t="n">
        <x:v>10</x:v>
      </x:c>
      <x:c r="I22" s="19" t="n">
        <x:v>-50000</x:v>
      </x:c>
      <x:c r="J22" s="19" t="n">
        <x:v>82000</x:v>
      </x:c>
      <x:c r="K22" s="20" t="n">
        <x:v>2</x:v>
      </x:c>
    </x:row>
    <x:row r="23" ht="23" customHeight="1">
      <x:c r="A23" s="2" t="str">
        <x:v>2026-10-13_Night</x:v>
      </x:c>
      <x:c r="B23" s="2" t="str">
        <x:v>上昇</x:v>
      </x:c>
      <x:c r="C23" s="19" t="n">
        <x:v>145000</x:v>
      </x:c>
      <x:c r="D23" s="19" t="n">
        <x:v>53000</x:v>
      </x:c>
      <x:c r="E23" s="19" t="n">
        <x:f>C23-D23</x:f>
        <x:v>92000</x:v>
      </x:c>
      <x:c r="F23" s="19" t="n">
        <x:f>F22+E23</x:f>
        <x:v>-730000</x:v>
      </x:c>
      <x:c r="G23" s="20" t="n">
        <x:v>4</x:v>
      </x:c>
      <x:c r="H23" s="20" t="n">
        <x:v>16</x:v>
      </x:c>
      <x:c r="I23" s="19" t="n">
        <x:v>145000</x:v>
      </x:c>
      <x:c r="J23" s="19" t="n">
        <x:v>-53000</x:v>
      </x:c>
      <x:c r="K23" s="20" t="n">
        <x:v>3</x:v>
      </x:c>
    </x:row>
    <x:row r="24" ht="23" customHeight="1">
      <x:c r="A24" s="2" t="str">
        <x:v>2026-10-14_Night</x:v>
      </x:c>
      <x:c r="B24" s="2" t="str">
        <x:v>下落</x:v>
      </x:c>
      <x:c r="C24" s="19" t="n">
        <x:v>197000</x:v>
      </x:c>
      <x:c r="D24" s="19" t="n">
        <x:v>426000</x:v>
      </x:c>
      <x:c r="E24" s="19" t="n">
        <x:f>C24-D24</x:f>
        <x:v>-229000</x:v>
      </x:c>
      <x:c r="F24" s="19" t="n">
        <x:f>F23+E24</x:f>
        <x:v>-959000</x:v>
      </x:c>
      <x:c r="G24" s="20" t="n">
        <x:v>11</x:v>
      </x:c>
      <x:c r="H24" s="20" t="n">
        <x:v>44</x:v>
      </x:c>
      <x:c r="I24" s="19" t="n">
        <x:v>-365000</x:v>
      </x:c>
      <x:c r="J24" s="19" t="n">
        <x:v>136000</x:v>
      </x:c>
      <x:c r="K24" s="20" t="n">
        <x:v>10</x:v>
      </x:c>
    </x:row>
    <x:row r="25" ht="23" customHeight="1">
      <x:c r="A25" s="2" t="str">
        <x:v>2026-10-15_Night</x:v>
      </x:c>
      <x:c r="B25" s="2" t="str">
        <x:v>上昇</x:v>
      </x:c>
      <x:c r="C25" s="19" t="n">
        <x:v>246000</x:v>
      </x:c>
      <x:c r="D25" s="19" t="n">
        <x:v>320000</x:v>
      </x:c>
      <x:c r="E25" s="19" t="n">
        <x:f>C25-D25</x:f>
        <x:v>-74000</x:v>
      </x:c>
      <x:c r="F25" s="19" t="n">
        <x:f>F24+E25</x:f>
        <x:v>-1033000</x:v>
      </x:c>
      <x:c r="G25" s="20" t="n">
        <x:v>18</x:v>
      </x:c>
      <x:c r="H25" s="20" t="n">
        <x:v>44</x:v>
      </x:c>
      <x:c r="I25" s="19" t="n">
        <x:v>-170000</x:v>
      </x:c>
      <x:c r="J25" s="19" t="n">
        <x:v>96000</x:v>
      </x:c>
      <x:c r="K25" s="20" t="n">
        <x:v>14</x:v>
      </x:c>
    </x:row>
    <x:row r="26" ht="23" customHeight="1">
      <x:c r="A26" s="2" t="str">
        <x:v>2026-10-16_Night</x:v>
      </x:c>
      <x:c r="B26" s="2" t="str">
        <x:v>下落</x:v>
      </x:c>
      <x:c r="C26" s="19" t="n">
        <x:v>153000</x:v>
      </x:c>
      <x:c r="D26" s="19" t="n">
        <x:v>242000</x:v>
      </x:c>
      <x:c r="E26" s="19" t="n">
        <x:f>C26-D26</x:f>
        <x:v>-89000</x:v>
      </x:c>
      <x:c r="F26" s="19" t="n">
        <x:f>F25+E26</x:f>
        <x:v>-1122000</x:v>
      </x:c>
      <x:c r="G26" s="20" t="n">
        <x:v>15</x:v>
      </x:c>
      <x:c r="H26" s="20" t="n">
        <x:v>37</x:v>
      </x:c>
      <x:c r="I26" s="19" t="n">
        <x:v>-100000</x:v>
      </x:c>
      <x:c r="J26" s="19" t="n">
        <x:v>11000</x:v>
      </x:c>
      <x:c r="K26" s="20" t="n">
        <x:v>13</x:v>
      </x:c>
    </x:row>
    <x:row r="27" ht="23" customHeight="1">
      <x:c r="A27" s="2" t="str">
        <x:v>2026-10-19_Night</x:v>
      </x:c>
      <x:c r="B27" s="2" t="str">
        <x:v>上昇</x:v>
      </x:c>
      <x:c r="C27" s="19" t="n">
        <x:v>108000</x:v>
      </x:c>
      <x:c r="D27" s="19" t="n">
        <x:v>323000</x:v>
      </x:c>
      <x:c r="E27" s="19" t="n">
        <x:f>C27-D27</x:f>
        <x:v>-215000</x:v>
      </x:c>
      <x:c r="F27" s="19" t="n">
        <x:f>F26+E27</x:f>
        <x:v>-1337000</x:v>
      </x:c>
      <x:c r="G27" s="20" t="n">
        <x:v>20</x:v>
      </x:c>
      <x:c r="H27" s="20" t="n">
        <x:v>53</x:v>
      </x:c>
      <x:c r="I27" s="19" t="n">
        <x:v>-230000</x:v>
      </x:c>
      <x:c r="J27" s="19" t="n">
        <x:v>15000</x:v>
      </x:c>
      <x:c r="K27" s="20" t="n">
        <x:v>14</x:v>
      </x:c>
    </x:row>
    <x:row r="28" ht="23" customHeight="1">
      <x:c r="A28" s="2" t="str">
        <x:v>2026-10-20_Night</x:v>
      </x:c>
      <x:c r="B28" s="2" t="str">
        <x:v>上昇</x:v>
      </x:c>
      <x:c r="C28" s="19" t="n">
        <x:v>1007000</x:v>
      </x:c>
      <x:c r="D28" s="19" t="n">
        <x:v>149000</x:v>
      </x:c>
      <x:c r="E28" s="19" t="n">
        <x:f>C28-D28</x:f>
        <x:v>858000</x:v>
      </x:c>
      <x:c r="F28" s="19" t="n">
        <x:f>F27+E28</x:f>
        <x:v>-479000</x:v>
      </x:c>
      <x:c r="G28" s="20" t="n">
        <x:v>20</x:v>
      </x:c>
      <x:c r="H28" s="20" t="n">
        <x:v>64</x:v>
      </x:c>
      <x:c r="I28" s="19" t="n">
        <x:v>380000</x:v>
      </x:c>
      <x:c r="J28" s="19" t="n">
        <x:v>478000</x:v>
      </x:c>
      <x:c r="K28" s="20" t="n">
        <x:v>12</x:v>
      </x:c>
    </x:row>
    <x:row r="29" ht="23" customHeight="1">
      <x:c r="A29" s="2" t="str">
        <x:v>2026-10-21_Night</x:v>
      </x:c>
      <x:c r="B29" s="2" t="str">
        <x:v>上昇</x:v>
      </x:c>
      <x:c r="C29" s="19" t="n">
        <x:v>486000</x:v>
      </x:c>
      <x:c r="D29" s="19" t="n">
        <x:v>235000</x:v>
      </x:c>
      <x:c r="E29" s="19" t="n">
        <x:f>C29-D29</x:f>
        <x:v>251000</x:v>
      </x:c>
      <x:c r="F29" s="19" t="n">
        <x:f>F28+E29</x:f>
        <x:v>-228000</x:v>
      </x:c>
      <x:c r="G29" s="20" t="n">
        <x:v>12</x:v>
      </x:c>
      <x:c r="H29" s="20" t="n">
        <x:v>52</x:v>
      </x:c>
      <x:c r="I29" s="19" t="n">
        <x:v>275000</x:v>
      </x:c>
      <x:c r="J29" s="19" t="n">
        <x:v>-24000</x:v>
      </x:c>
      <x:c r="K29" s="20" t="n">
        <x:v>8</x:v>
      </x:c>
    </x:row>
    <x:row r="30" ht="23" customHeight="1">
      <x:c r="A30" s="2" t="str">
        <x:v>2026-10-22_Night</x:v>
      </x:c>
      <x:c r="B30" s="2" t="str">
        <x:v>下落</x:v>
      </x:c>
      <x:c r="C30" s="19" t="n">
        <x:v>160000</x:v>
      </x:c>
      <x:c r="D30" s="19" t="n">
        <x:v>428000</x:v>
      </x:c>
      <x:c r="E30" s="19" t="n">
        <x:f>C30-D30</x:f>
        <x:v>-268000</x:v>
      </x:c>
      <x:c r="F30" s="19" t="n">
        <x:f>F29+E30</x:f>
        <x:v>-496000</x:v>
      </x:c>
      <x:c r="G30" s="20" t="n">
        <x:v>14</x:v>
      </x:c>
      <x:c r="H30" s="20" t="n">
        <x:v>50</x:v>
      </x:c>
      <x:c r="I30" s="19" t="n">
        <x:v>-345000</x:v>
      </x:c>
      <x:c r="J30" s="19" t="n">
        <x:v>77000</x:v>
      </x:c>
      <x:c r="K30" s="20" t="n">
        <x:v>11</x:v>
      </x:c>
    </x:row>
    <x:row r="31" ht="23" customHeight="1">
      <x:c r="A31" s="2" t="str">
        <x:v>2026-10-23_Night</x:v>
      </x:c>
      <x:c r="B31" s="2" t="str">
        <x:v>上昇</x:v>
      </x:c>
      <x:c r="C31" s="19" t="n">
        <x:v>187000</x:v>
      </x:c>
      <x:c r="D31" s="19" t="n">
        <x:v>237000</x:v>
      </x:c>
      <x:c r="E31" s="19" t="n">
        <x:f>C31-D31</x:f>
        <x:v>-50000</x:v>
      </x:c>
      <x:c r="F31" s="19" t="n">
        <x:f>F30+E31</x:f>
        <x:v>-546000</x:v>
      </x:c>
      <x:c r="G31" s="20" t="n">
        <x:v>14</x:v>
      </x:c>
      <x:c r="H31" s="20" t="n">
        <x:v>51</x:v>
      </x:c>
      <x:c r="I31" s="19" t="n">
        <x:v>-65000</x:v>
      </x:c>
      <x:c r="J31" s="19" t="n">
        <x:v>15000</x:v>
      </x:c>
      <x:c r="K31" s="20" t="n">
        <x:v>9</x:v>
      </x:c>
    </x:row>
    <x:row r="32" ht="23" customHeight="1">
      <x:c r="A32" s="24" t="str">
        <x:v>25夜累計</x:v>
      </x:c>
      <x:c r="B32" s="24"/>
      <x:c r="C32" s="25" t="n">
        <x:f>SUM(C7:C31)</x:f>
        <x:v>4561000</x:v>
      </x:c>
      <x:c r="D32" s="25" t="n">
        <x:f>SUM(D7:D31)</x:f>
        <x:v>5107000</x:v>
      </x:c>
      <x:c r="E32" s="25" t="n">
        <x:f>C32-D32</x:f>
        <x:v>-546000</x:v>
      </x:c>
      <x:c r="F32" s="25" t="n">
        <x:f>F31</x:f>
        <x:v>-546000</x:v>
      </x:c>
      <x:c r="G32" s="26" t="n">
        <x:f>SUM(G7:G31)</x:f>
        <x:v>276</x:v>
      </x:c>
      <x:c r="H32" s="26" t="n">
        <x:f>SUM(H7:H31)</x:f>
        <x:v>913</x:v>
      </x:c>
      <x:c r="I32" s="25" t="n">
        <x:f>SUM(I7:I31)</x:f>
        <x:v>-2100000</x:v>
      </x:c>
      <x:c r="J32" s="25" t="n">
        <x:f>SUM(J7:J31)</x:f>
        <x:v>1554000</x:v>
      </x:c>
      <x:c r="K32" s="26" t="n">
        <x:f>SUM(K7:K31)</x:f>
        <x:v>205</x:v>
      </x:c>
    </x:row>
    <x:row r="33" ht="23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</x:row>
  </x:sheetData>
  <x:conditionalFormatting sqref="C7:F32">
    <x:cfRule type="cellIs" dxfId="16" priority="1" operator="lessThan">
      <x:formula>0</x:formula>
    </x:cfRule>
  </x:conditionalFormatting>
  <x:conditionalFormatting sqref="I7:J32">
    <x:cfRule type="cellIs" dxfId="17" priority="2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145549986a848a1"/>
  </x:tableParts>
</x:worksheet>
</file>

<file path=xl/worksheets/sheet11.xml><?xml version="1.0" encoding="utf-8"?>
<x:worksheet xmlns:x="http://schemas.openxmlformats.org/spreadsheetml/2006/main">
  <x:sheetPr>
    <x:tabColor rgb="FF244A70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8" hidden="0" customWidth="1"/>
    <x:col min="2" max="2" width="14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23" customHeight="1">
      <x:c r="A2" s="4" t="str">
        <x:v>P09　全夜間の利益・損失・収支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</x:row>
    <x:row r="3" ht="23" customHeight="1">
      <x:c r="A3" s="6" t="str">
        <x:v>日経mini・片方向上限10枚・手数料0円・気配差込み。利益と損失は完結した親取引の収支を分類。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 ht="23" customHeight="1">
      <x:c r="A4" s="6" t="str">
        <x:v>2026/09/21～10/23の既知25夜。前段は米国開始15分前まで、後段は米国開始15分後から。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</x:row>
    <x:row r="5" ht="23" customHeight="1">
      <x:c r="A5" s="6" t="str">
        <x:v>100pt順行後のトレール幅だけ40ptへ短縮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</x:row>
    <x:row r="6" ht="40" customHeight="1">
      <x:c r="A6" s="15" t="str">
        <x:v>セッション</x:v>
      </x:c>
      <x:c r="B6" s="16" t="str">
        <x:v>始終値方向</x:v>
      </x:c>
      <x:c r="C6" s="16" t="str">
        <x:v>利益（円）</x:v>
      </x:c>
      <x:c r="D6" s="16" t="str">
        <x:v>損失（円）</x:v>
      </x:c>
      <x:c r="E6" s="16" t="str">
        <x:v>収支（円）</x:v>
      </x:c>
      <x:c r="F6" s="16" t="str">
        <x:v>累計（円）</x:v>
      </x:c>
      <x:c r="G6" s="16" t="str">
        <x:v>新規件数</x:v>
      </x:c>
      <x:c r="H6" s="16" t="str">
        <x:v>新規合計枚数</x:v>
      </x:c>
      <x:c r="I6" s="16" t="str">
        <x:v>前段収支（円）</x:v>
      </x:c>
      <x:c r="J6" s="16" t="str">
        <x:v>後段収支（円）</x:v>
      </x:c>
      <x:c r="K6" s="17" t="str">
        <x:v>親取引数</x:v>
      </x:c>
    </x:row>
    <x:row r="7" ht="23" customHeight="1">
      <x:c r="A7" s="2" t="str">
        <x:v>2026-09-21_Night</x:v>
      </x:c>
      <x:c r="B7" s="2" t="str">
        <x:v>上昇</x:v>
      </x:c>
      <x:c r="C7" s="19" t="n">
        <x:v>0</x:v>
      </x:c>
      <x:c r="D7" s="19" t="n">
        <x:v>45000</x:v>
      </x:c>
      <x:c r="E7" s="19" t="n">
        <x:f>C7-D7</x:f>
        <x:v>-45000</x:v>
      </x:c>
      <x:c r="F7" s="19" t="n">
        <x:f>E7</x:f>
        <x:v>-45000</x:v>
      </x:c>
      <x:c r="G7" s="20" t="n">
        <x:v>1</x:v>
      </x:c>
      <x:c r="H7" s="20" t="n">
        <x:v>5</x:v>
      </x:c>
      <x:c r="I7" s="19" t="n">
        <x:v>0</x:v>
      </x:c>
      <x:c r="J7" s="19" t="n">
        <x:v>-45000</x:v>
      </x:c>
      <x:c r="K7" s="20" t="n">
        <x:v>1</x:v>
      </x:c>
    </x:row>
    <x:row r="8" ht="23" customHeight="1">
      <x:c r="A8" s="2" t="str">
        <x:v>2026-09-22_Night</x:v>
      </x:c>
      <x:c r="B8" s="2" t="str">
        <x:v>上昇</x:v>
      </x:c>
      <x:c r="C8" s="19" t="n">
        <x:v>179000</x:v>
      </x:c>
      <x:c r="D8" s="19" t="n">
        <x:v>95000</x:v>
      </x:c>
      <x:c r="E8" s="19" t="n">
        <x:f>C8-D8</x:f>
        <x:v>84000</x:v>
      </x:c>
      <x:c r="F8" s="19" t="n">
        <x:f>F7+E8</x:f>
        <x:v>39000</x:v>
      </x:c>
      <x:c r="G8" s="20" t="n">
        <x:v>6</x:v>
      </x:c>
      <x:c r="H8" s="20" t="n">
        <x:v>30</x:v>
      </x:c>
      <x:c r="I8" s="19" t="n">
        <x:v>60000</x:v>
      </x:c>
      <x:c r="J8" s="19" t="n">
        <x:v>24000</x:v>
      </x:c>
      <x:c r="K8" s="20" t="n">
        <x:v>5</x:v>
      </x:c>
    </x:row>
    <x:row r="9" ht="23" customHeight="1">
      <x:c r="A9" s="2" t="str">
        <x:v>2026-09-23_Night</x:v>
      </x:c>
      <x:c r="B9" s="2" t="str">
        <x:v>下落</x:v>
      </x:c>
      <x:c r="C9" s="19" t="n">
        <x:v>4000</x:v>
      </x:c>
      <x:c r="D9" s="19" t="n">
        <x:v>40000</x:v>
      </x:c>
      <x:c r="E9" s="19" t="n">
        <x:f>C9-D9</x:f>
        <x:v>-36000</x:v>
      </x:c>
      <x:c r="F9" s="19" t="n">
        <x:f>F8+E9</x:f>
        <x:v>3000</x:v>
      </x:c>
      <x:c r="G9" s="20" t="n">
        <x:v>3</x:v>
      </x:c>
      <x:c r="H9" s="20" t="n">
        <x:v>7</x:v>
      </x:c>
      <x:c r="I9" s="19" t="n">
        <x:v>0</x:v>
      </x:c>
      <x:c r="J9" s="19" t="n">
        <x:v>-36000</x:v>
      </x:c>
      <x:c r="K9" s="20" t="n">
        <x:v>2</x:v>
      </x:c>
    </x:row>
    <x:row r="10" ht="23" customHeight="1">
      <x:c r="A10" s="2" t="str">
        <x:v>2026-09-24_Night</x:v>
      </x:c>
      <x:c r="B10" s="2" t="str">
        <x:v>下落</x:v>
      </x:c>
      <x:c r="C10" s="19" t="n">
        <x:v>125000</x:v>
      </x:c>
      <x:c r="D10" s="19" t="n">
        <x:v>145000</x:v>
      </x:c>
      <x:c r="E10" s="19" t="n">
        <x:f>C10-D10</x:f>
        <x:v>-20000</x:v>
      </x:c>
      <x:c r="F10" s="19" t="n">
        <x:f>F9+E10</x:f>
        <x:v>-17000</x:v>
      </x:c>
      <x:c r="G10" s="20" t="n">
        <x:v>8</x:v>
      </x:c>
      <x:c r="H10" s="20" t="n">
        <x:v>32</x:v>
      </x:c>
      <x:c r="I10" s="19" t="n">
        <x:v>-40000</x:v>
      </x:c>
      <x:c r="J10" s="19" t="n">
        <x:v>20000</x:v>
      </x:c>
      <x:c r="K10" s="20" t="n">
        <x:v>6</x:v>
      </x:c>
    </x:row>
    <x:row r="11" ht="23" customHeight="1">
      <x:c r="A11" s="2" t="str">
        <x:v>2026-09-25_Night</x:v>
      </x:c>
      <x:c r="B11" s="2" t="str">
        <x:v>上昇</x:v>
      </x:c>
      <x:c r="C11" s="19" t="n">
        <x:v>67000</x:v>
      </x:c>
      <x:c r="D11" s="19" t="n">
        <x:v>166000</x:v>
      </x:c>
      <x:c r="E11" s="19" t="n">
        <x:f>C11-D11</x:f>
        <x:v>-99000</x:v>
      </x:c>
      <x:c r="F11" s="19" t="n">
        <x:f>F10+E11</x:f>
        <x:v>-116000</x:v>
      </x:c>
      <x:c r="G11" s="20" t="n">
        <x:v>6</x:v>
      </x:c>
      <x:c r="H11" s="20" t="n">
        <x:v>26</x:v>
      </x:c>
      <x:c r="I11" s="19" t="n">
        <x:v>-100000</x:v>
      </x:c>
      <x:c r="J11" s="19" t="n">
        <x:v>1000</x:v>
      </x:c>
      <x:c r="K11" s="20" t="n">
        <x:v>6</x:v>
      </x:c>
    </x:row>
    <x:row r="12" ht="23" customHeight="1">
      <x:c r="A12" s="2" t="str">
        <x:v>2026-09-28_Night</x:v>
      </x:c>
      <x:c r="B12" s="2" t="str">
        <x:v>下落</x:v>
      </x:c>
      <x:c r="C12" s="19" t="n">
        <x:v>66000</x:v>
      </x:c>
      <x:c r="D12" s="19" t="n">
        <x:v>213000</x:v>
      </x:c>
      <x:c r="E12" s="19" t="n">
        <x:f>C12-D12</x:f>
        <x:v>-147000</x:v>
      </x:c>
      <x:c r="F12" s="19" t="n">
        <x:f>F11+E12</x:f>
        <x:v>-263000</x:v>
      </x:c>
      <x:c r="G12" s="20" t="n">
        <x:v>11</x:v>
      </x:c>
      <x:c r="H12" s="20" t="n">
        <x:v>37</x:v>
      </x:c>
      <x:c r="I12" s="19" t="n">
        <x:v>-100000</x:v>
      </x:c>
      <x:c r="J12" s="19" t="n">
        <x:v>-47000</x:v>
      </x:c>
      <x:c r="K12" s="20" t="n">
        <x:v>10</x:v>
      </x:c>
    </x:row>
    <x:row r="13" ht="23" customHeight="1">
      <x:c r="A13" s="2" t="str">
        <x:v>2026-09-29_Night</x:v>
      </x:c>
      <x:c r="B13" s="2" t="str">
        <x:v>上昇</x:v>
      </x:c>
      <x:c r="C13" s="19" t="n">
        <x:v>87000</x:v>
      </x:c>
      <x:c r="D13" s="19" t="n">
        <x:v>167000</x:v>
      </x:c>
      <x:c r="E13" s="19" t="n">
        <x:f>C13-D13</x:f>
        <x:v>-80000</x:v>
      </x:c>
      <x:c r="F13" s="19" t="n">
        <x:f>F12+E13</x:f>
        <x:v>-343000</x:v>
      </x:c>
      <x:c r="G13" s="20" t="n">
        <x:v>9</x:v>
      </x:c>
      <x:c r="H13" s="20" t="n">
        <x:v>29</x:v>
      </x:c>
      <x:c r="I13" s="19" t="n">
        <x:v>-145000</x:v>
      </x:c>
      <x:c r="J13" s="19" t="n">
        <x:v>65000</x:v>
      </x:c>
      <x:c r="K13" s="20" t="n">
        <x:v>7</x:v>
      </x:c>
    </x:row>
    <x:row r="14" ht="23" customHeight="1">
      <x:c r="A14" s="2" t="str">
        <x:v>2026-09-30_Night</x:v>
      </x:c>
      <x:c r="B14" s="2" t="str">
        <x:v>下落</x:v>
      </x:c>
      <x:c r="C14" s="19" t="n">
        <x:v>293000</x:v>
      </x:c>
      <x:c r="D14" s="19" t="n">
        <x:v>445000</x:v>
      </x:c>
      <x:c r="E14" s="19" t="n">
        <x:f>C14-D14</x:f>
        <x:v>-152000</x:v>
      </x:c>
      <x:c r="F14" s="19" t="n">
        <x:f>F13+E14</x:f>
        <x:v>-495000</x:v>
      </x:c>
      <x:c r="G14" s="20" t="n">
        <x:v>16</x:v>
      </x:c>
      <x:c r="H14" s="20" t="n">
        <x:v>72</x:v>
      </x:c>
      <x:c r="I14" s="19" t="n">
        <x:v>-195000</x:v>
      </x:c>
      <x:c r="J14" s="19" t="n">
        <x:v>43000</x:v>
      </x:c>
      <x:c r="K14" s="20" t="n">
        <x:v>12</x:v>
      </x:c>
    </x:row>
    <x:row r="15" ht="23" customHeight="1">
      <x:c r="A15" s="2" t="str">
        <x:v>2026-10-01_Night</x:v>
      </x:c>
      <x:c r="B15" s="2" t="str">
        <x:v>上昇</x:v>
      </x:c>
      <x:c r="C15" s="19" t="n">
        <x:v>395000</x:v>
      </x:c>
      <x:c r="D15" s="19" t="n">
        <x:v>231000</x:v>
      </x:c>
      <x:c r="E15" s="19" t="n">
        <x:f>C15-D15</x:f>
        <x:v>164000</x:v>
      </x:c>
      <x:c r="F15" s="19" t="n">
        <x:f>F14+E15</x:f>
        <x:v>-331000</x:v>
      </x:c>
      <x:c r="G15" s="20" t="n">
        <x:v>20</x:v>
      </x:c>
      <x:c r="H15" s="20" t="n">
        <x:v>59</x:v>
      </x:c>
      <x:c r="I15" s="19" t="n">
        <x:v>55000</x:v>
      </x:c>
      <x:c r="J15" s="19" t="n">
        <x:v>109000</x:v>
      </x:c>
      <x:c r="K15" s="20" t="n">
        <x:v>15</x:v>
      </x:c>
    </x:row>
    <x:row r="16" ht="23" customHeight="1">
      <x:c r="A16" s="2" t="str">
        <x:v>2026-10-02_Night</x:v>
      </x:c>
      <x:c r="B16" s="2" t="str">
        <x:v>上昇</x:v>
      </x:c>
      <x:c r="C16" s="19" t="n">
        <x:v>494000</x:v>
      </x:c>
      <x:c r="D16" s="19" t="n">
        <x:v>338000</x:v>
      </x:c>
      <x:c r="E16" s="19" t="n">
        <x:f>C16-D16</x:f>
        <x:v>156000</x:v>
      </x:c>
      <x:c r="F16" s="19" t="n">
        <x:f>F15+E16</x:f>
        <x:v>-175000</x:v>
      </x:c>
      <x:c r="G16" s="20" t="n">
        <x:v>27</x:v>
      </x:c>
      <x:c r="H16" s="20" t="n">
        <x:v>88</x:v>
      </x:c>
      <x:c r="I16" s="19" t="n">
        <x:v>-105000</x:v>
      </x:c>
      <x:c r="J16" s="19" t="n">
        <x:v>261000</x:v>
      </x:c>
      <x:c r="K16" s="20" t="n">
        <x:v>20</x:v>
      </x:c>
    </x:row>
    <x:row r="17" ht="23" customHeight="1">
      <x:c r="A17" s="2" t="str">
        <x:v>2026-10-05_Night</x:v>
      </x:c>
      <x:c r="B17" s="2" t="str">
        <x:v>下落</x:v>
      </x:c>
      <x:c r="C17" s="19" t="n">
        <x:v>233000</x:v>
      </x:c>
      <x:c r="D17" s="19" t="n">
        <x:v>264000</x:v>
      </x:c>
      <x:c r="E17" s="19" t="n">
        <x:f>C17-D17</x:f>
        <x:v>-31000</x:v>
      </x:c>
      <x:c r="F17" s="19" t="n">
        <x:f>F16+E17</x:f>
        <x:v>-206000</x:v>
      </x:c>
      <x:c r="G17" s="20" t="n">
        <x:v>13</x:v>
      </x:c>
      <x:c r="H17" s="20" t="n">
        <x:v>44</x:v>
      </x:c>
      <x:c r="I17" s="19" t="n">
        <x:v>-65000</x:v>
      </x:c>
      <x:c r="J17" s="19" t="n">
        <x:v>34000</x:v>
      </x:c>
      <x:c r="K17" s="20" t="n">
        <x:v>10</x:v>
      </x:c>
    </x:row>
    <x:row r="18" ht="23" customHeight="1">
      <x:c r="A18" s="2" t="str">
        <x:v>2026-10-06_Night</x:v>
      </x:c>
      <x:c r="B18" s="2" t="str">
        <x:v>下落</x:v>
      </x:c>
      <x:c r="C18" s="19" t="n">
        <x:v>33000</x:v>
      </x:c>
      <x:c r="D18" s="19" t="n">
        <x:v>153000</x:v>
      </x:c>
      <x:c r="E18" s="19" t="n">
        <x:f>C18-D18</x:f>
        <x:v>-120000</x:v>
      </x:c>
      <x:c r="F18" s="19" t="n">
        <x:f>F17+E18</x:f>
        <x:v>-326000</x:v>
      </x:c>
      <x:c r="G18" s="20" t="n">
        <x:v>8</x:v>
      </x:c>
      <x:c r="H18" s="20" t="n">
        <x:v>28</x:v>
      </x:c>
      <x:c r="I18" s="19" t="n">
        <x:v>-110000</x:v>
      </x:c>
      <x:c r="J18" s="19" t="n">
        <x:v>-10000</x:v>
      </x:c>
      <x:c r="K18" s="20" t="n">
        <x:v>5</x:v>
      </x:c>
    </x:row>
    <x:row r="19" ht="23" customHeight="1">
      <x:c r="A19" s="2" t="str">
        <x:v>2026-10-07_Night</x:v>
      </x:c>
      <x:c r="B19" s="2" t="str">
        <x:v>下落</x:v>
      </x:c>
      <x:c r="C19" s="19" t="n">
        <x:v>0</x:v>
      </x:c>
      <x:c r="D19" s="19" t="n">
        <x:v>172000</x:v>
      </x:c>
      <x:c r="E19" s="19" t="n">
        <x:f>C19-D19</x:f>
        <x:v>-172000</x:v>
      </x:c>
      <x:c r="F19" s="19" t="n">
        <x:f>F18+E19</x:f>
        <x:v>-498000</x:v>
      </x:c>
      <x:c r="G19" s="20" t="n">
        <x:v>5</x:v>
      </x:c>
      <x:c r="H19" s="20" t="n">
        <x:v>17</x:v>
      </x:c>
      <x:c r="I19" s="19" t="n">
        <x:v>-150000</x:v>
      </x:c>
      <x:c r="J19" s="19" t="n">
        <x:v>-22000</x:v>
      </x:c>
      <x:c r="K19" s="20" t="n">
        <x:v>4</x:v>
      </x:c>
    </x:row>
    <x:row r="20" ht="23" customHeight="1">
      <x:c r="A20" s="2" t="str">
        <x:v>2026-10-08_Night</x:v>
      </x:c>
      <x:c r="B20" s="2" t="str">
        <x:v>下落</x:v>
      </x:c>
      <x:c r="C20" s="19" t="n">
        <x:v>500000</x:v>
      </x:c>
      <x:c r="D20" s="19" t="n">
        <x:v>70000</x:v>
      </x:c>
      <x:c r="E20" s="19" t="n">
        <x:f>C20-D20</x:f>
        <x:v>430000</x:v>
      </x:c>
      <x:c r="F20" s="19" t="n">
        <x:f>F19+E20</x:f>
        <x:v>-68000</x:v>
      </x:c>
      <x:c r="G20" s="20" t="n">
        <x:v>20</x:v>
      </x:c>
      <x:c r="H20" s="20" t="n">
        <x:v>53</x:v>
      </x:c>
      <x:c r="I20" s="19" t="n">
        <x:v>120000</x:v>
      </x:c>
      <x:c r="J20" s="19" t="n">
        <x:v>310000</x:v>
      </x:c>
      <x:c r="K20" s="20" t="n">
        <x:v>14</x:v>
      </x:c>
    </x:row>
    <x:row r="21" ht="23" customHeight="1">
      <x:c r="A21" s="2" t="str">
        <x:v>2026-10-09_Night</x:v>
      </x:c>
      <x:c r="B21" s="2" t="str">
        <x:v>下落</x:v>
      </x:c>
      <x:c r="C21" s="19" t="n">
        <x:v>14000</x:v>
      </x:c>
      <x:c r="D21" s="19" t="n">
        <x:v>95000</x:v>
      </x:c>
      <x:c r="E21" s="19" t="n">
        <x:f>C21-D21</x:f>
        <x:v>-81000</x:v>
      </x:c>
      <x:c r="F21" s="19" t="n">
        <x:f>F20+E21</x:f>
        <x:v>-149000</x:v>
      </x:c>
      <x:c r="G21" s="20" t="n">
        <x:v>3</x:v>
      </x:c>
      <x:c r="H21" s="20" t="n">
        <x:v>15</x:v>
      </x:c>
      <x:c r="I21" s="19" t="n">
        <x:v>-95000</x:v>
      </x:c>
      <x:c r="J21" s="19" t="n">
        <x:v>14000</x:v>
      </x:c>
      <x:c r="K21" s="20" t="n">
        <x:v>3</x:v>
      </x:c>
    </x:row>
    <x:row r="22" ht="23" customHeight="1">
      <x:c r="A22" s="2" t="str">
        <x:v>2026-10-12_Night</x:v>
      </x:c>
      <x:c r="B22" s="2" t="str">
        <x:v>下落</x:v>
      </x:c>
      <x:c r="C22" s="19" t="n">
        <x:v>82000</x:v>
      </x:c>
      <x:c r="D22" s="19" t="n">
        <x:v>50000</x:v>
      </x:c>
      <x:c r="E22" s="19" t="n">
        <x:f>C22-D22</x:f>
        <x:v>32000</x:v>
      </x:c>
      <x:c r="F22" s="19" t="n">
        <x:f>F21+E22</x:f>
        <x:v>-117000</x:v>
      </x:c>
      <x:c r="G22" s="20" t="n">
        <x:v>2</x:v>
      </x:c>
      <x:c r="H22" s="20" t="n">
        <x:v>10</x:v>
      </x:c>
      <x:c r="I22" s="19" t="n">
        <x:v>-50000</x:v>
      </x:c>
      <x:c r="J22" s="19" t="n">
        <x:v>82000</x:v>
      </x:c>
      <x:c r="K22" s="20" t="n">
        <x:v>2</x:v>
      </x:c>
    </x:row>
    <x:row r="23" ht="23" customHeight="1">
      <x:c r="A23" s="2" t="str">
        <x:v>2026-10-13_Night</x:v>
      </x:c>
      <x:c r="B23" s="2" t="str">
        <x:v>上昇</x:v>
      </x:c>
      <x:c r="C23" s="19" t="n">
        <x:v>35000</x:v>
      </x:c>
      <x:c r="D23" s="19" t="n">
        <x:v>53000</x:v>
      </x:c>
      <x:c r="E23" s="19" t="n">
        <x:f>C23-D23</x:f>
        <x:v>-18000</x:v>
      </x:c>
      <x:c r="F23" s="19" t="n">
        <x:f>F22+E23</x:f>
        <x:v>-135000</x:v>
      </x:c>
      <x:c r="G23" s="20" t="n">
        <x:v>5</x:v>
      </x:c>
      <x:c r="H23" s="20" t="n">
        <x:v>21</x:v>
      </x:c>
      <x:c r="I23" s="19" t="n">
        <x:v>35000</x:v>
      </x:c>
      <x:c r="J23" s="19" t="n">
        <x:v>-53000</x:v>
      </x:c>
      <x:c r="K23" s="20" t="n">
        <x:v>4</x:v>
      </x:c>
    </x:row>
    <x:row r="24" ht="23" customHeight="1">
      <x:c r="A24" s="2" t="str">
        <x:v>2026-10-14_Night</x:v>
      </x:c>
      <x:c r="B24" s="2" t="str">
        <x:v>下落</x:v>
      </x:c>
      <x:c r="C24" s="19" t="n">
        <x:v>262000</x:v>
      </x:c>
      <x:c r="D24" s="19" t="n">
        <x:v>411000</x:v>
      </x:c>
      <x:c r="E24" s="19" t="n">
        <x:f>C24-D24</x:f>
        <x:v>-149000</x:v>
      </x:c>
      <x:c r="F24" s="19" t="n">
        <x:f>F23+E24</x:f>
        <x:v>-284000</x:v>
      </x:c>
      <x:c r="G24" s="20" t="n">
        <x:v>11</x:v>
      </x:c>
      <x:c r="H24" s="20" t="n">
        <x:v>44</x:v>
      </x:c>
      <x:c r="I24" s="19" t="n">
        <x:v>-285000</x:v>
      </x:c>
      <x:c r="J24" s="19" t="n">
        <x:v>136000</x:v>
      </x:c>
      <x:c r="K24" s="20" t="n">
        <x:v>10</x:v>
      </x:c>
    </x:row>
    <x:row r="25" ht="23" customHeight="1">
      <x:c r="A25" s="2" t="str">
        <x:v>2026-10-15_Night</x:v>
      </x:c>
      <x:c r="B25" s="2" t="str">
        <x:v>上昇</x:v>
      </x:c>
      <x:c r="C25" s="19" t="n">
        <x:v>251000</x:v>
      </x:c>
      <x:c r="D25" s="19" t="n">
        <x:v>320000</x:v>
      </x:c>
      <x:c r="E25" s="19" t="n">
        <x:f>C25-D25</x:f>
        <x:v>-69000</x:v>
      </x:c>
      <x:c r="F25" s="19" t="n">
        <x:f>F24+E25</x:f>
        <x:v>-353000</x:v>
      </x:c>
      <x:c r="G25" s="20" t="n">
        <x:v>18</x:v>
      </x:c>
      <x:c r="H25" s="20" t="n">
        <x:v>44</x:v>
      </x:c>
      <x:c r="I25" s="19" t="n">
        <x:v>-165000</x:v>
      </x:c>
      <x:c r="J25" s="19" t="n">
        <x:v>96000</x:v>
      </x:c>
      <x:c r="K25" s="20" t="n">
        <x:v>14</x:v>
      </x:c>
    </x:row>
    <x:row r="26" ht="23" customHeight="1">
      <x:c r="A26" s="2" t="str">
        <x:v>2026-10-16_Night</x:v>
      </x:c>
      <x:c r="B26" s="2" t="str">
        <x:v>下落</x:v>
      </x:c>
      <x:c r="C26" s="19" t="n">
        <x:v>153000</x:v>
      </x:c>
      <x:c r="D26" s="19" t="n">
        <x:v>242000</x:v>
      </x:c>
      <x:c r="E26" s="19" t="n">
        <x:f>C26-D26</x:f>
        <x:v>-89000</x:v>
      </x:c>
      <x:c r="F26" s="19" t="n">
        <x:f>F25+E26</x:f>
        <x:v>-442000</x:v>
      </x:c>
      <x:c r="G26" s="20" t="n">
        <x:v>15</x:v>
      </x:c>
      <x:c r="H26" s="20" t="n">
        <x:v>37</x:v>
      </x:c>
      <x:c r="I26" s="19" t="n">
        <x:v>-100000</x:v>
      </x:c>
      <x:c r="J26" s="19" t="n">
        <x:v>11000</x:v>
      </x:c>
      <x:c r="K26" s="20" t="n">
        <x:v>13</x:v>
      </x:c>
    </x:row>
    <x:row r="27" ht="23" customHeight="1">
      <x:c r="A27" s="2" t="str">
        <x:v>2026-10-19_Night</x:v>
      </x:c>
      <x:c r="B27" s="2" t="str">
        <x:v>上昇</x:v>
      </x:c>
      <x:c r="C27" s="19" t="n">
        <x:v>153000</x:v>
      </x:c>
      <x:c r="D27" s="19" t="n">
        <x:v>343000</x:v>
      </x:c>
      <x:c r="E27" s="19" t="n">
        <x:f>C27-D27</x:f>
        <x:v>-190000</x:v>
      </x:c>
      <x:c r="F27" s="19" t="n">
        <x:f>F26+E27</x:f>
        <x:v>-632000</x:v>
      </x:c>
      <x:c r="G27" s="20" t="n">
        <x:v>20</x:v>
      </x:c>
      <x:c r="H27" s="20" t="n">
        <x:v>53</x:v>
      </x:c>
      <x:c r="I27" s="19" t="n">
        <x:v>-205000</x:v>
      </x:c>
      <x:c r="J27" s="19" t="n">
        <x:v>15000</x:v>
      </x:c>
      <x:c r="K27" s="20" t="n">
        <x:v>15</x:v>
      </x:c>
    </x:row>
    <x:row r="28" ht="23" customHeight="1">
      <x:c r="A28" s="2" t="str">
        <x:v>2026-10-20_Night</x:v>
      </x:c>
      <x:c r="B28" s="2" t="str">
        <x:v>上昇</x:v>
      </x:c>
      <x:c r="C28" s="19" t="n">
        <x:v>757000</x:v>
      </x:c>
      <x:c r="D28" s="19" t="n">
        <x:v>254000</x:v>
      </x:c>
      <x:c r="E28" s="19" t="n">
        <x:f>C28-D28</x:f>
        <x:v>503000</x:v>
      </x:c>
      <x:c r="F28" s="19" t="n">
        <x:f>F27+E28</x:f>
        <x:v>-129000</x:v>
      </x:c>
      <x:c r="G28" s="20" t="n">
        <x:v>24</x:v>
      </x:c>
      <x:c r="H28" s="20" t="n">
        <x:v>84</x:v>
      </x:c>
      <x:c r="I28" s="19" t="n">
        <x:v>25000</x:v>
      </x:c>
      <x:c r="J28" s="19" t="n">
        <x:v>478000</x:v>
      </x:c>
      <x:c r="K28" s="20" t="n">
        <x:v>15</x:v>
      </x:c>
    </x:row>
    <x:row r="29" ht="23" customHeight="1">
      <x:c r="A29" s="2" t="str">
        <x:v>2026-10-21_Night</x:v>
      </x:c>
      <x:c r="B29" s="2" t="str">
        <x:v>上昇</x:v>
      </x:c>
      <x:c r="C29" s="19" t="n">
        <x:v>206000</x:v>
      </x:c>
      <x:c r="D29" s="19" t="n">
        <x:v>335000</x:v>
      </x:c>
      <x:c r="E29" s="19" t="n">
        <x:f>C29-D29</x:f>
        <x:v>-129000</x:v>
      </x:c>
      <x:c r="F29" s="19" t="n">
        <x:f>F28+E29</x:f>
        <x:v>-258000</x:v>
      </x:c>
      <x:c r="G29" s="20" t="n">
        <x:v>16</x:v>
      </x:c>
      <x:c r="H29" s="20" t="n">
        <x:v>72</x:v>
      </x:c>
      <x:c r="I29" s="19" t="n">
        <x:v>-105000</x:v>
      </x:c>
      <x:c r="J29" s="19" t="n">
        <x:v>-24000</x:v>
      </x:c>
      <x:c r="K29" s="20" t="n">
        <x:v>11</x:v>
      </x:c>
    </x:row>
    <x:row r="30" ht="23" customHeight="1">
      <x:c r="A30" s="2" t="str">
        <x:v>2026-10-22_Night</x:v>
      </x:c>
      <x:c r="B30" s="2" t="str">
        <x:v>下落</x:v>
      </x:c>
      <x:c r="C30" s="19" t="n">
        <x:v>160000</x:v>
      </x:c>
      <x:c r="D30" s="19" t="n">
        <x:v>348000</x:v>
      </x:c>
      <x:c r="E30" s="19" t="n">
        <x:f>C30-D30</x:f>
        <x:v>-188000</x:v>
      </x:c>
      <x:c r="F30" s="19" t="n">
        <x:f>F29+E30</x:f>
        <x:v>-446000</x:v>
      </x:c>
      <x:c r="G30" s="20" t="n">
        <x:v>14</x:v>
      </x:c>
      <x:c r="H30" s="20" t="n">
        <x:v>50</x:v>
      </x:c>
      <x:c r="I30" s="19" t="n">
        <x:v>-265000</x:v>
      </x:c>
      <x:c r="J30" s="19" t="n">
        <x:v>77000</x:v>
      </x:c>
      <x:c r="K30" s="20" t="n">
        <x:v>11</x:v>
      </x:c>
    </x:row>
    <x:row r="31" ht="23" customHeight="1">
      <x:c r="A31" s="2" t="str">
        <x:v>2026-10-23_Night</x:v>
      </x:c>
      <x:c r="B31" s="2" t="str">
        <x:v>上昇</x:v>
      </x:c>
      <x:c r="C31" s="19" t="n">
        <x:v>192000</x:v>
      </x:c>
      <x:c r="D31" s="19" t="n">
        <x:v>182000</x:v>
      </x:c>
      <x:c r="E31" s="19" t="n">
        <x:f>C31-D31</x:f>
        <x:v>10000</x:v>
      </x:c>
      <x:c r="F31" s="19" t="n">
        <x:f>F30+E31</x:f>
        <x:v>-436000</x:v>
      </x:c>
      <x:c r="G31" s="20" t="n">
        <x:v>15</x:v>
      </x:c>
      <x:c r="H31" s="20" t="n">
        <x:v>56</x:v>
      </x:c>
      <x:c r="I31" s="19" t="n">
        <x:v>-5000</x:v>
      </x:c>
      <x:c r="J31" s="19" t="n">
        <x:v>15000</x:v>
      </x:c>
      <x:c r="K31" s="20" t="n">
        <x:v>11</x:v>
      </x:c>
    </x:row>
    <x:row r="32" ht="23" customHeight="1">
      <x:c r="A32" s="24" t="str">
        <x:v>25夜累計</x:v>
      </x:c>
      <x:c r="B32" s="24"/>
      <x:c r="C32" s="25" t="n">
        <x:f>SUM(C7:C31)</x:f>
        <x:v>4741000</x:v>
      </x:c>
      <x:c r="D32" s="25" t="n">
        <x:f>SUM(D7:D31)</x:f>
        <x:v>5177000</x:v>
      </x:c>
      <x:c r="E32" s="25" t="n">
        <x:f>C32-D32</x:f>
        <x:v>-436000</x:v>
      </x:c>
      <x:c r="F32" s="25" t="n">
        <x:f>F31</x:f>
        <x:v>-436000</x:v>
      </x:c>
      <x:c r="G32" s="26" t="n">
        <x:f>SUM(G7:G31)</x:f>
        <x:v>296</x:v>
      </x:c>
      <x:c r="H32" s="26" t="n">
        <x:f>SUM(H7:H31)</x:f>
        <x:v>1013</x:v>
      </x:c>
      <x:c r="I32" s="25" t="n">
        <x:f>SUM(I7:I31)</x:f>
        <x:v>-1990000</x:v>
      </x:c>
      <x:c r="J32" s="25" t="n">
        <x:f>SUM(J7:J31)</x:f>
        <x:v>1554000</x:v>
      </x:c>
      <x:c r="K32" s="26" t="n">
        <x:f>SUM(K7:K31)</x:f>
        <x:v>226</x:v>
      </x:c>
    </x:row>
    <x:row r="33" ht="23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</x:row>
  </x:sheetData>
  <x:conditionalFormatting sqref="C7:F32">
    <x:cfRule type="cellIs" dxfId="18" priority="1" operator="lessThan">
      <x:formula>0</x:formula>
    </x:cfRule>
  </x:conditionalFormatting>
  <x:conditionalFormatting sqref="I7:J32">
    <x:cfRule type="cellIs" dxfId="19" priority="2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06af99a3bc24875"/>
  </x:tableParts>
</x:worksheet>
</file>

<file path=xl/worksheets/sheet12.xml><?xml version="1.0" encoding="utf-8"?>
<x:worksheet xmlns:x="http://schemas.openxmlformats.org/spreadsheetml/2006/main">
  <x:sheetPr>
    <x:tabColor rgb="FF244A70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8" hidden="0" customWidth="1"/>
    <x:col min="2" max="2" width="14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23" customHeight="1">
      <x:c r="A2" s="4" t="str">
        <x:v>P10　全夜間の利益・損失・収支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</x:row>
    <x:row r="3" ht="23" customHeight="1">
      <x:c r="A3" s="6" t="str">
        <x:v>日経mini・片方向上限10枚・手数料0円・気配差込み。利益と損失は完結した親取引の収支を分類。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 ht="23" customHeight="1">
      <x:c r="A4" s="6" t="str">
        <x:v>2026/09/21～10/23の既知25夜。前段は米国開始15分前まで、後段は米国開始15分後から。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</x:row>
    <x:row r="5" ht="23" customHeight="1">
      <x:c r="A5" s="6" t="str">
        <x:v>初期損切り幅を140ptに変更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</x:row>
    <x:row r="6" ht="40" customHeight="1">
      <x:c r="A6" s="15" t="str">
        <x:v>セッション</x:v>
      </x:c>
      <x:c r="B6" s="16" t="str">
        <x:v>始終値方向</x:v>
      </x:c>
      <x:c r="C6" s="16" t="str">
        <x:v>利益（円）</x:v>
      </x:c>
      <x:c r="D6" s="16" t="str">
        <x:v>損失（円）</x:v>
      </x:c>
      <x:c r="E6" s="16" t="str">
        <x:v>収支（円）</x:v>
      </x:c>
      <x:c r="F6" s="16" t="str">
        <x:v>累計（円）</x:v>
      </x:c>
      <x:c r="G6" s="16" t="str">
        <x:v>新規件数</x:v>
      </x:c>
      <x:c r="H6" s="16" t="str">
        <x:v>新規合計枚数</x:v>
      </x:c>
      <x:c r="I6" s="16" t="str">
        <x:v>前段収支（円）</x:v>
      </x:c>
      <x:c r="J6" s="16" t="str">
        <x:v>後段収支（円）</x:v>
      </x:c>
      <x:c r="K6" s="17" t="str">
        <x:v>親取引数</x:v>
      </x:c>
    </x:row>
    <x:row r="7" ht="23" customHeight="1">
      <x:c r="A7" s="2" t="str">
        <x:v>2026-09-21_Night</x:v>
      </x:c>
      <x:c r="B7" s="2" t="str">
        <x:v>上昇</x:v>
      </x:c>
      <x:c r="C7" s="19" t="n">
        <x:v>0</x:v>
      </x:c>
      <x:c r="D7" s="19" t="n">
        <x:v>45000</x:v>
      </x:c>
      <x:c r="E7" s="19" t="n">
        <x:f>C7-D7</x:f>
        <x:v>-45000</x:v>
      </x:c>
      <x:c r="F7" s="19" t="n">
        <x:f>E7</x:f>
        <x:v>-45000</x:v>
      </x:c>
      <x:c r="G7" s="20" t="n">
        <x:v>1</x:v>
      </x:c>
      <x:c r="H7" s="20" t="n">
        <x:v>5</x:v>
      </x:c>
      <x:c r="I7" s="19" t="n">
        <x:v>0</x:v>
      </x:c>
      <x:c r="J7" s="19" t="n">
        <x:v>-45000</x:v>
      </x:c>
      <x:c r="K7" s="20" t="n">
        <x:v>1</x:v>
      </x:c>
    </x:row>
    <x:row r="8" ht="23" customHeight="1">
      <x:c r="A8" s="2" t="str">
        <x:v>2026-09-22_Night</x:v>
      </x:c>
      <x:c r="B8" s="2" t="str">
        <x:v>上昇</x:v>
      </x:c>
      <x:c r="C8" s="19" t="n">
        <x:v>219000</x:v>
      </x:c>
      <x:c r="D8" s="19" t="n">
        <x:v>0</x:v>
      </x:c>
      <x:c r="E8" s="19" t="n">
        <x:f>C8-D8</x:f>
        <x:v>219000</x:v>
      </x:c>
      <x:c r="F8" s="19" t="n">
        <x:f>F7+E8</x:f>
        <x:v>174000</x:v>
      </x:c>
      <x:c r="G8" s="20" t="n">
        <x:v>4</x:v>
      </x:c>
      <x:c r="H8" s="20" t="n">
        <x:v>20</x:v>
      </x:c>
      <x:c r="I8" s="19" t="n">
        <x:v>195000</x:v>
      </x:c>
      <x:c r="J8" s="19" t="n">
        <x:v>24000</x:v>
      </x:c>
      <x:c r="K8" s="20" t="n">
        <x:v>3</x:v>
      </x:c>
    </x:row>
    <x:row r="9" ht="23" customHeight="1">
      <x:c r="A9" s="2" t="str">
        <x:v>2026-09-23_Night</x:v>
      </x:c>
      <x:c r="B9" s="2" t="str">
        <x:v>下落</x:v>
      </x:c>
      <x:c r="C9" s="19" t="n">
        <x:v>4000</x:v>
      </x:c>
      <x:c r="D9" s="19" t="n">
        <x:v>40000</x:v>
      </x:c>
      <x:c r="E9" s="19" t="n">
        <x:f>C9-D9</x:f>
        <x:v>-36000</x:v>
      </x:c>
      <x:c r="F9" s="19" t="n">
        <x:f>F8+E9</x:f>
        <x:v>138000</x:v>
      </x:c>
      <x:c r="G9" s="20" t="n">
        <x:v>3</x:v>
      </x:c>
      <x:c r="H9" s="20" t="n">
        <x:v>7</x:v>
      </x:c>
      <x:c r="I9" s="19" t="n">
        <x:v>0</x:v>
      </x:c>
      <x:c r="J9" s="19" t="n">
        <x:v>-36000</x:v>
      </x:c>
      <x:c r="K9" s="20" t="n">
        <x:v>2</x:v>
      </x:c>
    </x:row>
    <x:row r="10" ht="23" customHeight="1">
      <x:c r="A10" s="2" t="str">
        <x:v>2026-09-24_Night</x:v>
      </x:c>
      <x:c r="B10" s="2" t="str">
        <x:v>下落</x:v>
      </x:c>
      <x:c r="C10" s="19" t="n">
        <x:v>80000</x:v>
      </x:c>
      <x:c r="D10" s="19" t="n">
        <x:v>140000</x:v>
      </x:c>
      <x:c r="E10" s="19" t="n">
        <x:f>C10-D10</x:f>
        <x:v>-60000</x:v>
      </x:c>
      <x:c r="F10" s="19" t="n">
        <x:f>F9+E10</x:f>
        <x:v>78000</x:v>
      </x:c>
      <x:c r="G10" s="20" t="n">
        <x:v>8</x:v>
      </x:c>
      <x:c r="H10" s="20" t="n">
        <x:v>32</x:v>
      </x:c>
      <x:c r="I10" s="19" t="n">
        <x:v>-80000</x:v>
      </x:c>
      <x:c r="J10" s="19" t="n">
        <x:v>20000</x:v>
      </x:c>
      <x:c r="K10" s="20" t="n">
        <x:v>6</x:v>
      </x:c>
    </x:row>
    <x:row r="11" ht="23" customHeight="1">
      <x:c r="A11" s="2" t="str">
        <x:v>2026-09-25_Night</x:v>
      </x:c>
      <x:c r="B11" s="2" t="str">
        <x:v>上昇</x:v>
      </x:c>
      <x:c r="C11" s="19" t="n">
        <x:v>57000</x:v>
      </x:c>
      <x:c r="D11" s="19" t="n">
        <x:v>156000</x:v>
      </x:c>
      <x:c r="E11" s="19" t="n">
        <x:f>C11-D11</x:f>
        <x:v>-99000</x:v>
      </x:c>
      <x:c r="F11" s="19" t="n">
        <x:f>F10+E11</x:f>
        <x:v>-21000</x:v>
      </x:c>
      <x:c r="G11" s="20" t="n">
        <x:v>5</x:v>
      </x:c>
      <x:c r="H11" s="20" t="n">
        <x:v>21</x:v>
      </x:c>
      <x:c r="I11" s="19" t="n">
        <x:v>-100000</x:v>
      </x:c>
      <x:c r="J11" s="19" t="n">
        <x:v>1000</x:v>
      </x:c>
      <x:c r="K11" s="20" t="n">
        <x:v>5</x:v>
      </x:c>
    </x:row>
    <x:row r="12" ht="23" customHeight="1">
      <x:c r="A12" s="2" t="str">
        <x:v>2026-09-28_Night</x:v>
      </x:c>
      <x:c r="B12" s="2" t="str">
        <x:v>下落</x:v>
      </x:c>
      <x:c r="C12" s="19" t="n">
        <x:v>6000</x:v>
      </x:c>
      <x:c r="D12" s="19" t="n">
        <x:v>198000</x:v>
      </x:c>
      <x:c r="E12" s="19" t="n">
        <x:f>C12-D12</x:f>
        <x:v>-192000</x:v>
      </x:c>
      <x:c r="F12" s="19" t="n">
        <x:f>F11+E12</x:f>
        <x:v>-213000</x:v>
      </x:c>
      <x:c r="G12" s="20" t="n">
        <x:v>9</x:v>
      </x:c>
      <x:c r="H12" s="20" t="n">
        <x:v>27</x:v>
      </x:c>
      <x:c r="I12" s="19" t="n">
        <x:v>-145000</x:v>
      </x:c>
      <x:c r="J12" s="19" t="n">
        <x:v>-47000</x:v>
      </x:c>
      <x:c r="K12" s="20" t="n">
        <x:v>8</x:v>
      </x:c>
    </x:row>
    <x:row r="13" ht="23" customHeight="1">
      <x:c r="A13" s="2" t="str">
        <x:v>2026-09-29_Night</x:v>
      </x:c>
      <x:c r="B13" s="2" t="str">
        <x:v>上昇</x:v>
      </x:c>
      <x:c r="C13" s="19" t="n">
        <x:v>87000</x:v>
      </x:c>
      <x:c r="D13" s="19" t="n">
        <x:v>162000</x:v>
      </x:c>
      <x:c r="E13" s="19" t="n">
        <x:f>C13-D13</x:f>
        <x:v>-75000</x:v>
      </x:c>
      <x:c r="F13" s="19" t="n">
        <x:f>F12+E13</x:f>
        <x:v>-288000</x:v>
      </x:c>
      <x:c r="G13" s="20" t="n">
        <x:v>8</x:v>
      </x:c>
      <x:c r="H13" s="20" t="n">
        <x:v>24</x:v>
      </x:c>
      <x:c r="I13" s="19" t="n">
        <x:v>-140000</x:v>
      </x:c>
      <x:c r="J13" s="19" t="n">
        <x:v>65000</x:v>
      </x:c>
      <x:c r="K13" s="20" t="n">
        <x:v>6</x:v>
      </x:c>
    </x:row>
    <x:row r="14" ht="23" customHeight="1">
      <x:c r="A14" s="2" t="str">
        <x:v>2026-09-30_Night</x:v>
      </x:c>
      <x:c r="B14" s="2" t="str">
        <x:v>下落</x:v>
      </x:c>
      <x:c r="C14" s="19" t="n">
        <x:v>158000</x:v>
      </x:c>
      <x:c r="D14" s="19" t="n">
        <x:v>440000</x:v>
      </x:c>
      <x:c r="E14" s="19" t="n">
        <x:f>C14-D14</x:f>
        <x:v>-282000</x:v>
      </x:c>
      <x:c r="F14" s="19" t="n">
        <x:f>F13+E14</x:f>
        <x:v>-570000</x:v>
      </x:c>
      <x:c r="G14" s="20" t="n">
        <x:v>14</x:v>
      </x:c>
      <x:c r="H14" s="20" t="n">
        <x:v>62</x:v>
      </x:c>
      <x:c r="I14" s="19" t="n">
        <x:v>-325000</x:v>
      </x:c>
      <x:c r="J14" s="19" t="n">
        <x:v>43000</x:v>
      </x:c>
      <x:c r="K14" s="20" t="n">
        <x:v>10</x:v>
      </x:c>
    </x:row>
    <x:row r="15" ht="23" customHeight="1">
      <x:c r="A15" s="2" t="str">
        <x:v>2026-10-01_Night</x:v>
      </x:c>
      <x:c r="B15" s="2" t="str">
        <x:v>上昇</x:v>
      </x:c>
      <x:c r="C15" s="19" t="n">
        <x:v>480000</x:v>
      </x:c>
      <x:c r="D15" s="19" t="n">
        <x:v>181000</x:v>
      </x:c>
      <x:c r="E15" s="19" t="n">
        <x:f>C15-D15</x:f>
        <x:v>299000</x:v>
      </x:c>
      <x:c r="F15" s="19" t="n">
        <x:f>F14+E15</x:f>
        <x:v>-271000</x:v>
      </x:c>
      <x:c r="G15" s="20" t="n">
        <x:v>18</x:v>
      </x:c>
      <x:c r="H15" s="20" t="n">
        <x:v>49</x:v>
      </x:c>
      <x:c r="I15" s="19" t="n">
        <x:v>190000</x:v>
      </x:c>
      <x:c r="J15" s="19" t="n">
        <x:v>109000</x:v>
      </x:c>
      <x:c r="K15" s="20" t="n">
        <x:v>13</x:v>
      </x:c>
    </x:row>
    <x:row r="16" ht="23" customHeight="1">
      <x:c r="A16" s="2" t="str">
        <x:v>2026-10-02_Night</x:v>
      </x:c>
      <x:c r="B16" s="2" t="str">
        <x:v>上昇</x:v>
      </x:c>
      <x:c r="C16" s="19" t="n">
        <x:v>484000</x:v>
      </x:c>
      <x:c r="D16" s="19" t="n">
        <x:v>108000</x:v>
      </x:c>
      <x:c r="E16" s="19" t="n">
        <x:f>C16-D16</x:f>
        <x:v>376000</x:v>
      </x:c>
      <x:c r="F16" s="19" t="n">
        <x:f>F15+E16</x:f>
        <x:v>105000</x:v>
      </x:c>
      <x:c r="G16" s="20" t="n">
        <x:v>22</x:v>
      </x:c>
      <x:c r="H16" s="20" t="n">
        <x:v>63</x:v>
      </x:c>
      <x:c r="I16" s="19" t="n">
        <x:v>115000</x:v>
      </x:c>
      <x:c r="J16" s="19" t="n">
        <x:v>261000</x:v>
      </x:c>
      <x:c r="K16" s="20" t="n">
        <x:v>14</x:v>
      </x:c>
    </x:row>
    <x:row r="17" ht="23" customHeight="1">
      <x:c r="A17" s="2" t="str">
        <x:v>2026-10-05_Night</x:v>
      </x:c>
      <x:c r="B17" s="2" t="str">
        <x:v>下落</x:v>
      </x:c>
      <x:c r="C17" s="19" t="n">
        <x:v>193000</x:v>
      </x:c>
      <x:c r="D17" s="19" t="n">
        <x:v>199000</x:v>
      </x:c>
      <x:c r="E17" s="19" t="n">
        <x:f>C17-D17</x:f>
        <x:v>-6000</x:v>
      </x:c>
      <x:c r="F17" s="19" t="n">
        <x:f>F16+E17</x:f>
        <x:v>99000</x:v>
      </x:c>
      <x:c r="G17" s="20" t="n">
        <x:v>12</x:v>
      </x:c>
      <x:c r="H17" s="20" t="n">
        <x:v>39</x:v>
      </x:c>
      <x:c r="I17" s="19" t="n">
        <x:v>-40000</x:v>
      </x:c>
      <x:c r="J17" s="19" t="n">
        <x:v>34000</x:v>
      </x:c>
      <x:c r="K17" s="20" t="n">
        <x:v>9</x:v>
      </x:c>
    </x:row>
    <x:row r="18" ht="23" customHeight="1">
      <x:c r="A18" s="2" t="str">
        <x:v>2026-10-06_Night</x:v>
      </x:c>
      <x:c r="B18" s="2" t="str">
        <x:v>下落</x:v>
      </x:c>
      <x:c r="C18" s="19" t="n">
        <x:v>33000</x:v>
      </x:c>
      <x:c r="D18" s="19" t="n">
        <x:v>173000</x:v>
      </x:c>
      <x:c r="E18" s="19" t="n">
        <x:f>C18-D18</x:f>
        <x:v>-140000</x:v>
      </x:c>
      <x:c r="F18" s="19" t="n">
        <x:f>F17+E18</x:f>
        <x:v>-41000</x:v>
      </x:c>
      <x:c r="G18" s="20" t="n">
        <x:v>8</x:v>
      </x:c>
      <x:c r="H18" s="20" t="n">
        <x:v>28</x:v>
      </x:c>
      <x:c r="I18" s="19" t="n">
        <x:v>-130000</x:v>
      </x:c>
      <x:c r="J18" s="19" t="n">
        <x:v>-10000</x:v>
      </x:c>
      <x:c r="K18" s="20" t="n">
        <x:v>5</x:v>
      </x:c>
    </x:row>
    <x:row r="19" ht="23" customHeight="1">
      <x:c r="A19" s="2" t="str">
        <x:v>2026-10-07_Night</x:v>
      </x:c>
      <x:c r="B19" s="2" t="str">
        <x:v>下落</x:v>
      </x:c>
      <x:c r="C19" s="19" t="n">
        <x:v>35000</x:v>
      </x:c>
      <x:c r="D19" s="19" t="n">
        <x:v>92000</x:v>
      </x:c>
      <x:c r="E19" s="19" t="n">
        <x:f>C19-D19</x:f>
        <x:v>-57000</x:v>
      </x:c>
      <x:c r="F19" s="19" t="n">
        <x:f>F18+E19</x:f>
        <x:v>-98000</x:v>
      </x:c>
      <x:c r="G19" s="20" t="n">
        <x:v>5</x:v>
      </x:c>
      <x:c r="H19" s="20" t="n">
        <x:v>17</x:v>
      </x:c>
      <x:c r="I19" s="19" t="n">
        <x:v>-35000</x:v>
      </x:c>
      <x:c r="J19" s="19" t="n">
        <x:v>-22000</x:v>
      </x:c>
      <x:c r="K19" s="20" t="n">
        <x:v>4</x:v>
      </x:c>
    </x:row>
    <x:row r="20" ht="23" customHeight="1">
      <x:c r="A20" s="2" t="str">
        <x:v>2026-10-08_Night</x:v>
      </x:c>
      <x:c r="B20" s="2" t="str">
        <x:v>下落</x:v>
      </x:c>
      <x:c r="C20" s="19" t="n">
        <x:v>445000</x:v>
      </x:c>
      <x:c r="D20" s="19" t="n">
        <x:v>90000</x:v>
      </x:c>
      <x:c r="E20" s="19" t="n">
        <x:f>C20-D20</x:f>
        <x:v>355000</x:v>
      </x:c>
      <x:c r="F20" s="19" t="n">
        <x:f>F19+E20</x:f>
        <x:v>257000</x:v>
      </x:c>
      <x:c r="G20" s="20" t="n">
        <x:v>20</x:v>
      </x:c>
      <x:c r="H20" s="20" t="n">
        <x:v>53</x:v>
      </x:c>
      <x:c r="I20" s="19" t="n">
        <x:v>45000</x:v>
      </x:c>
      <x:c r="J20" s="19" t="n">
        <x:v>310000</x:v>
      </x:c>
      <x:c r="K20" s="20" t="n">
        <x:v>14</x:v>
      </x:c>
    </x:row>
    <x:row r="21" ht="23" customHeight="1">
      <x:c r="A21" s="2" t="str">
        <x:v>2026-10-09_Night</x:v>
      </x:c>
      <x:c r="B21" s="2" t="str">
        <x:v>下落</x:v>
      </x:c>
      <x:c r="C21" s="19" t="n">
        <x:v>14000</x:v>
      </x:c>
      <x:c r="D21" s="19" t="n">
        <x:v>135000</x:v>
      </x:c>
      <x:c r="E21" s="19" t="n">
        <x:f>C21-D21</x:f>
        <x:v>-121000</x:v>
      </x:c>
      <x:c r="F21" s="19" t="n">
        <x:f>F20+E21</x:f>
        <x:v>136000</x:v>
      </x:c>
      <x:c r="G21" s="20" t="n">
        <x:v>3</x:v>
      </x:c>
      <x:c r="H21" s="20" t="n">
        <x:v>15</x:v>
      </x:c>
      <x:c r="I21" s="19" t="n">
        <x:v>-135000</x:v>
      </x:c>
      <x:c r="J21" s="19" t="n">
        <x:v>14000</x:v>
      </x:c>
      <x:c r="K21" s="20" t="n">
        <x:v>3</x:v>
      </x:c>
    </x:row>
    <x:row r="22" ht="23" customHeight="1">
      <x:c r="A22" s="2" t="str">
        <x:v>2026-10-12_Night</x:v>
      </x:c>
      <x:c r="B22" s="2" t="str">
        <x:v>下落</x:v>
      </x:c>
      <x:c r="C22" s="19" t="n">
        <x:v>82000</x:v>
      </x:c>
      <x:c r="D22" s="19" t="n">
        <x:v>30000</x:v>
      </x:c>
      <x:c r="E22" s="19" t="n">
        <x:f>C22-D22</x:f>
        <x:v>52000</x:v>
      </x:c>
      <x:c r="F22" s="19" t="n">
        <x:f>F21+E22</x:f>
        <x:v>188000</x:v>
      </x:c>
      <x:c r="G22" s="20" t="n">
        <x:v>2</x:v>
      </x:c>
      <x:c r="H22" s="20" t="n">
        <x:v>10</x:v>
      </x:c>
      <x:c r="I22" s="19" t="n">
        <x:v>-30000</x:v>
      </x:c>
      <x:c r="J22" s="19" t="n">
        <x:v>82000</x:v>
      </x:c>
      <x:c r="K22" s="20" t="n">
        <x:v>2</x:v>
      </x:c>
    </x:row>
    <x:row r="23" ht="23" customHeight="1">
      <x:c r="A23" s="2" t="str">
        <x:v>2026-10-13_Night</x:v>
      </x:c>
      <x:c r="B23" s="2" t="str">
        <x:v>上昇</x:v>
      </x:c>
      <x:c r="C23" s="19" t="n">
        <x:v>45000</x:v>
      </x:c>
      <x:c r="D23" s="19" t="n">
        <x:v>53000</x:v>
      </x:c>
      <x:c r="E23" s="19" t="n">
        <x:f>C23-D23</x:f>
        <x:v>-8000</x:v>
      </x:c>
      <x:c r="F23" s="19" t="n">
        <x:f>F22+E23</x:f>
        <x:v>180000</x:v>
      </x:c>
      <x:c r="G23" s="20" t="n">
        <x:v>5</x:v>
      </x:c>
      <x:c r="H23" s="20" t="n">
        <x:v>21</x:v>
      </x:c>
      <x:c r="I23" s="19" t="n">
        <x:v>45000</x:v>
      </x:c>
      <x:c r="J23" s="19" t="n">
        <x:v>-53000</x:v>
      </x:c>
      <x:c r="K23" s="20" t="n">
        <x:v>4</x:v>
      </x:c>
    </x:row>
    <x:row r="24" ht="23" customHeight="1">
      <x:c r="A24" s="2" t="str">
        <x:v>2026-10-14_Night</x:v>
      </x:c>
      <x:c r="B24" s="2" t="str">
        <x:v>下落</x:v>
      </x:c>
      <x:c r="C24" s="19" t="n">
        <x:v>262000</x:v>
      </x:c>
      <x:c r="D24" s="19" t="n">
        <x:v>356000</x:v>
      </x:c>
      <x:c r="E24" s="19" t="n">
        <x:f>C24-D24</x:f>
        <x:v>-94000</x:v>
      </x:c>
      <x:c r="F24" s="19" t="n">
        <x:f>F23+E24</x:f>
        <x:v>86000</x:v>
      </x:c>
      <x:c r="G24" s="20" t="n">
        <x:v>11</x:v>
      </x:c>
      <x:c r="H24" s="20" t="n">
        <x:v>44</x:v>
      </x:c>
      <x:c r="I24" s="19" t="n">
        <x:v>-230000</x:v>
      </x:c>
      <x:c r="J24" s="19" t="n">
        <x:v>136000</x:v>
      </x:c>
      <x:c r="K24" s="20" t="n">
        <x:v>9</x:v>
      </x:c>
    </x:row>
    <x:row r="25" ht="23" customHeight="1">
      <x:c r="A25" s="2" t="str">
        <x:v>2026-10-15_Night</x:v>
      </x:c>
      <x:c r="B25" s="2" t="str">
        <x:v>上昇</x:v>
      </x:c>
      <x:c r="C25" s="19" t="n">
        <x:v>231000</x:v>
      </x:c>
      <x:c r="D25" s="19" t="n">
        <x:v>340000</x:v>
      </x:c>
      <x:c r="E25" s="19" t="n">
        <x:f>C25-D25</x:f>
        <x:v>-109000</x:v>
      </x:c>
      <x:c r="F25" s="19" t="n">
        <x:f>F24+E25</x:f>
        <x:v>-23000</x:v>
      </x:c>
      <x:c r="G25" s="20" t="n">
        <x:v>19</x:v>
      </x:c>
      <x:c r="H25" s="20" t="n">
        <x:v>49</x:v>
      </x:c>
      <x:c r="I25" s="19" t="n">
        <x:v>-205000</x:v>
      </x:c>
      <x:c r="J25" s="19" t="n">
        <x:v>96000</x:v>
      </x:c>
      <x:c r="K25" s="20" t="n">
        <x:v>13</x:v>
      </x:c>
    </x:row>
    <x:row r="26" ht="23" customHeight="1">
      <x:c r="A26" s="2" t="str">
        <x:v>2026-10-16_Night</x:v>
      </x:c>
      <x:c r="B26" s="2" t="str">
        <x:v>下落</x:v>
      </x:c>
      <x:c r="C26" s="19" t="n">
        <x:v>153000</x:v>
      </x:c>
      <x:c r="D26" s="19" t="n">
        <x:v>272000</x:v>
      </x:c>
      <x:c r="E26" s="19" t="n">
        <x:f>C26-D26</x:f>
        <x:v>-119000</x:v>
      </x:c>
      <x:c r="F26" s="19" t="n">
        <x:f>F25+E26</x:f>
        <x:v>-142000</x:v>
      </x:c>
      <x:c r="G26" s="20" t="n">
        <x:v>15</x:v>
      </x:c>
      <x:c r="H26" s="20" t="n">
        <x:v>37</x:v>
      </x:c>
      <x:c r="I26" s="19" t="n">
        <x:v>-130000</x:v>
      </x:c>
      <x:c r="J26" s="19" t="n">
        <x:v>11000</x:v>
      </x:c>
      <x:c r="K26" s="20" t="n">
        <x:v>13</x:v>
      </x:c>
    </x:row>
    <x:row r="27" ht="23" customHeight="1">
      <x:c r="A27" s="2" t="str">
        <x:v>2026-10-19_Night</x:v>
      </x:c>
      <x:c r="B27" s="2" t="str">
        <x:v>上昇</x:v>
      </x:c>
      <x:c r="C27" s="19" t="n">
        <x:v>158000</x:v>
      </x:c>
      <x:c r="D27" s="19" t="n">
        <x:v>303000</x:v>
      </x:c>
      <x:c r="E27" s="19" t="n">
        <x:f>C27-D27</x:f>
        <x:v>-145000</x:v>
      </x:c>
      <x:c r="F27" s="19" t="n">
        <x:f>F26+E27</x:f>
        <x:v>-287000</x:v>
      </x:c>
      <x:c r="G27" s="20" t="n">
        <x:v>19</x:v>
      </x:c>
      <x:c r="H27" s="20" t="n">
        <x:v>48</x:v>
      </x:c>
      <x:c r="I27" s="19" t="n">
        <x:v>-160000</x:v>
      </x:c>
      <x:c r="J27" s="19" t="n">
        <x:v>15000</x:v>
      </x:c>
      <x:c r="K27" s="20" t="n">
        <x:v>14</x:v>
      </x:c>
    </x:row>
    <x:row r="28" ht="23" customHeight="1">
      <x:c r="A28" s="2" t="str">
        <x:v>2026-10-20_Night</x:v>
      </x:c>
      <x:c r="B28" s="2" t="str">
        <x:v>上昇</x:v>
      </x:c>
      <x:c r="C28" s="19" t="n">
        <x:v>992000</x:v>
      </x:c>
      <x:c r="D28" s="19" t="n">
        <x:v>214000</x:v>
      </x:c>
      <x:c r="E28" s="19" t="n">
        <x:f>C28-D28</x:f>
        <x:v>778000</x:v>
      </x:c>
      <x:c r="F28" s="19" t="n">
        <x:f>F27+E28</x:f>
        <x:v>491000</x:v>
      </x:c>
      <x:c r="G28" s="20" t="n">
        <x:v>22</x:v>
      </x:c>
      <x:c r="H28" s="20" t="n">
        <x:v>74</x:v>
      </x:c>
      <x:c r="I28" s="19" t="n">
        <x:v>300000</x:v>
      </x:c>
      <x:c r="J28" s="19" t="n">
        <x:v>478000</x:v>
      </x:c>
      <x:c r="K28" s="20" t="n">
        <x:v>13</x:v>
      </x:c>
    </x:row>
    <x:row r="29" ht="23" customHeight="1">
      <x:c r="A29" s="2" t="str">
        <x:v>2026-10-21_Night</x:v>
      </x:c>
      <x:c r="B29" s="2" t="str">
        <x:v>上昇</x:v>
      </x:c>
      <x:c r="C29" s="19" t="n">
        <x:v>236000</x:v>
      </x:c>
      <x:c r="D29" s="19" t="n">
        <x:v>165000</x:v>
      </x:c>
      <x:c r="E29" s="19" t="n">
        <x:f>C29-D29</x:f>
        <x:v>71000</x:v>
      </x:c>
      <x:c r="F29" s="19" t="n">
        <x:f>F28+E29</x:f>
        <x:v>562000</x:v>
      </x:c>
      <x:c r="G29" s="20" t="n">
        <x:v>12</x:v>
      </x:c>
      <x:c r="H29" s="20" t="n">
        <x:v>52</x:v>
      </x:c>
      <x:c r="I29" s="19" t="n">
        <x:v>95000</x:v>
      </x:c>
      <x:c r="J29" s="19" t="n">
        <x:v>-24000</x:v>
      </x:c>
      <x:c r="K29" s="20" t="n">
        <x:v>8</x:v>
      </x:c>
    </x:row>
    <x:row r="30" ht="23" customHeight="1">
      <x:c r="A30" s="2" t="str">
        <x:v>2026-10-22_Night</x:v>
      </x:c>
      <x:c r="B30" s="2" t="str">
        <x:v>下落</x:v>
      </x:c>
      <x:c r="C30" s="19" t="n">
        <x:v>170000</x:v>
      </x:c>
      <x:c r="D30" s="19" t="n">
        <x:v>253000</x:v>
      </x:c>
      <x:c r="E30" s="19" t="n">
        <x:f>C30-D30</x:f>
        <x:v>-83000</x:v>
      </x:c>
      <x:c r="F30" s="19" t="n">
        <x:f>F29+E30</x:f>
        <x:v>479000</x:v>
      </x:c>
      <x:c r="G30" s="20" t="n">
        <x:v>12</x:v>
      </x:c>
      <x:c r="H30" s="20" t="n">
        <x:v>40</x:v>
      </x:c>
      <x:c r="I30" s="19" t="n">
        <x:v>-160000</x:v>
      </x:c>
      <x:c r="J30" s="19" t="n">
        <x:v>77000</x:v>
      </x:c>
      <x:c r="K30" s="20" t="n">
        <x:v>10</x:v>
      </x:c>
    </x:row>
    <x:row r="31" ht="23" customHeight="1">
      <x:c r="A31" s="2" t="str">
        <x:v>2026-10-23_Night</x:v>
      </x:c>
      <x:c r="B31" s="2" t="str">
        <x:v>上昇</x:v>
      </x:c>
      <x:c r="C31" s="19" t="n">
        <x:v>117000</x:v>
      </x:c>
      <x:c r="D31" s="19" t="n">
        <x:v>192000</x:v>
      </x:c>
      <x:c r="E31" s="19" t="n">
        <x:f>C31-D31</x:f>
        <x:v>-75000</x:v>
      </x:c>
      <x:c r="F31" s="19" t="n">
        <x:f>F30+E31</x:f>
        <x:v>404000</x:v>
      </x:c>
      <x:c r="G31" s="20" t="n">
        <x:v>13</x:v>
      </x:c>
      <x:c r="H31" s="20" t="n">
        <x:v>46</x:v>
      </x:c>
      <x:c r="I31" s="19" t="n">
        <x:v>-90000</x:v>
      </x:c>
      <x:c r="J31" s="19" t="n">
        <x:v>15000</x:v>
      </x:c>
      <x:c r="K31" s="20" t="n">
        <x:v>9</x:v>
      </x:c>
    </x:row>
    <x:row r="32" ht="23" customHeight="1">
      <x:c r="A32" s="24" t="str">
        <x:v>25夜累計</x:v>
      </x:c>
      <x:c r="B32" s="24"/>
      <x:c r="C32" s="25" t="n">
        <x:f>SUM(C7:C31)</x:f>
        <x:v>4741000</x:v>
      </x:c>
      <x:c r="D32" s="25" t="n">
        <x:f>SUM(D7:D31)</x:f>
        <x:v>4337000</x:v>
      </x:c>
      <x:c r="E32" s="25" t="n">
        <x:f>C32-D32</x:f>
        <x:v>404000</x:v>
      </x:c>
      <x:c r="F32" s="25" t="n">
        <x:f>F31</x:f>
        <x:v>404000</x:v>
      </x:c>
      <x:c r="G32" s="26" t="n">
        <x:f>SUM(G7:G31)</x:f>
        <x:v>270</x:v>
      </x:c>
      <x:c r="H32" s="26" t="n">
        <x:f>SUM(H7:H31)</x:f>
        <x:v>883</x:v>
      </x:c>
      <x:c r="I32" s="25" t="n">
        <x:f>SUM(I7:I31)</x:f>
        <x:v>-1150000</x:v>
      </x:c>
      <x:c r="J32" s="25" t="n">
        <x:f>SUM(J7:J31)</x:f>
        <x:v>1554000</x:v>
      </x:c>
      <x:c r="K32" s="26" t="n">
        <x:f>SUM(K7:K31)</x:f>
        <x:v>198</x:v>
      </x:c>
    </x:row>
    <x:row r="33" ht="23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</x:row>
  </x:sheetData>
  <x:conditionalFormatting sqref="C7:F32">
    <x:cfRule type="cellIs" dxfId="20" priority="1" operator="lessThan">
      <x:formula>0</x:formula>
    </x:cfRule>
  </x:conditionalFormatting>
  <x:conditionalFormatting sqref="I7:J32">
    <x:cfRule type="cellIs" dxfId="21" priority="2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00502f3564d4f5f"/>
  </x:tableParts>
</x:worksheet>
</file>

<file path=xl/worksheets/sheet13.xml><?xml version="1.0" encoding="utf-8"?>
<x:worksheet xmlns:x="http://schemas.openxmlformats.org/spreadsheetml/2006/main">
  <x:sheetPr>
    <x:tabColor rgb="FF244A70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8" hidden="0" customWidth="1"/>
    <x:col min="2" max="2" width="14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23" customHeight="1">
      <x:c r="A2" s="4" t="str">
        <x:v>P11　全夜間の利益・損失・収支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</x:row>
    <x:row r="3" ht="23" customHeight="1">
      <x:c r="A3" s="6" t="str">
        <x:v>日経mini・片方向上限10枚・手数料0円・気配差込み。利益と損失は完結した親取引の収支を分類。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 ht="23" customHeight="1">
      <x:c r="A4" s="6" t="str">
        <x:v>2026/09/21～10/23の既知25夜。前段は米国開始15分前まで、後段は米国開始15分後から。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</x:row>
    <x:row r="5" ht="23" customHeight="1">
      <x:c r="A5" s="6" t="str">
        <x:v>逆向きの方向一致を15秒で損切り判断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</x:row>
    <x:row r="6" ht="40" customHeight="1">
      <x:c r="A6" s="15" t="str">
        <x:v>セッション</x:v>
      </x:c>
      <x:c r="B6" s="16" t="str">
        <x:v>始終値方向</x:v>
      </x:c>
      <x:c r="C6" s="16" t="str">
        <x:v>利益（円）</x:v>
      </x:c>
      <x:c r="D6" s="16" t="str">
        <x:v>損失（円）</x:v>
      </x:c>
      <x:c r="E6" s="16" t="str">
        <x:v>収支（円）</x:v>
      </x:c>
      <x:c r="F6" s="16" t="str">
        <x:v>累計（円）</x:v>
      </x:c>
      <x:c r="G6" s="16" t="str">
        <x:v>新規件数</x:v>
      </x:c>
      <x:c r="H6" s="16" t="str">
        <x:v>新規合計枚数</x:v>
      </x:c>
      <x:c r="I6" s="16" t="str">
        <x:v>前段収支（円）</x:v>
      </x:c>
      <x:c r="J6" s="16" t="str">
        <x:v>後段収支（円）</x:v>
      </x:c>
      <x:c r="K6" s="17" t="str">
        <x:v>親取引数</x:v>
      </x:c>
    </x:row>
    <x:row r="7" ht="23" customHeight="1">
      <x:c r="A7" s="2" t="str">
        <x:v>2026-09-21_Night</x:v>
      </x:c>
      <x:c r="B7" s="2" t="str">
        <x:v>上昇</x:v>
      </x:c>
      <x:c r="C7" s="19" t="n">
        <x:v>0</x:v>
      </x:c>
      <x:c r="D7" s="19" t="n">
        <x:v>45000</x:v>
      </x:c>
      <x:c r="E7" s="19" t="n">
        <x:f>C7-D7</x:f>
        <x:v>-45000</x:v>
      </x:c>
      <x:c r="F7" s="19" t="n">
        <x:f>E7</x:f>
        <x:v>-45000</x:v>
      </x:c>
      <x:c r="G7" s="20" t="n">
        <x:v>1</x:v>
      </x:c>
      <x:c r="H7" s="20" t="n">
        <x:v>5</x:v>
      </x:c>
      <x:c r="I7" s="19" t="n">
        <x:v>0</x:v>
      </x:c>
      <x:c r="J7" s="19" t="n">
        <x:v>-45000</x:v>
      </x:c>
      <x:c r="K7" s="20" t="n">
        <x:v>1</x:v>
      </x:c>
    </x:row>
    <x:row r="8" ht="23" customHeight="1">
      <x:c r="A8" s="2" t="str">
        <x:v>2026-09-22_Night</x:v>
      </x:c>
      <x:c r="B8" s="2" t="str">
        <x:v>上昇</x:v>
      </x:c>
      <x:c r="C8" s="19" t="n">
        <x:v>189000</x:v>
      </x:c>
      <x:c r="D8" s="19" t="n">
        <x:v>45000</x:v>
      </x:c>
      <x:c r="E8" s="19" t="n">
        <x:f>C8-D8</x:f>
        <x:v>144000</x:v>
      </x:c>
      <x:c r="F8" s="19" t="n">
        <x:f>F7+E8</x:f>
        <x:v>99000</x:v>
      </x:c>
      <x:c r="G8" s="20" t="n">
        <x:v>5</x:v>
      </x:c>
      <x:c r="H8" s="20" t="n">
        <x:v>25</x:v>
      </x:c>
      <x:c r="I8" s="19" t="n">
        <x:v>120000</x:v>
      </x:c>
      <x:c r="J8" s="19" t="n">
        <x:v>24000</x:v>
      </x:c>
      <x:c r="K8" s="20" t="n">
        <x:v>4</x:v>
      </x:c>
    </x:row>
    <x:row r="9" ht="23" customHeight="1">
      <x:c r="A9" s="2" t="str">
        <x:v>2026-09-23_Night</x:v>
      </x:c>
      <x:c r="B9" s="2" t="str">
        <x:v>下落</x:v>
      </x:c>
      <x:c r="C9" s="19" t="n">
        <x:v>4000</x:v>
      </x:c>
      <x:c r="D9" s="19" t="n">
        <x:v>40000</x:v>
      </x:c>
      <x:c r="E9" s="19" t="n">
        <x:f>C9-D9</x:f>
        <x:v>-36000</x:v>
      </x:c>
      <x:c r="F9" s="19" t="n">
        <x:f>F8+E9</x:f>
        <x:v>63000</x:v>
      </x:c>
      <x:c r="G9" s="20" t="n">
        <x:v>3</x:v>
      </x:c>
      <x:c r="H9" s="20" t="n">
        <x:v>7</x:v>
      </x:c>
      <x:c r="I9" s="19" t="n">
        <x:v>0</x:v>
      </x:c>
      <x:c r="J9" s="19" t="n">
        <x:v>-36000</x:v>
      </x:c>
      <x:c r="K9" s="20" t="n">
        <x:v>2</x:v>
      </x:c>
    </x:row>
    <x:row r="10" ht="23" customHeight="1">
      <x:c r="A10" s="2" t="str">
        <x:v>2026-09-24_Night</x:v>
      </x:c>
      <x:c r="B10" s="2" t="str">
        <x:v>下落</x:v>
      </x:c>
      <x:c r="C10" s="19" t="n">
        <x:v>80000</x:v>
      </x:c>
      <x:c r="D10" s="19" t="n">
        <x:v>100000</x:v>
      </x:c>
      <x:c r="E10" s="19" t="n">
        <x:f>C10-D10</x:f>
        <x:v>-20000</x:v>
      </x:c>
      <x:c r="F10" s="19" t="n">
        <x:f>F9+E10</x:f>
        <x:v>43000</x:v>
      </x:c>
      <x:c r="G10" s="20" t="n">
        <x:v>8</x:v>
      </x:c>
      <x:c r="H10" s="20" t="n">
        <x:v>32</x:v>
      </x:c>
      <x:c r="I10" s="19" t="n">
        <x:v>-40000</x:v>
      </x:c>
      <x:c r="J10" s="19" t="n">
        <x:v>20000</x:v>
      </x:c>
      <x:c r="K10" s="20" t="n">
        <x:v>6</x:v>
      </x:c>
    </x:row>
    <x:row r="11" ht="23" customHeight="1">
      <x:c r="A11" s="2" t="str">
        <x:v>2026-09-25_Night</x:v>
      </x:c>
      <x:c r="B11" s="2" t="str">
        <x:v>上昇</x:v>
      </x:c>
      <x:c r="C11" s="19" t="n">
        <x:v>57000</x:v>
      </x:c>
      <x:c r="D11" s="19" t="n">
        <x:v>166000</x:v>
      </x:c>
      <x:c r="E11" s="19" t="n">
        <x:f>C11-D11</x:f>
        <x:v>-109000</x:v>
      </x:c>
      <x:c r="F11" s="19" t="n">
        <x:f>F10+E11</x:f>
        <x:v>-66000</x:v>
      </x:c>
      <x:c r="G11" s="20" t="n">
        <x:v>6</x:v>
      </x:c>
      <x:c r="H11" s="20" t="n">
        <x:v>26</x:v>
      </x:c>
      <x:c r="I11" s="19" t="n">
        <x:v>-110000</x:v>
      </x:c>
      <x:c r="J11" s="19" t="n">
        <x:v>1000</x:v>
      </x:c>
      <x:c r="K11" s="20" t="n">
        <x:v>6</x:v>
      </x:c>
    </x:row>
    <x:row r="12" ht="23" customHeight="1">
      <x:c r="A12" s="2" t="str">
        <x:v>2026-09-28_Night</x:v>
      </x:c>
      <x:c r="B12" s="2" t="str">
        <x:v>下落</x:v>
      </x:c>
      <x:c r="C12" s="19" t="n">
        <x:v>21000</x:v>
      </x:c>
      <x:c r="D12" s="19" t="n">
        <x:v>213000</x:v>
      </x:c>
      <x:c r="E12" s="19" t="n">
        <x:f>C12-D12</x:f>
        <x:v>-192000</x:v>
      </x:c>
      <x:c r="F12" s="19" t="n">
        <x:f>F11+E12</x:f>
        <x:v>-258000</x:v>
      </x:c>
      <x:c r="G12" s="20" t="n">
        <x:v>11</x:v>
      </x:c>
      <x:c r="H12" s="20" t="n">
        <x:v>37</x:v>
      </x:c>
      <x:c r="I12" s="19" t="n">
        <x:v>-145000</x:v>
      </x:c>
      <x:c r="J12" s="19" t="n">
        <x:v>-47000</x:v>
      </x:c>
      <x:c r="K12" s="20" t="n">
        <x:v>10</x:v>
      </x:c>
    </x:row>
    <x:row r="13" ht="23" customHeight="1">
      <x:c r="A13" s="2" t="str">
        <x:v>2026-09-29_Night</x:v>
      </x:c>
      <x:c r="B13" s="2" t="str">
        <x:v>上昇</x:v>
      </x:c>
      <x:c r="C13" s="19" t="n">
        <x:v>87000</x:v>
      </x:c>
      <x:c r="D13" s="19" t="n">
        <x:v>167000</x:v>
      </x:c>
      <x:c r="E13" s="19" t="n">
        <x:f>C13-D13</x:f>
        <x:v>-80000</x:v>
      </x:c>
      <x:c r="F13" s="19" t="n">
        <x:f>F12+E13</x:f>
        <x:v>-338000</x:v>
      </x:c>
      <x:c r="G13" s="20" t="n">
        <x:v>9</x:v>
      </x:c>
      <x:c r="H13" s="20" t="n">
        <x:v>29</x:v>
      </x:c>
      <x:c r="I13" s="19" t="n">
        <x:v>-145000</x:v>
      </x:c>
      <x:c r="J13" s="19" t="n">
        <x:v>65000</x:v>
      </x:c>
      <x:c r="K13" s="20" t="n">
        <x:v>7</x:v>
      </x:c>
    </x:row>
    <x:row r="14" ht="23" customHeight="1">
      <x:c r="A14" s="2" t="str">
        <x:v>2026-09-30_Night</x:v>
      </x:c>
      <x:c r="B14" s="2" t="str">
        <x:v>下落</x:v>
      </x:c>
      <x:c r="C14" s="19" t="n">
        <x:v>158000</x:v>
      </x:c>
      <x:c r="D14" s="19" t="n">
        <x:v>275000</x:v>
      </x:c>
      <x:c r="E14" s="19" t="n">
        <x:f>C14-D14</x:f>
        <x:v>-117000</x:v>
      </x:c>
      <x:c r="F14" s="19" t="n">
        <x:f>F13+E14</x:f>
        <x:v>-455000</x:v>
      </x:c>
      <x:c r="G14" s="20" t="n">
        <x:v>14</x:v>
      </x:c>
      <x:c r="H14" s="20" t="n">
        <x:v>62</x:v>
      </x:c>
      <x:c r="I14" s="19" t="n">
        <x:v>-160000</x:v>
      </x:c>
      <x:c r="J14" s="19" t="n">
        <x:v>43000</x:v>
      </x:c>
      <x:c r="K14" s="20" t="n">
        <x:v>10</x:v>
      </x:c>
    </x:row>
    <x:row r="15" ht="23" customHeight="1">
      <x:c r="A15" s="2" t="str">
        <x:v>2026-10-01_Night</x:v>
      </x:c>
      <x:c r="B15" s="2" t="str">
        <x:v>上昇</x:v>
      </x:c>
      <x:c r="C15" s="19" t="n">
        <x:v>360000</x:v>
      </x:c>
      <x:c r="D15" s="19" t="n">
        <x:v>196000</x:v>
      </x:c>
      <x:c r="E15" s="19" t="n">
        <x:f>C15-D15</x:f>
        <x:v>164000</x:v>
      </x:c>
      <x:c r="F15" s="19" t="n">
        <x:f>F14+E15</x:f>
        <x:v>-291000</x:v>
      </x:c>
      <x:c r="G15" s="20" t="n">
        <x:v>18</x:v>
      </x:c>
      <x:c r="H15" s="20" t="n">
        <x:v>49</x:v>
      </x:c>
      <x:c r="I15" s="19" t="n">
        <x:v>55000</x:v>
      </x:c>
      <x:c r="J15" s="19" t="n">
        <x:v>109000</x:v>
      </x:c>
      <x:c r="K15" s="20" t="n">
        <x:v>13</x:v>
      </x:c>
    </x:row>
    <x:row r="16" ht="23" customHeight="1">
      <x:c r="A16" s="2" t="str">
        <x:v>2026-10-02_Night</x:v>
      </x:c>
      <x:c r="B16" s="2" t="str">
        <x:v>上昇</x:v>
      </x:c>
      <x:c r="C16" s="19" t="n">
        <x:v>414000</x:v>
      </x:c>
      <x:c r="D16" s="19" t="n">
        <x:v>348000</x:v>
      </x:c>
      <x:c r="E16" s="19" t="n">
        <x:f>C16-D16</x:f>
        <x:v>66000</x:v>
      </x:c>
      <x:c r="F16" s="19" t="n">
        <x:f>F15+E16</x:f>
        <x:v>-225000</x:v>
      </x:c>
      <x:c r="G16" s="20" t="n">
        <x:v>27</x:v>
      </x:c>
      <x:c r="H16" s="20" t="n">
        <x:v>88</x:v>
      </x:c>
      <x:c r="I16" s="19" t="n">
        <x:v>-195000</x:v>
      </x:c>
      <x:c r="J16" s="19" t="n">
        <x:v>261000</x:v>
      </x:c>
      <x:c r="K16" s="20" t="n">
        <x:v>20</x:v>
      </x:c>
    </x:row>
    <x:row r="17" ht="23" customHeight="1">
      <x:c r="A17" s="2" t="str">
        <x:v>2026-10-05_Night</x:v>
      </x:c>
      <x:c r="B17" s="2" t="str">
        <x:v>下落</x:v>
      </x:c>
      <x:c r="C17" s="19" t="n">
        <x:v>193000</x:v>
      </x:c>
      <x:c r="D17" s="19" t="n">
        <x:v>264000</x:v>
      </x:c>
      <x:c r="E17" s="19" t="n">
        <x:f>C17-D17</x:f>
        <x:v>-71000</x:v>
      </x:c>
      <x:c r="F17" s="19" t="n">
        <x:f>F16+E17</x:f>
        <x:v>-296000</x:v>
      </x:c>
      <x:c r="G17" s="20" t="n">
        <x:v>13</x:v>
      </x:c>
      <x:c r="H17" s="20" t="n">
        <x:v>44</x:v>
      </x:c>
      <x:c r="I17" s="19" t="n">
        <x:v>-105000</x:v>
      </x:c>
      <x:c r="J17" s="19" t="n">
        <x:v>34000</x:v>
      </x:c>
      <x:c r="K17" s="20" t="n">
        <x:v>10</x:v>
      </x:c>
    </x:row>
    <x:row r="18" ht="23" customHeight="1">
      <x:c r="A18" s="2" t="str">
        <x:v>2026-10-06_Night</x:v>
      </x:c>
      <x:c r="B18" s="2" t="str">
        <x:v>下落</x:v>
      </x:c>
      <x:c r="C18" s="19" t="n">
        <x:v>33000</x:v>
      </x:c>
      <x:c r="D18" s="19" t="n">
        <x:v>213000</x:v>
      </x:c>
      <x:c r="E18" s="19" t="n">
        <x:f>C18-D18</x:f>
        <x:v>-180000</x:v>
      </x:c>
      <x:c r="F18" s="19" t="n">
        <x:f>F17+E18</x:f>
        <x:v>-476000</x:v>
      </x:c>
      <x:c r="G18" s="20" t="n">
        <x:v>8</x:v>
      </x:c>
      <x:c r="H18" s="20" t="n">
        <x:v>28</x:v>
      </x:c>
      <x:c r="I18" s="19" t="n">
        <x:v>-170000</x:v>
      </x:c>
      <x:c r="J18" s="19" t="n">
        <x:v>-10000</x:v>
      </x:c>
      <x:c r="K18" s="20" t="n">
        <x:v>6</x:v>
      </x:c>
    </x:row>
    <x:row r="19" ht="23" customHeight="1">
      <x:c r="A19" s="2" t="str">
        <x:v>2026-10-07_Night</x:v>
      </x:c>
      <x:c r="B19" s="2" t="str">
        <x:v>下落</x:v>
      </x:c>
      <x:c r="C19" s="19" t="n">
        <x:v>0</x:v>
      </x:c>
      <x:c r="D19" s="19" t="n">
        <x:v>172000</x:v>
      </x:c>
      <x:c r="E19" s="19" t="n">
        <x:f>C19-D19</x:f>
        <x:v>-172000</x:v>
      </x:c>
      <x:c r="F19" s="19" t="n">
        <x:f>F18+E19</x:f>
        <x:v>-648000</x:v>
      </x:c>
      <x:c r="G19" s="20" t="n">
        <x:v>5</x:v>
      </x:c>
      <x:c r="H19" s="20" t="n">
        <x:v>17</x:v>
      </x:c>
      <x:c r="I19" s="19" t="n">
        <x:v>-150000</x:v>
      </x:c>
      <x:c r="J19" s="19" t="n">
        <x:v>-22000</x:v>
      </x:c>
      <x:c r="K19" s="20" t="n">
        <x:v>4</x:v>
      </x:c>
    </x:row>
    <x:row r="20" ht="23" customHeight="1">
      <x:c r="A20" s="2" t="str">
        <x:v>2026-10-08_Night</x:v>
      </x:c>
      <x:c r="B20" s="2" t="str">
        <x:v>下落</x:v>
      </x:c>
      <x:c r="C20" s="19" t="n">
        <x:v>445000</x:v>
      </x:c>
      <x:c r="D20" s="19" t="n">
        <x:v>70000</x:v>
      </x:c>
      <x:c r="E20" s="19" t="n">
        <x:f>C20-D20</x:f>
        <x:v>375000</x:v>
      </x:c>
      <x:c r="F20" s="19" t="n">
        <x:f>F19+E20</x:f>
        <x:v>-273000</x:v>
      </x:c>
      <x:c r="G20" s="20" t="n">
        <x:v>20</x:v>
      </x:c>
      <x:c r="H20" s="20" t="n">
        <x:v>53</x:v>
      </x:c>
      <x:c r="I20" s="19" t="n">
        <x:v>65000</x:v>
      </x:c>
      <x:c r="J20" s="19" t="n">
        <x:v>310000</x:v>
      </x:c>
      <x:c r="K20" s="20" t="n">
        <x:v>14</x:v>
      </x:c>
    </x:row>
    <x:row r="21" ht="23" customHeight="1">
      <x:c r="A21" s="2" t="str">
        <x:v>2026-10-09_Night</x:v>
      </x:c>
      <x:c r="B21" s="2" t="str">
        <x:v>下落</x:v>
      </x:c>
      <x:c r="C21" s="19" t="n">
        <x:v>14000</x:v>
      </x:c>
      <x:c r="D21" s="19" t="n">
        <x:v>95000</x:v>
      </x:c>
      <x:c r="E21" s="19" t="n">
        <x:f>C21-D21</x:f>
        <x:v>-81000</x:v>
      </x:c>
      <x:c r="F21" s="19" t="n">
        <x:f>F20+E21</x:f>
        <x:v>-354000</x:v>
      </x:c>
      <x:c r="G21" s="20" t="n">
        <x:v>3</x:v>
      </x:c>
      <x:c r="H21" s="20" t="n">
        <x:v>15</x:v>
      </x:c>
      <x:c r="I21" s="19" t="n">
        <x:v>-95000</x:v>
      </x:c>
      <x:c r="J21" s="19" t="n">
        <x:v>14000</x:v>
      </x:c>
      <x:c r="K21" s="20" t="n">
        <x:v>3</x:v>
      </x:c>
    </x:row>
    <x:row r="22" ht="23" customHeight="1">
      <x:c r="A22" s="2" t="str">
        <x:v>2026-10-12_Night</x:v>
      </x:c>
      <x:c r="B22" s="2" t="str">
        <x:v>下落</x:v>
      </x:c>
      <x:c r="C22" s="19" t="n">
        <x:v>82000</x:v>
      </x:c>
      <x:c r="D22" s="19" t="n">
        <x:v>50000</x:v>
      </x:c>
      <x:c r="E22" s="19" t="n">
        <x:f>C22-D22</x:f>
        <x:v>32000</x:v>
      </x:c>
      <x:c r="F22" s="19" t="n">
        <x:f>F21+E22</x:f>
        <x:v>-322000</x:v>
      </x:c>
      <x:c r="G22" s="20" t="n">
        <x:v>2</x:v>
      </x:c>
      <x:c r="H22" s="20" t="n">
        <x:v>10</x:v>
      </x:c>
      <x:c r="I22" s="19" t="n">
        <x:v>-50000</x:v>
      </x:c>
      <x:c r="J22" s="19" t="n">
        <x:v>82000</x:v>
      </x:c>
      <x:c r="K22" s="20" t="n">
        <x:v>2</x:v>
      </x:c>
    </x:row>
    <x:row r="23" ht="23" customHeight="1">
      <x:c r="A23" s="2" t="str">
        <x:v>2026-10-13_Night</x:v>
      </x:c>
      <x:c r="B23" s="2" t="str">
        <x:v>上昇</x:v>
      </x:c>
      <x:c r="C23" s="19" t="n">
        <x:v>35000</x:v>
      </x:c>
      <x:c r="D23" s="19" t="n">
        <x:v>68000</x:v>
      </x:c>
      <x:c r="E23" s="19" t="n">
        <x:f>C23-D23</x:f>
        <x:v>-33000</x:v>
      </x:c>
      <x:c r="F23" s="19" t="n">
        <x:f>F22+E23</x:f>
        <x:v>-355000</x:v>
      </x:c>
      <x:c r="G23" s="20" t="n">
        <x:v>5</x:v>
      </x:c>
      <x:c r="H23" s="20" t="n">
        <x:v>21</x:v>
      </x:c>
      <x:c r="I23" s="19" t="n">
        <x:v>20000</x:v>
      </x:c>
      <x:c r="J23" s="19" t="n">
        <x:v>-53000</x:v>
      </x:c>
      <x:c r="K23" s="20" t="n">
        <x:v>4</x:v>
      </x:c>
    </x:row>
    <x:row r="24" ht="23" customHeight="1">
      <x:c r="A24" s="2" t="str">
        <x:v>2026-10-14_Night</x:v>
      </x:c>
      <x:c r="B24" s="2" t="str">
        <x:v>下落</x:v>
      </x:c>
      <x:c r="C24" s="19" t="n">
        <x:v>222000</x:v>
      </x:c>
      <x:c r="D24" s="19" t="n">
        <x:v>411000</x:v>
      </x:c>
      <x:c r="E24" s="19" t="n">
        <x:f>C24-D24</x:f>
        <x:v>-189000</x:v>
      </x:c>
      <x:c r="F24" s="19" t="n">
        <x:f>F23+E24</x:f>
        <x:v>-544000</x:v>
      </x:c>
      <x:c r="G24" s="20" t="n">
        <x:v>11</x:v>
      </x:c>
      <x:c r="H24" s="20" t="n">
        <x:v>44</x:v>
      </x:c>
      <x:c r="I24" s="19" t="n">
        <x:v>-325000</x:v>
      </x:c>
      <x:c r="J24" s="19" t="n">
        <x:v>136000</x:v>
      </x:c>
      <x:c r="K24" s="20" t="n">
        <x:v>10</x:v>
      </x:c>
    </x:row>
    <x:row r="25" ht="23" customHeight="1">
      <x:c r="A25" s="2" t="str">
        <x:v>2026-10-15_Night</x:v>
      </x:c>
      <x:c r="B25" s="2" t="str">
        <x:v>上昇</x:v>
      </x:c>
      <x:c r="C25" s="19" t="n">
        <x:v>231000</x:v>
      </x:c>
      <x:c r="D25" s="19" t="n">
        <x:v>320000</x:v>
      </x:c>
      <x:c r="E25" s="19" t="n">
        <x:f>C25-D25</x:f>
        <x:v>-89000</x:v>
      </x:c>
      <x:c r="F25" s="19" t="n">
        <x:f>F24+E25</x:f>
        <x:v>-633000</x:v>
      </x:c>
      <x:c r="G25" s="20" t="n">
        <x:v>18</x:v>
      </x:c>
      <x:c r="H25" s="20" t="n">
        <x:v>44</x:v>
      </x:c>
      <x:c r="I25" s="19" t="n">
        <x:v>-185000</x:v>
      </x:c>
      <x:c r="J25" s="19" t="n">
        <x:v>96000</x:v>
      </x:c>
      <x:c r="K25" s="20" t="n">
        <x:v>14</x:v>
      </x:c>
    </x:row>
    <x:row r="26" ht="23" customHeight="1">
      <x:c r="A26" s="2" t="str">
        <x:v>2026-10-16_Night</x:v>
      </x:c>
      <x:c r="B26" s="2" t="str">
        <x:v>下落</x:v>
      </x:c>
      <x:c r="C26" s="19" t="n">
        <x:v>153000</x:v>
      </x:c>
      <x:c r="D26" s="19" t="n">
        <x:v>242000</x:v>
      </x:c>
      <x:c r="E26" s="19" t="n">
        <x:f>C26-D26</x:f>
        <x:v>-89000</x:v>
      </x:c>
      <x:c r="F26" s="19" t="n">
        <x:f>F25+E26</x:f>
        <x:v>-722000</x:v>
      </x:c>
      <x:c r="G26" s="20" t="n">
        <x:v>15</x:v>
      </x:c>
      <x:c r="H26" s="20" t="n">
        <x:v>37</x:v>
      </x:c>
      <x:c r="I26" s="19" t="n">
        <x:v>-100000</x:v>
      </x:c>
      <x:c r="J26" s="19" t="n">
        <x:v>11000</x:v>
      </x:c>
      <x:c r="K26" s="20" t="n">
        <x:v>13</x:v>
      </x:c>
    </x:row>
    <x:row r="27" ht="23" customHeight="1">
      <x:c r="A27" s="2" t="str">
        <x:v>2026-10-19_Night</x:v>
      </x:c>
      <x:c r="B27" s="2" t="str">
        <x:v>上昇</x:v>
      </x:c>
      <x:c r="C27" s="19" t="n">
        <x:v>133000</x:v>
      </x:c>
      <x:c r="D27" s="19" t="n">
        <x:v>373000</x:v>
      </x:c>
      <x:c r="E27" s="19" t="n">
        <x:f>C27-D27</x:f>
        <x:v>-240000</x:v>
      </x:c>
      <x:c r="F27" s="19" t="n">
        <x:f>F26+E27</x:f>
        <x:v>-962000</x:v>
      </x:c>
      <x:c r="G27" s="20" t="n">
        <x:v>21</x:v>
      </x:c>
      <x:c r="H27" s="20" t="n">
        <x:v>58</x:v>
      </x:c>
      <x:c r="I27" s="19" t="n">
        <x:v>-255000</x:v>
      </x:c>
      <x:c r="J27" s="19" t="n">
        <x:v>15000</x:v>
      </x:c>
      <x:c r="K27" s="20" t="n">
        <x:v>16</x:v>
      </x:c>
    </x:row>
    <x:row r="28" ht="23" customHeight="1">
      <x:c r="A28" s="2" t="str">
        <x:v>2026-10-20_Night</x:v>
      </x:c>
      <x:c r="B28" s="2" t="str">
        <x:v>上昇</x:v>
      </x:c>
      <x:c r="C28" s="19" t="n">
        <x:v>1027000</x:v>
      </x:c>
      <x:c r="D28" s="19" t="n">
        <x:v>254000</x:v>
      </x:c>
      <x:c r="E28" s="19" t="n">
        <x:f>C28-D28</x:f>
        <x:v>773000</x:v>
      </x:c>
      <x:c r="F28" s="19" t="n">
        <x:f>F27+E28</x:f>
        <x:v>-189000</x:v>
      </x:c>
      <x:c r="G28" s="20" t="n">
        <x:v>23</x:v>
      </x:c>
      <x:c r="H28" s="20" t="n">
        <x:v>79</x:v>
      </x:c>
      <x:c r="I28" s="19" t="n">
        <x:v>295000</x:v>
      </x:c>
      <x:c r="J28" s="19" t="n">
        <x:v>478000</x:v>
      </x:c>
      <x:c r="K28" s="20" t="n">
        <x:v>15</x:v>
      </x:c>
    </x:row>
    <x:row r="29" ht="23" customHeight="1">
      <x:c r="A29" s="2" t="str">
        <x:v>2026-10-21_Night</x:v>
      </x:c>
      <x:c r="B29" s="2" t="str">
        <x:v>上昇</x:v>
      </x:c>
      <x:c r="C29" s="19" t="n">
        <x:v>366000</x:v>
      </x:c>
      <x:c r="D29" s="19" t="n">
        <x:v>145000</x:v>
      </x:c>
      <x:c r="E29" s="19" t="n">
        <x:f>C29-D29</x:f>
        <x:v>221000</x:v>
      </x:c>
      <x:c r="F29" s="19" t="n">
        <x:f>F28+E29</x:f>
        <x:v>32000</x:v>
      </x:c>
      <x:c r="G29" s="20" t="n">
        <x:v>13</x:v>
      </x:c>
      <x:c r="H29" s="20" t="n">
        <x:v>57</x:v>
      </x:c>
      <x:c r="I29" s="19" t="n">
        <x:v>245000</x:v>
      </x:c>
      <x:c r="J29" s="19" t="n">
        <x:v>-24000</x:v>
      </x:c>
      <x:c r="K29" s="20" t="n">
        <x:v>9</x:v>
      </x:c>
    </x:row>
    <x:row r="30" ht="23" customHeight="1">
      <x:c r="A30" s="2" t="str">
        <x:v>2026-10-22_Night</x:v>
      </x:c>
      <x:c r="B30" s="2" t="str">
        <x:v>下落</x:v>
      </x:c>
      <x:c r="C30" s="19" t="n">
        <x:v>160000</x:v>
      </x:c>
      <x:c r="D30" s="19" t="n">
        <x:v>343000</x:v>
      </x:c>
      <x:c r="E30" s="19" t="n">
        <x:f>C30-D30</x:f>
        <x:v>-183000</x:v>
      </x:c>
      <x:c r="F30" s="19" t="n">
        <x:f>F29+E30</x:f>
        <x:v>-151000</x:v>
      </x:c>
      <x:c r="G30" s="20" t="n">
        <x:v>14</x:v>
      </x:c>
      <x:c r="H30" s="20" t="n">
        <x:v>50</x:v>
      </x:c>
      <x:c r="I30" s="19" t="n">
        <x:v>-260000</x:v>
      </x:c>
      <x:c r="J30" s="19" t="n">
        <x:v>77000</x:v>
      </x:c>
      <x:c r="K30" s="20" t="n">
        <x:v>11</x:v>
      </x:c>
    </x:row>
    <x:row r="31" ht="23" customHeight="1">
      <x:c r="A31" s="2" t="str">
        <x:v>2026-10-23_Night</x:v>
      </x:c>
      <x:c r="B31" s="2" t="str">
        <x:v>上昇</x:v>
      </x:c>
      <x:c r="C31" s="19" t="n">
        <x:v>132000</x:v>
      </x:c>
      <x:c r="D31" s="19" t="n">
        <x:v>212000</x:v>
      </x:c>
      <x:c r="E31" s="19" t="n">
        <x:f>C31-D31</x:f>
        <x:v>-80000</x:v>
      </x:c>
      <x:c r="F31" s="19" t="n">
        <x:f>F30+E31</x:f>
        <x:v>-231000</x:v>
      </x:c>
      <x:c r="G31" s="20" t="n">
        <x:v>15</x:v>
      </x:c>
      <x:c r="H31" s="20" t="n">
        <x:v>56</x:v>
      </x:c>
      <x:c r="I31" s="19" t="n">
        <x:v>-95000</x:v>
      </x:c>
      <x:c r="J31" s="19" t="n">
        <x:v>15000</x:v>
      </x:c>
      <x:c r="K31" s="20" t="n">
        <x:v>11</x:v>
      </x:c>
    </x:row>
    <x:row r="32" ht="23" customHeight="1">
      <x:c r="A32" s="24" t="str">
        <x:v>25夜累計</x:v>
      </x:c>
      <x:c r="B32" s="24"/>
      <x:c r="C32" s="25" t="n">
        <x:f>SUM(C7:C31)</x:f>
        <x:v>4596000</x:v>
      </x:c>
      <x:c r="D32" s="25" t="n">
        <x:f>SUM(D7:D31)</x:f>
        <x:v>4827000</x:v>
      </x:c>
      <x:c r="E32" s="25" t="n">
        <x:f>C32-D32</x:f>
        <x:v>-231000</x:v>
      </x:c>
      <x:c r="F32" s="25" t="n">
        <x:f>F31</x:f>
        <x:v>-231000</x:v>
      </x:c>
      <x:c r="G32" s="26" t="n">
        <x:f>SUM(G7:G31)</x:f>
        <x:v>288</x:v>
      </x:c>
      <x:c r="H32" s="26" t="n">
        <x:f>SUM(H7:H31)</x:f>
        <x:v>973</x:v>
      </x:c>
      <x:c r="I32" s="25" t="n">
        <x:f>SUM(I7:I31)</x:f>
        <x:v>-1785000</x:v>
      </x:c>
      <x:c r="J32" s="25" t="n">
        <x:f>SUM(J7:J31)</x:f>
        <x:v>1554000</x:v>
      </x:c>
      <x:c r="K32" s="26" t="n">
        <x:f>SUM(K7:K31)</x:f>
        <x:v>221</x:v>
      </x:c>
    </x:row>
    <x:row r="33" ht="23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</x:row>
  </x:sheetData>
  <x:conditionalFormatting sqref="C7:F32">
    <x:cfRule type="cellIs" dxfId="22" priority="1" operator="lessThan">
      <x:formula>0</x:formula>
    </x:cfRule>
  </x:conditionalFormatting>
  <x:conditionalFormatting sqref="I7:J32">
    <x:cfRule type="cellIs" dxfId="23" priority="2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b1e02e9b75142e0"/>
  </x:tableParts>
</x:worksheet>
</file>

<file path=xl/worksheets/sheet14.xml><?xml version="1.0" encoding="utf-8"?>
<x:worksheet xmlns:x="http://schemas.openxmlformats.org/spreadsheetml/2006/main">
  <x:sheetPr>
    <x:tabColor rgb="FF244A70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8" hidden="0" customWidth="1"/>
    <x:col min="2" max="2" width="14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23" customHeight="1">
      <x:c r="A2" s="4" t="str">
        <x:v>P12　全夜間の利益・損失・収支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</x:row>
    <x:row r="3" ht="23" customHeight="1">
      <x:c r="A3" s="6" t="str">
        <x:v>日経mini・片方向上限10枚・手数料0円・気配差込み。利益と損失は完結した親取引の収支を分類。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 ht="23" customHeight="1">
      <x:c r="A4" s="6" t="str">
        <x:v>2026/09/21～10/23の既知25夜。前段は米国開始15分前まで、後段は米国開始15分後から。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</x:row>
    <x:row r="5" ht="23" customHeight="1">
      <x:c r="A5" s="6" t="str">
        <x:v>逆向きの方向一致を60秒待って損切り判断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</x:row>
    <x:row r="6" ht="40" customHeight="1">
      <x:c r="A6" s="15" t="str">
        <x:v>セッション</x:v>
      </x:c>
      <x:c r="B6" s="16" t="str">
        <x:v>始終値方向</x:v>
      </x:c>
      <x:c r="C6" s="16" t="str">
        <x:v>利益（円）</x:v>
      </x:c>
      <x:c r="D6" s="16" t="str">
        <x:v>損失（円）</x:v>
      </x:c>
      <x:c r="E6" s="16" t="str">
        <x:v>収支（円）</x:v>
      </x:c>
      <x:c r="F6" s="16" t="str">
        <x:v>累計（円）</x:v>
      </x:c>
      <x:c r="G6" s="16" t="str">
        <x:v>新規件数</x:v>
      </x:c>
      <x:c r="H6" s="16" t="str">
        <x:v>新規合計枚数</x:v>
      </x:c>
      <x:c r="I6" s="16" t="str">
        <x:v>前段収支（円）</x:v>
      </x:c>
      <x:c r="J6" s="16" t="str">
        <x:v>後段収支（円）</x:v>
      </x:c>
      <x:c r="K6" s="17" t="str">
        <x:v>親取引数</x:v>
      </x:c>
    </x:row>
    <x:row r="7" ht="23" customHeight="1">
      <x:c r="A7" s="2" t="str">
        <x:v>2026-09-21_Night</x:v>
      </x:c>
      <x:c r="B7" s="2" t="str">
        <x:v>上昇</x:v>
      </x:c>
      <x:c r="C7" s="19" t="n">
        <x:v>0</x:v>
      </x:c>
      <x:c r="D7" s="19" t="n">
        <x:v>45000</x:v>
      </x:c>
      <x:c r="E7" s="19" t="n">
        <x:f>C7-D7</x:f>
        <x:v>-45000</x:v>
      </x:c>
      <x:c r="F7" s="19" t="n">
        <x:f>E7</x:f>
        <x:v>-45000</x:v>
      </x:c>
      <x:c r="G7" s="20" t="n">
        <x:v>1</x:v>
      </x:c>
      <x:c r="H7" s="20" t="n">
        <x:v>5</x:v>
      </x:c>
      <x:c r="I7" s="19" t="n">
        <x:v>0</x:v>
      </x:c>
      <x:c r="J7" s="19" t="n">
        <x:v>-45000</x:v>
      </x:c>
      <x:c r="K7" s="20" t="n">
        <x:v>1</x:v>
      </x:c>
    </x:row>
    <x:row r="8" ht="23" customHeight="1">
      <x:c r="A8" s="2" t="str">
        <x:v>2026-09-22_Night</x:v>
      </x:c>
      <x:c r="B8" s="2" t="str">
        <x:v>上昇</x:v>
      </x:c>
      <x:c r="C8" s="19" t="n">
        <x:v>189000</x:v>
      </x:c>
      <x:c r="D8" s="19" t="n">
        <x:v>45000</x:v>
      </x:c>
      <x:c r="E8" s="19" t="n">
        <x:f>C8-D8</x:f>
        <x:v>144000</x:v>
      </x:c>
      <x:c r="F8" s="19" t="n">
        <x:f>F7+E8</x:f>
        <x:v>99000</x:v>
      </x:c>
      <x:c r="G8" s="20" t="n">
        <x:v>5</x:v>
      </x:c>
      <x:c r="H8" s="20" t="n">
        <x:v>25</x:v>
      </x:c>
      <x:c r="I8" s="19" t="n">
        <x:v>120000</x:v>
      </x:c>
      <x:c r="J8" s="19" t="n">
        <x:v>24000</x:v>
      </x:c>
      <x:c r="K8" s="20" t="n">
        <x:v>4</x:v>
      </x:c>
    </x:row>
    <x:row r="9" ht="23" customHeight="1">
      <x:c r="A9" s="2" t="str">
        <x:v>2026-09-23_Night</x:v>
      </x:c>
      <x:c r="B9" s="2" t="str">
        <x:v>下落</x:v>
      </x:c>
      <x:c r="C9" s="19" t="n">
        <x:v>4000</x:v>
      </x:c>
      <x:c r="D9" s="19" t="n">
        <x:v>40000</x:v>
      </x:c>
      <x:c r="E9" s="19" t="n">
        <x:f>C9-D9</x:f>
        <x:v>-36000</x:v>
      </x:c>
      <x:c r="F9" s="19" t="n">
        <x:f>F8+E9</x:f>
        <x:v>63000</x:v>
      </x:c>
      <x:c r="G9" s="20" t="n">
        <x:v>3</x:v>
      </x:c>
      <x:c r="H9" s="20" t="n">
        <x:v>7</x:v>
      </x:c>
      <x:c r="I9" s="19" t="n">
        <x:v>0</x:v>
      </x:c>
      <x:c r="J9" s="19" t="n">
        <x:v>-36000</x:v>
      </x:c>
      <x:c r="K9" s="20" t="n">
        <x:v>2</x:v>
      </x:c>
    </x:row>
    <x:row r="10" ht="23" customHeight="1">
      <x:c r="A10" s="2" t="str">
        <x:v>2026-09-24_Night</x:v>
      </x:c>
      <x:c r="B10" s="2" t="str">
        <x:v>下落</x:v>
      </x:c>
      <x:c r="C10" s="19" t="n">
        <x:v>80000</x:v>
      </x:c>
      <x:c r="D10" s="19" t="n">
        <x:v>100000</x:v>
      </x:c>
      <x:c r="E10" s="19" t="n">
        <x:f>C10-D10</x:f>
        <x:v>-20000</x:v>
      </x:c>
      <x:c r="F10" s="19" t="n">
        <x:f>F9+E10</x:f>
        <x:v>43000</x:v>
      </x:c>
      <x:c r="G10" s="20" t="n">
        <x:v>8</x:v>
      </x:c>
      <x:c r="H10" s="20" t="n">
        <x:v>32</x:v>
      </x:c>
      <x:c r="I10" s="19" t="n">
        <x:v>-40000</x:v>
      </x:c>
      <x:c r="J10" s="19" t="n">
        <x:v>20000</x:v>
      </x:c>
      <x:c r="K10" s="20" t="n">
        <x:v>6</x:v>
      </x:c>
    </x:row>
    <x:row r="11" ht="23" customHeight="1">
      <x:c r="A11" s="2" t="str">
        <x:v>2026-09-25_Night</x:v>
      </x:c>
      <x:c r="B11" s="2" t="str">
        <x:v>上昇</x:v>
      </x:c>
      <x:c r="C11" s="19" t="n">
        <x:v>57000</x:v>
      </x:c>
      <x:c r="D11" s="19" t="n">
        <x:v>166000</x:v>
      </x:c>
      <x:c r="E11" s="19" t="n">
        <x:f>C11-D11</x:f>
        <x:v>-109000</x:v>
      </x:c>
      <x:c r="F11" s="19" t="n">
        <x:f>F10+E11</x:f>
        <x:v>-66000</x:v>
      </x:c>
      <x:c r="G11" s="20" t="n">
        <x:v>6</x:v>
      </x:c>
      <x:c r="H11" s="20" t="n">
        <x:v>26</x:v>
      </x:c>
      <x:c r="I11" s="19" t="n">
        <x:v>-110000</x:v>
      </x:c>
      <x:c r="J11" s="19" t="n">
        <x:v>1000</x:v>
      </x:c>
      <x:c r="K11" s="20" t="n">
        <x:v>6</x:v>
      </x:c>
    </x:row>
    <x:row r="12" ht="23" customHeight="1">
      <x:c r="A12" s="2" t="str">
        <x:v>2026-09-28_Night</x:v>
      </x:c>
      <x:c r="B12" s="2" t="str">
        <x:v>下落</x:v>
      </x:c>
      <x:c r="C12" s="19" t="n">
        <x:v>21000</x:v>
      </x:c>
      <x:c r="D12" s="19" t="n">
        <x:v>213000</x:v>
      </x:c>
      <x:c r="E12" s="19" t="n">
        <x:f>C12-D12</x:f>
        <x:v>-192000</x:v>
      </x:c>
      <x:c r="F12" s="19" t="n">
        <x:f>F11+E12</x:f>
        <x:v>-258000</x:v>
      </x:c>
      <x:c r="G12" s="20" t="n">
        <x:v>11</x:v>
      </x:c>
      <x:c r="H12" s="20" t="n">
        <x:v>37</x:v>
      </x:c>
      <x:c r="I12" s="19" t="n">
        <x:v>-145000</x:v>
      </x:c>
      <x:c r="J12" s="19" t="n">
        <x:v>-47000</x:v>
      </x:c>
      <x:c r="K12" s="20" t="n">
        <x:v>10</x:v>
      </x:c>
    </x:row>
    <x:row r="13" ht="23" customHeight="1">
      <x:c r="A13" s="2" t="str">
        <x:v>2026-09-29_Night</x:v>
      </x:c>
      <x:c r="B13" s="2" t="str">
        <x:v>上昇</x:v>
      </x:c>
      <x:c r="C13" s="19" t="n">
        <x:v>87000</x:v>
      </x:c>
      <x:c r="D13" s="19" t="n">
        <x:v>167000</x:v>
      </x:c>
      <x:c r="E13" s="19" t="n">
        <x:f>C13-D13</x:f>
        <x:v>-80000</x:v>
      </x:c>
      <x:c r="F13" s="19" t="n">
        <x:f>F12+E13</x:f>
        <x:v>-338000</x:v>
      </x:c>
      <x:c r="G13" s="20" t="n">
        <x:v>9</x:v>
      </x:c>
      <x:c r="H13" s="20" t="n">
        <x:v>29</x:v>
      </x:c>
      <x:c r="I13" s="19" t="n">
        <x:v>-145000</x:v>
      </x:c>
      <x:c r="J13" s="19" t="n">
        <x:v>65000</x:v>
      </x:c>
      <x:c r="K13" s="20" t="n">
        <x:v>7</x:v>
      </x:c>
    </x:row>
    <x:row r="14" ht="23" customHeight="1">
      <x:c r="A14" s="2" t="str">
        <x:v>2026-09-30_Night</x:v>
      </x:c>
      <x:c r="B14" s="2" t="str">
        <x:v>下落</x:v>
      </x:c>
      <x:c r="C14" s="19" t="n">
        <x:v>158000</x:v>
      </x:c>
      <x:c r="D14" s="19" t="n">
        <x:v>305000</x:v>
      </x:c>
      <x:c r="E14" s="19" t="n">
        <x:f>C14-D14</x:f>
        <x:v>-147000</x:v>
      </x:c>
      <x:c r="F14" s="19" t="n">
        <x:f>F13+E14</x:f>
        <x:v>-485000</x:v>
      </x:c>
      <x:c r="G14" s="20" t="n">
        <x:v>14</x:v>
      </x:c>
      <x:c r="H14" s="20" t="n">
        <x:v>62</x:v>
      </x:c>
      <x:c r="I14" s="19" t="n">
        <x:v>-190000</x:v>
      </x:c>
      <x:c r="J14" s="19" t="n">
        <x:v>43000</x:v>
      </x:c>
      <x:c r="K14" s="20" t="n">
        <x:v>10</x:v>
      </x:c>
    </x:row>
    <x:row r="15" ht="23" customHeight="1">
      <x:c r="A15" s="2" t="str">
        <x:v>2026-10-01_Night</x:v>
      </x:c>
      <x:c r="B15" s="2" t="str">
        <x:v>上昇</x:v>
      </x:c>
      <x:c r="C15" s="19" t="n">
        <x:v>360000</x:v>
      </x:c>
      <x:c r="D15" s="19" t="n">
        <x:v>196000</x:v>
      </x:c>
      <x:c r="E15" s="19" t="n">
        <x:f>C15-D15</x:f>
        <x:v>164000</x:v>
      </x:c>
      <x:c r="F15" s="19" t="n">
        <x:f>F14+E15</x:f>
        <x:v>-321000</x:v>
      </x:c>
      <x:c r="G15" s="20" t="n">
        <x:v>18</x:v>
      </x:c>
      <x:c r="H15" s="20" t="n">
        <x:v>49</x:v>
      </x:c>
      <x:c r="I15" s="19" t="n">
        <x:v>55000</x:v>
      </x:c>
      <x:c r="J15" s="19" t="n">
        <x:v>109000</x:v>
      </x:c>
      <x:c r="K15" s="20" t="n">
        <x:v>13</x:v>
      </x:c>
    </x:row>
    <x:row r="16" ht="23" customHeight="1">
      <x:c r="A16" s="2" t="str">
        <x:v>2026-10-02_Night</x:v>
      </x:c>
      <x:c r="B16" s="2" t="str">
        <x:v>上昇</x:v>
      </x:c>
      <x:c r="C16" s="19" t="n">
        <x:v>439000</x:v>
      </x:c>
      <x:c r="D16" s="19" t="n">
        <x:v>358000</x:v>
      </x:c>
      <x:c r="E16" s="19" t="n">
        <x:f>C16-D16</x:f>
        <x:v>81000</x:v>
      </x:c>
      <x:c r="F16" s="19" t="n">
        <x:f>F15+E16</x:f>
        <x:v>-240000</x:v>
      </x:c>
      <x:c r="G16" s="20" t="n">
        <x:v>27</x:v>
      </x:c>
      <x:c r="H16" s="20" t="n">
        <x:v>88</x:v>
      </x:c>
      <x:c r="I16" s="19" t="n">
        <x:v>-180000</x:v>
      </x:c>
      <x:c r="J16" s="19" t="n">
        <x:v>261000</x:v>
      </x:c>
      <x:c r="K16" s="20" t="n">
        <x:v>20</x:v>
      </x:c>
    </x:row>
    <x:row r="17" ht="23" customHeight="1">
      <x:c r="A17" s="2" t="str">
        <x:v>2026-10-05_Night</x:v>
      </x:c>
      <x:c r="B17" s="2" t="str">
        <x:v>下落</x:v>
      </x:c>
      <x:c r="C17" s="19" t="n">
        <x:v>193000</x:v>
      </x:c>
      <x:c r="D17" s="19" t="n">
        <x:v>264000</x:v>
      </x:c>
      <x:c r="E17" s="19" t="n">
        <x:f>C17-D17</x:f>
        <x:v>-71000</x:v>
      </x:c>
      <x:c r="F17" s="19" t="n">
        <x:f>F16+E17</x:f>
        <x:v>-311000</x:v>
      </x:c>
      <x:c r="G17" s="20" t="n">
        <x:v>13</x:v>
      </x:c>
      <x:c r="H17" s="20" t="n">
        <x:v>44</x:v>
      </x:c>
      <x:c r="I17" s="19" t="n">
        <x:v>-105000</x:v>
      </x:c>
      <x:c r="J17" s="19" t="n">
        <x:v>34000</x:v>
      </x:c>
      <x:c r="K17" s="20" t="n">
        <x:v>10</x:v>
      </x:c>
    </x:row>
    <x:row r="18" ht="23" customHeight="1">
      <x:c r="A18" s="2" t="str">
        <x:v>2026-10-06_Night</x:v>
      </x:c>
      <x:c r="B18" s="2" t="str">
        <x:v>下落</x:v>
      </x:c>
      <x:c r="C18" s="19" t="n">
        <x:v>33000</x:v>
      </x:c>
      <x:c r="D18" s="19" t="n">
        <x:v>173000</x:v>
      </x:c>
      <x:c r="E18" s="19" t="n">
        <x:f>C18-D18</x:f>
        <x:v>-140000</x:v>
      </x:c>
      <x:c r="F18" s="19" t="n">
        <x:f>F17+E18</x:f>
        <x:v>-451000</x:v>
      </x:c>
      <x:c r="G18" s="20" t="n">
        <x:v>8</x:v>
      </x:c>
      <x:c r="H18" s="20" t="n">
        <x:v>28</x:v>
      </x:c>
      <x:c r="I18" s="19" t="n">
        <x:v>-130000</x:v>
      </x:c>
      <x:c r="J18" s="19" t="n">
        <x:v>-10000</x:v>
      </x:c>
      <x:c r="K18" s="20" t="n">
        <x:v>5</x:v>
      </x:c>
    </x:row>
    <x:row r="19" ht="23" customHeight="1">
      <x:c r="A19" s="2" t="str">
        <x:v>2026-10-07_Night</x:v>
      </x:c>
      <x:c r="B19" s="2" t="str">
        <x:v>下落</x:v>
      </x:c>
      <x:c r="C19" s="19" t="n">
        <x:v>0</x:v>
      </x:c>
      <x:c r="D19" s="19" t="n">
        <x:v>172000</x:v>
      </x:c>
      <x:c r="E19" s="19" t="n">
        <x:f>C19-D19</x:f>
        <x:v>-172000</x:v>
      </x:c>
      <x:c r="F19" s="19" t="n">
        <x:f>F18+E19</x:f>
        <x:v>-623000</x:v>
      </x:c>
      <x:c r="G19" s="20" t="n">
        <x:v>5</x:v>
      </x:c>
      <x:c r="H19" s="20" t="n">
        <x:v>17</x:v>
      </x:c>
      <x:c r="I19" s="19" t="n">
        <x:v>-150000</x:v>
      </x:c>
      <x:c r="J19" s="19" t="n">
        <x:v>-22000</x:v>
      </x:c>
      <x:c r="K19" s="20" t="n">
        <x:v>4</x:v>
      </x:c>
    </x:row>
    <x:row r="20" ht="23" customHeight="1">
      <x:c r="A20" s="2" t="str">
        <x:v>2026-10-08_Night</x:v>
      </x:c>
      <x:c r="B20" s="2" t="str">
        <x:v>下落</x:v>
      </x:c>
      <x:c r="C20" s="19" t="n">
        <x:v>445000</x:v>
      </x:c>
      <x:c r="D20" s="19" t="n">
        <x:v>70000</x:v>
      </x:c>
      <x:c r="E20" s="19" t="n">
        <x:f>C20-D20</x:f>
        <x:v>375000</x:v>
      </x:c>
      <x:c r="F20" s="19" t="n">
        <x:f>F19+E20</x:f>
        <x:v>-248000</x:v>
      </x:c>
      <x:c r="G20" s="20" t="n">
        <x:v>20</x:v>
      </x:c>
      <x:c r="H20" s="20" t="n">
        <x:v>53</x:v>
      </x:c>
      <x:c r="I20" s="19" t="n">
        <x:v>65000</x:v>
      </x:c>
      <x:c r="J20" s="19" t="n">
        <x:v>310000</x:v>
      </x:c>
      <x:c r="K20" s="20" t="n">
        <x:v>14</x:v>
      </x:c>
    </x:row>
    <x:row r="21" ht="23" customHeight="1">
      <x:c r="A21" s="2" t="str">
        <x:v>2026-10-09_Night</x:v>
      </x:c>
      <x:c r="B21" s="2" t="str">
        <x:v>下落</x:v>
      </x:c>
      <x:c r="C21" s="19" t="n">
        <x:v>14000</x:v>
      </x:c>
      <x:c r="D21" s="19" t="n">
        <x:v>95000</x:v>
      </x:c>
      <x:c r="E21" s="19" t="n">
        <x:f>C21-D21</x:f>
        <x:v>-81000</x:v>
      </x:c>
      <x:c r="F21" s="19" t="n">
        <x:f>F20+E21</x:f>
        <x:v>-329000</x:v>
      </x:c>
      <x:c r="G21" s="20" t="n">
        <x:v>3</x:v>
      </x:c>
      <x:c r="H21" s="20" t="n">
        <x:v>15</x:v>
      </x:c>
      <x:c r="I21" s="19" t="n">
        <x:v>-95000</x:v>
      </x:c>
      <x:c r="J21" s="19" t="n">
        <x:v>14000</x:v>
      </x:c>
      <x:c r="K21" s="20" t="n">
        <x:v>3</x:v>
      </x:c>
    </x:row>
    <x:row r="22" ht="23" customHeight="1">
      <x:c r="A22" s="2" t="str">
        <x:v>2026-10-12_Night</x:v>
      </x:c>
      <x:c r="B22" s="2" t="str">
        <x:v>下落</x:v>
      </x:c>
      <x:c r="C22" s="19" t="n">
        <x:v>82000</x:v>
      </x:c>
      <x:c r="D22" s="19" t="n">
        <x:v>50000</x:v>
      </x:c>
      <x:c r="E22" s="19" t="n">
        <x:f>C22-D22</x:f>
        <x:v>32000</x:v>
      </x:c>
      <x:c r="F22" s="19" t="n">
        <x:f>F21+E22</x:f>
        <x:v>-297000</x:v>
      </x:c>
      <x:c r="G22" s="20" t="n">
        <x:v>2</x:v>
      </x:c>
      <x:c r="H22" s="20" t="n">
        <x:v>10</x:v>
      </x:c>
      <x:c r="I22" s="19" t="n">
        <x:v>-50000</x:v>
      </x:c>
      <x:c r="J22" s="19" t="n">
        <x:v>82000</x:v>
      </x:c>
      <x:c r="K22" s="20" t="n">
        <x:v>2</x:v>
      </x:c>
    </x:row>
    <x:row r="23" ht="23" customHeight="1">
      <x:c r="A23" s="2" t="str">
        <x:v>2026-10-13_Night</x:v>
      </x:c>
      <x:c r="B23" s="2" t="str">
        <x:v>上昇</x:v>
      </x:c>
      <x:c r="C23" s="19" t="n">
        <x:v>35000</x:v>
      </x:c>
      <x:c r="D23" s="19" t="n">
        <x:v>68000</x:v>
      </x:c>
      <x:c r="E23" s="19" t="n">
        <x:f>C23-D23</x:f>
        <x:v>-33000</x:v>
      </x:c>
      <x:c r="F23" s="19" t="n">
        <x:f>F22+E23</x:f>
        <x:v>-330000</x:v>
      </x:c>
      <x:c r="G23" s="20" t="n">
        <x:v>5</x:v>
      </x:c>
      <x:c r="H23" s="20" t="n">
        <x:v>21</x:v>
      </x:c>
      <x:c r="I23" s="19" t="n">
        <x:v>20000</x:v>
      </x:c>
      <x:c r="J23" s="19" t="n">
        <x:v>-53000</x:v>
      </x:c>
      <x:c r="K23" s="20" t="n">
        <x:v>4</x:v>
      </x:c>
    </x:row>
    <x:row r="24" ht="23" customHeight="1">
      <x:c r="A24" s="2" t="str">
        <x:v>2026-10-14_Night</x:v>
      </x:c>
      <x:c r="B24" s="2" t="str">
        <x:v>下落</x:v>
      </x:c>
      <x:c r="C24" s="19" t="n">
        <x:v>222000</x:v>
      </x:c>
      <x:c r="D24" s="19" t="n">
        <x:v>411000</x:v>
      </x:c>
      <x:c r="E24" s="19" t="n">
        <x:f>C24-D24</x:f>
        <x:v>-189000</x:v>
      </x:c>
      <x:c r="F24" s="19" t="n">
        <x:f>F23+E24</x:f>
        <x:v>-519000</x:v>
      </x:c>
      <x:c r="G24" s="20" t="n">
        <x:v>11</x:v>
      </x:c>
      <x:c r="H24" s="20" t="n">
        <x:v>44</x:v>
      </x:c>
      <x:c r="I24" s="19" t="n">
        <x:v>-325000</x:v>
      </x:c>
      <x:c r="J24" s="19" t="n">
        <x:v>136000</x:v>
      </x:c>
      <x:c r="K24" s="20" t="n">
        <x:v>10</x:v>
      </x:c>
    </x:row>
    <x:row r="25" ht="23" customHeight="1">
      <x:c r="A25" s="2" t="str">
        <x:v>2026-10-15_Night</x:v>
      </x:c>
      <x:c r="B25" s="2" t="str">
        <x:v>上昇</x:v>
      </x:c>
      <x:c r="C25" s="19" t="n">
        <x:v>231000</x:v>
      </x:c>
      <x:c r="D25" s="19" t="n">
        <x:v>320000</x:v>
      </x:c>
      <x:c r="E25" s="19" t="n">
        <x:f>C25-D25</x:f>
        <x:v>-89000</x:v>
      </x:c>
      <x:c r="F25" s="19" t="n">
        <x:f>F24+E25</x:f>
        <x:v>-608000</x:v>
      </x:c>
      <x:c r="G25" s="20" t="n">
        <x:v>18</x:v>
      </x:c>
      <x:c r="H25" s="20" t="n">
        <x:v>44</x:v>
      </x:c>
      <x:c r="I25" s="19" t="n">
        <x:v>-185000</x:v>
      </x:c>
      <x:c r="J25" s="19" t="n">
        <x:v>96000</x:v>
      </x:c>
      <x:c r="K25" s="20" t="n">
        <x:v>14</x:v>
      </x:c>
    </x:row>
    <x:row r="26" ht="23" customHeight="1">
      <x:c r="A26" s="2" t="str">
        <x:v>2026-10-16_Night</x:v>
      </x:c>
      <x:c r="B26" s="2" t="str">
        <x:v>下落</x:v>
      </x:c>
      <x:c r="C26" s="19" t="n">
        <x:v>153000</x:v>
      </x:c>
      <x:c r="D26" s="19" t="n">
        <x:v>242000</x:v>
      </x:c>
      <x:c r="E26" s="19" t="n">
        <x:f>C26-D26</x:f>
        <x:v>-89000</x:v>
      </x:c>
      <x:c r="F26" s="19" t="n">
        <x:f>F25+E26</x:f>
        <x:v>-697000</x:v>
      </x:c>
      <x:c r="G26" s="20" t="n">
        <x:v>15</x:v>
      </x:c>
      <x:c r="H26" s="20" t="n">
        <x:v>37</x:v>
      </x:c>
      <x:c r="I26" s="19" t="n">
        <x:v>-100000</x:v>
      </x:c>
      <x:c r="J26" s="19" t="n">
        <x:v>11000</x:v>
      </x:c>
      <x:c r="K26" s="20" t="n">
        <x:v>13</x:v>
      </x:c>
    </x:row>
    <x:row r="27" ht="23" customHeight="1">
      <x:c r="A27" s="2" t="str">
        <x:v>2026-10-19_Night</x:v>
      </x:c>
      <x:c r="B27" s="2" t="str">
        <x:v>上昇</x:v>
      </x:c>
      <x:c r="C27" s="19" t="n">
        <x:v>133000</x:v>
      </x:c>
      <x:c r="D27" s="19" t="n">
        <x:v>343000</x:v>
      </x:c>
      <x:c r="E27" s="19" t="n">
        <x:f>C27-D27</x:f>
        <x:v>-210000</x:v>
      </x:c>
      <x:c r="F27" s="19" t="n">
        <x:f>F26+E27</x:f>
        <x:v>-907000</x:v>
      </x:c>
      <x:c r="G27" s="20" t="n">
        <x:v>20</x:v>
      </x:c>
      <x:c r="H27" s="20" t="n">
        <x:v>53</x:v>
      </x:c>
      <x:c r="I27" s="19" t="n">
        <x:v>-225000</x:v>
      </x:c>
      <x:c r="J27" s="19" t="n">
        <x:v>15000</x:v>
      </x:c>
      <x:c r="K27" s="20" t="n">
        <x:v>15</x:v>
      </x:c>
    </x:row>
    <x:row r="28" ht="23" customHeight="1">
      <x:c r="A28" s="2" t="str">
        <x:v>2026-10-20_Night</x:v>
      </x:c>
      <x:c r="B28" s="2" t="str">
        <x:v>上昇</x:v>
      </x:c>
      <x:c r="C28" s="19" t="n">
        <x:v>1027000</x:v>
      </x:c>
      <x:c r="D28" s="19" t="n">
        <x:v>254000</x:v>
      </x:c>
      <x:c r="E28" s="19" t="n">
        <x:f>C28-D28</x:f>
        <x:v>773000</x:v>
      </x:c>
      <x:c r="F28" s="19" t="n">
        <x:f>F27+E28</x:f>
        <x:v>-134000</x:v>
      </x:c>
      <x:c r="G28" s="20" t="n">
        <x:v>23</x:v>
      </x:c>
      <x:c r="H28" s="20" t="n">
        <x:v>79</x:v>
      </x:c>
      <x:c r="I28" s="19" t="n">
        <x:v>295000</x:v>
      </x:c>
      <x:c r="J28" s="19" t="n">
        <x:v>478000</x:v>
      </x:c>
      <x:c r="K28" s="20" t="n">
        <x:v>15</x:v>
      </x:c>
    </x:row>
    <x:row r="29" ht="23" customHeight="1">
      <x:c r="A29" s="2" t="str">
        <x:v>2026-10-21_Night</x:v>
      </x:c>
      <x:c r="B29" s="2" t="str">
        <x:v>上昇</x:v>
      </x:c>
      <x:c r="C29" s="19" t="n">
        <x:v>366000</x:v>
      </x:c>
      <x:c r="D29" s="19" t="n">
        <x:v>145000</x:v>
      </x:c>
      <x:c r="E29" s="19" t="n">
        <x:f>C29-D29</x:f>
        <x:v>221000</x:v>
      </x:c>
      <x:c r="F29" s="19" t="n">
        <x:f>F28+E29</x:f>
        <x:v>87000</x:v>
      </x:c>
      <x:c r="G29" s="20" t="n">
        <x:v>13</x:v>
      </x:c>
      <x:c r="H29" s="20" t="n">
        <x:v>57</x:v>
      </x:c>
      <x:c r="I29" s="19" t="n">
        <x:v>245000</x:v>
      </x:c>
      <x:c r="J29" s="19" t="n">
        <x:v>-24000</x:v>
      </x:c>
      <x:c r="K29" s="20" t="n">
        <x:v>9</x:v>
      </x:c>
    </x:row>
    <x:row r="30" ht="23" customHeight="1">
      <x:c r="A30" s="2" t="str">
        <x:v>2026-10-22_Night</x:v>
      </x:c>
      <x:c r="B30" s="2" t="str">
        <x:v>下落</x:v>
      </x:c>
      <x:c r="C30" s="19" t="n">
        <x:v>160000</x:v>
      </x:c>
      <x:c r="D30" s="19" t="n">
        <x:v>368000</x:v>
      </x:c>
      <x:c r="E30" s="19" t="n">
        <x:f>C30-D30</x:f>
        <x:v>-208000</x:v>
      </x:c>
      <x:c r="F30" s="19" t="n">
        <x:f>F29+E30</x:f>
        <x:v>-121000</x:v>
      </x:c>
      <x:c r="G30" s="20" t="n">
        <x:v>14</x:v>
      </x:c>
      <x:c r="H30" s="20" t="n">
        <x:v>50</x:v>
      </x:c>
      <x:c r="I30" s="19" t="n">
        <x:v>-285000</x:v>
      </x:c>
      <x:c r="J30" s="19" t="n">
        <x:v>77000</x:v>
      </x:c>
      <x:c r="K30" s="20" t="n">
        <x:v>11</x:v>
      </x:c>
    </x:row>
    <x:row r="31" ht="23" customHeight="1">
      <x:c r="A31" s="2" t="str">
        <x:v>2026-10-23_Night</x:v>
      </x:c>
      <x:c r="B31" s="2" t="str">
        <x:v>上昇</x:v>
      </x:c>
      <x:c r="C31" s="19" t="n">
        <x:v>132000</x:v>
      </x:c>
      <x:c r="D31" s="19" t="n">
        <x:v>257000</x:v>
      </x:c>
      <x:c r="E31" s="19" t="n">
        <x:f>C31-D31</x:f>
        <x:v>-125000</x:v>
      </x:c>
      <x:c r="F31" s="19" t="n">
        <x:f>F30+E31</x:f>
        <x:v>-246000</x:v>
      </x:c>
      <x:c r="G31" s="20" t="n">
        <x:v>15</x:v>
      </x:c>
      <x:c r="H31" s="20" t="n">
        <x:v>56</x:v>
      </x:c>
      <x:c r="I31" s="19" t="n">
        <x:v>-140000</x:v>
      </x:c>
      <x:c r="J31" s="19" t="n">
        <x:v>15000</x:v>
      </x:c>
      <x:c r="K31" s="20" t="n">
        <x:v>11</x:v>
      </x:c>
    </x:row>
    <x:row r="32" ht="23" customHeight="1">
      <x:c r="A32" s="24" t="str">
        <x:v>25夜累計</x:v>
      </x:c>
      <x:c r="B32" s="24"/>
      <x:c r="C32" s="25" t="n">
        <x:f>SUM(C7:C31)</x:f>
        <x:v>4621000</x:v>
      </x:c>
      <x:c r="D32" s="25" t="n">
        <x:f>SUM(D7:D31)</x:f>
        <x:v>4867000</x:v>
      </x:c>
      <x:c r="E32" s="25" t="n">
        <x:f>C32-D32</x:f>
        <x:v>-246000</x:v>
      </x:c>
      <x:c r="F32" s="25" t="n">
        <x:f>F31</x:f>
        <x:v>-246000</x:v>
      </x:c>
      <x:c r="G32" s="26" t="n">
        <x:f>SUM(G7:G31)</x:f>
        <x:v>287</x:v>
      </x:c>
      <x:c r="H32" s="26" t="n">
        <x:f>SUM(H7:H31)</x:f>
        <x:v>968</x:v>
      </x:c>
      <x:c r="I32" s="25" t="n">
        <x:f>SUM(I7:I31)</x:f>
        <x:v>-1800000</x:v>
      </x:c>
      <x:c r="J32" s="25" t="n">
        <x:f>SUM(J7:J31)</x:f>
        <x:v>1554000</x:v>
      </x:c>
      <x:c r="K32" s="26" t="n">
        <x:f>SUM(K7:K31)</x:f>
        <x:v>219</x:v>
      </x:c>
    </x:row>
    <x:row r="33" ht="23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</x:row>
  </x:sheetData>
  <x:conditionalFormatting sqref="C7:F32">
    <x:cfRule type="cellIs" dxfId="24" priority="1" operator="lessThan">
      <x:formula>0</x:formula>
    </x:cfRule>
  </x:conditionalFormatting>
  <x:conditionalFormatting sqref="I7:J32">
    <x:cfRule type="cellIs" dxfId="25" priority="2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3677f2eb50843bf"/>
  </x:tableParts>
</x:worksheet>
</file>

<file path=xl/worksheets/sheet15.xml><?xml version="1.0" encoding="utf-8"?>
<x:worksheet xmlns:x="http://schemas.openxmlformats.org/spreadsheetml/2006/main">
  <x:sheetPr>
    <x:tabColor rgb="FF244A70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8" hidden="0" customWidth="1"/>
    <x:col min="2" max="2" width="14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23" customHeight="1">
      <x:c r="A2" s="4" t="str">
        <x:v>P13　全夜間の利益・損失・収支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</x:row>
    <x:row r="3" ht="23" customHeight="1">
      <x:c r="A3" s="6" t="str">
        <x:v>日経mini・片方向上限10枚・手数料0円・気配差込み。利益と損失は完結した親取引の収支を分類。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 ht="23" customHeight="1">
      <x:c r="A4" s="6" t="str">
        <x:v>2026/09/21～10/23の既知25夜。前段は米国開始15分前まで、後段は米国開始15分後から。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</x:row>
    <x:row r="5" ht="23" customHeight="1">
      <x:c r="A5" s="6" t="str">
        <x:v>全返済後の再開待ちを30秒へ短縮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</x:row>
    <x:row r="6" ht="40" customHeight="1">
      <x:c r="A6" s="15" t="str">
        <x:v>セッション</x:v>
      </x:c>
      <x:c r="B6" s="16" t="str">
        <x:v>始終値方向</x:v>
      </x:c>
      <x:c r="C6" s="16" t="str">
        <x:v>利益（円）</x:v>
      </x:c>
      <x:c r="D6" s="16" t="str">
        <x:v>損失（円）</x:v>
      </x:c>
      <x:c r="E6" s="16" t="str">
        <x:v>収支（円）</x:v>
      </x:c>
      <x:c r="F6" s="16" t="str">
        <x:v>累計（円）</x:v>
      </x:c>
      <x:c r="G6" s="16" t="str">
        <x:v>新規件数</x:v>
      </x:c>
      <x:c r="H6" s="16" t="str">
        <x:v>新規合計枚数</x:v>
      </x:c>
      <x:c r="I6" s="16" t="str">
        <x:v>前段収支（円）</x:v>
      </x:c>
      <x:c r="J6" s="16" t="str">
        <x:v>後段収支（円）</x:v>
      </x:c>
      <x:c r="K6" s="17" t="str">
        <x:v>親取引数</x:v>
      </x:c>
    </x:row>
    <x:row r="7" ht="23" customHeight="1">
      <x:c r="A7" s="2" t="str">
        <x:v>2026-09-21_Night</x:v>
      </x:c>
      <x:c r="B7" s="2" t="str">
        <x:v>上昇</x:v>
      </x:c>
      <x:c r="C7" s="19" t="n">
        <x:v>0</x:v>
      </x:c>
      <x:c r="D7" s="19" t="n">
        <x:v>45000</x:v>
      </x:c>
      <x:c r="E7" s="19" t="n">
        <x:f>C7-D7</x:f>
        <x:v>-45000</x:v>
      </x:c>
      <x:c r="F7" s="19" t="n">
        <x:f>E7</x:f>
        <x:v>-45000</x:v>
      </x:c>
      <x:c r="G7" s="20" t="n">
        <x:v>1</x:v>
      </x:c>
      <x:c r="H7" s="20" t="n">
        <x:v>5</x:v>
      </x:c>
      <x:c r="I7" s="19" t="n">
        <x:v>0</x:v>
      </x:c>
      <x:c r="J7" s="19" t="n">
        <x:v>-45000</x:v>
      </x:c>
      <x:c r="K7" s="20" t="n">
        <x:v>1</x:v>
      </x:c>
    </x:row>
    <x:row r="8" ht="23" customHeight="1">
      <x:c r="A8" s="2" t="str">
        <x:v>2026-09-22_Night</x:v>
      </x:c>
      <x:c r="B8" s="2" t="str">
        <x:v>上昇</x:v>
      </x:c>
      <x:c r="C8" s="19" t="n">
        <x:v>189000</x:v>
      </x:c>
      <x:c r="D8" s="19" t="n">
        <x:v>45000</x:v>
      </x:c>
      <x:c r="E8" s="19" t="n">
        <x:f>C8-D8</x:f>
        <x:v>144000</x:v>
      </x:c>
      <x:c r="F8" s="19" t="n">
        <x:f>F7+E8</x:f>
        <x:v>99000</x:v>
      </x:c>
      <x:c r="G8" s="20" t="n">
        <x:v>5</x:v>
      </x:c>
      <x:c r="H8" s="20" t="n">
        <x:v>25</x:v>
      </x:c>
      <x:c r="I8" s="19" t="n">
        <x:v>120000</x:v>
      </x:c>
      <x:c r="J8" s="19" t="n">
        <x:v>24000</x:v>
      </x:c>
      <x:c r="K8" s="20" t="n">
        <x:v>4</x:v>
      </x:c>
    </x:row>
    <x:row r="9" ht="23" customHeight="1">
      <x:c r="A9" s="2" t="str">
        <x:v>2026-09-23_Night</x:v>
      </x:c>
      <x:c r="B9" s="2" t="str">
        <x:v>下落</x:v>
      </x:c>
      <x:c r="C9" s="19" t="n">
        <x:v>4000</x:v>
      </x:c>
      <x:c r="D9" s="19" t="n">
        <x:v>40000</x:v>
      </x:c>
      <x:c r="E9" s="19" t="n">
        <x:f>C9-D9</x:f>
        <x:v>-36000</x:v>
      </x:c>
      <x:c r="F9" s="19" t="n">
        <x:f>F8+E9</x:f>
        <x:v>63000</x:v>
      </x:c>
      <x:c r="G9" s="20" t="n">
        <x:v>3</x:v>
      </x:c>
      <x:c r="H9" s="20" t="n">
        <x:v>7</x:v>
      </x:c>
      <x:c r="I9" s="19" t="n">
        <x:v>0</x:v>
      </x:c>
      <x:c r="J9" s="19" t="n">
        <x:v>-36000</x:v>
      </x:c>
      <x:c r="K9" s="20" t="n">
        <x:v>2</x:v>
      </x:c>
    </x:row>
    <x:row r="10" ht="23" customHeight="1">
      <x:c r="A10" s="2" t="str">
        <x:v>2026-09-24_Night</x:v>
      </x:c>
      <x:c r="B10" s="2" t="str">
        <x:v>下落</x:v>
      </x:c>
      <x:c r="C10" s="19" t="n">
        <x:v>80000</x:v>
      </x:c>
      <x:c r="D10" s="19" t="n">
        <x:v>100000</x:v>
      </x:c>
      <x:c r="E10" s="19" t="n">
        <x:f>C10-D10</x:f>
        <x:v>-20000</x:v>
      </x:c>
      <x:c r="F10" s="19" t="n">
        <x:f>F9+E10</x:f>
        <x:v>43000</x:v>
      </x:c>
      <x:c r="G10" s="20" t="n">
        <x:v>8</x:v>
      </x:c>
      <x:c r="H10" s="20" t="n">
        <x:v>32</x:v>
      </x:c>
      <x:c r="I10" s="19" t="n">
        <x:v>-40000</x:v>
      </x:c>
      <x:c r="J10" s="19" t="n">
        <x:v>20000</x:v>
      </x:c>
      <x:c r="K10" s="20" t="n">
        <x:v>6</x:v>
      </x:c>
    </x:row>
    <x:row r="11" ht="23" customHeight="1">
      <x:c r="A11" s="2" t="str">
        <x:v>2026-09-25_Night</x:v>
      </x:c>
      <x:c r="B11" s="2" t="str">
        <x:v>上昇</x:v>
      </x:c>
      <x:c r="C11" s="19" t="n">
        <x:v>57000</x:v>
      </x:c>
      <x:c r="D11" s="19" t="n">
        <x:v>166000</x:v>
      </x:c>
      <x:c r="E11" s="19" t="n">
        <x:f>C11-D11</x:f>
        <x:v>-109000</x:v>
      </x:c>
      <x:c r="F11" s="19" t="n">
        <x:f>F10+E11</x:f>
        <x:v>-66000</x:v>
      </x:c>
      <x:c r="G11" s="20" t="n">
        <x:v>6</x:v>
      </x:c>
      <x:c r="H11" s="20" t="n">
        <x:v>26</x:v>
      </x:c>
      <x:c r="I11" s="19" t="n">
        <x:v>-110000</x:v>
      </x:c>
      <x:c r="J11" s="19" t="n">
        <x:v>1000</x:v>
      </x:c>
      <x:c r="K11" s="20" t="n">
        <x:v>6</x:v>
      </x:c>
    </x:row>
    <x:row r="12" ht="23" customHeight="1">
      <x:c r="A12" s="2" t="str">
        <x:v>2026-09-28_Night</x:v>
      </x:c>
      <x:c r="B12" s="2" t="str">
        <x:v>下落</x:v>
      </x:c>
      <x:c r="C12" s="19" t="n">
        <x:v>21000</x:v>
      </x:c>
      <x:c r="D12" s="19" t="n">
        <x:v>213000</x:v>
      </x:c>
      <x:c r="E12" s="19" t="n">
        <x:f>C12-D12</x:f>
        <x:v>-192000</x:v>
      </x:c>
      <x:c r="F12" s="19" t="n">
        <x:f>F11+E12</x:f>
        <x:v>-258000</x:v>
      </x:c>
      <x:c r="G12" s="20" t="n">
        <x:v>11</x:v>
      </x:c>
      <x:c r="H12" s="20" t="n">
        <x:v>37</x:v>
      </x:c>
      <x:c r="I12" s="19" t="n">
        <x:v>-145000</x:v>
      </x:c>
      <x:c r="J12" s="19" t="n">
        <x:v>-47000</x:v>
      </x:c>
      <x:c r="K12" s="20" t="n">
        <x:v>10</x:v>
      </x:c>
    </x:row>
    <x:row r="13" ht="23" customHeight="1">
      <x:c r="A13" s="2" t="str">
        <x:v>2026-09-29_Night</x:v>
      </x:c>
      <x:c r="B13" s="2" t="str">
        <x:v>上昇</x:v>
      </x:c>
      <x:c r="C13" s="19" t="n">
        <x:v>87000</x:v>
      </x:c>
      <x:c r="D13" s="19" t="n">
        <x:v>167000</x:v>
      </x:c>
      <x:c r="E13" s="19" t="n">
        <x:f>C13-D13</x:f>
        <x:v>-80000</x:v>
      </x:c>
      <x:c r="F13" s="19" t="n">
        <x:f>F12+E13</x:f>
        <x:v>-338000</x:v>
      </x:c>
      <x:c r="G13" s="20" t="n">
        <x:v>9</x:v>
      </x:c>
      <x:c r="H13" s="20" t="n">
        <x:v>29</x:v>
      </x:c>
      <x:c r="I13" s="19" t="n">
        <x:v>-145000</x:v>
      </x:c>
      <x:c r="J13" s="19" t="n">
        <x:v>65000</x:v>
      </x:c>
      <x:c r="K13" s="20" t="n">
        <x:v>7</x:v>
      </x:c>
    </x:row>
    <x:row r="14" ht="23" customHeight="1">
      <x:c r="A14" s="2" t="str">
        <x:v>2026-09-30_Night</x:v>
      </x:c>
      <x:c r="B14" s="2" t="str">
        <x:v>下落</x:v>
      </x:c>
      <x:c r="C14" s="19" t="n">
        <x:v>198000</x:v>
      </x:c>
      <x:c r="D14" s="19" t="n">
        <x:v>405000</x:v>
      </x:c>
      <x:c r="E14" s="19" t="n">
        <x:f>C14-D14</x:f>
        <x:v>-207000</x:v>
      </x:c>
      <x:c r="F14" s="19" t="n">
        <x:f>F13+E14</x:f>
        <x:v>-545000</x:v>
      </x:c>
      <x:c r="G14" s="20" t="n">
        <x:v>16</x:v>
      </x:c>
      <x:c r="H14" s="20" t="n">
        <x:v>72</x:v>
      </x:c>
      <x:c r="I14" s="19" t="n">
        <x:v>-250000</x:v>
      </x:c>
      <x:c r="J14" s="19" t="n">
        <x:v>43000</x:v>
      </x:c>
      <x:c r="K14" s="20" t="n">
        <x:v>11</x:v>
      </x:c>
    </x:row>
    <x:row r="15" ht="23" customHeight="1">
      <x:c r="A15" s="2" t="str">
        <x:v>2026-10-01_Night</x:v>
      </x:c>
      <x:c r="B15" s="2" t="str">
        <x:v>上昇</x:v>
      </x:c>
      <x:c r="C15" s="19" t="n">
        <x:v>360000</x:v>
      </x:c>
      <x:c r="D15" s="19" t="n">
        <x:v>196000</x:v>
      </x:c>
      <x:c r="E15" s="19" t="n">
        <x:f>C15-D15</x:f>
        <x:v>164000</x:v>
      </x:c>
      <x:c r="F15" s="19" t="n">
        <x:f>F14+E15</x:f>
        <x:v>-381000</x:v>
      </x:c>
      <x:c r="G15" s="20" t="n">
        <x:v>18</x:v>
      </x:c>
      <x:c r="H15" s="20" t="n">
        <x:v>49</x:v>
      </x:c>
      <x:c r="I15" s="19" t="n">
        <x:v>55000</x:v>
      </x:c>
      <x:c r="J15" s="19" t="n">
        <x:v>109000</x:v>
      </x:c>
      <x:c r="K15" s="20" t="n">
        <x:v>13</x:v>
      </x:c>
    </x:row>
    <x:row r="16" ht="23" customHeight="1">
      <x:c r="A16" s="2" t="str">
        <x:v>2026-10-02_Night</x:v>
      </x:c>
      <x:c r="B16" s="2" t="str">
        <x:v>上昇</x:v>
      </x:c>
      <x:c r="C16" s="19" t="n">
        <x:v>424000</x:v>
      </x:c>
      <x:c r="D16" s="19" t="n">
        <x:v>363000</x:v>
      </x:c>
      <x:c r="E16" s="19" t="n">
        <x:f>C16-D16</x:f>
        <x:v>61000</x:v>
      </x:c>
      <x:c r="F16" s="19" t="n">
        <x:f>F15+E16</x:f>
        <x:v>-320000</x:v>
      </x:c>
      <x:c r="G16" s="20" t="n">
        <x:v>27</x:v>
      </x:c>
      <x:c r="H16" s="20" t="n">
        <x:v>88</x:v>
      </x:c>
      <x:c r="I16" s="19" t="n">
        <x:v>-200000</x:v>
      </x:c>
      <x:c r="J16" s="19" t="n">
        <x:v>261000</x:v>
      </x:c>
      <x:c r="K16" s="20" t="n">
        <x:v>20</x:v>
      </x:c>
    </x:row>
    <x:row r="17" ht="23" customHeight="1">
      <x:c r="A17" s="2" t="str">
        <x:v>2026-10-05_Night</x:v>
      </x:c>
      <x:c r="B17" s="2" t="str">
        <x:v>下落</x:v>
      </x:c>
      <x:c r="C17" s="19" t="n">
        <x:v>188000</x:v>
      </x:c>
      <x:c r="D17" s="19" t="n">
        <x:v>314000</x:v>
      </x:c>
      <x:c r="E17" s="19" t="n">
        <x:f>C17-D17</x:f>
        <x:v>-126000</x:v>
      </x:c>
      <x:c r="F17" s="19" t="n">
        <x:f>F16+E17</x:f>
        <x:v>-446000</x:v>
      </x:c>
      <x:c r="G17" s="20" t="n">
        <x:v>14</x:v>
      </x:c>
      <x:c r="H17" s="20" t="n">
        <x:v>49</x:v>
      </x:c>
      <x:c r="I17" s="19" t="n">
        <x:v>-160000</x:v>
      </x:c>
      <x:c r="J17" s="19" t="n">
        <x:v>34000</x:v>
      </x:c>
      <x:c r="K17" s="20" t="n">
        <x:v>11</x:v>
      </x:c>
    </x:row>
    <x:row r="18" ht="23" customHeight="1">
      <x:c r="A18" s="2" t="str">
        <x:v>2026-10-06_Night</x:v>
      </x:c>
      <x:c r="B18" s="2" t="str">
        <x:v>下落</x:v>
      </x:c>
      <x:c r="C18" s="19" t="n">
        <x:v>33000</x:v>
      </x:c>
      <x:c r="D18" s="19" t="n">
        <x:v>173000</x:v>
      </x:c>
      <x:c r="E18" s="19" t="n">
        <x:f>C18-D18</x:f>
        <x:v>-140000</x:v>
      </x:c>
      <x:c r="F18" s="19" t="n">
        <x:f>F17+E18</x:f>
        <x:v>-586000</x:v>
      </x:c>
      <x:c r="G18" s="20" t="n">
        <x:v>8</x:v>
      </x:c>
      <x:c r="H18" s="20" t="n">
        <x:v>28</x:v>
      </x:c>
      <x:c r="I18" s="19" t="n">
        <x:v>-130000</x:v>
      </x:c>
      <x:c r="J18" s="19" t="n">
        <x:v>-10000</x:v>
      </x:c>
      <x:c r="K18" s="20" t="n">
        <x:v>5</x:v>
      </x:c>
    </x:row>
    <x:row r="19" ht="23" customHeight="1">
      <x:c r="A19" s="2" t="str">
        <x:v>2026-10-07_Night</x:v>
      </x:c>
      <x:c r="B19" s="2" t="str">
        <x:v>下落</x:v>
      </x:c>
      <x:c r="C19" s="19" t="n">
        <x:v>0</x:v>
      </x:c>
      <x:c r="D19" s="19" t="n">
        <x:v>172000</x:v>
      </x:c>
      <x:c r="E19" s="19" t="n">
        <x:f>C19-D19</x:f>
        <x:v>-172000</x:v>
      </x:c>
      <x:c r="F19" s="19" t="n">
        <x:f>F18+E19</x:f>
        <x:v>-758000</x:v>
      </x:c>
      <x:c r="G19" s="20" t="n">
        <x:v>5</x:v>
      </x:c>
      <x:c r="H19" s="20" t="n">
        <x:v>17</x:v>
      </x:c>
      <x:c r="I19" s="19" t="n">
        <x:v>-150000</x:v>
      </x:c>
      <x:c r="J19" s="19" t="n">
        <x:v>-22000</x:v>
      </x:c>
      <x:c r="K19" s="20" t="n">
        <x:v>4</x:v>
      </x:c>
    </x:row>
    <x:row r="20" ht="23" customHeight="1">
      <x:c r="A20" s="2" t="str">
        <x:v>2026-10-08_Night</x:v>
      </x:c>
      <x:c r="B20" s="2" t="str">
        <x:v>下落</x:v>
      </x:c>
      <x:c r="C20" s="19" t="n">
        <x:v>445000</x:v>
      </x:c>
      <x:c r="D20" s="19" t="n">
        <x:v>70000</x:v>
      </x:c>
      <x:c r="E20" s="19" t="n">
        <x:f>C20-D20</x:f>
        <x:v>375000</x:v>
      </x:c>
      <x:c r="F20" s="19" t="n">
        <x:f>F19+E20</x:f>
        <x:v>-383000</x:v>
      </x:c>
      <x:c r="G20" s="20" t="n">
        <x:v>20</x:v>
      </x:c>
      <x:c r="H20" s="20" t="n">
        <x:v>53</x:v>
      </x:c>
      <x:c r="I20" s="19" t="n">
        <x:v>65000</x:v>
      </x:c>
      <x:c r="J20" s="19" t="n">
        <x:v>310000</x:v>
      </x:c>
      <x:c r="K20" s="20" t="n">
        <x:v>14</x:v>
      </x:c>
    </x:row>
    <x:row r="21" ht="23" customHeight="1">
      <x:c r="A21" s="2" t="str">
        <x:v>2026-10-09_Night</x:v>
      </x:c>
      <x:c r="B21" s="2" t="str">
        <x:v>下落</x:v>
      </x:c>
      <x:c r="C21" s="19" t="n">
        <x:v>14000</x:v>
      </x:c>
      <x:c r="D21" s="19" t="n">
        <x:v>95000</x:v>
      </x:c>
      <x:c r="E21" s="19" t="n">
        <x:f>C21-D21</x:f>
        <x:v>-81000</x:v>
      </x:c>
      <x:c r="F21" s="19" t="n">
        <x:f>F20+E21</x:f>
        <x:v>-464000</x:v>
      </x:c>
      <x:c r="G21" s="20" t="n">
        <x:v>3</x:v>
      </x:c>
      <x:c r="H21" s="20" t="n">
        <x:v>15</x:v>
      </x:c>
      <x:c r="I21" s="19" t="n">
        <x:v>-95000</x:v>
      </x:c>
      <x:c r="J21" s="19" t="n">
        <x:v>14000</x:v>
      </x:c>
      <x:c r="K21" s="20" t="n">
        <x:v>3</x:v>
      </x:c>
    </x:row>
    <x:row r="22" ht="23" customHeight="1">
      <x:c r="A22" s="2" t="str">
        <x:v>2026-10-12_Night</x:v>
      </x:c>
      <x:c r="B22" s="2" t="str">
        <x:v>下落</x:v>
      </x:c>
      <x:c r="C22" s="19" t="n">
        <x:v>82000</x:v>
      </x:c>
      <x:c r="D22" s="19" t="n">
        <x:v>50000</x:v>
      </x:c>
      <x:c r="E22" s="19" t="n">
        <x:f>C22-D22</x:f>
        <x:v>32000</x:v>
      </x:c>
      <x:c r="F22" s="19" t="n">
        <x:f>F21+E22</x:f>
        <x:v>-432000</x:v>
      </x:c>
      <x:c r="G22" s="20" t="n">
        <x:v>2</x:v>
      </x:c>
      <x:c r="H22" s="20" t="n">
        <x:v>10</x:v>
      </x:c>
      <x:c r="I22" s="19" t="n">
        <x:v>-50000</x:v>
      </x:c>
      <x:c r="J22" s="19" t="n">
        <x:v>82000</x:v>
      </x:c>
      <x:c r="K22" s="20" t="n">
        <x:v>2</x:v>
      </x:c>
    </x:row>
    <x:row r="23" ht="23" customHeight="1">
      <x:c r="A23" s="2" t="str">
        <x:v>2026-10-13_Night</x:v>
      </x:c>
      <x:c r="B23" s="2" t="str">
        <x:v>上昇</x:v>
      </x:c>
      <x:c r="C23" s="19" t="n">
        <x:v>35000</x:v>
      </x:c>
      <x:c r="D23" s="19" t="n">
        <x:v>68000</x:v>
      </x:c>
      <x:c r="E23" s="19" t="n">
        <x:f>C23-D23</x:f>
        <x:v>-33000</x:v>
      </x:c>
      <x:c r="F23" s="19" t="n">
        <x:f>F22+E23</x:f>
        <x:v>-465000</x:v>
      </x:c>
      <x:c r="G23" s="20" t="n">
        <x:v>5</x:v>
      </x:c>
      <x:c r="H23" s="20" t="n">
        <x:v>21</x:v>
      </x:c>
      <x:c r="I23" s="19" t="n">
        <x:v>20000</x:v>
      </x:c>
      <x:c r="J23" s="19" t="n">
        <x:v>-53000</x:v>
      </x:c>
      <x:c r="K23" s="20" t="n">
        <x:v>4</x:v>
      </x:c>
    </x:row>
    <x:row r="24" ht="23" customHeight="1">
      <x:c r="A24" s="2" t="str">
        <x:v>2026-10-14_Night</x:v>
      </x:c>
      <x:c r="B24" s="2" t="str">
        <x:v>下落</x:v>
      </x:c>
      <x:c r="C24" s="19" t="n">
        <x:v>222000</x:v>
      </x:c>
      <x:c r="D24" s="19" t="n">
        <x:v>446000</x:v>
      </x:c>
      <x:c r="E24" s="19" t="n">
        <x:f>C24-D24</x:f>
        <x:v>-224000</x:v>
      </x:c>
      <x:c r="F24" s="19" t="n">
        <x:f>F23+E24</x:f>
        <x:v>-689000</x:v>
      </x:c>
      <x:c r="G24" s="20" t="n">
        <x:v>13</x:v>
      </x:c>
      <x:c r="H24" s="20" t="n">
        <x:v>54</x:v>
      </x:c>
      <x:c r="I24" s="19" t="n">
        <x:v>-360000</x:v>
      </x:c>
      <x:c r="J24" s="19" t="n">
        <x:v>136000</x:v>
      </x:c>
      <x:c r="K24" s="20" t="n">
        <x:v>11</x:v>
      </x:c>
    </x:row>
    <x:row r="25" ht="23" customHeight="1">
      <x:c r="A25" s="2" t="str">
        <x:v>2026-10-15_Night</x:v>
      </x:c>
      <x:c r="B25" s="2" t="str">
        <x:v>上昇</x:v>
      </x:c>
      <x:c r="C25" s="19" t="n">
        <x:v>266000</x:v>
      </x:c>
      <x:c r="D25" s="19" t="n">
        <x:v>320000</x:v>
      </x:c>
      <x:c r="E25" s="19" t="n">
        <x:f>C25-D25</x:f>
        <x:v>-54000</x:v>
      </x:c>
      <x:c r="F25" s="19" t="n">
        <x:f>F24+E25</x:f>
        <x:v>-743000</x:v>
      </x:c>
      <x:c r="G25" s="20" t="n">
        <x:v>19</x:v>
      </x:c>
      <x:c r="H25" s="20" t="n">
        <x:v>49</x:v>
      </x:c>
      <x:c r="I25" s="19" t="n">
        <x:v>-150000</x:v>
      </x:c>
      <x:c r="J25" s="19" t="n">
        <x:v>96000</x:v>
      </x:c>
      <x:c r="K25" s="20" t="n">
        <x:v>15</x:v>
      </x:c>
    </x:row>
    <x:row r="26" ht="23" customHeight="1">
      <x:c r="A26" s="2" t="str">
        <x:v>2026-10-16_Night</x:v>
      </x:c>
      <x:c r="B26" s="2" t="str">
        <x:v>下落</x:v>
      </x:c>
      <x:c r="C26" s="19" t="n">
        <x:v>153000</x:v>
      </x:c>
      <x:c r="D26" s="19" t="n">
        <x:v>242000</x:v>
      </x:c>
      <x:c r="E26" s="19" t="n">
        <x:f>C26-D26</x:f>
        <x:v>-89000</x:v>
      </x:c>
      <x:c r="F26" s="19" t="n">
        <x:f>F25+E26</x:f>
        <x:v>-832000</x:v>
      </x:c>
      <x:c r="G26" s="20" t="n">
        <x:v>15</x:v>
      </x:c>
      <x:c r="H26" s="20" t="n">
        <x:v>37</x:v>
      </x:c>
      <x:c r="I26" s="19" t="n">
        <x:v>-100000</x:v>
      </x:c>
      <x:c r="J26" s="19" t="n">
        <x:v>11000</x:v>
      </x:c>
      <x:c r="K26" s="20" t="n">
        <x:v>13</x:v>
      </x:c>
    </x:row>
    <x:row r="27" ht="23" customHeight="1">
      <x:c r="A27" s="2" t="str">
        <x:v>2026-10-19_Night</x:v>
      </x:c>
      <x:c r="B27" s="2" t="str">
        <x:v>上昇</x:v>
      </x:c>
      <x:c r="C27" s="19" t="n">
        <x:v>133000</x:v>
      </x:c>
      <x:c r="D27" s="19" t="n">
        <x:v>393000</x:v>
      </x:c>
      <x:c r="E27" s="19" t="n">
        <x:f>C27-D27</x:f>
        <x:v>-260000</x:v>
      </x:c>
      <x:c r="F27" s="19" t="n">
        <x:f>F26+E27</x:f>
        <x:v>-1092000</x:v>
      </x:c>
      <x:c r="G27" s="20" t="n">
        <x:v>21</x:v>
      </x:c>
      <x:c r="H27" s="20" t="n">
        <x:v>58</x:v>
      </x:c>
      <x:c r="I27" s="19" t="n">
        <x:v>-275000</x:v>
      </x:c>
      <x:c r="J27" s="19" t="n">
        <x:v>15000</x:v>
      </x:c>
      <x:c r="K27" s="20" t="n">
        <x:v>16</x:v>
      </x:c>
    </x:row>
    <x:row r="28" ht="23" customHeight="1">
      <x:c r="A28" s="2" t="str">
        <x:v>2026-10-20_Night</x:v>
      </x:c>
      <x:c r="B28" s="2" t="str">
        <x:v>上昇</x:v>
      </x:c>
      <x:c r="C28" s="19" t="n">
        <x:v>1027000</x:v>
      </x:c>
      <x:c r="D28" s="19" t="n">
        <x:v>249000</x:v>
      </x:c>
      <x:c r="E28" s="19" t="n">
        <x:f>C28-D28</x:f>
        <x:v>778000</x:v>
      </x:c>
      <x:c r="F28" s="19" t="n">
        <x:f>F27+E28</x:f>
        <x:v>-314000</x:v>
      </x:c>
      <x:c r="G28" s="20" t="n">
        <x:v>23</x:v>
      </x:c>
      <x:c r="H28" s="20" t="n">
        <x:v>79</x:v>
      </x:c>
      <x:c r="I28" s="19" t="n">
        <x:v>300000</x:v>
      </x:c>
      <x:c r="J28" s="19" t="n">
        <x:v>478000</x:v>
      </x:c>
      <x:c r="K28" s="20" t="n">
        <x:v>15</x:v>
      </x:c>
    </x:row>
    <x:row r="29" ht="23" customHeight="1">
      <x:c r="A29" s="2" t="str">
        <x:v>2026-10-21_Night</x:v>
      </x:c>
      <x:c r="B29" s="2" t="str">
        <x:v>上昇</x:v>
      </x:c>
      <x:c r="C29" s="19" t="n">
        <x:v>366000</x:v>
      </x:c>
      <x:c r="D29" s="19" t="n">
        <x:v>145000</x:v>
      </x:c>
      <x:c r="E29" s="19" t="n">
        <x:f>C29-D29</x:f>
        <x:v>221000</x:v>
      </x:c>
      <x:c r="F29" s="19" t="n">
        <x:f>F28+E29</x:f>
        <x:v>-93000</x:v>
      </x:c>
      <x:c r="G29" s="20" t="n">
        <x:v>13</x:v>
      </x:c>
      <x:c r="H29" s="20" t="n">
        <x:v>57</x:v>
      </x:c>
      <x:c r="I29" s="19" t="n">
        <x:v>245000</x:v>
      </x:c>
      <x:c r="J29" s="19" t="n">
        <x:v>-24000</x:v>
      </x:c>
      <x:c r="K29" s="20" t="n">
        <x:v>9</x:v>
      </x:c>
    </x:row>
    <x:row r="30" ht="23" customHeight="1">
      <x:c r="A30" s="2" t="str">
        <x:v>2026-10-22_Night</x:v>
      </x:c>
      <x:c r="B30" s="2" t="str">
        <x:v>下落</x:v>
      </x:c>
      <x:c r="C30" s="19" t="n">
        <x:v>175000</x:v>
      </x:c>
      <x:c r="D30" s="19" t="n">
        <x:v>328000</x:v>
      </x:c>
      <x:c r="E30" s="19" t="n">
        <x:f>C30-D30</x:f>
        <x:v>-153000</x:v>
      </x:c>
      <x:c r="F30" s="19" t="n">
        <x:f>F29+E30</x:f>
        <x:v>-246000</x:v>
      </x:c>
      <x:c r="G30" s="20" t="n">
        <x:v>13</x:v>
      </x:c>
      <x:c r="H30" s="20" t="n">
        <x:v>45</x:v>
      </x:c>
      <x:c r="I30" s="19" t="n">
        <x:v>-230000</x:v>
      </x:c>
      <x:c r="J30" s="19" t="n">
        <x:v>77000</x:v>
      </x:c>
      <x:c r="K30" s="20" t="n">
        <x:v>11</x:v>
      </x:c>
    </x:row>
    <x:row r="31" ht="23" customHeight="1">
      <x:c r="A31" s="2" t="str">
        <x:v>2026-10-23_Night</x:v>
      </x:c>
      <x:c r="B31" s="2" t="str">
        <x:v>上昇</x:v>
      </x:c>
      <x:c r="C31" s="19" t="n">
        <x:v>132000</x:v>
      </x:c>
      <x:c r="D31" s="19" t="n">
        <x:v>257000</x:v>
      </x:c>
      <x:c r="E31" s="19" t="n">
        <x:f>C31-D31</x:f>
        <x:v>-125000</x:v>
      </x:c>
      <x:c r="F31" s="19" t="n">
        <x:f>F30+E31</x:f>
        <x:v>-371000</x:v>
      </x:c>
      <x:c r="G31" s="20" t="n">
        <x:v>15</x:v>
      </x:c>
      <x:c r="H31" s="20" t="n">
        <x:v>56</x:v>
      </x:c>
      <x:c r="I31" s="19" t="n">
        <x:v>-140000</x:v>
      </x:c>
      <x:c r="J31" s="19" t="n">
        <x:v>15000</x:v>
      </x:c>
      <x:c r="K31" s="20" t="n">
        <x:v>11</x:v>
      </x:c>
    </x:row>
    <x:row r="32" ht="23" customHeight="1">
      <x:c r="A32" s="24" t="str">
        <x:v>25夜累計</x:v>
      </x:c>
      <x:c r="B32" s="24"/>
      <x:c r="C32" s="25" t="n">
        <x:f>SUM(C7:C31)</x:f>
        <x:v>4691000</x:v>
      </x:c>
      <x:c r="D32" s="25" t="n">
        <x:f>SUM(D7:D31)</x:f>
        <x:v>5062000</x:v>
      </x:c>
      <x:c r="E32" s="25" t="n">
        <x:f>C32-D32</x:f>
        <x:v>-371000</x:v>
      </x:c>
      <x:c r="F32" s="25" t="n">
        <x:f>F31</x:f>
        <x:v>-371000</x:v>
      </x:c>
      <x:c r="G32" s="26" t="n">
        <x:f>SUM(G7:G31)</x:f>
        <x:v>293</x:v>
      </x:c>
      <x:c r="H32" s="26" t="n">
        <x:f>SUM(H7:H31)</x:f>
        <x:v>998</x:v>
      </x:c>
      <x:c r="I32" s="25" t="n">
        <x:f>SUM(I7:I31)</x:f>
        <x:v>-1925000</x:v>
      </x:c>
      <x:c r="J32" s="25" t="n">
        <x:f>SUM(J7:J31)</x:f>
        <x:v>1554000</x:v>
      </x:c>
      <x:c r="K32" s="26" t="n">
        <x:f>SUM(K7:K31)</x:f>
        <x:v>224</x:v>
      </x:c>
    </x:row>
    <x:row r="33" ht="23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</x:row>
  </x:sheetData>
  <x:conditionalFormatting sqref="C7:F32">
    <x:cfRule type="cellIs" dxfId="26" priority="1" operator="lessThan">
      <x:formula>0</x:formula>
    </x:cfRule>
  </x:conditionalFormatting>
  <x:conditionalFormatting sqref="I7:J32">
    <x:cfRule type="cellIs" dxfId="27" priority="2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9de7b1b6c514e25"/>
  </x:tableParts>
</x:worksheet>
</file>

<file path=xl/worksheets/sheet16.xml><?xml version="1.0" encoding="utf-8"?>
<x:worksheet xmlns:x="http://schemas.openxmlformats.org/spreadsheetml/2006/main">
  <x:sheetPr>
    <x:tabColor rgb="FF244A70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8" hidden="0" customWidth="1"/>
    <x:col min="2" max="2" width="14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23" customHeight="1">
      <x:c r="A2" s="4" t="str">
        <x:v>P14　全夜間の利益・損失・収支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</x:row>
    <x:row r="3" ht="23" customHeight="1">
      <x:c r="A3" s="6" t="str">
        <x:v>日経mini・片方向上限10枚・手数料0円・気配差込み。利益と損失は完結した親取引の収支を分類。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 ht="23" customHeight="1">
      <x:c r="A4" s="6" t="str">
        <x:v>2026/09/21～10/23の既知25夜。前段は米国開始15分前まで、後段は米国開始15分後から。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</x:row>
    <x:row r="5" ht="23" customHeight="1">
      <x:c r="A5" s="6" t="str">
        <x:v>全返済後の再開待ちを120秒へ延長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</x:row>
    <x:row r="6" ht="40" customHeight="1">
      <x:c r="A6" s="15" t="str">
        <x:v>セッション</x:v>
      </x:c>
      <x:c r="B6" s="16" t="str">
        <x:v>始終値方向</x:v>
      </x:c>
      <x:c r="C6" s="16" t="str">
        <x:v>利益（円）</x:v>
      </x:c>
      <x:c r="D6" s="16" t="str">
        <x:v>損失（円）</x:v>
      </x:c>
      <x:c r="E6" s="16" t="str">
        <x:v>収支（円）</x:v>
      </x:c>
      <x:c r="F6" s="16" t="str">
        <x:v>累計（円）</x:v>
      </x:c>
      <x:c r="G6" s="16" t="str">
        <x:v>新規件数</x:v>
      </x:c>
      <x:c r="H6" s="16" t="str">
        <x:v>新規合計枚数</x:v>
      </x:c>
      <x:c r="I6" s="16" t="str">
        <x:v>前段収支（円）</x:v>
      </x:c>
      <x:c r="J6" s="16" t="str">
        <x:v>後段収支（円）</x:v>
      </x:c>
      <x:c r="K6" s="17" t="str">
        <x:v>親取引数</x:v>
      </x:c>
    </x:row>
    <x:row r="7" ht="23" customHeight="1">
      <x:c r="A7" s="2" t="str">
        <x:v>2026-09-21_Night</x:v>
      </x:c>
      <x:c r="B7" s="2" t="str">
        <x:v>上昇</x:v>
      </x:c>
      <x:c r="C7" s="19" t="n">
        <x:v>0</x:v>
      </x:c>
      <x:c r="D7" s="19" t="n">
        <x:v>45000</x:v>
      </x:c>
      <x:c r="E7" s="19" t="n">
        <x:f>C7-D7</x:f>
        <x:v>-45000</x:v>
      </x:c>
      <x:c r="F7" s="19" t="n">
        <x:f>E7</x:f>
        <x:v>-45000</x:v>
      </x:c>
      <x:c r="G7" s="20" t="n">
        <x:v>1</x:v>
      </x:c>
      <x:c r="H7" s="20" t="n">
        <x:v>5</x:v>
      </x:c>
      <x:c r="I7" s="19" t="n">
        <x:v>0</x:v>
      </x:c>
      <x:c r="J7" s="19" t="n">
        <x:v>-45000</x:v>
      </x:c>
      <x:c r="K7" s="20" t="n">
        <x:v>1</x:v>
      </x:c>
    </x:row>
    <x:row r="8" ht="23" customHeight="1">
      <x:c r="A8" s="2" t="str">
        <x:v>2026-09-22_Night</x:v>
      </x:c>
      <x:c r="B8" s="2" t="str">
        <x:v>上昇</x:v>
      </x:c>
      <x:c r="C8" s="19" t="n">
        <x:v>144000</x:v>
      </x:c>
      <x:c r="D8" s="19" t="n">
        <x:v>45000</x:v>
      </x:c>
      <x:c r="E8" s="19" t="n">
        <x:f>C8-D8</x:f>
        <x:v>99000</x:v>
      </x:c>
      <x:c r="F8" s="19" t="n">
        <x:f>F7+E8</x:f>
        <x:v>54000</x:v>
      </x:c>
      <x:c r="G8" s="20" t="n">
        <x:v>5</x:v>
      </x:c>
      <x:c r="H8" s="20" t="n">
        <x:v>25</x:v>
      </x:c>
      <x:c r="I8" s="19" t="n">
        <x:v>75000</x:v>
      </x:c>
      <x:c r="J8" s="19" t="n">
        <x:v>24000</x:v>
      </x:c>
      <x:c r="K8" s="20" t="n">
        <x:v>4</x:v>
      </x:c>
    </x:row>
    <x:row r="9" ht="23" customHeight="1">
      <x:c r="A9" s="2" t="str">
        <x:v>2026-09-23_Night</x:v>
      </x:c>
      <x:c r="B9" s="2" t="str">
        <x:v>下落</x:v>
      </x:c>
      <x:c r="C9" s="19" t="n">
        <x:v>4000</x:v>
      </x:c>
      <x:c r="D9" s="19" t="n">
        <x:v>40000</x:v>
      </x:c>
      <x:c r="E9" s="19" t="n">
        <x:f>C9-D9</x:f>
        <x:v>-36000</x:v>
      </x:c>
      <x:c r="F9" s="19" t="n">
        <x:f>F8+E9</x:f>
        <x:v>18000</x:v>
      </x:c>
      <x:c r="G9" s="20" t="n">
        <x:v>3</x:v>
      </x:c>
      <x:c r="H9" s="20" t="n">
        <x:v>7</x:v>
      </x:c>
      <x:c r="I9" s="19" t="n">
        <x:v>0</x:v>
      </x:c>
      <x:c r="J9" s="19" t="n">
        <x:v>-36000</x:v>
      </x:c>
      <x:c r="K9" s="20" t="n">
        <x:v>2</x:v>
      </x:c>
    </x:row>
    <x:row r="10" ht="23" customHeight="1">
      <x:c r="A10" s="2" t="str">
        <x:v>2026-09-24_Night</x:v>
      </x:c>
      <x:c r="B10" s="2" t="str">
        <x:v>下落</x:v>
      </x:c>
      <x:c r="C10" s="19" t="n">
        <x:v>80000</x:v>
      </x:c>
      <x:c r="D10" s="19" t="n">
        <x:v>100000</x:v>
      </x:c>
      <x:c r="E10" s="19" t="n">
        <x:f>C10-D10</x:f>
        <x:v>-20000</x:v>
      </x:c>
      <x:c r="F10" s="19" t="n">
        <x:f>F9+E10</x:f>
        <x:v>-2000</x:v>
      </x:c>
      <x:c r="G10" s="20" t="n">
        <x:v>8</x:v>
      </x:c>
      <x:c r="H10" s="20" t="n">
        <x:v>32</x:v>
      </x:c>
      <x:c r="I10" s="19" t="n">
        <x:v>-40000</x:v>
      </x:c>
      <x:c r="J10" s="19" t="n">
        <x:v>20000</x:v>
      </x:c>
      <x:c r="K10" s="20" t="n">
        <x:v>6</x:v>
      </x:c>
    </x:row>
    <x:row r="11" ht="23" customHeight="1">
      <x:c r="A11" s="2" t="str">
        <x:v>2026-09-25_Night</x:v>
      </x:c>
      <x:c r="B11" s="2" t="str">
        <x:v>上昇</x:v>
      </x:c>
      <x:c r="C11" s="19" t="n">
        <x:v>57000</x:v>
      </x:c>
      <x:c r="D11" s="19" t="n">
        <x:v>166000</x:v>
      </x:c>
      <x:c r="E11" s="19" t="n">
        <x:f>C11-D11</x:f>
        <x:v>-109000</x:v>
      </x:c>
      <x:c r="F11" s="19" t="n">
        <x:f>F10+E11</x:f>
        <x:v>-111000</x:v>
      </x:c>
      <x:c r="G11" s="20" t="n">
        <x:v>6</x:v>
      </x:c>
      <x:c r="H11" s="20" t="n">
        <x:v>26</x:v>
      </x:c>
      <x:c r="I11" s="19" t="n">
        <x:v>-110000</x:v>
      </x:c>
      <x:c r="J11" s="19" t="n">
        <x:v>1000</x:v>
      </x:c>
      <x:c r="K11" s="20" t="n">
        <x:v>6</x:v>
      </x:c>
    </x:row>
    <x:row r="12" ht="23" customHeight="1">
      <x:c r="A12" s="2" t="str">
        <x:v>2026-09-28_Night</x:v>
      </x:c>
      <x:c r="B12" s="2" t="str">
        <x:v>下落</x:v>
      </x:c>
      <x:c r="C12" s="19" t="n">
        <x:v>21000</x:v>
      </x:c>
      <x:c r="D12" s="19" t="n">
        <x:v>163000</x:v>
      </x:c>
      <x:c r="E12" s="19" t="n">
        <x:f>C12-D12</x:f>
        <x:v>-142000</x:v>
      </x:c>
      <x:c r="F12" s="19" t="n">
        <x:f>F11+E12</x:f>
        <x:v>-253000</x:v>
      </x:c>
      <x:c r="G12" s="20" t="n">
        <x:v>10</x:v>
      </x:c>
      <x:c r="H12" s="20" t="n">
        <x:v>32</x:v>
      </x:c>
      <x:c r="I12" s="19" t="n">
        <x:v>-95000</x:v>
      </x:c>
      <x:c r="J12" s="19" t="n">
        <x:v>-47000</x:v>
      </x:c>
      <x:c r="K12" s="20" t="n">
        <x:v>9</x:v>
      </x:c>
    </x:row>
    <x:row r="13" ht="23" customHeight="1">
      <x:c r="A13" s="2" t="str">
        <x:v>2026-09-29_Night</x:v>
      </x:c>
      <x:c r="B13" s="2" t="str">
        <x:v>上昇</x:v>
      </x:c>
      <x:c r="C13" s="19" t="n">
        <x:v>87000</x:v>
      </x:c>
      <x:c r="D13" s="19" t="n">
        <x:v>167000</x:v>
      </x:c>
      <x:c r="E13" s="19" t="n">
        <x:f>C13-D13</x:f>
        <x:v>-80000</x:v>
      </x:c>
      <x:c r="F13" s="19" t="n">
        <x:f>F12+E13</x:f>
        <x:v>-333000</x:v>
      </x:c>
      <x:c r="G13" s="20" t="n">
        <x:v>9</x:v>
      </x:c>
      <x:c r="H13" s="20" t="n">
        <x:v>29</x:v>
      </x:c>
      <x:c r="I13" s="19" t="n">
        <x:v>-145000</x:v>
      </x:c>
      <x:c r="J13" s="19" t="n">
        <x:v>65000</x:v>
      </x:c>
      <x:c r="K13" s="20" t="n">
        <x:v>7</x:v>
      </x:c>
    </x:row>
    <x:row r="14" ht="23" customHeight="1">
      <x:c r="A14" s="2" t="str">
        <x:v>2026-09-30_Night</x:v>
      </x:c>
      <x:c r="B14" s="2" t="str">
        <x:v>下落</x:v>
      </x:c>
      <x:c r="C14" s="19" t="n">
        <x:v>93000</x:v>
      </x:c>
      <x:c r="D14" s="19" t="n">
        <x:v>355000</x:v>
      </x:c>
      <x:c r="E14" s="19" t="n">
        <x:f>C14-D14</x:f>
        <x:v>-262000</x:v>
      </x:c>
      <x:c r="F14" s="19" t="n">
        <x:f>F13+E14</x:f>
        <x:v>-595000</x:v>
      </x:c>
      <x:c r="G14" s="20" t="n">
        <x:v>13</x:v>
      </x:c>
      <x:c r="H14" s="20" t="n">
        <x:v>57</x:v>
      </x:c>
      <x:c r="I14" s="19" t="n">
        <x:v>-305000</x:v>
      </x:c>
      <x:c r="J14" s="19" t="n">
        <x:v>43000</x:v>
      </x:c>
      <x:c r="K14" s="20" t="n">
        <x:v>10</x:v>
      </x:c>
    </x:row>
    <x:row r="15" ht="23" customHeight="1">
      <x:c r="A15" s="2" t="str">
        <x:v>2026-10-01_Night</x:v>
      </x:c>
      <x:c r="B15" s="2" t="str">
        <x:v>上昇</x:v>
      </x:c>
      <x:c r="C15" s="19" t="n">
        <x:v>360000</x:v>
      </x:c>
      <x:c r="D15" s="19" t="n">
        <x:v>191000</x:v>
      </x:c>
      <x:c r="E15" s="19" t="n">
        <x:f>C15-D15</x:f>
        <x:v>169000</x:v>
      </x:c>
      <x:c r="F15" s="19" t="n">
        <x:f>F14+E15</x:f>
        <x:v>-426000</x:v>
      </x:c>
      <x:c r="G15" s="20" t="n">
        <x:v>18</x:v>
      </x:c>
      <x:c r="H15" s="20" t="n">
        <x:v>49</x:v>
      </x:c>
      <x:c r="I15" s="19" t="n">
        <x:v>60000</x:v>
      </x:c>
      <x:c r="J15" s="19" t="n">
        <x:v>109000</x:v>
      </x:c>
      <x:c r="K15" s="20" t="n">
        <x:v>13</x:v>
      </x:c>
    </x:row>
    <x:row r="16" ht="23" customHeight="1">
      <x:c r="A16" s="2" t="str">
        <x:v>2026-10-02_Night</x:v>
      </x:c>
      <x:c r="B16" s="2" t="str">
        <x:v>上昇</x:v>
      </x:c>
      <x:c r="C16" s="19" t="n">
        <x:v>559000</x:v>
      </x:c>
      <x:c r="D16" s="19" t="n">
        <x:v>288000</x:v>
      </x:c>
      <x:c r="E16" s="19" t="n">
        <x:f>C16-D16</x:f>
        <x:v>271000</x:v>
      </x:c>
      <x:c r="F16" s="19" t="n">
        <x:f>F15+E16</x:f>
        <x:v>-155000</x:v>
      </x:c>
      <x:c r="G16" s="20" t="n">
        <x:v>26</x:v>
      </x:c>
      <x:c r="H16" s="20" t="n">
        <x:v>83</x:v>
      </x:c>
      <x:c r="I16" s="19" t="n">
        <x:v>10000</x:v>
      </x:c>
      <x:c r="J16" s="19" t="n">
        <x:v>261000</x:v>
      </x:c>
      <x:c r="K16" s="20" t="n">
        <x:v>18</x:v>
      </x:c>
    </x:row>
    <x:row r="17" ht="23" customHeight="1">
      <x:c r="A17" s="2" t="str">
        <x:v>2026-10-05_Night</x:v>
      </x:c>
      <x:c r="B17" s="2" t="str">
        <x:v>下落</x:v>
      </x:c>
      <x:c r="C17" s="19" t="n">
        <x:v>193000</x:v>
      </x:c>
      <x:c r="D17" s="19" t="n">
        <x:v>279000</x:v>
      </x:c>
      <x:c r="E17" s="19" t="n">
        <x:f>C17-D17</x:f>
        <x:v>-86000</x:v>
      </x:c>
      <x:c r="F17" s="19" t="n">
        <x:f>F16+E17</x:f>
        <x:v>-241000</x:v>
      </x:c>
      <x:c r="G17" s="20" t="n">
        <x:v>13</x:v>
      </x:c>
      <x:c r="H17" s="20" t="n">
        <x:v>44</x:v>
      </x:c>
      <x:c r="I17" s="19" t="n">
        <x:v>-120000</x:v>
      </x:c>
      <x:c r="J17" s="19" t="n">
        <x:v>34000</x:v>
      </x:c>
      <x:c r="K17" s="20" t="n">
        <x:v>10</x:v>
      </x:c>
    </x:row>
    <x:row r="18" ht="23" customHeight="1">
      <x:c r="A18" s="2" t="str">
        <x:v>2026-10-06_Night</x:v>
      </x:c>
      <x:c r="B18" s="2" t="str">
        <x:v>下落</x:v>
      </x:c>
      <x:c r="C18" s="19" t="n">
        <x:v>33000</x:v>
      </x:c>
      <x:c r="D18" s="19" t="n">
        <x:v>173000</x:v>
      </x:c>
      <x:c r="E18" s="19" t="n">
        <x:f>C18-D18</x:f>
        <x:v>-140000</x:v>
      </x:c>
      <x:c r="F18" s="19" t="n">
        <x:f>F17+E18</x:f>
        <x:v>-381000</x:v>
      </x:c>
      <x:c r="G18" s="20" t="n">
        <x:v>8</x:v>
      </x:c>
      <x:c r="H18" s="20" t="n">
        <x:v>28</x:v>
      </x:c>
      <x:c r="I18" s="19" t="n">
        <x:v>-130000</x:v>
      </x:c>
      <x:c r="J18" s="19" t="n">
        <x:v>-10000</x:v>
      </x:c>
      <x:c r="K18" s="20" t="n">
        <x:v>5</x:v>
      </x:c>
    </x:row>
    <x:row r="19" ht="23" customHeight="1">
      <x:c r="A19" s="2" t="str">
        <x:v>2026-10-07_Night</x:v>
      </x:c>
      <x:c r="B19" s="2" t="str">
        <x:v>下落</x:v>
      </x:c>
      <x:c r="C19" s="19" t="n">
        <x:v>0</x:v>
      </x:c>
      <x:c r="D19" s="19" t="n">
        <x:v>172000</x:v>
      </x:c>
      <x:c r="E19" s="19" t="n">
        <x:f>C19-D19</x:f>
        <x:v>-172000</x:v>
      </x:c>
      <x:c r="F19" s="19" t="n">
        <x:f>F18+E19</x:f>
        <x:v>-553000</x:v>
      </x:c>
      <x:c r="G19" s="20" t="n">
        <x:v>5</x:v>
      </x:c>
      <x:c r="H19" s="20" t="n">
        <x:v>17</x:v>
      </x:c>
      <x:c r="I19" s="19" t="n">
        <x:v>-150000</x:v>
      </x:c>
      <x:c r="J19" s="19" t="n">
        <x:v>-22000</x:v>
      </x:c>
      <x:c r="K19" s="20" t="n">
        <x:v>4</x:v>
      </x:c>
    </x:row>
    <x:row r="20" ht="23" customHeight="1">
      <x:c r="A20" s="2" t="str">
        <x:v>2026-10-08_Night</x:v>
      </x:c>
      <x:c r="B20" s="2" t="str">
        <x:v>下落</x:v>
      </x:c>
      <x:c r="C20" s="19" t="n">
        <x:v>445000</x:v>
      </x:c>
      <x:c r="D20" s="19" t="n">
        <x:v>70000</x:v>
      </x:c>
      <x:c r="E20" s="19" t="n">
        <x:f>C20-D20</x:f>
        <x:v>375000</x:v>
      </x:c>
      <x:c r="F20" s="19" t="n">
        <x:f>F19+E20</x:f>
        <x:v>-178000</x:v>
      </x:c>
      <x:c r="G20" s="20" t="n">
        <x:v>20</x:v>
      </x:c>
      <x:c r="H20" s="20" t="n">
        <x:v>53</x:v>
      </x:c>
      <x:c r="I20" s="19" t="n">
        <x:v>65000</x:v>
      </x:c>
      <x:c r="J20" s="19" t="n">
        <x:v>310000</x:v>
      </x:c>
      <x:c r="K20" s="20" t="n">
        <x:v>14</x:v>
      </x:c>
    </x:row>
    <x:row r="21" ht="23" customHeight="1">
      <x:c r="A21" s="2" t="str">
        <x:v>2026-10-09_Night</x:v>
      </x:c>
      <x:c r="B21" s="2" t="str">
        <x:v>下落</x:v>
      </x:c>
      <x:c r="C21" s="19" t="n">
        <x:v>14000</x:v>
      </x:c>
      <x:c r="D21" s="19" t="n">
        <x:v>95000</x:v>
      </x:c>
      <x:c r="E21" s="19" t="n">
        <x:f>C21-D21</x:f>
        <x:v>-81000</x:v>
      </x:c>
      <x:c r="F21" s="19" t="n">
        <x:f>F20+E21</x:f>
        <x:v>-259000</x:v>
      </x:c>
      <x:c r="G21" s="20" t="n">
        <x:v>3</x:v>
      </x:c>
      <x:c r="H21" s="20" t="n">
        <x:v>15</x:v>
      </x:c>
      <x:c r="I21" s="19" t="n">
        <x:v>-95000</x:v>
      </x:c>
      <x:c r="J21" s="19" t="n">
        <x:v>14000</x:v>
      </x:c>
      <x:c r="K21" s="20" t="n">
        <x:v>3</x:v>
      </x:c>
    </x:row>
    <x:row r="22" ht="23" customHeight="1">
      <x:c r="A22" s="2" t="str">
        <x:v>2026-10-12_Night</x:v>
      </x:c>
      <x:c r="B22" s="2" t="str">
        <x:v>下落</x:v>
      </x:c>
      <x:c r="C22" s="19" t="n">
        <x:v>82000</x:v>
      </x:c>
      <x:c r="D22" s="19" t="n">
        <x:v>50000</x:v>
      </x:c>
      <x:c r="E22" s="19" t="n">
        <x:f>C22-D22</x:f>
        <x:v>32000</x:v>
      </x:c>
      <x:c r="F22" s="19" t="n">
        <x:f>F21+E22</x:f>
        <x:v>-227000</x:v>
      </x:c>
      <x:c r="G22" s="20" t="n">
        <x:v>2</x:v>
      </x:c>
      <x:c r="H22" s="20" t="n">
        <x:v>10</x:v>
      </x:c>
      <x:c r="I22" s="19" t="n">
        <x:v>-50000</x:v>
      </x:c>
      <x:c r="J22" s="19" t="n">
        <x:v>82000</x:v>
      </x:c>
      <x:c r="K22" s="20" t="n">
        <x:v>2</x:v>
      </x:c>
    </x:row>
    <x:row r="23" ht="23" customHeight="1">
      <x:c r="A23" s="2" t="str">
        <x:v>2026-10-13_Night</x:v>
      </x:c>
      <x:c r="B23" s="2" t="str">
        <x:v>上昇</x:v>
      </x:c>
      <x:c r="C23" s="19" t="n">
        <x:v>35000</x:v>
      </x:c>
      <x:c r="D23" s="19" t="n">
        <x:v>68000</x:v>
      </x:c>
      <x:c r="E23" s="19" t="n">
        <x:f>C23-D23</x:f>
        <x:v>-33000</x:v>
      </x:c>
      <x:c r="F23" s="19" t="n">
        <x:f>F22+E23</x:f>
        <x:v>-260000</x:v>
      </x:c>
      <x:c r="G23" s="20" t="n">
        <x:v>5</x:v>
      </x:c>
      <x:c r="H23" s="20" t="n">
        <x:v>21</x:v>
      </x:c>
      <x:c r="I23" s="19" t="n">
        <x:v>20000</x:v>
      </x:c>
      <x:c r="J23" s="19" t="n">
        <x:v>-53000</x:v>
      </x:c>
      <x:c r="K23" s="20" t="n">
        <x:v>4</x:v>
      </x:c>
    </x:row>
    <x:row r="24" ht="23" customHeight="1">
      <x:c r="A24" s="2" t="str">
        <x:v>2026-10-14_Night</x:v>
      </x:c>
      <x:c r="B24" s="2" t="str">
        <x:v>下落</x:v>
      </x:c>
      <x:c r="C24" s="19" t="n">
        <x:v>262000</x:v>
      </x:c>
      <x:c r="D24" s="19" t="n">
        <x:v>266000</x:v>
      </x:c>
      <x:c r="E24" s="19" t="n">
        <x:f>C24-D24</x:f>
        <x:v>-4000</x:v>
      </x:c>
      <x:c r="F24" s="19" t="n">
        <x:f>F23+E24</x:f>
        <x:v>-264000</x:v>
      </x:c>
      <x:c r="G24" s="20" t="n">
        <x:v>10</x:v>
      </x:c>
      <x:c r="H24" s="20" t="n">
        <x:v>39</x:v>
      </x:c>
      <x:c r="I24" s="19" t="n">
        <x:v>-140000</x:v>
      </x:c>
      <x:c r="J24" s="19" t="n">
        <x:v>136000</x:v>
      </x:c>
      <x:c r="K24" s="20" t="n">
        <x:v>8</x:v>
      </x:c>
    </x:row>
    <x:row r="25" ht="23" customHeight="1">
      <x:c r="A25" s="2" t="str">
        <x:v>2026-10-15_Night</x:v>
      </x:c>
      <x:c r="B25" s="2" t="str">
        <x:v>上昇</x:v>
      </x:c>
      <x:c r="C25" s="19" t="n">
        <x:v>231000</x:v>
      </x:c>
      <x:c r="D25" s="19" t="n">
        <x:v>320000</x:v>
      </x:c>
      <x:c r="E25" s="19" t="n">
        <x:f>C25-D25</x:f>
        <x:v>-89000</x:v>
      </x:c>
      <x:c r="F25" s="19" t="n">
        <x:f>F24+E25</x:f>
        <x:v>-353000</x:v>
      </x:c>
      <x:c r="G25" s="20" t="n">
        <x:v>18</x:v>
      </x:c>
      <x:c r="H25" s="20" t="n">
        <x:v>44</x:v>
      </x:c>
      <x:c r="I25" s="19" t="n">
        <x:v>-185000</x:v>
      </x:c>
      <x:c r="J25" s="19" t="n">
        <x:v>96000</x:v>
      </x:c>
      <x:c r="K25" s="20" t="n">
        <x:v>14</x:v>
      </x:c>
    </x:row>
    <x:row r="26" ht="23" customHeight="1">
      <x:c r="A26" s="2" t="str">
        <x:v>2026-10-16_Night</x:v>
      </x:c>
      <x:c r="B26" s="2" t="str">
        <x:v>下落</x:v>
      </x:c>
      <x:c r="C26" s="19" t="n">
        <x:v>153000</x:v>
      </x:c>
      <x:c r="D26" s="19" t="n">
        <x:v>242000</x:v>
      </x:c>
      <x:c r="E26" s="19" t="n">
        <x:f>C26-D26</x:f>
        <x:v>-89000</x:v>
      </x:c>
      <x:c r="F26" s="19" t="n">
        <x:f>F25+E26</x:f>
        <x:v>-442000</x:v>
      </x:c>
      <x:c r="G26" s="20" t="n">
        <x:v>15</x:v>
      </x:c>
      <x:c r="H26" s="20" t="n">
        <x:v>37</x:v>
      </x:c>
      <x:c r="I26" s="19" t="n">
        <x:v>-100000</x:v>
      </x:c>
      <x:c r="J26" s="19" t="n">
        <x:v>11000</x:v>
      </x:c>
      <x:c r="K26" s="20" t="n">
        <x:v>13</x:v>
      </x:c>
    </x:row>
    <x:row r="27" ht="23" customHeight="1">
      <x:c r="A27" s="2" t="str">
        <x:v>2026-10-19_Night</x:v>
      </x:c>
      <x:c r="B27" s="2" t="str">
        <x:v>上昇</x:v>
      </x:c>
      <x:c r="C27" s="19" t="n">
        <x:v>108000</x:v>
      </x:c>
      <x:c r="D27" s="19" t="n">
        <x:v>343000</x:v>
      </x:c>
      <x:c r="E27" s="19" t="n">
        <x:f>C27-D27</x:f>
        <x:v>-235000</x:v>
      </x:c>
      <x:c r="F27" s="19" t="n">
        <x:f>F26+E27</x:f>
        <x:v>-677000</x:v>
      </x:c>
      <x:c r="G27" s="20" t="n">
        <x:v>19</x:v>
      </x:c>
      <x:c r="H27" s="20" t="n">
        <x:v>48</x:v>
      </x:c>
      <x:c r="I27" s="19" t="n">
        <x:v>-250000</x:v>
      </x:c>
      <x:c r="J27" s="19" t="n">
        <x:v>15000</x:v>
      </x:c>
      <x:c r="K27" s="20" t="n">
        <x:v>14</x:v>
      </x:c>
    </x:row>
    <x:row r="28" ht="23" customHeight="1">
      <x:c r="A28" s="2" t="str">
        <x:v>2026-10-20_Night</x:v>
      </x:c>
      <x:c r="B28" s="2" t="str">
        <x:v>上昇</x:v>
      </x:c>
      <x:c r="C28" s="19" t="n">
        <x:v>987000</x:v>
      </x:c>
      <x:c r="D28" s="19" t="n">
        <x:v>224000</x:v>
      </x:c>
      <x:c r="E28" s="19" t="n">
        <x:f>C28-D28</x:f>
        <x:v>763000</x:v>
      </x:c>
      <x:c r="F28" s="19" t="n">
        <x:f>F27+E28</x:f>
        <x:v>86000</x:v>
      </x:c>
      <x:c r="G28" s="20" t="n">
        <x:v>22</x:v>
      </x:c>
      <x:c r="H28" s="20" t="n">
        <x:v>74</x:v>
      </x:c>
      <x:c r="I28" s="19" t="n">
        <x:v>285000</x:v>
      </x:c>
      <x:c r="J28" s="19" t="n">
        <x:v>478000</x:v>
      </x:c>
      <x:c r="K28" s="20" t="n">
        <x:v>15</x:v>
      </x:c>
    </x:row>
    <x:row r="29" ht="23" customHeight="1">
      <x:c r="A29" s="2" t="str">
        <x:v>2026-10-21_Night</x:v>
      </x:c>
      <x:c r="B29" s="2" t="str">
        <x:v>上昇</x:v>
      </x:c>
      <x:c r="C29" s="19" t="n">
        <x:v>196000</x:v>
      </x:c>
      <x:c r="D29" s="19" t="n">
        <x:v>245000</x:v>
      </x:c>
      <x:c r="E29" s="19" t="n">
        <x:f>C29-D29</x:f>
        <x:v>-49000</x:v>
      </x:c>
      <x:c r="F29" s="19" t="n">
        <x:f>F28+E29</x:f>
        <x:v>37000</x:v>
      </x:c>
      <x:c r="G29" s="20" t="n">
        <x:v>12</x:v>
      </x:c>
      <x:c r="H29" s="20" t="n">
        <x:v>52</x:v>
      </x:c>
      <x:c r="I29" s="19" t="n">
        <x:v>-25000</x:v>
      </x:c>
      <x:c r="J29" s="19" t="n">
        <x:v>-24000</x:v>
      </x:c>
      <x:c r="K29" s="20" t="n">
        <x:v>8</x:v>
      </x:c>
    </x:row>
    <x:row r="30" ht="23" customHeight="1">
      <x:c r="A30" s="2" t="str">
        <x:v>2026-10-22_Night</x:v>
      </x:c>
      <x:c r="B30" s="2" t="str">
        <x:v>下落</x:v>
      </x:c>
      <x:c r="C30" s="19" t="n">
        <x:v>170000</x:v>
      </x:c>
      <x:c r="D30" s="19" t="n">
        <x:v>278000</x:v>
      </x:c>
      <x:c r="E30" s="19" t="n">
        <x:f>C30-D30</x:f>
        <x:v>-108000</x:v>
      </x:c>
      <x:c r="F30" s="19" t="n">
        <x:f>F29+E30</x:f>
        <x:v>-71000</x:v>
      </x:c>
      <x:c r="G30" s="20" t="n">
        <x:v>12</x:v>
      </x:c>
      <x:c r="H30" s="20" t="n">
        <x:v>40</x:v>
      </x:c>
      <x:c r="I30" s="19" t="n">
        <x:v>-185000</x:v>
      </x:c>
      <x:c r="J30" s="19" t="n">
        <x:v>77000</x:v>
      </x:c>
      <x:c r="K30" s="20" t="n">
        <x:v>11</x:v>
      </x:c>
    </x:row>
    <x:row r="31" ht="23" customHeight="1">
      <x:c r="A31" s="2" t="str">
        <x:v>2026-10-23_Night</x:v>
      </x:c>
      <x:c r="B31" s="2" t="str">
        <x:v>上昇</x:v>
      </x:c>
      <x:c r="C31" s="19" t="n">
        <x:v>127000</x:v>
      </x:c>
      <x:c r="D31" s="19" t="n">
        <x:v>257000</x:v>
      </x:c>
      <x:c r="E31" s="19" t="n">
        <x:f>C31-D31</x:f>
        <x:v>-130000</x:v>
      </x:c>
      <x:c r="F31" s="19" t="n">
        <x:f>F30+E31</x:f>
        <x:v>-201000</x:v>
      </x:c>
      <x:c r="G31" s="20" t="n">
        <x:v>15</x:v>
      </x:c>
      <x:c r="H31" s="20" t="n">
        <x:v>56</x:v>
      </x:c>
      <x:c r="I31" s="19" t="n">
        <x:v>-145000</x:v>
      </x:c>
      <x:c r="J31" s="19" t="n">
        <x:v>15000</x:v>
      </x:c>
      <x:c r="K31" s="20" t="n">
        <x:v>11</x:v>
      </x:c>
    </x:row>
    <x:row r="32" ht="23" customHeight="1">
      <x:c r="A32" s="24" t="str">
        <x:v>25夜累計</x:v>
      </x:c>
      <x:c r="B32" s="24"/>
      <x:c r="C32" s="25" t="n">
        <x:f>SUM(C7:C31)</x:f>
        <x:v>4441000</x:v>
      </x:c>
      <x:c r="D32" s="25" t="n">
        <x:f>SUM(D7:D31)</x:f>
        <x:v>4642000</x:v>
      </x:c>
      <x:c r="E32" s="25" t="n">
        <x:f>C32-D32</x:f>
        <x:v>-201000</x:v>
      </x:c>
      <x:c r="F32" s="25" t="n">
        <x:f>F31</x:f>
        <x:v>-201000</x:v>
      </x:c>
      <x:c r="G32" s="26" t="n">
        <x:f>SUM(G7:G31)</x:f>
        <x:v>278</x:v>
      </x:c>
      <x:c r="H32" s="26" t="n">
        <x:f>SUM(H7:H31)</x:f>
        <x:v>923</x:v>
      </x:c>
      <x:c r="I32" s="25" t="n">
        <x:f>SUM(I7:I31)</x:f>
        <x:v>-1755000</x:v>
      </x:c>
      <x:c r="J32" s="25" t="n">
        <x:f>SUM(J7:J31)</x:f>
        <x:v>1554000</x:v>
      </x:c>
      <x:c r="K32" s="26" t="n">
        <x:f>SUM(K7:K31)</x:f>
        <x:v>212</x:v>
      </x:c>
    </x:row>
    <x:row r="33" ht="23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</x:row>
  </x:sheetData>
  <x:conditionalFormatting sqref="C7:F32">
    <x:cfRule type="cellIs" dxfId="28" priority="1" operator="lessThan">
      <x:formula>0</x:formula>
    </x:cfRule>
  </x:conditionalFormatting>
  <x:conditionalFormatting sqref="I7:J32">
    <x:cfRule type="cellIs" dxfId="29" priority="2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4e498cb010d46b6"/>
  </x:tableParts>
</x:worksheet>
</file>

<file path=xl/worksheets/sheet17.xml><?xml version="1.0" encoding="utf-8"?>
<x:worksheet xmlns:x="http://schemas.openxmlformats.org/spreadsheetml/2006/main">
  <x:sheetPr>
    <x:tabColor rgb="FF244A70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8" hidden="0" customWidth="1"/>
    <x:col min="2" max="2" width="14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23" customHeight="1">
      <x:c r="A2" s="4" t="str">
        <x:v>P15　全夜間の利益・損失・収支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</x:row>
    <x:row r="3" ht="23" customHeight="1">
      <x:c r="A3" s="6" t="str">
        <x:v>日経mini・片方向上限10枚・手数料0円・気配差込み。利益と損失は完結した親取引の収支を分類。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 ht="23" customHeight="1">
      <x:c r="A4" s="6" t="str">
        <x:v>2026/09/21～10/23の既知25夜。前段は米国開始15分前まで、後段は米国開始15分後から。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</x:row>
    <x:row r="5" ht="23" customHeight="1">
      <x:c r="A5" s="6" t="str">
        <x:v>10枚を最初に一括投入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</x:row>
    <x:row r="6" ht="40" customHeight="1">
      <x:c r="A6" s="15" t="str">
        <x:v>セッション</x:v>
      </x:c>
      <x:c r="B6" s="16" t="str">
        <x:v>始終値方向</x:v>
      </x:c>
      <x:c r="C6" s="16" t="str">
        <x:v>利益（円）</x:v>
      </x:c>
      <x:c r="D6" s="16" t="str">
        <x:v>損失（円）</x:v>
      </x:c>
      <x:c r="E6" s="16" t="str">
        <x:v>収支（円）</x:v>
      </x:c>
      <x:c r="F6" s="16" t="str">
        <x:v>累計（円）</x:v>
      </x:c>
      <x:c r="G6" s="16" t="str">
        <x:v>新規件数</x:v>
      </x:c>
      <x:c r="H6" s="16" t="str">
        <x:v>新規合計枚数</x:v>
      </x:c>
      <x:c r="I6" s="16" t="str">
        <x:v>前段収支（円）</x:v>
      </x:c>
      <x:c r="J6" s="16" t="str">
        <x:v>後段収支（円）</x:v>
      </x:c>
      <x:c r="K6" s="17" t="str">
        <x:v>親取引数</x:v>
      </x:c>
    </x:row>
    <x:row r="7" ht="23" customHeight="1">
      <x:c r="A7" s="2" t="str">
        <x:v>2026-09-21_Night</x:v>
      </x:c>
      <x:c r="B7" s="2" t="str">
        <x:v>上昇</x:v>
      </x:c>
      <x:c r="C7" s="19" t="n">
        <x:v>0</x:v>
      </x:c>
      <x:c r="D7" s="19" t="n">
        <x:v>45000</x:v>
      </x:c>
      <x:c r="E7" s="19" t="n">
        <x:f>C7-D7</x:f>
        <x:v>-45000</x:v>
      </x:c>
      <x:c r="F7" s="19" t="n">
        <x:f>E7</x:f>
        <x:v>-45000</x:v>
      </x:c>
      <x:c r="G7" s="20" t="n">
        <x:v>1</x:v>
      </x:c>
      <x:c r="H7" s="20" t="n">
        <x:v>5</x:v>
      </x:c>
      <x:c r="I7" s="19" t="n">
        <x:v>0</x:v>
      </x:c>
      <x:c r="J7" s="19" t="n">
        <x:v>-45000</x:v>
      </x:c>
      <x:c r="K7" s="20" t="n">
        <x:v>1</x:v>
      </x:c>
    </x:row>
    <x:row r="8" ht="23" customHeight="1">
      <x:c r="A8" s="2" t="str">
        <x:v>2026-09-22_Night</x:v>
      </x:c>
      <x:c r="B8" s="2" t="str">
        <x:v>上昇</x:v>
      </x:c>
      <x:c r="C8" s="19" t="n">
        <x:v>254000</x:v>
      </x:c>
      <x:c r="D8" s="19" t="n">
        <x:v>90000</x:v>
      </x:c>
      <x:c r="E8" s="19" t="n">
        <x:f>C8-D8</x:f>
        <x:v>164000</x:v>
      </x:c>
      <x:c r="F8" s="19" t="n">
        <x:f>F7+E8</x:f>
        <x:v>119000</x:v>
      </x:c>
      <x:c r="G8" s="20" t="n">
        <x:v>4</x:v>
      </x:c>
      <x:c r="H8" s="20" t="n">
        <x:v>35</x:v>
      </x:c>
      <x:c r="I8" s="19" t="n">
        <x:v>140000</x:v>
      </x:c>
      <x:c r="J8" s="19" t="n">
        <x:v>24000</x:v>
      </x:c>
      <x:c r="K8" s="20" t="n">
        <x:v>4</x:v>
      </x:c>
    </x:row>
    <x:row r="9" ht="23" customHeight="1">
      <x:c r="A9" s="2" t="str">
        <x:v>2026-09-23_Night</x:v>
      </x:c>
      <x:c r="B9" s="2" t="str">
        <x:v>下落</x:v>
      </x:c>
      <x:c r="C9" s="19" t="n">
        <x:v>4000</x:v>
      </x:c>
      <x:c r="D9" s="19" t="n">
        <x:v>40000</x:v>
      </x:c>
      <x:c r="E9" s="19" t="n">
        <x:f>C9-D9</x:f>
        <x:v>-36000</x:v>
      </x:c>
      <x:c r="F9" s="19" t="n">
        <x:f>F8+E9</x:f>
        <x:v>83000</x:v>
      </x:c>
      <x:c r="G9" s="20" t="n">
        <x:v>3</x:v>
      </x:c>
      <x:c r="H9" s="20" t="n">
        <x:v>7</x:v>
      </x:c>
      <x:c r="I9" s="19" t="n">
        <x:v>0</x:v>
      </x:c>
      <x:c r="J9" s="19" t="n">
        <x:v>-36000</x:v>
      </x:c>
      <x:c r="K9" s="20" t="n">
        <x:v>2</x:v>
      </x:c>
    </x:row>
    <x:row r="10" ht="23" customHeight="1">
      <x:c r="A10" s="2" t="str">
        <x:v>2026-09-24_Night</x:v>
      </x:c>
      <x:c r="B10" s="2" t="str">
        <x:v>下落</x:v>
      </x:c>
      <x:c r="C10" s="19" t="n">
        <x:v>110000</x:v>
      </x:c>
      <x:c r="D10" s="19" t="n">
        <x:v>300000</x:v>
      </x:c>
      <x:c r="E10" s="19" t="n">
        <x:f>C10-D10</x:f>
        <x:v>-190000</x:v>
      </x:c>
      <x:c r="F10" s="19" t="n">
        <x:f>F9+E10</x:f>
        <x:v>-107000</x:v>
      </x:c>
      <x:c r="G10" s="20" t="n">
        <x:v>8</x:v>
      </x:c>
      <x:c r="H10" s="20" t="n">
        <x:v>62</x:v>
      </x:c>
      <x:c r="I10" s="19" t="n">
        <x:v>-210000</x:v>
      </x:c>
      <x:c r="J10" s="19" t="n">
        <x:v>20000</x:v>
      </x:c>
      <x:c r="K10" s="20" t="n">
        <x:v>7</x:v>
      </x:c>
    </x:row>
    <x:row r="11" ht="23" customHeight="1">
      <x:c r="A11" s="2" t="str">
        <x:v>2026-09-25_Night</x:v>
      </x:c>
      <x:c r="B11" s="2" t="str">
        <x:v>上昇</x:v>
      </x:c>
      <x:c r="C11" s="19" t="n">
        <x:v>97000</x:v>
      </x:c>
      <x:c r="D11" s="19" t="n">
        <x:v>316000</x:v>
      </x:c>
      <x:c r="E11" s="19" t="n">
        <x:f>C11-D11</x:f>
        <x:v>-219000</x:v>
      </x:c>
      <x:c r="F11" s="19" t="n">
        <x:f>F10+E11</x:f>
        <x:v>-326000</x:v>
      </x:c>
      <x:c r="G11" s="20" t="n">
        <x:v>6</x:v>
      </x:c>
      <x:c r="H11" s="20" t="n">
        <x:v>46</x:v>
      </x:c>
      <x:c r="I11" s="19" t="n">
        <x:v>-220000</x:v>
      </x:c>
      <x:c r="J11" s="19" t="n">
        <x:v>1000</x:v>
      </x:c>
      <x:c r="K11" s="20" t="n">
        <x:v>6</x:v>
      </x:c>
    </x:row>
    <x:row r="12" ht="23" customHeight="1">
      <x:c r="A12" s="2" t="str">
        <x:v>2026-09-28_Night</x:v>
      </x:c>
      <x:c r="B12" s="2" t="str">
        <x:v>下落</x:v>
      </x:c>
      <x:c r="C12" s="19" t="n">
        <x:v>41000</x:v>
      </x:c>
      <x:c r="D12" s="19" t="n">
        <x:v>378000</x:v>
      </x:c>
      <x:c r="E12" s="19" t="n">
        <x:f>C12-D12</x:f>
        <x:v>-337000</x:v>
      </x:c>
      <x:c r="F12" s="19" t="n">
        <x:f>F11+E12</x:f>
        <x:v>-663000</x:v>
      </x:c>
      <x:c r="G12" s="20" t="n">
        <x:v>11</x:v>
      </x:c>
      <x:c r="H12" s="20" t="n">
        <x:v>67</x:v>
      </x:c>
      <x:c r="I12" s="19" t="n">
        <x:v>-290000</x:v>
      </x:c>
      <x:c r="J12" s="19" t="n">
        <x:v>-47000</x:v>
      </x:c>
      <x:c r="K12" s="20" t="n">
        <x:v>10</x:v>
      </x:c>
    </x:row>
    <x:row r="13" ht="23" customHeight="1">
      <x:c r="A13" s="2" t="str">
        <x:v>2026-09-29_Night</x:v>
      </x:c>
      <x:c r="B13" s="2" t="str">
        <x:v>上昇</x:v>
      </x:c>
      <x:c r="C13" s="19" t="n">
        <x:v>87000</x:v>
      </x:c>
      <x:c r="D13" s="19" t="n">
        <x:v>212000</x:v>
      </x:c>
      <x:c r="E13" s="19" t="n">
        <x:f>C13-D13</x:f>
        <x:v>-125000</x:v>
      </x:c>
      <x:c r="F13" s="19" t="n">
        <x:f>F12+E13</x:f>
        <x:v>-788000</x:v>
      </x:c>
      <x:c r="G13" s="20" t="n">
        <x:v>8</x:v>
      </x:c>
      <x:c r="H13" s="20" t="n">
        <x:v>34</x:v>
      </x:c>
      <x:c r="I13" s="19" t="n">
        <x:v>-190000</x:v>
      </x:c>
      <x:c r="J13" s="19" t="n">
        <x:v>65000</x:v>
      </x:c>
      <x:c r="K13" s="20" t="n">
        <x:v>7</x:v>
      </x:c>
    </x:row>
    <x:row r="14" ht="23" customHeight="1">
      <x:c r="A14" s="2" t="str">
        <x:v>2026-09-30_Night</x:v>
      </x:c>
      <x:c r="B14" s="2" t="str">
        <x:v>下落</x:v>
      </x:c>
      <x:c r="C14" s="19" t="n">
        <x:v>333000</x:v>
      </x:c>
      <x:c r="D14" s="19" t="n">
        <x:v>600000</x:v>
      </x:c>
      <x:c r="E14" s="19" t="n">
        <x:f>C14-D14</x:f>
        <x:v>-267000</x:v>
      </x:c>
      <x:c r="F14" s="19" t="n">
        <x:f>F13+E14</x:f>
        <x:v>-1055000</x:v>
      </x:c>
      <x:c r="G14" s="20" t="n">
        <x:v>12</x:v>
      </x:c>
      <x:c r="H14" s="20" t="n">
        <x:v>97</x:v>
      </x:c>
      <x:c r="I14" s="19" t="n">
        <x:v>-310000</x:v>
      </x:c>
      <x:c r="J14" s="19" t="n">
        <x:v>43000</x:v>
      </x:c>
      <x:c r="K14" s="20" t="n">
        <x:v>11</x:v>
      </x:c>
    </x:row>
    <x:row r="15" ht="23" customHeight="1">
      <x:c r="A15" s="2" t="str">
        <x:v>2026-10-01_Night</x:v>
      </x:c>
      <x:c r="B15" s="2" t="str">
        <x:v>上昇</x:v>
      </x:c>
      <x:c r="C15" s="19" t="n">
        <x:v>610000</x:v>
      </x:c>
      <x:c r="D15" s="19" t="n">
        <x:v>311000</x:v>
      </x:c>
      <x:c r="E15" s="19" t="n">
        <x:f>C15-D15</x:f>
        <x:v>299000</x:v>
      </x:c>
      <x:c r="F15" s="19" t="n">
        <x:f>F14+E15</x:f>
        <x:v>-756000</x:v>
      </x:c>
      <x:c r="G15" s="20" t="n">
        <x:v>18</x:v>
      </x:c>
      <x:c r="H15" s="20" t="n">
        <x:v>79</x:v>
      </x:c>
      <x:c r="I15" s="19" t="n">
        <x:v>190000</x:v>
      </x:c>
      <x:c r="J15" s="19" t="n">
        <x:v>109000</x:v>
      </x:c>
      <x:c r="K15" s="20" t="n">
        <x:v>15</x:v>
      </x:c>
    </x:row>
    <x:row r="16" ht="23" customHeight="1">
      <x:c r="A16" s="2" t="str">
        <x:v>2026-10-02_Night</x:v>
      </x:c>
      <x:c r="B16" s="2" t="str">
        <x:v>上昇</x:v>
      </x:c>
      <x:c r="C16" s="19" t="n">
        <x:v>639000</x:v>
      </x:c>
      <x:c r="D16" s="19" t="n">
        <x:v>638000</x:v>
      </x:c>
      <x:c r="E16" s="19" t="n">
        <x:f>C16-D16</x:f>
        <x:v>1000</x:v>
      </x:c>
      <x:c r="F16" s="19" t="n">
        <x:f>F15+E16</x:f>
        <x:v>-755000</x:v>
      </x:c>
      <x:c r="G16" s="20" t="n">
        <x:v>26</x:v>
      </x:c>
      <x:c r="H16" s="20" t="n">
        <x:v>138</x:v>
      </x:c>
      <x:c r="I16" s="19" t="n">
        <x:v>-260000</x:v>
      </x:c>
      <x:c r="J16" s="19" t="n">
        <x:v>261000</x:v>
      </x:c>
      <x:c r="K16" s="20" t="n">
        <x:v>20</x:v>
      </x:c>
    </x:row>
    <x:row r="17" ht="23" customHeight="1">
      <x:c r="A17" s="2" t="str">
        <x:v>2026-10-05_Night</x:v>
      </x:c>
      <x:c r="B17" s="2" t="str">
        <x:v>下落</x:v>
      </x:c>
      <x:c r="C17" s="19" t="n">
        <x:v>228000</x:v>
      </x:c>
      <x:c r="D17" s="19" t="n">
        <x:v>464000</x:v>
      </x:c>
      <x:c r="E17" s="19" t="n">
        <x:f>C17-D17</x:f>
        <x:v>-236000</x:v>
      </x:c>
      <x:c r="F17" s="19" t="n">
        <x:f>F16+E17</x:f>
        <x:v>-991000</x:v>
      </x:c>
      <x:c r="G17" s="20" t="n">
        <x:v>12</x:v>
      </x:c>
      <x:c r="H17" s="20" t="n">
        <x:v>64</x:v>
      </x:c>
      <x:c r="I17" s="19" t="n">
        <x:v>-270000</x:v>
      </x:c>
      <x:c r="J17" s="19" t="n">
        <x:v>34000</x:v>
      </x:c>
      <x:c r="K17" s="20" t="n">
        <x:v>10</x:v>
      </x:c>
    </x:row>
    <x:row r="18" ht="23" customHeight="1">
      <x:c r="A18" s="2" t="str">
        <x:v>2026-10-06_Night</x:v>
      </x:c>
      <x:c r="B18" s="2" t="str">
        <x:v>下落</x:v>
      </x:c>
      <x:c r="C18" s="19" t="n">
        <x:v>63000</x:v>
      </x:c>
      <x:c r="D18" s="19" t="n">
        <x:v>133000</x:v>
      </x:c>
      <x:c r="E18" s="19" t="n">
        <x:f>C18-D18</x:f>
        <x:v>-70000</x:v>
      </x:c>
      <x:c r="F18" s="19" t="n">
        <x:f>F17+E18</x:f>
        <x:v>-1061000</x:v>
      </x:c>
      <x:c r="G18" s="20" t="n">
        <x:v>6</x:v>
      </x:c>
      <x:c r="H18" s="20" t="n">
        <x:v>28</x:v>
      </x:c>
      <x:c r="I18" s="19" t="n">
        <x:v>-60000</x:v>
      </x:c>
      <x:c r="J18" s="19" t="n">
        <x:v>-10000</x:v>
      </x:c>
      <x:c r="K18" s="20" t="n">
        <x:v>5</x:v>
      </x:c>
    </x:row>
    <x:row r="19" ht="23" customHeight="1">
      <x:c r="A19" s="2" t="str">
        <x:v>2026-10-07_Night</x:v>
      </x:c>
      <x:c r="B19" s="2" t="str">
        <x:v>下落</x:v>
      </x:c>
      <x:c r="C19" s="19" t="n">
        <x:v>0</x:v>
      </x:c>
      <x:c r="D19" s="19" t="n">
        <x:v>322000</x:v>
      </x:c>
      <x:c r="E19" s="19" t="n">
        <x:f>C19-D19</x:f>
        <x:v>-322000</x:v>
      </x:c>
      <x:c r="F19" s="19" t="n">
        <x:f>F18+E19</x:f>
        <x:v>-1383000</x:v>
      </x:c>
      <x:c r="G19" s="20" t="n">
        <x:v>5</x:v>
      </x:c>
      <x:c r="H19" s="20" t="n">
        <x:v>32</x:v>
      </x:c>
      <x:c r="I19" s="19" t="n">
        <x:v>-300000</x:v>
      </x:c>
      <x:c r="J19" s="19" t="n">
        <x:v>-22000</x:v>
      </x:c>
      <x:c r="K19" s="20" t="n">
        <x:v>4</x:v>
      </x:c>
    </x:row>
    <x:row r="20" ht="23" customHeight="1">
      <x:c r="A20" s="2" t="str">
        <x:v>2026-10-08_Night</x:v>
      </x:c>
      <x:c r="B20" s="2" t="str">
        <x:v>下落</x:v>
      </x:c>
      <x:c r="C20" s="19" t="n">
        <x:v>560000</x:v>
      </x:c>
      <x:c r="D20" s="19" t="n">
        <x:v>120000</x:v>
      </x:c>
      <x:c r="E20" s="19" t="n">
        <x:f>C20-D20</x:f>
        <x:v>440000</x:v>
      </x:c>
      <x:c r="F20" s="19" t="n">
        <x:f>F19+E20</x:f>
        <x:v>-943000</x:v>
      </x:c>
      <x:c r="G20" s="20" t="n">
        <x:v>20</x:v>
      </x:c>
      <x:c r="H20" s="20" t="n">
        <x:v>78</x:v>
      </x:c>
      <x:c r="I20" s="19" t="n">
        <x:v>130000</x:v>
      </x:c>
      <x:c r="J20" s="19" t="n">
        <x:v>310000</x:v>
      </x:c>
      <x:c r="K20" s="20" t="n">
        <x:v>14</x:v>
      </x:c>
    </x:row>
    <x:row r="21" ht="23" customHeight="1">
      <x:c r="A21" s="2" t="str">
        <x:v>2026-10-09_Night</x:v>
      </x:c>
      <x:c r="B21" s="2" t="str">
        <x:v>下落</x:v>
      </x:c>
      <x:c r="C21" s="19" t="n">
        <x:v>14000</x:v>
      </x:c>
      <x:c r="D21" s="19" t="n">
        <x:v>190000</x:v>
      </x:c>
      <x:c r="E21" s="19" t="n">
        <x:f>C21-D21</x:f>
        <x:v>-176000</x:v>
      </x:c>
      <x:c r="F21" s="19" t="n">
        <x:f>F20+E21</x:f>
        <x:v>-1119000</x:v>
      </x:c>
      <x:c r="G21" s="20" t="n">
        <x:v>3</x:v>
      </x:c>
      <x:c r="H21" s="20" t="n">
        <x:v>25</x:v>
      </x:c>
      <x:c r="I21" s="19" t="n">
        <x:v>-190000</x:v>
      </x:c>
      <x:c r="J21" s="19" t="n">
        <x:v>14000</x:v>
      </x:c>
      <x:c r="K21" s="20" t="n">
        <x:v>3</x:v>
      </x:c>
    </x:row>
    <x:row r="22" ht="23" customHeight="1">
      <x:c r="A22" s="2" t="str">
        <x:v>2026-10-12_Night</x:v>
      </x:c>
      <x:c r="B22" s="2" t="str">
        <x:v>下落</x:v>
      </x:c>
      <x:c r="C22" s="19" t="n">
        <x:v>82000</x:v>
      </x:c>
      <x:c r="D22" s="19" t="n">
        <x:v>100000</x:v>
      </x:c>
      <x:c r="E22" s="19" t="n">
        <x:f>C22-D22</x:f>
        <x:v>-18000</x:v>
      </x:c>
      <x:c r="F22" s="19" t="n">
        <x:f>F21+E22</x:f>
        <x:v>-1137000</x:v>
      </x:c>
      <x:c r="G22" s="20" t="n">
        <x:v>2</x:v>
      </x:c>
      <x:c r="H22" s="20" t="n">
        <x:v>15</x:v>
      </x:c>
      <x:c r="I22" s="19" t="n">
        <x:v>-100000</x:v>
      </x:c>
      <x:c r="J22" s="19" t="n">
        <x:v>82000</x:v>
      </x:c>
      <x:c r="K22" s="20" t="n">
        <x:v>2</x:v>
      </x:c>
    </x:row>
    <x:row r="23" ht="23" customHeight="1">
      <x:c r="A23" s="2" t="str">
        <x:v>2026-10-13_Night</x:v>
      </x:c>
      <x:c r="B23" s="2" t="str">
        <x:v>上昇</x:v>
      </x:c>
      <x:c r="C23" s="19" t="n">
        <x:v>140000</x:v>
      </x:c>
      <x:c r="D23" s="19" t="n">
        <x:v>53000</x:v>
      </x:c>
      <x:c r="E23" s="19" t="n">
        <x:f>C23-D23</x:f>
        <x:v>87000</x:v>
      </x:c>
      <x:c r="F23" s="19" t="n">
        <x:f>F22+E23</x:f>
        <x:v>-1050000</x:v>
      </x:c>
      <x:c r="G23" s="20" t="n">
        <x:v>4</x:v>
      </x:c>
      <x:c r="H23" s="20" t="n">
        <x:v>26</x:v>
      </x:c>
      <x:c r="I23" s="19" t="n">
        <x:v>140000</x:v>
      </x:c>
      <x:c r="J23" s="19" t="n">
        <x:v>-53000</x:v>
      </x:c>
      <x:c r="K23" s="20" t="n">
        <x:v>4</x:v>
      </x:c>
    </x:row>
    <x:row r="24" ht="23" customHeight="1">
      <x:c r="A24" s="2" t="str">
        <x:v>2026-10-14_Night</x:v>
      </x:c>
      <x:c r="B24" s="2" t="str">
        <x:v>下落</x:v>
      </x:c>
      <x:c r="C24" s="19" t="n">
        <x:v>227000</x:v>
      </x:c>
      <x:c r="D24" s="19" t="n">
        <x:v>861000</x:v>
      </x:c>
      <x:c r="E24" s="19" t="n">
        <x:f>C24-D24</x:f>
        <x:v>-634000</x:v>
      </x:c>
      <x:c r="F24" s="19" t="n">
        <x:f>F23+E24</x:f>
        <x:v>-1684000</x:v>
      </x:c>
      <x:c r="G24" s="20" t="n">
        <x:v>11</x:v>
      </x:c>
      <x:c r="H24" s="20" t="n">
        <x:v>79</x:v>
      </x:c>
      <x:c r="I24" s="19" t="n">
        <x:v>-770000</x:v>
      </x:c>
      <x:c r="J24" s="19" t="n">
        <x:v>136000</x:v>
      </x:c>
      <x:c r="K24" s="20" t="n">
        <x:v>11</x:v>
      </x:c>
    </x:row>
    <x:row r="25" ht="23" customHeight="1">
      <x:c r="A25" s="2" t="str">
        <x:v>2026-10-15_Night</x:v>
      </x:c>
      <x:c r="B25" s="2" t="str">
        <x:v>上昇</x:v>
      </x:c>
      <x:c r="C25" s="19" t="n">
        <x:v>246000</x:v>
      </x:c>
      <x:c r="D25" s="19" t="n">
        <x:v>520000</x:v>
      </x:c>
      <x:c r="E25" s="19" t="n">
        <x:f>C25-D25</x:f>
        <x:v>-274000</x:v>
      </x:c>
      <x:c r="F25" s="19" t="n">
        <x:f>F24+E25</x:f>
        <x:v>-1958000</x:v>
      </x:c>
      <x:c r="G25" s="20" t="n">
        <x:v>18</x:v>
      </x:c>
      <x:c r="H25" s="20" t="n">
        <x:v>69</x:v>
      </x:c>
      <x:c r="I25" s="19" t="n">
        <x:v>-370000</x:v>
      </x:c>
      <x:c r="J25" s="19" t="n">
        <x:v>96000</x:v>
      </x:c>
      <x:c r="K25" s="20" t="n">
        <x:v>14</x:v>
      </x:c>
    </x:row>
    <x:row r="26" ht="23" customHeight="1">
      <x:c r="A26" s="2" t="str">
        <x:v>2026-10-16_Night</x:v>
      </x:c>
      <x:c r="B26" s="2" t="str">
        <x:v>下落</x:v>
      </x:c>
      <x:c r="C26" s="19" t="n">
        <x:v>153000</x:v>
      </x:c>
      <x:c r="D26" s="19" t="n">
        <x:v>342000</x:v>
      </x:c>
      <x:c r="E26" s="19" t="n">
        <x:f>C26-D26</x:f>
        <x:v>-189000</x:v>
      </x:c>
      <x:c r="F26" s="19" t="n">
        <x:f>F25+E26</x:f>
        <x:v>-2147000</x:v>
      </x:c>
      <x:c r="G26" s="20" t="n">
        <x:v>15</x:v>
      </x:c>
      <x:c r="H26" s="20" t="n">
        <x:v>47</x:v>
      </x:c>
      <x:c r="I26" s="19" t="n">
        <x:v>-200000</x:v>
      </x:c>
      <x:c r="J26" s="19" t="n">
        <x:v>11000</x:v>
      </x:c>
      <x:c r="K26" s="20" t="n">
        <x:v>13</x:v>
      </x:c>
    </x:row>
    <x:row r="27" ht="23" customHeight="1">
      <x:c r="A27" s="2" t="str">
        <x:v>2026-10-19_Night</x:v>
      </x:c>
      <x:c r="B27" s="2" t="str">
        <x:v>上昇</x:v>
      </x:c>
      <x:c r="C27" s="19" t="n">
        <x:v>158000</x:v>
      </x:c>
      <x:c r="D27" s="19" t="n">
        <x:v>593000</x:v>
      </x:c>
      <x:c r="E27" s="19" t="n">
        <x:f>C27-D27</x:f>
        <x:v>-435000</x:v>
      </x:c>
      <x:c r="F27" s="19" t="n">
        <x:f>F26+E27</x:f>
        <x:v>-2582000</x:v>
      </x:c>
      <x:c r="G27" s="20" t="n">
        <x:v>20</x:v>
      </x:c>
      <x:c r="H27" s="20" t="n">
        <x:v>83</x:v>
      </x:c>
      <x:c r="I27" s="19" t="n">
        <x:v>-450000</x:v>
      </x:c>
      <x:c r="J27" s="19" t="n">
        <x:v>15000</x:v>
      </x:c>
      <x:c r="K27" s="20" t="n">
        <x:v>15</x:v>
      </x:c>
    </x:row>
    <x:row r="28" ht="23" customHeight="1">
      <x:c r="A28" s="2" t="str">
        <x:v>2026-10-20_Night</x:v>
      </x:c>
      <x:c r="B28" s="2" t="str">
        <x:v>上昇</x:v>
      </x:c>
      <x:c r="C28" s="19" t="n">
        <x:v>1122000</x:v>
      </x:c>
      <x:c r="D28" s="19" t="n">
        <x:v>414000</x:v>
      </x:c>
      <x:c r="E28" s="19" t="n">
        <x:f>C28-D28</x:f>
        <x:v>708000</x:v>
      </x:c>
      <x:c r="F28" s="19" t="n">
        <x:f>F27+E28</x:f>
        <x:v>-1874000</x:v>
      </x:c>
      <x:c r="G28" s="20" t="n">
        <x:v>19</x:v>
      </x:c>
      <x:c r="H28" s="20" t="n">
        <x:v>104</x:v>
      </x:c>
      <x:c r="I28" s="19" t="n">
        <x:v>230000</x:v>
      </x:c>
      <x:c r="J28" s="19" t="n">
        <x:v>478000</x:v>
      </x:c>
      <x:c r="K28" s="20" t="n">
        <x:v>15</x:v>
      </x:c>
    </x:row>
    <x:row r="29" ht="23" customHeight="1">
      <x:c r="A29" s="2" t="str">
        <x:v>2026-10-21_Night</x:v>
      </x:c>
      <x:c r="B29" s="2" t="str">
        <x:v>上昇</x:v>
      </x:c>
      <x:c r="C29" s="19" t="n">
        <x:v>801000</x:v>
      </x:c>
      <x:c r="D29" s="19" t="n">
        <x:v>185000</x:v>
      </x:c>
      <x:c r="E29" s="19" t="n">
        <x:f>C29-D29</x:f>
        <x:v>616000</x:v>
      </x:c>
      <x:c r="F29" s="19" t="n">
        <x:f>F28+E29</x:f>
        <x:v>-1258000</x:v>
      </x:c>
      <x:c r="G29" s="20" t="n">
        <x:v>11</x:v>
      </x:c>
      <x:c r="H29" s="20" t="n">
        <x:v>77</x:v>
      </x:c>
      <x:c r="I29" s="19" t="n">
        <x:v>640000</x:v>
      </x:c>
      <x:c r="J29" s="19" t="n">
        <x:v>-24000</x:v>
      </x:c>
      <x:c r="K29" s="20" t="n">
        <x:v>10</x:v>
      </x:c>
    </x:row>
    <x:row r="30" ht="23" customHeight="1">
      <x:c r="A30" s="2" t="str">
        <x:v>2026-10-22_Night</x:v>
      </x:c>
      <x:c r="B30" s="2" t="str">
        <x:v>下落</x:v>
      </x:c>
      <x:c r="C30" s="19" t="n">
        <x:v>180000</x:v>
      </x:c>
      <x:c r="D30" s="19" t="n">
        <x:v>473000</x:v>
      </x:c>
      <x:c r="E30" s="19" t="n">
        <x:f>C30-D30</x:f>
        <x:v>-293000</x:v>
      </x:c>
      <x:c r="F30" s="19" t="n">
        <x:f>F29+E30</x:f>
        <x:v>-1551000</x:v>
      </x:c>
      <x:c r="G30" s="20" t="n">
        <x:v>12</x:v>
      </x:c>
      <x:c r="H30" s="20" t="n">
        <x:v>65</x:v>
      </x:c>
      <x:c r="I30" s="19" t="n">
        <x:v>-370000</x:v>
      </x:c>
      <x:c r="J30" s="19" t="n">
        <x:v>77000</x:v>
      </x:c>
      <x:c r="K30" s="20" t="n">
        <x:v>11</x:v>
      </x:c>
    </x:row>
    <x:row r="31" ht="23" customHeight="1">
      <x:c r="A31" s="2" t="str">
        <x:v>2026-10-23_Night</x:v>
      </x:c>
      <x:c r="B31" s="2" t="str">
        <x:v>上昇</x:v>
      </x:c>
      <x:c r="C31" s="19" t="n">
        <x:v>247000</x:v>
      </x:c>
      <x:c r="D31" s="19" t="n">
        <x:v>312000</x:v>
      </x:c>
      <x:c r="E31" s="19" t="n">
        <x:f>C31-D31</x:f>
        <x:v>-65000</x:v>
      </x:c>
      <x:c r="F31" s="19" t="n">
        <x:f>F30+E31</x:f>
        <x:v>-1616000</x:v>
      </x:c>
      <x:c r="G31" s="20" t="n">
        <x:v>13</x:v>
      </x:c>
      <x:c r="H31" s="20" t="n">
        <x:v>81</x:v>
      </x:c>
      <x:c r="I31" s="19" t="n">
        <x:v>-80000</x:v>
      </x:c>
      <x:c r="J31" s="19" t="n">
        <x:v>15000</x:v>
      </x:c>
      <x:c r="K31" s="20" t="n">
        <x:v>11</x:v>
      </x:c>
    </x:row>
    <x:row r="32" ht="23" customHeight="1">
      <x:c r="A32" s="24" t="str">
        <x:v>25夜累計</x:v>
      </x:c>
      <x:c r="B32" s="24"/>
      <x:c r="C32" s="25" t="n">
        <x:f>SUM(C7:C31)</x:f>
        <x:v>6396000</x:v>
      </x:c>
      <x:c r="D32" s="25" t="n">
        <x:f>SUM(D7:D31)</x:f>
        <x:v>8012000</x:v>
      </x:c>
      <x:c r="E32" s="25" t="n">
        <x:f>C32-D32</x:f>
        <x:v>-1616000</x:v>
      </x:c>
      <x:c r="F32" s="25" t="n">
        <x:f>F31</x:f>
        <x:v>-1616000</x:v>
      </x:c>
      <x:c r="G32" s="26" t="n">
        <x:f>SUM(G7:G31)</x:f>
        <x:v>268</x:v>
      </x:c>
      <x:c r="H32" s="26" t="n">
        <x:f>SUM(H7:H31)</x:f>
        <x:v>1443</x:v>
      </x:c>
      <x:c r="I32" s="25" t="n">
        <x:f>SUM(I7:I31)</x:f>
        <x:v>-3170000</x:v>
      </x:c>
      <x:c r="J32" s="25" t="n">
        <x:f>SUM(J7:J31)</x:f>
        <x:v>1554000</x:v>
      </x:c>
      <x:c r="K32" s="26" t="n">
        <x:f>SUM(K7:K31)</x:f>
        <x:v>225</x:v>
      </x:c>
    </x:row>
    <x:row r="33" ht="23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</x:row>
  </x:sheetData>
  <x:conditionalFormatting sqref="C7:F32">
    <x:cfRule type="cellIs" dxfId="30" priority="1" operator="lessThan">
      <x:formula>0</x:formula>
    </x:cfRule>
  </x:conditionalFormatting>
  <x:conditionalFormatting sqref="I7:J32">
    <x:cfRule type="cellIs" dxfId="31" priority="2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7d6259c4eeb40cc"/>
  </x:tableParts>
</x:worksheet>
</file>

<file path=xl/worksheets/sheet18.xml><?xml version="1.0" encoding="utf-8"?>
<x:worksheet xmlns:x="http://schemas.openxmlformats.org/spreadsheetml/2006/main">
  <x:sheetPr>
    <x:tabColor rgb="FF244A70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8" hidden="0" customWidth="1"/>
    <x:col min="2" max="2" width="14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23" customHeight="1">
      <x:c r="A2" s="4" t="str">
        <x:v>P16　全夜間の利益・損失・収支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</x:row>
    <x:row r="3" ht="23" customHeight="1">
      <x:c r="A3" s="6" t="str">
        <x:v>日経mini・片方向上限10枚・手数料0円・気配差込み。利益と損失は完結した親取引の収支を分類。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 ht="23" customHeight="1">
      <x:c r="A4" s="6" t="str">
        <x:v>2026/09/21～10/23の既知25夜。前段は米国開始15分前まで、後段は米国開始15分後から。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</x:row>
    <x:row r="5" ht="23" customHeight="1">
      <x:c r="A5" s="6" t="str">
        <x:v>2枚から40ptで3枚、80ptで5枚を追撃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</x:row>
    <x:row r="6" ht="40" customHeight="1">
      <x:c r="A6" s="15" t="str">
        <x:v>セッション</x:v>
      </x:c>
      <x:c r="B6" s="16" t="str">
        <x:v>始終値方向</x:v>
      </x:c>
      <x:c r="C6" s="16" t="str">
        <x:v>利益（円）</x:v>
      </x:c>
      <x:c r="D6" s="16" t="str">
        <x:v>損失（円）</x:v>
      </x:c>
      <x:c r="E6" s="16" t="str">
        <x:v>収支（円）</x:v>
      </x:c>
      <x:c r="F6" s="16" t="str">
        <x:v>累計（円）</x:v>
      </x:c>
      <x:c r="G6" s="16" t="str">
        <x:v>新規件数</x:v>
      </x:c>
      <x:c r="H6" s="16" t="str">
        <x:v>新規合計枚数</x:v>
      </x:c>
      <x:c r="I6" s="16" t="str">
        <x:v>前段収支（円）</x:v>
      </x:c>
      <x:c r="J6" s="16" t="str">
        <x:v>後段収支（円）</x:v>
      </x:c>
      <x:c r="K6" s="17" t="str">
        <x:v>親取引数</x:v>
      </x:c>
    </x:row>
    <x:row r="7" ht="23" customHeight="1">
      <x:c r="A7" s="2" t="str">
        <x:v>2026-09-21_Night</x:v>
      </x:c>
      <x:c r="B7" s="2" t="str">
        <x:v>上昇</x:v>
      </x:c>
      <x:c r="C7" s="19" t="n">
        <x:v>0</x:v>
      </x:c>
      <x:c r="D7" s="19" t="n">
        <x:v>45000</x:v>
      </x:c>
      <x:c r="E7" s="19" t="n">
        <x:f>C7-D7</x:f>
        <x:v>-45000</x:v>
      </x:c>
      <x:c r="F7" s="19" t="n">
        <x:f>E7</x:f>
        <x:v>-45000</x:v>
      </x:c>
      <x:c r="G7" s="20" t="n">
        <x:v>1</x:v>
      </x:c>
      <x:c r="H7" s="20" t="n">
        <x:v>5</x:v>
      </x:c>
      <x:c r="I7" s="19" t="n">
        <x:v>0</x:v>
      </x:c>
      <x:c r="J7" s="19" t="n">
        <x:v>-45000</x:v>
      </x:c>
      <x:c r="K7" s="20" t="n">
        <x:v>1</x:v>
      </x:c>
    </x:row>
    <x:row r="8" ht="23" customHeight="1">
      <x:c r="A8" s="2" t="str">
        <x:v>2026-09-22_Night</x:v>
      </x:c>
      <x:c r="B8" s="2" t="str">
        <x:v>上昇</x:v>
      </x:c>
      <x:c r="C8" s="19" t="n">
        <x:v>120000</x:v>
      </x:c>
      <x:c r="D8" s="19" t="n">
        <x:v>18000</x:v>
      </x:c>
      <x:c r="E8" s="19" t="n">
        <x:f>C8-D8</x:f>
        <x:v>102000</x:v>
      </x:c>
      <x:c r="F8" s="19" t="n">
        <x:f>F7+E8</x:f>
        <x:v>57000</x:v>
      </x:c>
      <x:c r="G8" s="20" t="n">
        <x:v>6</x:v>
      </x:c>
      <x:c r="H8" s="20" t="n">
        <x:v>19</x:v>
      </x:c>
      <x:c r="I8" s="19" t="n">
        <x:v>78000</x:v>
      </x:c>
      <x:c r="J8" s="19" t="n">
        <x:v>24000</x:v>
      </x:c>
      <x:c r="K8" s="20" t="n">
        <x:v>4</x:v>
      </x:c>
    </x:row>
    <x:row r="9" ht="23" customHeight="1">
      <x:c r="A9" s="2" t="str">
        <x:v>2026-09-23_Night</x:v>
      </x:c>
      <x:c r="B9" s="2" t="str">
        <x:v>下落</x:v>
      </x:c>
      <x:c r="C9" s="19" t="n">
        <x:v>4000</x:v>
      </x:c>
      <x:c r="D9" s="19" t="n">
        <x:v>40000</x:v>
      </x:c>
      <x:c r="E9" s="19" t="n">
        <x:f>C9-D9</x:f>
        <x:v>-36000</x:v>
      </x:c>
      <x:c r="F9" s="19" t="n">
        <x:f>F8+E9</x:f>
        <x:v>21000</x:v>
      </x:c>
      <x:c r="G9" s="20" t="n">
        <x:v>3</x:v>
      </x:c>
      <x:c r="H9" s="20" t="n">
        <x:v>7</x:v>
      </x:c>
      <x:c r="I9" s="19" t="n">
        <x:v>0</x:v>
      </x:c>
      <x:c r="J9" s="19" t="n">
        <x:v>-36000</x:v>
      </x:c>
      <x:c r="K9" s="20" t="n">
        <x:v>2</x:v>
      </x:c>
    </x:row>
    <x:row r="10" ht="23" customHeight="1">
      <x:c r="A10" s="2" t="str">
        <x:v>2026-09-24_Night</x:v>
      </x:c>
      <x:c r="B10" s="2" t="str">
        <x:v>下落</x:v>
      </x:c>
      <x:c r="C10" s="19" t="n">
        <x:v>32000</x:v>
      </x:c>
      <x:c r="D10" s="19" t="n">
        <x:v>76000</x:v>
      </x:c>
      <x:c r="E10" s="19" t="n">
        <x:f>C10-D10</x:f>
        <x:v>-44000</x:v>
      </x:c>
      <x:c r="F10" s="19" t="n">
        <x:f>F9+E10</x:f>
        <x:v>-23000</x:v>
      </x:c>
      <x:c r="G10" s="20" t="n">
        <x:v>9</x:v>
      </x:c>
      <x:c r="H10" s="20" t="n">
        <x:v>20</x:v>
      </x:c>
      <x:c r="I10" s="19" t="n">
        <x:v>-64000</x:v>
      </x:c>
      <x:c r="J10" s="19" t="n">
        <x:v>20000</x:v>
      </x:c>
      <x:c r="K10" s="20" t="n">
        <x:v>6</x:v>
      </x:c>
    </x:row>
    <x:row r="11" ht="23" customHeight="1">
      <x:c r="A11" s="2" t="str">
        <x:v>2026-09-25_Night</x:v>
      </x:c>
      <x:c r="B11" s="2" t="str">
        <x:v>上昇</x:v>
      </x:c>
      <x:c r="C11" s="19" t="n">
        <x:v>33000</x:v>
      </x:c>
      <x:c r="D11" s="19" t="n">
        <x:v>76000</x:v>
      </x:c>
      <x:c r="E11" s="19" t="n">
        <x:f>C11-D11</x:f>
        <x:v>-43000</x:v>
      </x:c>
      <x:c r="F11" s="19" t="n">
        <x:f>F10+E11</x:f>
        <x:v>-66000</x:v>
      </x:c>
      <x:c r="G11" s="20" t="n">
        <x:v>6</x:v>
      </x:c>
      <x:c r="H11" s="20" t="n">
        <x:v>14</x:v>
      </x:c>
      <x:c r="I11" s="19" t="n">
        <x:v>-44000</x:v>
      </x:c>
      <x:c r="J11" s="19" t="n">
        <x:v>1000</x:v>
      </x:c>
      <x:c r="K11" s="20" t="n">
        <x:v>6</x:v>
      </x:c>
    </x:row>
    <x:row r="12" ht="23" customHeight="1">
      <x:c r="A12" s="2" t="str">
        <x:v>2026-09-28_Night</x:v>
      </x:c>
      <x:c r="B12" s="2" t="str">
        <x:v>下落</x:v>
      </x:c>
      <x:c r="C12" s="19" t="n">
        <x:v>9000</x:v>
      </x:c>
      <x:c r="D12" s="19" t="n">
        <x:v>114000</x:v>
      </x:c>
      <x:c r="E12" s="19" t="n">
        <x:f>C12-D12</x:f>
        <x:v>-105000</x:v>
      </x:c>
      <x:c r="F12" s="19" t="n">
        <x:f>F11+E12</x:f>
        <x:v>-171000</x:v>
      </x:c>
      <x:c r="G12" s="20" t="n">
        <x:v>11</x:v>
      </x:c>
      <x:c r="H12" s="20" t="n">
        <x:v>19</x:v>
      </x:c>
      <x:c r="I12" s="19" t="n">
        <x:v>-58000</x:v>
      </x:c>
      <x:c r="J12" s="19" t="n">
        <x:v>-47000</x:v>
      </x:c>
      <x:c r="K12" s="20" t="n">
        <x:v>10</x:v>
      </x:c>
    </x:row>
    <x:row r="13" ht="23" customHeight="1">
      <x:c r="A13" s="2" t="str">
        <x:v>2026-09-29_Night</x:v>
      </x:c>
      <x:c r="B13" s="2" t="str">
        <x:v>上昇</x:v>
      </x:c>
      <x:c r="C13" s="19" t="n">
        <x:v>87000</x:v>
      </x:c>
      <x:c r="D13" s="19" t="n">
        <x:v>90000</x:v>
      </x:c>
      <x:c r="E13" s="19" t="n">
        <x:f>C13-D13</x:f>
        <x:v>-3000</x:v>
      </x:c>
      <x:c r="F13" s="19" t="n">
        <x:f>F12+E13</x:f>
        <x:v>-174000</x:v>
      </x:c>
      <x:c r="G13" s="20" t="n">
        <x:v>9</x:v>
      </x:c>
      <x:c r="H13" s="20" t="n">
        <x:v>21</x:v>
      </x:c>
      <x:c r="I13" s="19" t="n">
        <x:v>-68000</x:v>
      </x:c>
      <x:c r="J13" s="19" t="n">
        <x:v>65000</x:v>
      </x:c>
      <x:c r="K13" s="20" t="n">
        <x:v>7</x:v>
      </x:c>
    </x:row>
    <x:row r="14" ht="23" customHeight="1">
      <x:c r="A14" s="2" t="str">
        <x:v>2026-09-30_Night</x:v>
      </x:c>
      <x:c r="B14" s="2" t="str">
        <x:v>下落</x:v>
      </x:c>
      <x:c r="C14" s="19" t="n">
        <x:v>63000</x:v>
      </x:c>
      <x:c r="D14" s="19" t="n">
        <x:v>163000</x:v>
      </x:c>
      <x:c r="E14" s="19" t="n">
        <x:f>C14-D14</x:f>
        <x:v>-100000</x:v>
      </x:c>
      <x:c r="F14" s="19" t="n">
        <x:f>F13+E14</x:f>
        <x:v>-274000</x:v>
      </x:c>
      <x:c r="G14" s="20" t="n">
        <x:v>15</x:v>
      </x:c>
      <x:c r="H14" s="20" t="n">
        <x:v>37</x:v>
      </x:c>
      <x:c r="I14" s="19" t="n">
        <x:v>-143000</x:v>
      </x:c>
      <x:c r="J14" s="19" t="n">
        <x:v>43000</x:v>
      </x:c>
      <x:c r="K14" s="20" t="n">
        <x:v>10</x:v>
      </x:c>
    </x:row>
    <x:row r="15" ht="23" customHeight="1">
      <x:c r="A15" s="2" t="str">
        <x:v>2026-10-01_Night</x:v>
      </x:c>
      <x:c r="B15" s="2" t="str">
        <x:v>上昇</x:v>
      </x:c>
      <x:c r="C15" s="19" t="n">
        <x:v>298000</x:v>
      </x:c>
      <x:c r="D15" s="19" t="n">
        <x:v>155000</x:v>
      </x:c>
      <x:c r="E15" s="19" t="n">
        <x:f>C15-D15</x:f>
        <x:v>143000</x:v>
      </x:c>
      <x:c r="F15" s="19" t="n">
        <x:f>F14+E15</x:f>
        <x:v>-131000</x:v>
      </x:c>
      <x:c r="G15" s="20" t="n">
        <x:v>19</x:v>
      </x:c>
      <x:c r="H15" s="20" t="n">
        <x:v>38</x:v>
      </x:c>
      <x:c r="I15" s="19" t="n">
        <x:v>34000</x:v>
      </x:c>
      <x:c r="J15" s="19" t="n">
        <x:v>109000</x:v>
      </x:c>
      <x:c r="K15" s="20" t="n">
        <x:v>13</x:v>
      </x:c>
    </x:row>
    <x:row r="16" ht="23" customHeight="1">
      <x:c r="A16" s="2" t="str">
        <x:v>2026-10-02_Night</x:v>
      </x:c>
      <x:c r="B16" s="2" t="str">
        <x:v>上昇</x:v>
      </x:c>
      <x:c r="C16" s="19" t="n">
        <x:v>355000</x:v>
      </x:c>
      <x:c r="D16" s="19" t="n">
        <x:v>226000</x:v>
      </x:c>
      <x:c r="E16" s="19" t="n">
        <x:f>C16-D16</x:f>
        <x:v>129000</x:v>
      </x:c>
      <x:c r="F16" s="19" t="n">
        <x:f>F15+E16</x:f>
        <x:v>-2000</x:v>
      </x:c>
      <x:c r="G16" s="20" t="n">
        <x:v>28</x:v>
      </x:c>
      <x:c r="H16" s="20" t="n">
        <x:v>58</x:v>
      </x:c>
      <x:c r="I16" s="19" t="n">
        <x:v>-132000</x:v>
      </x:c>
      <x:c r="J16" s="19" t="n">
        <x:v>261000</x:v>
      </x:c>
      <x:c r="K16" s="20" t="n">
        <x:v>20</x:v>
      </x:c>
    </x:row>
    <x:row r="17" ht="23" customHeight="1">
      <x:c r="A17" s="2" t="str">
        <x:v>2026-10-05_Night</x:v>
      </x:c>
      <x:c r="B17" s="2" t="str">
        <x:v>下落</x:v>
      </x:c>
      <x:c r="C17" s="19" t="n">
        <x:v>98000</x:v>
      </x:c>
      <x:c r="D17" s="19" t="n">
        <x:v>150000</x:v>
      </x:c>
      <x:c r="E17" s="19" t="n">
        <x:f>C17-D17</x:f>
        <x:v>-52000</x:v>
      </x:c>
      <x:c r="F17" s="19" t="n">
        <x:f>F16+E17</x:f>
        <x:v>-54000</x:v>
      </x:c>
      <x:c r="G17" s="20" t="n">
        <x:v>14</x:v>
      </x:c>
      <x:c r="H17" s="20" t="n">
        <x:v>32</x:v>
      </x:c>
      <x:c r="I17" s="19" t="n">
        <x:v>-86000</x:v>
      </x:c>
      <x:c r="J17" s="19" t="n">
        <x:v>34000</x:v>
      </x:c>
      <x:c r="K17" s="20" t="n">
        <x:v>10</x:v>
      </x:c>
    </x:row>
    <x:row r="18" ht="23" customHeight="1">
      <x:c r="A18" s="2" t="str">
        <x:v>2026-10-06_Night</x:v>
      </x:c>
      <x:c r="B18" s="2" t="str">
        <x:v>下落</x:v>
      </x:c>
      <x:c r="C18" s="19" t="n">
        <x:v>33000</x:v>
      </x:c>
      <x:c r="D18" s="19" t="n">
        <x:v>115000</x:v>
      </x:c>
      <x:c r="E18" s="19" t="n">
        <x:f>C18-D18</x:f>
        <x:v>-82000</x:v>
      </x:c>
      <x:c r="F18" s="19" t="n">
        <x:f>F17+E18</x:f>
        <x:v>-136000</x:v>
      </x:c>
      <x:c r="G18" s="20" t="n">
        <x:v>8</x:v>
      </x:c>
      <x:c r="H18" s="20" t="n">
        <x:v>18</x:v>
      </x:c>
      <x:c r="I18" s="19" t="n">
        <x:v>-72000</x:v>
      </x:c>
      <x:c r="J18" s="19" t="n">
        <x:v>-10000</x:v>
      </x:c>
      <x:c r="K18" s="20" t="n">
        <x:v>5</x:v>
      </x:c>
    </x:row>
    <x:row r="19" ht="23" customHeight="1">
      <x:c r="A19" s="2" t="str">
        <x:v>2026-10-07_Night</x:v>
      </x:c>
      <x:c r="B19" s="2" t="str">
        <x:v>下落</x:v>
      </x:c>
      <x:c r="C19" s="19" t="n">
        <x:v>0</x:v>
      </x:c>
      <x:c r="D19" s="19" t="n">
        <x:v>82000</x:v>
      </x:c>
      <x:c r="E19" s="19" t="n">
        <x:f>C19-D19</x:f>
        <x:v>-82000</x:v>
      </x:c>
      <x:c r="F19" s="19" t="n">
        <x:f>F18+E19</x:f>
        <x:v>-218000</x:v>
      </x:c>
      <x:c r="G19" s="20" t="n">
        <x:v>5</x:v>
      </x:c>
      <x:c r="H19" s="20" t="n">
        <x:v>8</x:v>
      </x:c>
      <x:c r="I19" s="19" t="n">
        <x:v>-60000</x:v>
      </x:c>
      <x:c r="J19" s="19" t="n">
        <x:v>-22000</x:v>
      </x:c>
      <x:c r="K19" s="20" t="n">
        <x:v>4</x:v>
      </x:c>
    </x:row>
    <x:row r="20" ht="23" customHeight="1">
      <x:c r="A20" s="2" t="str">
        <x:v>2026-10-08_Night</x:v>
      </x:c>
      <x:c r="B20" s="2" t="str">
        <x:v>下落</x:v>
      </x:c>
      <x:c r="C20" s="19" t="n">
        <x:v>376000</x:v>
      </x:c>
      <x:c r="D20" s="19" t="n">
        <x:v>40000</x:v>
      </x:c>
      <x:c r="E20" s="19" t="n">
        <x:f>C20-D20</x:f>
        <x:v>336000</x:v>
      </x:c>
      <x:c r="F20" s="19" t="n">
        <x:f>F19+E20</x:f>
        <x:v>118000</x:v>
      </x:c>
      <x:c r="G20" s="20" t="n">
        <x:v>20</x:v>
      </x:c>
      <x:c r="H20" s="20" t="n">
        <x:v>38</x:v>
      </x:c>
      <x:c r="I20" s="19" t="n">
        <x:v>26000</x:v>
      </x:c>
      <x:c r="J20" s="19" t="n">
        <x:v>310000</x:v>
      </x:c>
      <x:c r="K20" s="20" t="n">
        <x:v>14</x:v>
      </x:c>
    </x:row>
    <x:row r="21" ht="23" customHeight="1">
      <x:c r="A21" s="2" t="str">
        <x:v>2026-10-09_Night</x:v>
      </x:c>
      <x:c r="B21" s="2" t="str">
        <x:v>下落</x:v>
      </x:c>
      <x:c r="C21" s="19" t="n">
        <x:v>14000</x:v>
      </x:c>
      <x:c r="D21" s="19" t="n">
        <x:v>38000</x:v>
      </x:c>
      <x:c r="E21" s="19" t="n">
        <x:f>C21-D21</x:f>
        <x:v>-24000</x:v>
      </x:c>
      <x:c r="F21" s="19" t="n">
        <x:f>F20+E21</x:f>
        <x:v>94000</x:v>
      </x:c>
      <x:c r="G21" s="20" t="n">
        <x:v>3</x:v>
      </x:c>
      <x:c r="H21" s="20" t="n">
        <x:v>9</x:v>
      </x:c>
      <x:c r="I21" s="19" t="n">
        <x:v>-38000</x:v>
      </x:c>
      <x:c r="J21" s="19" t="n">
        <x:v>14000</x:v>
      </x:c>
      <x:c r="K21" s="20" t="n">
        <x:v>3</x:v>
      </x:c>
    </x:row>
    <x:row r="22" ht="23" customHeight="1">
      <x:c r="A22" s="2" t="str">
        <x:v>2026-10-12_Night</x:v>
      </x:c>
      <x:c r="B22" s="2" t="str">
        <x:v>下落</x:v>
      </x:c>
      <x:c r="C22" s="19" t="n">
        <x:v>82000</x:v>
      </x:c>
      <x:c r="D22" s="19" t="n">
        <x:v>20000</x:v>
      </x:c>
      <x:c r="E22" s="19" t="n">
        <x:f>C22-D22</x:f>
        <x:v>62000</x:v>
      </x:c>
      <x:c r="F22" s="19" t="n">
        <x:f>F21+E22</x:f>
        <x:v>156000</x:v>
      </x:c>
      <x:c r="G22" s="20" t="n">
        <x:v>2</x:v>
      </x:c>
      <x:c r="H22" s="20" t="n">
        <x:v>7</x:v>
      </x:c>
      <x:c r="I22" s="19" t="n">
        <x:v>-20000</x:v>
      </x:c>
      <x:c r="J22" s="19" t="n">
        <x:v>82000</x:v>
      </x:c>
      <x:c r="K22" s="20" t="n">
        <x:v>2</x:v>
      </x:c>
    </x:row>
    <x:row r="23" ht="23" customHeight="1">
      <x:c r="A23" s="2" t="str">
        <x:v>2026-10-13_Night</x:v>
      </x:c>
      <x:c r="B23" s="2" t="str">
        <x:v>上昇</x:v>
      </x:c>
      <x:c r="C23" s="19" t="n">
        <x:v>14000</x:v>
      </x:c>
      <x:c r="D23" s="19" t="n">
        <x:v>69000</x:v>
      </x:c>
      <x:c r="E23" s="19" t="n">
        <x:f>C23-D23</x:f>
        <x:v>-55000</x:v>
      </x:c>
      <x:c r="F23" s="19" t="n">
        <x:f>F22+E23</x:f>
        <x:v>101000</x:v>
      </x:c>
      <x:c r="G23" s="20" t="n">
        <x:v>5</x:v>
      </x:c>
      <x:c r="H23" s="20" t="n">
        <x:v>13</x:v>
      </x:c>
      <x:c r="I23" s="19" t="n">
        <x:v>-2000</x:v>
      </x:c>
      <x:c r="J23" s="19" t="n">
        <x:v>-53000</x:v>
      </x:c>
      <x:c r="K23" s="20" t="n">
        <x:v>4</x:v>
      </x:c>
    </x:row>
    <x:row r="24" ht="23" customHeight="1">
      <x:c r="A24" s="2" t="str">
        <x:v>2026-10-14_Night</x:v>
      </x:c>
      <x:c r="B24" s="2" t="str">
        <x:v>下落</x:v>
      </x:c>
      <x:c r="C24" s="19" t="n">
        <x:v>209000</x:v>
      </x:c>
      <x:c r="D24" s="19" t="n">
        <x:v>201000</x:v>
      </x:c>
      <x:c r="E24" s="19" t="n">
        <x:f>C24-D24</x:f>
        <x:v>8000</x:v>
      </x:c>
      <x:c r="F24" s="19" t="n">
        <x:f>F23+E24</x:f>
        <x:v>109000</x:v>
      </x:c>
      <x:c r="G24" s="20" t="n">
        <x:v>11</x:v>
      </x:c>
      <x:c r="H24" s="20" t="n">
        <x:v>24</x:v>
      </x:c>
      <x:c r="I24" s="19" t="n">
        <x:v>-128000</x:v>
      </x:c>
      <x:c r="J24" s="19" t="n">
        <x:v>136000</x:v>
      </x:c>
      <x:c r="K24" s="20" t="n">
        <x:v>10</x:v>
      </x:c>
    </x:row>
    <x:row r="25" ht="23" customHeight="1">
      <x:c r="A25" s="2" t="str">
        <x:v>2026-10-15_Night</x:v>
      </x:c>
      <x:c r="B25" s="2" t="str">
        <x:v>上昇</x:v>
      </x:c>
      <x:c r="C25" s="19" t="n">
        <x:v>222000</x:v>
      </x:c>
      <x:c r="D25" s="19" t="n">
        <x:v>200000</x:v>
      </x:c>
      <x:c r="E25" s="19" t="n">
        <x:f>C25-D25</x:f>
        <x:v>22000</x:v>
      </x:c>
      <x:c r="F25" s="19" t="n">
        <x:f>F24+E25</x:f>
        <x:v>131000</x:v>
      </x:c>
      <x:c r="G25" s="20" t="n">
        <x:v>18</x:v>
      </x:c>
      <x:c r="H25" s="20" t="n">
        <x:v>29</x:v>
      </x:c>
      <x:c r="I25" s="19" t="n">
        <x:v>-74000</x:v>
      </x:c>
      <x:c r="J25" s="19" t="n">
        <x:v>96000</x:v>
      </x:c>
      <x:c r="K25" s="20" t="n">
        <x:v>14</x:v>
      </x:c>
    </x:row>
    <x:row r="26" ht="23" customHeight="1">
      <x:c r="A26" s="2" t="str">
        <x:v>2026-10-16_Night</x:v>
      </x:c>
      <x:c r="B26" s="2" t="str">
        <x:v>下落</x:v>
      </x:c>
      <x:c r="C26" s="19" t="n">
        <x:v>153000</x:v>
      </x:c>
      <x:c r="D26" s="19" t="n">
        <x:v>182000</x:v>
      </x:c>
      <x:c r="E26" s="19" t="n">
        <x:f>C26-D26</x:f>
        <x:v>-29000</x:v>
      </x:c>
      <x:c r="F26" s="19" t="n">
        <x:f>F25+E26</x:f>
        <x:v>102000</x:v>
      </x:c>
      <x:c r="G26" s="20" t="n">
        <x:v>15</x:v>
      </x:c>
      <x:c r="H26" s="20" t="n">
        <x:v>31</x:v>
      </x:c>
      <x:c r="I26" s="19" t="n">
        <x:v>-40000</x:v>
      </x:c>
      <x:c r="J26" s="19" t="n">
        <x:v>11000</x:v>
      </x:c>
      <x:c r="K26" s="20" t="n">
        <x:v>13</x:v>
      </x:c>
    </x:row>
    <x:row r="27" ht="23" customHeight="1">
      <x:c r="A27" s="2" t="str">
        <x:v>2026-10-19_Night</x:v>
      </x:c>
      <x:c r="B27" s="2" t="str">
        <x:v>上昇</x:v>
      </x:c>
      <x:c r="C27" s="19" t="n">
        <x:v>118000</x:v>
      </x:c>
      <x:c r="D27" s="19" t="n">
        <x:v>193000</x:v>
      </x:c>
      <x:c r="E27" s="19" t="n">
        <x:f>C27-D27</x:f>
        <x:v>-75000</x:v>
      </x:c>
      <x:c r="F27" s="19" t="n">
        <x:f>F26+E27</x:f>
        <x:v>27000</x:v>
      </x:c>
      <x:c r="G27" s="20" t="n">
        <x:v>20</x:v>
      </x:c>
      <x:c r="H27" s="20" t="n">
        <x:v>35</x:v>
      </x:c>
      <x:c r="I27" s="19" t="n">
        <x:v>-90000</x:v>
      </x:c>
      <x:c r="J27" s="19" t="n">
        <x:v>15000</x:v>
      </x:c>
      <x:c r="K27" s="20" t="n">
        <x:v>15</x:v>
      </x:c>
    </x:row>
    <x:row r="28" ht="23" customHeight="1">
      <x:c r="A28" s="2" t="str">
        <x:v>2026-10-20_Night</x:v>
      </x:c>
      <x:c r="B28" s="2" t="str">
        <x:v>上昇</x:v>
      </x:c>
      <x:c r="C28" s="19" t="n">
        <x:v>886000</x:v>
      </x:c>
      <x:c r="D28" s="19" t="n">
        <x:v>155000</x:v>
      </x:c>
      <x:c r="E28" s="19" t="n">
        <x:f>C28-D28</x:f>
        <x:v>731000</x:v>
      </x:c>
      <x:c r="F28" s="19" t="n">
        <x:f>F27+E28</x:f>
        <x:v>758000</x:v>
      </x:c>
      <x:c r="G28" s="20" t="n">
        <x:v>26</x:v>
      </x:c>
      <x:c r="H28" s="20" t="n">
        <x:v>59</x:v>
      </x:c>
      <x:c r="I28" s="19" t="n">
        <x:v>253000</x:v>
      </x:c>
      <x:c r="J28" s="19" t="n">
        <x:v>478000</x:v>
      </x:c>
      <x:c r="K28" s="20" t="n">
        <x:v>15</x:v>
      </x:c>
    </x:row>
    <x:row r="29" ht="23" customHeight="1">
      <x:c r="A29" s="2" t="str">
        <x:v>2026-10-21_Night</x:v>
      </x:c>
      <x:c r="B29" s="2" t="str">
        <x:v>上昇</x:v>
      </x:c>
      <x:c r="C29" s="19" t="n">
        <x:v>183000</x:v>
      </x:c>
      <x:c r="D29" s="19" t="n">
        <x:v>199000</x:v>
      </x:c>
      <x:c r="E29" s="19" t="n">
        <x:f>C29-D29</x:f>
        <x:v>-16000</x:v>
      </x:c>
      <x:c r="F29" s="19" t="n">
        <x:f>F28+E29</x:f>
        <x:v>742000</x:v>
      </x:c>
      <x:c r="G29" s="20" t="n">
        <x:v>15</x:v>
      </x:c>
      <x:c r="H29" s="20" t="n">
        <x:v>46</x:v>
      </x:c>
      <x:c r="I29" s="19" t="n">
        <x:v>8000</x:v>
      </x:c>
      <x:c r="J29" s="19" t="n">
        <x:v>-24000</x:v>
      </x:c>
      <x:c r="K29" s="20" t="n">
        <x:v>9</x:v>
      </x:c>
    </x:row>
    <x:row r="30" ht="23" customHeight="1">
      <x:c r="A30" s="2" t="str">
        <x:v>2026-10-22_Night</x:v>
      </x:c>
      <x:c r="B30" s="2" t="str">
        <x:v>下落</x:v>
      </x:c>
      <x:c r="C30" s="19" t="n">
        <x:v>160000</x:v>
      </x:c>
      <x:c r="D30" s="19" t="n">
        <x:v>217000</x:v>
      </x:c>
      <x:c r="E30" s="19" t="n">
        <x:f>C30-D30</x:f>
        <x:v>-57000</x:v>
      </x:c>
      <x:c r="F30" s="19" t="n">
        <x:f>F29+E30</x:f>
        <x:v>685000</x:v>
      </x:c>
      <x:c r="G30" s="20" t="n">
        <x:v>14</x:v>
      </x:c>
      <x:c r="H30" s="20" t="n">
        <x:v>31</x:v>
      </x:c>
      <x:c r="I30" s="19" t="n">
        <x:v>-134000</x:v>
      </x:c>
      <x:c r="J30" s="19" t="n">
        <x:v>77000</x:v>
      </x:c>
      <x:c r="K30" s="20" t="n">
        <x:v>11</x:v>
      </x:c>
    </x:row>
    <x:row r="31" ht="23" customHeight="1">
      <x:c r="A31" s="2" t="str">
        <x:v>2026-10-23_Night</x:v>
      </x:c>
      <x:c r="B31" s="2" t="str">
        <x:v>上昇</x:v>
      </x:c>
      <x:c r="C31" s="19" t="n">
        <x:v>75000</x:v>
      </x:c>
      <x:c r="D31" s="19" t="n">
        <x:v>136000</x:v>
      </x:c>
      <x:c r="E31" s="19" t="n">
        <x:f>C31-D31</x:f>
        <x:v>-61000</x:v>
      </x:c>
      <x:c r="F31" s="19" t="n">
        <x:f>F30+E31</x:f>
        <x:v>624000</x:v>
      </x:c>
      <x:c r="G31" s="20" t="n">
        <x:v>15</x:v>
      </x:c>
      <x:c r="H31" s="20" t="n">
        <x:v>31</x:v>
      </x:c>
      <x:c r="I31" s="19" t="n">
        <x:v>-76000</x:v>
      </x:c>
      <x:c r="J31" s="19" t="n">
        <x:v>15000</x:v>
      </x:c>
      <x:c r="K31" s="20" t="n">
        <x:v>11</x:v>
      </x:c>
    </x:row>
    <x:row r="32" ht="23" customHeight="1">
      <x:c r="A32" s="24" t="str">
        <x:v>25夜累計</x:v>
      </x:c>
      <x:c r="B32" s="24"/>
      <x:c r="C32" s="25" t="n">
        <x:f>SUM(C7:C31)</x:f>
        <x:v>3624000</x:v>
      </x:c>
      <x:c r="D32" s="25" t="n">
        <x:f>SUM(D7:D31)</x:f>
        <x:v>3000000</x:v>
      </x:c>
      <x:c r="E32" s="25" t="n">
        <x:f>C32-D32</x:f>
        <x:v>624000</x:v>
      </x:c>
      <x:c r="F32" s="25" t="n">
        <x:f>F31</x:f>
        <x:v>624000</x:v>
      </x:c>
      <x:c r="G32" s="26" t="n">
        <x:f>SUM(G7:G31)</x:f>
        <x:v>298</x:v>
      </x:c>
      <x:c r="H32" s="26" t="n">
        <x:f>SUM(H7:H31)</x:f>
        <x:v>649</x:v>
      </x:c>
      <x:c r="I32" s="25" t="n">
        <x:f>SUM(I7:I31)</x:f>
        <x:v>-930000</x:v>
      </x:c>
      <x:c r="J32" s="25" t="n">
        <x:f>SUM(J7:J31)</x:f>
        <x:v>1554000</x:v>
      </x:c>
      <x:c r="K32" s="26" t="n">
        <x:f>SUM(K7:K31)</x:f>
        <x:v>219</x:v>
      </x:c>
    </x:row>
    <x:row r="33" ht="23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</x:row>
  </x:sheetData>
  <x:conditionalFormatting sqref="C7:F32">
    <x:cfRule type="cellIs" dxfId="32" priority="1" operator="lessThan">
      <x:formula>0</x:formula>
    </x:cfRule>
  </x:conditionalFormatting>
  <x:conditionalFormatting sqref="I7:J32">
    <x:cfRule type="cellIs" dxfId="33" priority="2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e33bb74c3cb4cc0"/>
  </x:tableParts>
</x:worksheet>
</file>

<file path=xl/worksheets/sheet19.xml><?xml version="1.0" encoding="utf-8"?>
<x:worksheet xmlns:x="http://schemas.openxmlformats.org/spreadsheetml/2006/main">
  <x:sheetPr>
    <x:tabColor rgb="FF244A70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8" hidden="0" customWidth="1"/>
    <x:col min="2" max="2" width="14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23" customHeight="1">
      <x:c r="A2" s="4" t="str">
        <x:v>Q01　全夜間の利益・損失・収支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</x:row>
    <x:row r="3" ht="23" customHeight="1">
      <x:c r="A3" s="6" t="str">
        <x:v>日経mini・片方向上限10枚・手数料0円・気配差込み。利益と損失は完結した親取引の収支を分類。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 ht="23" customHeight="1">
      <x:c r="A4" s="6" t="str">
        <x:v>2026/09/21～10/23の既知25夜。前段は米国開始15分前まで、後段は米国開始15分後から。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</x:row>
    <x:row r="5" ht="23" customHeight="1">
      <x:c r="A5" s="6" t="str">
        <x:v>更新間隔120秒まで方向確認を維持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</x:row>
    <x:row r="6" ht="40" customHeight="1">
      <x:c r="A6" s="15" t="str">
        <x:v>セッション</x:v>
      </x:c>
      <x:c r="B6" s="16" t="str">
        <x:v>始終値方向</x:v>
      </x:c>
      <x:c r="C6" s="16" t="str">
        <x:v>利益（円）</x:v>
      </x:c>
      <x:c r="D6" s="16" t="str">
        <x:v>損失（円）</x:v>
      </x:c>
      <x:c r="E6" s="16" t="str">
        <x:v>収支（円）</x:v>
      </x:c>
      <x:c r="F6" s="16" t="str">
        <x:v>累計（円）</x:v>
      </x:c>
      <x:c r="G6" s="16" t="str">
        <x:v>新規件数</x:v>
      </x:c>
      <x:c r="H6" s="16" t="str">
        <x:v>新規合計枚数</x:v>
      </x:c>
      <x:c r="I6" s="16" t="str">
        <x:v>前段収支（円）</x:v>
      </x:c>
      <x:c r="J6" s="16" t="str">
        <x:v>後段収支（円）</x:v>
      </x:c>
      <x:c r="K6" s="17" t="str">
        <x:v>親取引数</x:v>
      </x:c>
    </x:row>
    <x:row r="7" ht="23" customHeight="1">
      <x:c r="A7" s="2" t="str">
        <x:v>2026-09-21_Night</x:v>
      </x:c>
      <x:c r="B7" s="2" t="str">
        <x:v>上昇</x:v>
      </x:c>
      <x:c r="C7" s="19" t="n">
        <x:v>20000</x:v>
      </x:c>
      <x:c r="D7" s="19" t="n">
        <x:v>115000</x:v>
      </x:c>
      <x:c r="E7" s="19" t="n">
        <x:f>C7-D7</x:f>
        <x:v>-95000</x:v>
      </x:c>
      <x:c r="F7" s="19" t="n">
        <x:f>E7</x:f>
        <x:v>-95000</x:v>
      </x:c>
      <x:c r="G7" s="20" t="n">
        <x:v>6</x:v>
      </x:c>
      <x:c r="H7" s="20" t="n">
        <x:v>30</x:v>
      </x:c>
      <x:c r="I7" s="19" t="n">
        <x:v>-50000</x:v>
      </x:c>
      <x:c r="J7" s="19" t="n">
        <x:v>-45000</x:v>
      </x:c>
      <x:c r="K7" s="20" t="n">
        <x:v>5</x:v>
      </x:c>
    </x:row>
    <x:row r="8" ht="23" customHeight="1">
      <x:c r="A8" s="2" t="str">
        <x:v>2026-09-22_Night</x:v>
      </x:c>
      <x:c r="B8" s="2" t="str">
        <x:v>上昇</x:v>
      </x:c>
      <x:c r="C8" s="19" t="n">
        <x:v>314000</x:v>
      </x:c>
      <x:c r="D8" s="19" t="n">
        <x:v>230000</x:v>
      </x:c>
      <x:c r="E8" s="19" t="n">
        <x:f>C8-D8</x:f>
        <x:v>84000</x:v>
      </x:c>
      <x:c r="F8" s="19" t="n">
        <x:f>F7+E8</x:f>
        <x:v>-11000</x:v>
      </x:c>
      <x:c r="G8" s="20" t="n">
        <x:v>13</x:v>
      </x:c>
      <x:c r="H8" s="20" t="n">
        <x:v>65</x:v>
      </x:c>
      <x:c r="I8" s="19" t="n">
        <x:v>60000</x:v>
      </x:c>
      <x:c r="J8" s="19" t="n">
        <x:v>24000</x:v>
      </x:c>
      <x:c r="K8" s="20" t="n">
        <x:v>9</x:v>
      </x:c>
    </x:row>
    <x:row r="9" ht="23" customHeight="1">
      <x:c r="A9" s="2" t="str">
        <x:v>2026-09-23_Night</x:v>
      </x:c>
      <x:c r="B9" s="2" t="str">
        <x:v>下落</x:v>
      </x:c>
      <x:c r="C9" s="19" t="n">
        <x:v>9000</x:v>
      </x:c>
      <x:c r="D9" s="19" t="n">
        <x:v>190000</x:v>
      </x:c>
      <x:c r="E9" s="19" t="n">
        <x:f>C9-D9</x:f>
        <x:v>-181000</x:v>
      </x:c>
      <x:c r="F9" s="19" t="n">
        <x:f>F8+E9</x:f>
        <x:v>-192000</x:v>
      </x:c>
      <x:c r="G9" s="20" t="n">
        <x:v>8</x:v>
      </x:c>
      <x:c r="H9" s="20" t="n">
        <x:v>32</x:v>
      </x:c>
      <x:c r="I9" s="19" t="n">
        <x:v>-145000</x:v>
      </x:c>
      <x:c r="J9" s="19" t="n">
        <x:v>-36000</x:v>
      </x:c>
      <x:c r="K9" s="20" t="n">
        <x:v>6</x:v>
      </x:c>
    </x:row>
    <x:row r="10" ht="23" customHeight="1">
      <x:c r="A10" s="2" t="str">
        <x:v>2026-09-24_Night</x:v>
      </x:c>
      <x:c r="B10" s="2" t="str">
        <x:v>下落</x:v>
      </x:c>
      <x:c r="C10" s="19" t="n">
        <x:v>280000</x:v>
      </x:c>
      <x:c r="D10" s="19" t="n">
        <x:v>320000</x:v>
      </x:c>
      <x:c r="E10" s="19" t="n">
        <x:f>C10-D10</x:f>
        <x:v>-40000</x:v>
      </x:c>
      <x:c r="F10" s="19" t="n">
        <x:f>F9+E10</x:f>
        <x:v>-232000</x:v>
      </x:c>
      <x:c r="G10" s="20" t="n">
        <x:v>24</x:v>
      </x:c>
      <x:c r="H10" s="20" t="n">
        <x:v>112</x:v>
      </x:c>
      <x:c r="I10" s="19" t="n">
        <x:v>-60000</x:v>
      </x:c>
      <x:c r="J10" s="19" t="n">
        <x:v>20000</x:v>
      </x:c>
      <x:c r="K10" s="20" t="n">
        <x:v>16</x:v>
      </x:c>
    </x:row>
    <x:row r="11" ht="23" customHeight="1">
      <x:c r="A11" s="2" t="str">
        <x:v>2026-09-25_Night</x:v>
      </x:c>
      <x:c r="B11" s="2" t="str">
        <x:v>上昇</x:v>
      </x:c>
      <x:c r="C11" s="19" t="n">
        <x:v>102000</x:v>
      </x:c>
      <x:c r="D11" s="19" t="n">
        <x:v>371000</x:v>
      </x:c>
      <x:c r="E11" s="19" t="n">
        <x:f>C11-D11</x:f>
        <x:v>-269000</x:v>
      </x:c>
      <x:c r="F11" s="19" t="n">
        <x:f>F10+E11</x:f>
        <x:v>-501000</x:v>
      </x:c>
      <x:c r="G11" s="20" t="n">
        <x:v>16</x:v>
      </x:c>
      <x:c r="H11" s="20" t="n">
        <x:v>76</x:v>
      </x:c>
      <x:c r="I11" s="19" t="n">
        <x:v>-270000</x:v>
      </x:c>
      <x:c r="J11" s="19" t="n">
        <x:v>1000</x:v>
      </x:c>
      <x:c r="K11" s="20" t="n">
        <x:v>12</x:v>
      </x:c>
    </x:row>
    <x:row r="12" ht="23" customHeight="1">
      <x:c r="A12" s="2" t="str">
        <x:v>2026-09-28_Night</x:v>
      </x:c>
      <x:c r="B12" s="2" t="str">
        <x:v>下落</x:v>
      </x:c>
      <x:c r="C12" s="19" t="n">
        <x:v>46000</x:v>
      </x:c>
      <x:c r="D12" s="19" t="n">
        <x:v>648000</x:v>
      </x:c>
      <x:c r="E12" s="19" t="n">
        <x:f>C12-D12</x:f>
        <x:v>-602000</x:v>
      </x:c>
      <x:c r="F12" s="19" t="n">
        <x:f>F11+E12</x:f>
        <x:v>-1103000</x:v>
      </x:c>
      <x:c r="G12" s="20" t="n">
        <x:v>25</x:v>
      </x:c>
      <x:c r="H12" s="20" t="n">
        <x:v>107</x:v>
      </x:c>
      <x:c r="I12" s="19" t="n">
        <x:v>-555000</x:v>
      </x:c>
      <x:c r="J12" s="19" t="n">
        <x:v>-47000</x:v>
      </x:c>
      <x:c r="K12" s="20" t="n">
        <x:v>17</x:v>
      </x:c>
    </x:row>
    <x:row r="13" ht="23" customHeight="1">
      <x:c r="A13" s="2" t="str">
        <x:v>2026-09-29_Night</x:v>
      </x:c>
      <x:c r="B13" s="2" t="str">
        <x:v>上昇</x:v>
      </x:c>
      <x:c r="C13" s="19" t="n">
        <x:v>112000</x:v>
      </x:c>
      <x:c r="D13" s="19" t="n">
        <x:v>432000</x:v>
      </x:c>
      <x:c r="E13" s="19" t="n">
        <x:f>C13-D13</x:f>
        <x:v>-320000</x:v>
      </x:c>
      <x:c r="F13" s="19" t="n">
        <x:f>F12+E13</x:f>
        <x:v>-1423000</x:v>
      </x:c>
      <x:c r="G13" s="20" t="n">
        <x:v>19</x:v>
      </x:c>
      <x:c r="H13" s="20" t="n">
        <x:v>79</x:v>
      </x:c>
      <x:c r="I13" s="19" t="n">
        <x:v>-385000</x:v>
      </x:c>
      <x:c r="J13" s="19" t="n">
        <x:v>65000</x:v>
      </x:c>
      <x:c r="K13" s="20" t="n">
        <x:v>15</x:v>
      </x:c>
    </x:row>
    <x:row r="14" ht="23" customHeight="1">
      <x:c r="A14" s="2" t="str">
        <x:v>2026-09-30_Night</x:v>
      </x:c>
      <x:c r="B14" s="2" t="str">
        <x:v>下落</x:v>
      </x:c>
      <x:c r="C14" s="19" t="n">
        <x:v>158000</x:v>
      </x:c>
      <x:c r="D14" s="19" t="n">
        <x:v>590000</x:v>
      </x:c>
      <x:c r="E14" s="19" t="n">
        <x:f>C14-D14</x:f>
        <x:v>-432000</x:v>
      </x:c>
      <x:c r="F14" s="19" t="n">
        <x:f>F13+E14</x:f>
        <x:v>-1855000</x:v>
      </x:c>
      <x:c r="G14" s="20" t="n">
        <x:v>33</x:v>
      </x:c>
      <x:c r="H14" s="20" t="n">
        <x:v>157</x:v>
      </x:c>
      <x:c r="I14" s="19" t="n">
        <x:v>-475000</x:v>
      </x:c>
      <x:c r="J14" s="19" t="n">
        <x:v>43000</x:v>
      </x:c>
      <x:c r="K14" s="20" t="n">
        <x:v>21</x:v>
      </x:c>
    </x:row>
    <x:row r="15" ht="23" customHeight="1">
      <x:c r="A15" s="2" t="str">
        <x:v>2026-10-01_Night</x:v>
      </x:c>
      <x:c r="B15" s="2" t="str">
        <x:v>上昇</x:v>
      </x:c>
      <x:c r="C15" s="19" t="n">
        <x:v>740000</x:v>
      </x:c>
      <x:c r="D15" s="19" t="n">
        <x:v>416000</x:v>
      </x:c>
      <x:c r="E15" s="19" t="n">
        <x:f>C15-D15</x:f>
        <x:v>324000</x:v>
      </x:c>
      <x:c r="F15" s="19" t="n">
        <x:f>F14+E15</x:f>
        <x:v>-1531000</x:v>
      </x:c>
      <x:c r="G15" s="20" t="n">
        <x:v>36</x:v>
      </x:c>
      <x:c r="H15" s="20" t="n">
        <x:v>139</x:v>
      </x:c>
      <x:c r="I15" s="19" t="n">
        <x:v>215000</x:v>
      </x:c>
      <x:c r="J15" s="19" t="n">
        <x:v>109000</x:v>
      </x:c>
      <x:c r="K15" s="20" t="n">
        <x:v>23</x:v>
      </x:c>
    </x:row>
    <x:row r="16" ht="23" customHeight="1">
      <x:c r="A16" s="2" t="str">
        <x:v>2026-10-02_Night</x:v>
      </x:c>
      <x:c r="B16" s="2" t="str">
        <x:v>上昇</x:v>
      </x:c>
      <x:c r="C16" s="19" t="n">
        <x:v>594000</x:v>
      </x:c>
      <x:c r="D16" s="19" t="n">
        <x:v>903000</x:v>
      </x:c>
      <x:c r="E16" s="19" t="n">
        <x:f>C16-D16</x:f>
        <x:v>-309000</x:v>
      </x:c>
      <x:c r="F16" s="19" t="n">
        <x:f>F15+E16</x:f>
        <x:v>-1840000</x:v>
      </x:c>
      <x:c r="G16" s="20" t="n">
        <x:v>46</x:v>
      </x:c>
      <x:c r="H16" s="20" t="n">
        <x:v>183</x:v>
      </x:c>
      <x:c r="I16" s="19" t="n">
        <x:v>-570000</x:v>
      </x:c>
      <x:c r="J16" s="19" t="n">
        <x:v>261000</x:v>
      </x:c>
      <x:c r="K16" s="20" t="n">
        <x:v>31</x:v>
      </x:c>
    </x:row>
    <x:row r="17" ht="23" customHeight="1">
      <x:c r="A17" s="2" t="str">
        <x:v>2026-10-05_Night</x:v>
      </x:c>
      <x:c r="B17" s="2" t="str">
        <x:v>下落</x:v>
      </x:c>
      <x:c r="C17" s="19" t="n">
        <x:v>263000</x:v>
      </x:c>
      <x:c r="D17" s="19" t="n">
        <x:v>554000</x:v>
      </x:c>
      <x:c r="E17" s="19" t="n">
        <x:f>C17-D17</x:f>
        <x:v>-291000</x:v>
      </x:c>
      <x:c r="F17" s="19" t="n">
        <x:f>F16+E17</x:f>
        <x:v>-2131000</x:v>
      </x:c>
      <x:c r="G17" s="20" t="n">
        <x:v>24</x:v>
      </x:c>
      <x:c r="H17" s="20" t="n">
        <x:v>99</x:v>
      </x:c>
      <x:c r="I17" s="19" t="n">
        <x:v>-325000</x:v>
      </x:c>
      <x:c r="J17" s="19" t="n">
        <x:v>34000</x:v>
      </x:c>
      <x:c r="K17" s="20" t="n">
        <x:v>17</x:v>
      </x:c>
    </x:row>
    <x:row r="18" ht="23" customHeight="1">
      <x:c r="A18" s="2" t="str">
        <x:v>2026-10-06_Night</x:v>
      </x:c>
      <x:c r="B18" s="2" t="str">
        <x:v>下落</x:v>
      </x:c>
      <x:c r="C18" s="19" t="n">
        <x:v>243000</x:v>
      </x:c>
      <x:c r="D18" s="19" t="n">
        <x:v>408000</x:v>
      </x:c>
      <x:c r="E18" s="19" t="n">
        <x:f>C18-D18</x:f>
        <x:v>-165000</x:v>
      </x:c>
      <x:c r="F18" s="19" t="n">
        <x:f>F17+E18</x:f>
        <x:v>-2296000</x:v>
      </x:c>
      <x:c r="G18" s="20" t="n">
        <x:v>22</x:v>
      </x:c>
      <x:c r="H18" s="20" t="n">
        <x:v>98</x:v>
      </x:c>
      <x:c r="I18" s="19" t="n">
        <x:v>-155000</x:v>
      </x:c>
      <x:c r="J18" s="19" t="n">
        <x:v>-10000</x:v>
      </x:c>
      <x:c r="K18" s="20" t="n">
        <x:v>15</x:v>
      </x:c>
    </x:row>
    <x:row r="19" ht="23" customHeight="1">
      <x:c r="A19" s="2" t="str">
        <x:v>2026-10-07_Night</x:v>
      </x:c>
      <x:c r="B19" s="2" t="str">
        <x:v>下落</x:v>
      </x:c>
      <x:c r="C19" s="19" t="n">
        <x:v>150000</x:v>
      </x:c>
      <x:c r="D19" s="19" t="n">
        <x:v>707000</x:v>
      </x:c>
      <x:c r="E19" s="19" t="n">
        <x:f>C19-D19</x:f>
        <x:v>-557000</x:v>
      </x:c>
      <x:c r="F19" s="19" t="n">
        <x:f>F18+E19</x:f>
        <x:v>-2853000</x:v>
      </x:c>
      <x:c r="G19" s="20" t="n">
        <x:v>28</x:v>
      </x:c>
      <x:c r="H19" s="20" t="n">
        <x:v>132</x:v>
      </x:c>
      <x:c r="I19" s="19" t="n">
        <x:v>-535000</x:v>
      </x:c>
      <x:c r="J19" s="19" t="n">
        <x:v>-22000</x:v>
      </x:c>
      <x:c r="K19" s="20" t="n">
        <x:v>21</x:v>
      </x:c>
    </x:row>
    <x:row r="20" ht="23" customHeight="1">
      <x:c r="A20" s="2" t="str">
        <x:v>2026-10-08_Night</x:v>
      </x:c>
      <x:c r="B20" s="2" t="str">
        <x:v>下落</x:v>
      </x:c>
      <x:c r="C20" s="19" t="n">
        <x:v>475000</x:v>
      </x:c>
      <x:c r="D20" s="19" t="n">
        <x:v>775000</x:v>
      </x:c>
      <x:c r="E20" s="19" t="n">
        <x:f>C20-D20</x:f>
        <x:v>-300000</x:v>
      </x:c>
      <x:c r="F20" s="19" t="n">
        <x:f>F19+E20</x:f>
        <x:v>-3153000</x:v>
      </x:c>
      <x:c r="G20" s="20" t="n">
        <x:v>44</x:v>
      </x:c>
      <x:c r="H20" s="20" t="n">
        <x:v>173</x:v>
      </x:c>
      <x:c r="I20" s="19" t="n">
        <x:v>-610000</x:v>
      </x:c>
      <x:c r="J20" s="19" t="n">
        <x:v>310000</x:v>
      </x:c>
      <x:c r="K20" s="20" t="n">
        <x:v>31</x:v>
      </x:c>
    </x:row>
    <x:row r="21" ht="23" customHeight="1">
      <x:c r="A21" s="2" t="str">
        <x:v>2026-10-09_Night</x:v>
      </x:c>
      <x:c r="B21" s="2" t="str">
        <x:v>下落</x:v>
      </x:c>
      <x:c r="C21" s="19" t="n">
        <x:v>279000</x:v>
      </x:c>
      <x:c r="D21" s="19" t="n">
        <x:v>115000</x:v>
      </x:c>
      <x:c r="E21" s="19" t="n">
        <x:f>C21-D21</x:f>
        <x:v>164000</x:v>
      </x:c>
      <x:c r="F21" s="19" t="n">
        <x:f>F20+E21</x:f>
        <x:v>-2989000</x:v>
      </x:c>
      <x:c r="G21" s="20" t="n">
        <x:v>15</x:v>
      </x:c>
      <x:c r="H21" s="20" t="n">
        <x:v>75</x:v>
      </x:c>
      <x:c r="I21" s="19" t="n">
        <x:v>150000</x:v>
      </x:c>
      <x:c r="J21" s="19" t="n">
        <x:v>14000</x:v>
      </x:c>
      <x:c r="K21" s="20" t="n">
        <x:v>9</x:v>
      </x:c>
    </x:row>
    <x:row r="22" ht="23" customHeight="1">
      <x:c r="A22" s="2" t="str">
        <x:v>2026-10-12_Night</x:v>
      </x:c>
      <x:c r="B22" s="2" t="str">
        <x:v>下落</x:v>
      </x:c>
      <x:c r="C22" s="19" t="n">
        <x:v>142000</x:v>
      </x:c>
      <x:c r="D22" s="19" t="n">
        <x:v>95000</x:v>
      </x:c>
      <x:c r="E22" s="19" t="n">
        <x:f>C22-D22</x:f>
        <x:v>47000</x:v>
      </x:c>
      <x:c r="F22" s="19" t="n">
        <x:f>F21+E22</x:f>
        <x:v>-2942000</x:v>
      </x:c>
      <x:c r="G22" s="20" t="n">
        <x:v>7</x:v>
      </x:c>
      <x:c r="H22" s="20" t="n">
        <x:v>35</x:v>
      </x:c>
      <x:c r="I22" s="19" t="n">
        <x:v>-35000</x:v>
      </x:c>
      <x:c r="J22" s="19" t="n">
        <x:v>82000</x:v>
      </x:c>
      <x:c r="K22" s="20" t="n">
        <x:v>5</x:v>
      </x:c>
    </x:row>
    <x:row r="23" ht="23" customHeight="1">
      <x:c r="A23" s="2" t="str">
        <x:v>2026-10-13_Night</x:v>
      </x:c>
      <x:c r="B23" s="2" t="str">
        <x:v>上昇</x:v>
      </x:c>
      <x:c r="C23" s="19" t="n">
        <x:v>30000</x:v>
      </x:c>
      <x:c r="D23" s="19" t="n">
        <x:v>288000</x:v>
      </x:c>
      <x:c r="E23" s="19" t="n">
        <x:f>C23-D23</x:f>
        <x:v>-258000</x:v>
      </x:c>
      <x:c r="F23" s="19" t="n">
        <x:f>F22+E23</x:f>
        <x:v>-3200000</x:v>
      </x:c>
      <x:c r="G23" s="20" t="n">
        <x:v>14</x:v>
      </x:c>
      <x:c r="H23" s="20" t="n">
        <x:v>66</x:v>
      </x:c>
      <x:c r="I23" s="19" t="n">
        <x:v>-205000</x:v>
      </x:c>
      <x:c r="J23" s="19" t="n">
        <x:v>-53000</x:v>
      </x:c>
      <x:c r="K23" s="20" t="n">
        <x:v>11</x:v>
      </x:c>
    </x:row>
    <x:row r="24" ht="23" customHeight="1">
      <x:c r="A24" s="2" t="str">
        <x:v>2026-10-14_Night</x:v>
      </x:c>
      <x:c r="B24" s="2" t="str">
        <x:v>下落</x:v>
      </x:c>
      <x:c r="C24" s="19" t="n">
        <x:v>262000</x:v>
      </x:c>
      <x:c r="D24" s="19" t="n">
        <x:v>646000</x:v>
      </x:c>
      <x:c r="E24" s="19" t="n">
        <x:f>C24-D24</x:f>
        <x:v>-384000</x:v>
      </x:c>
      <x:c r="F24" s="19" t="n">
        <x:f>F23+E24</x:f>
        <x:v>-3584000</x:v>
      </x:c>
      <x:c r="G24" s="20" t="n">
        <x:v>24</x:v>
      </x:c>
      <x:c r="H24" s="20" t="n">
        <x:v>109</x:v>
      </x:c>
      <x:c r="I24" s="19" t="n">
        <x:v>-520000</x:v>
      </x:c>
      <x:c r="J24" s="19" t="n">
        <x:v>136000</x:v>
      </x:c>
      <x:c r="K24" s="20" t="n">
        <x:v>16</x:v>
      </x:c>
    </x:row>
    <x:row r="25" ht="23" customHeight="1">
      <x:c r="A25" s="2" t="str">
        <x:v>2026-10-15_Night</x:v>
      </x:c>
      <x:c r="B25" s="2" t="str">
        <x:v>上昇</x:v>
      </x:c>
      <x:c r="C25" s="19" t="n">
        <x:v>281000</x:v>
      </x:c>
      <x:c r="D25" s="19" t="n">
        <x:v>780000</x:v>
      </x:c>
      <x:c r="E25" s="19" t="n">
        <x:f>C25-D25</x:f>
        <x:v>-499000</x:v>
      </x:c>
      <x:c r="F25" s="19" t="n">
        <x:f>F24+E25</x:f>
        <x:v>-4083000</x:v>
      </x:c>
      <x:c r="G25" s="20" t="n">
        <x:v>36</x:v>
      </x:c>
      <x:c r="H25" s="20" t="n">
        <x:v>134</x:v>
      </x:c>
      <x:c r="I25" s="19" t="n">
        <x:v>-595000</x:v>
      </x:c>
      <x:c r="J25" s="19" t="n">
        <x:v>96000</x:v>
      </x:c>
      <x:c r="K25" s="20" t="n">
        <x:v>27</x:v>
      </x:c>
    </x:row>
    <x:row r="26" ht="23" customHeight="1">
      <x:c r="A26" s="2" t="str">
        <x:v>2026-10-16_Night</x:v>
      </x:c>
      <x:c r="B26" s="2" t="str">
        <x:v>下落</x:v>
      </x:c>
      <x:c r="C26" s="19" t="n">
        <x:v>163000</x:v>
      </x:c>
      <x:c r="D26" s="19" t="n">
        <x:v>892000</x:v>
      </x:c>
      <x:c r="E26" s="19" t="n">
        <x:f>C26-D26</x:f>
        <x:v>-729000</x:v>
      </x:c>
      <x:c r="F26" s="19" t="n">
        <x:f>F25+E26</x:f>
        <x:v>-4812000</x:v>
      </x:c>
      <x:c r="G26" s="20" t="n">
        <x:v>36</x:v>
      </x:c>
      <x:c r="H26" s="20" t="n">
        <x:v>142</x:v>
      </x:c>
      <x:c r="I26" s="19" t="n">
        <x:v>-740000</x:v>
      </x:c>
      <x:c r="J26" s="19" t="n">
        <x:v>11000</x:v>
      </x:c>
      <x:c r="K26" s="20" t="n">
        <x:v>29</x:v>
      </x:c>
    </x:row>
    <x:row r="27" ht="23" customHeight="1">
      <x:c r="A27" s="2" t="str">
        <x:v>2026-10-19_Night</x:v>
      </x:c>
      <x:c r="B27" s="2" t="str">
        <x:v>上昇</x:v>
      </x:c>
      <x:c r="C27" s="19" t="n">
        <x:v>233000</x:v>
      </x:c>
      <x:c r="D27" s="19" t="n">
        <x:v>333000</x:v>
      </x:c>
      <x:c r="E27" s="19" t="n">
        <x:f>C27-D27</x:f>
        <x:v>-100000</x:v>
      </x:c>
      <x:c r="F27" s="19" t="n">
        <x:f>F26+E27</x:f>
        <x:v>-4912000</x:v>
      </x:c>
      <x:c r="G27" s="20" t="n">
        <x:v>33</x:v>
      </x:c>
      <x:c r="H27" s="20" t="n">
        <x:v>118</x:v>
      </x:c>
      <x:c r="I27" s="19" t="n">
        <x:v>-115000</x:v>
      </x:c>
      <x:c r="J27" s="19" t="n">
        <x:v>15000</x:v>
      </x:c>
      <x:c r="K27" s="20" t="n">
        <x:v>22</x:v>
      </x:c>
    </x:row>
    <x:row r="28" ht="23" customHeight="1">
      <x:c r="A28" s="2" t="str">
        <x:v>2026-10-20_Night</x:v>
      </x:c>
      <x:c r="B28" s="2" t="str">
        <x:v>上昇</x:v>
      </x:c>
      <x:c r="C28" s="19" t="n">
        <x:v>1087000</x:v>
      </x:c>
      <x:c r="D28" s="19" t="n">
        <x:v>799000</x:v>
      </x:c>
      <x:c r="E28" s="19" t="n">
        <x:f>C28-D28</x:f>
        <x:v>288000</x:v>
      </x:c>
      <x:c r="F28" s="19" t="n">
        <x:f>F27+E28</x:f>
        <x:v>-4624000</x:v>
      </x:c>
      <x:c r="G28" s="20" t="n">
        <x:v>43</x:v>
      </x:c>
      <x:c r="H28" s="20" t="n">
        <x:v>179</x:v>
      </x:c>
      <x:c r="I28" s="19" t="n">
        <x:v>-190000</x:v>
      </x:c>
      <x:c r="J28" s="19" t="n">
        <x:v>478000</x:v>
      </x:c>
      <x:c r="K28" s="20" t="n">
        <x:v>28</x:v>
      </x:c>
    </x:row>
    <x:row r="29" ht="23" customHeight="1">
      <x:c r="A29" s="2" t="str">
        <x:v>2026-10-21_Night</x:v>
      </x:c>
      <x:c r="B29" s="2" t="str">
        <x:v>上昇</x:v>
      </x:c>
      <x:c r="C29" s="19" t="n">
        <x:v>621000</x:v>
      </x:c>
      <x:c r="D29" s="19" t="n">
        <x:v>250000</x:v>
      </x:c>
      <x:c r="E29" s="19" t="n">
        <x:f>C29-D29</x:f>
        <x:v>371000</x:v>
      </x:c>
      <x:c r="F29" s="19" t="n">
        <x:f>F28+E29</x:f>
        <x:v>-4253000</x:v>
      </x:c>
      <x:c r="G29" s="20" t="n">
        <x:v>20</x:v>
      </x:c>
      <x:c r="H29" s="20" t="n">
        <x:v>92</x:v>
      </x:c>
      <x:c r="I29" s="19" t="n">
        <x:v>395000</x:v>
      </x:c>
      <x:c r="J29" s="19" t="n">
        <x:v>-24000</x:v>
      </x:c>
      <x:c r="K29" s="20" t="n">
        <x:v>14</x:v>
      </x:c>
    </x:row>
    <x:row r="30" ht="23" customHeight="1">
      <x:c r="A30" s="2" t="str">
        <x:v>2026-10-22_Night</x:v>
      </x:c>
      <x:c r="B30" s="2" t="str">
        <x:v>下落</x:v>
      </x:c>
      <x:c r="C30" s="19" t="n">
        <x:v>215000</x:v>
      </x:c>
      <x:c r="D30" s="19" t="n">
        <x:v>628000</x:v>
      </x:c>
      <x:c r="E30" s="19" t="n">
        <x:f>C30-D30</x:f>
        <x:v>-413000</x:v>
      </x:c>
      <x:c r="F30" s="19" t="n">
        <x:f>F29+E30</x:f>
        <x:v>-4666000</x:v>
      </x:c>
      <x:c r="G30" s="20" t="n">
        <x:v>31</x:v>
      </x:c>
      <x:c r="H30" s="20" t="n">
        <x:v>135</x:v>
      </x:c>
      <x:c r="I30" s="19" t="n">
        <x:v>-490000</x:v>
      </x:c>
      <x:c r="J30" s="19" t="n">
        <x:v>77000</x:v>
      </x:c>
      <x:c r="K30" s="20" t="n">
        <x:v>23</x:v>
      </x:c>
    </x:row>
    <x:row r="31" ht="23" customHeight="1">
      <x:c r="A31" s="2" t="str">
        <x:v>2026-10-23_Night</x:v>
      </x:c>
      <x:c r="B31" s="2" t="str">
        <x:v>上昇</x:v>
      </x:c>
      <x:c r="C31" s="19" t="n">
        <x:v>232000</x:v>
      </x:c>
      <x:c r="D31" s="19" t="n">
        <x:v>402000</x:v>
      </x:c>
      <x:c r="E31" s="19" t="n">
        <x:f>C31-D31</x:f>
        <x:v>-170000</x:v>
      </x:c>
      <x:c r="F31" s="19" t="n">
        <x:f>F30+E31</x:f>
        <x:v>-4836000</x:v>
      </x:c>
      <x:c r="G31" s="20" t="n">
        <x:v>27</x:v>
      </x:c>
      <x:c r="H31" s="20" t="n">
        <x:v>116</x:v>
      </x:c>
      <x:c r="I31" s="19" t="n">
        <x:v>-185000</x:v>
      </x:c>
      <x:c r="J31" s="19" t="n">
        <x:v>15000</x:v>
      </x:c>
      <x:c r="K31" s="20" t="n">
        <x:v>20</x:v>
      </x:c>
    </x:row>
    <x:row r="32" ht="23" customHeight="1">
      <x:c r="A32" s="24" t="str">
        <x:v>25夜累計</x:v>
      </x:c>
      <x:c r="B32" s="24"/>
      <x:c r="C32" s="25" t="n">
        <x:f>SUM(C7:C31)</x:f>
        <x:v>7051000</x:v>
      </x:c>
      <x:c r="D32" s="25" t="n">
        <x:f>SUM(D7:D31)</x:f>
        <x:v>11887000</x:v>
      </x:c>
      <x:c r="E32" s="25" t="n">
        <x:f>C32-D32</x:f>
        <x:v>-4836000</x:v>
      </x:c>
      <x:c r="F32" s="25" t="n">
        <x:f>F31</x:f>
        <x:v>-4836000</x:v>
      </x:c>
      <x:c r="G32" s="26" t="n">
        <x:f>SUM(G7:G31)</x:f>
        <x:v>630</x:v>
      </x:c>
      <x:c r="H32" s="26" t="n">
        <x:f>SUM(H7:H31)</x:f>
        <x:v>2683</x:v>
      </x:c>
      <x:c r="I32" s="25" t="n">
        <x:f>SUM(I7:I31)</x:f>
        <x:v>-6390000</x:v>
      </x:c>
      <x:c r="J32" s="25" t="n">
        <x:f>SUM(J7:J31)</x:f>
        <x:v>1554000</x:v>
      </x:c>
      <x:c r="K32" s="26" t="n">
        <x:f>SUM(K7:K31)</x:f>
        <x:v>443</x:v>
      </x:c>
    </x:row>
    <x:row r="33" ht="23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</x:row>
  </x:sheetData>
  <x:conditionalFormatting sqref="C7:F32">
    <x:cfRule type="cellIs" dxfId="34" priority="1" operator="lessThan">
      <x:formula>0</x:formula>
    </x:cfRule>
  </x:conditionalFormatting>
  <x:conditionalFormatting sqref="I7:J32">
    <x:cfRule type="cellIs" dxfId="35" priority="2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3e2d52f13ab4664"/>
  </x:tableParts>
</x:worksheet>
</file>

<file path=xl/worksheets/sheet20.xml><?xml version="1.0" encoding="utf-8"?>
<x:worksheet xmlns:x="http://schemas.openxmlformats.org/spreadsheetml/2006/main">
  <x:sheetPr>
    <x:tabColor rgb="FF244A70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8" hidden="0" customWidth="1"/>
    <x:col min="2" max="2" width="14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23" customHeight="1">
      <x:c r="A2" s="4" t="str">
        <x:v>Q02　全夜間の利益・損失・収支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</x:row>
    <x:row r="3" ht="23" customHeight="1">
      <x:c r="A3" s="6" t="str">
        <x:v>日経mini・片方向上限10枚・手数料0円・気配差込み。利益と損失は完結した親取引の収支を分類。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 ht="23" customHeight="1">
      <x:c r="A4" s="6" t="str">
        <x:v>2026/09/21～10/23の既知25夜。前段は米国開始15分前まで、後段は米国開始15分後から。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</x:row>
    <x:row r="5" ht="23" customHeight="1">
      <x:c r="A5" s="6" t="str">
        <x:v>確認維持に加え、順方向への加速を要求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</x:row>
    <x:row r="6" ht="40" customHeight="1">
      <x:c r="A6" s="15" t="str">
        <x:v>セッション</x:v>
      </x:c>
      <x:c r="B6" s="16" t="str">
        <x:v>始終値方向</x:v>
      </x:c>
      <x:c r="C6" s="16" t="str">
        <x:v>利益（円）</x:v>
      </x:c>
      <x:c r="D6" s="16" t="str">
        <x:v>損失（円）</x:v>
      </x:c>
      <x:c r="E6" s="16" t="str">
        <x:v>収支（円）</x:v>
      </x:c>
      <x:c r="F6" s="16" t="str">
        <x:v>累計（円）</x:v>
      </x:c>
      <x:c r="G6" s="16" t="str">
        <x:v>新規件数</x:v>
      </x:c>
      <x:c r="H6" s="16" t="str">
        <x:v>新規合計枚数</x:v>
      </x:c>
      <x:c r="I6" s="16" t="str">
        <x:v>前段収支（円）</x:v>
      </x:c>
      <x:c r="J6" s="16" t="str">
        <x:v>後段収支（円）</x:v>
      </x:c>
      <x:c r="K6" s="17" t="str">
        <x:v>親取引数</x:v>
      </x:c>
    </x:row>
    <x:row r="7" ht="23" customHeight="1">
      <x:c r="A7" s="2" t="str">
        <x:v>2026-09-21_Night</x:v>
      </x:c>
      <x:c r="B7" s="2" t="str">
        <x:v>上昇</x:v>
      </x:c>
      <x:c r="C7" s="19" t="n">
        <x:v>20000</x:v>
      </x:c>
      <x:c r="D7" s="19" t="n">
        <x:v>85000</x:v>
      </x:c>
      <x:c r="E7" s="19" t="n">
        <x:f>C7-D7</x:f>
        <x:v>-65000</x:v>
      </x:c>
      <x:c r="F7" s="19" t="n">
        <x:f>E7</x:f>
        <x:v>-65000</x:v>
      </x:c>
      <x:c r="G7" s="20" t="n">
        <x:v>5</x:v>
      </x:c>
      <x:c r="H7" s="20" t="n">
        <x:v>25</x:v>
      </x:c>
      <x:c r="I7" s="19" t="n">
        <x:v>-20000</x:v>
      </x:c>
      <x:c r="J7" s="19" t="n">
        <x:v>-45000</x:v>
      </x:c>
      <x:c r="K7" s="20" t="n">
        <x:v>4</x:v>
      </x:c>
    </x:row>
    <x:row r="8" ht="23" customHeight="1">
      <x:c r="A8" s="2" t="str">
        <x:v>2026-09-22_Night</x:v>
      </x:c>
      <x:c r="B8" s="2" t="str">
        <x:v>上昇</x:v>
      </x:c>
      <x:c r="C8" s="19" t="n">
        <x:v>284000</x:v>
      </x:c>
      <x:c r="D8" s="19" t="n">
        <x:v>215000</x:v>
      </x:c>
      <x:c r="E8" s="19" t="n">
        <x:f>C8-D8</x:f>
        <x:v>69000</x:v>
      </x:c>
      <x:c r="F8" s="19" t="n">
        <x:f>F7+E8</x:f>
        <x:v>4000</x:v>
      </x:c>
      <x:c r="G8" s="20" t="n">
        <x:v>12</x:v>
      </x:c>
      <x:c r="H8" s="20" t="n">
        <x:v>60</x:v>
      </x:c>
      <x:c r="I8" s="19" t="n">
        <x:v>45000</x:v>
      </x:c>
      <x:c r="J8" s="19" t="n">
        <x:v>24000</x:v>
      </x:c>
      <x:c r="K8" s="20" t="n">
        <x:v>8</x:v>
      </x:c>
    </x:row>
    <x:row r="9" ht="23" customHeight="1">
      <x:c r="A9" s="2" t="str">
        <x:v>2026-09-23_Night</x:v>
      </x:c>
      <x:c r="B9" s="2" t="str">
        <x:v>下落</x:v>
      </x:c>
      <x:c r="C9" s="19" t="n">
        <x:v>9000</x:v>
      </x:c>
      <x:c r="D9" s="19" t="n">
        <x:v>140000</x:v>
      </x:c>
      <x:c r="E9" s="19" t="n">
        <x:f>C9-D9</x:f>
        <x:v>-131000</x:v>
      </x:c>
      <x:c r="F9" s="19" t="n">
        <x:f>F8+E9</x:f>
        <x:v>-127000</x:v>
      </x:c>
      <x:c r="G9" s="20" t="n">
        <x:v>7</x:v>
      </x:c>
      <x:c r="H9" s="20" t="n">
        <x:v>27</x:v>
      </x:c>
      <x:c r="I9" s="19" t="n">
        <x:v>-95000</x:v>
      </x:c>
      <x:c r="J9" s="19" t="n">
        <x:v>-36000</x:v>
      </x:c>
      <x:c r="K9" s="20" t="n">
        <x:v>5</x:v>
      </x:c>
    </x:row>
    <x:row r="10" ht="23" customHeight="1">
      <x:c r="A10" s="2" t="str">
        <x:v>2026-09-24_Night</x:v>
      </x:c>
      <x:c r="B10" s="2" t="str">
        <x:v>下落</x:v>
      </x:c>
      <x:c r="C10" s="19" t="n">
        <x:v>160000</x:v>
      </x:c>
      <x:c r="D10" s="19" t="n">
        <x:v>400000</x:v>
      </x:c>
      <x:c r="E10" s="19" t="n">
        <x:f>C10-D10</x:f>
        <x:v>-240000</x:v>
      </x:c>
      <x:c r="F10" s="19" t="n">
        <x:f>F9+E10</x:f>
        <x:v>-367000</x:v>
      </x:c>
      <x:c r="G10" s="20" t="n">
        <x:v>21</x:v>
      </x:c>
      <x:c r="H10" s="20" t="n">
        <x:v>97</x:v>
      </x:c>
      <x:c r="I10" s="19" t="n">
        <x:v>-260000</x:v>
      </x:c>
      <x:c r="J10" s="19" t="n">
        <x:v>20000</x:v>
      </x:c>
      <x:c r="K10" s="20" t="n">
        <x:v>13</x:v>
      </x:c>
    </x:row>
    <x:row r="11" ht="23" customHeight="1">
      <x:c r="A11" s="2" t="str">
        <x:v>2026-09-25_Night</x:v>
      </x:c>
      <x:c r="B11" s="2" t="str">
        <x:v>上昇</x:v>
      </x:c>
      <x:c r="C11" s="19" t="n">
        <x:v>102000</x:v>
      </x:c>
      <x:c r="D11" s="19" t="n">
        <x:v>236000</x:v>
      </x:c>
      <x:c r="E11" s="19" t="n">
        <x:f>C11-D11</x:f>
        <x:v>-134000</x:v>
      </x:c>
      <x:c r="F11" s="19" t="n">
        <x:f>F10+E11</x:f>
        <x:v>-501000</x:v>
      </x:c>
      <x:c r="G11" s="20" t="n">
        <x:v>13</x:v>
      </x:c>
      <x:c r="H11" s="20" t="n">
        <x:v>61</x:v>
      </x:c>
      <x:c r="I11" s="19" t="n">
        <x:v>-135000</x:v>
      </x:c>
      <x:c r="J11" s="19" t="n">
        <x:v>1000</x:v>
      </x:c>
      <x:c r="K11" s="20" t="n">
        <x:v>9</x:v>
      </x:c>
    </x:row>
    <x:row r="12" ht="23" customHeight="1">
      <x:c r="A12" s="2" t="str">
        <x:v>2026-09-28_Night</x:v>
      </x:c>
      <x:c r="B12" s="2" t="str">
        <x:v>下落</x:v>
      </x:c>
      <x:c r="C12" s="19" t="n">
        <x:v>11000</x:v>
      </x:c>
      <x:c r="D12" s="19" t="n">
        <x:v>643000</x:v>
      </x:c>
      <x:c r="E12" s="19" t="n">
        <x:f>C12-D12</x:f>
        <x:v>-632000</x:v>
      </x:c>
      <x:c r="F12" s="19" t="n">
        <x:f>F11+E12</x:f>
        <x:v>-1133000</x:v>
      </x:c>
      <x:c r="G12" s="20" t="n">
        <x:v>23</x:v>
      </x:c>
      <x:c r="H12" s="20" t="n">
        <x:v>97</x:v>
      </x:c>
      <x:c r="I12" s="19" t="n">
        <x:v>-585000</x:v>
      </x:c>
      <x:c r="J12" s="19" t="n">
        <x:v>-47000</x:v>
      </x:c>
      <x:c r="K12" s="20" t="n">
        <x:v>17</x:v>
      </x:c>
    </x:row>
    <x:row r="13" ht="23" customHeight="1">
      <x:c r="A13" s="2" t="str">
        <x:v>2026-09-29_Night</x:v>
      </x:c>
      <x:c r="B13" s="2" t="str">
        <x:v>上昇</x:v>
      </x:c>
      <x:c r="C13" s="19" t="n">
        <x:v>97000</x:v>
      </x:c>
      <x:c r="D13" s="19" t="n">
        <x:v>302000</x:v>
      </x:c>
      <x:c r="E13" s="19" t="n">
        <x:f>C13-D13</x:f>
        <x:v>-205000</x:v>
      </x:c>
      <x:c r="F13" s="19" t="n">
        <x:f>F12+E13</x:f>
        <x:v>-1338000</x:v>
      </x:c>
      <x:c r="G13" s="20" t="n">
        <x:v>16</x:v>
      </x:c>
      <x:c r="H13" s="20" t="n">
        <x:v>64</x:v>
      </x:c>
      <x:c r="I13" s="19" t="n">
        <x:v>-270000</x:v>
      </x:c>
      <x:c r="J13" s="19" t="n">
        <x:v>65000</x:v>
      </x:c>
      <x:c r="K13" s="20" t="n">
        <x:v>14</x:v>
      </x:c>
    </x:row>
    <x:row r="14" ht="23" customHeight="1">
      <x:c r="A14" s="2" t="str">
        <x:v>2026-09-30_Night</x:v>
      </x:c>
      <x:c r="B14" s="2" t="str">
        <x:v>下落</x:v>
      </x:c>
      <x:c r="C14" s="19" t="n">
        <x:v>158000</x:v>
      </x:c>
      <x:c r="D14" s="19" t="n">
        <x:v>370000</x:v>
      </x:c>
      <x:c r="E14" s="19" t="n">
        <x:f>C14-D14</x:f>
        <x:v>-212000</x:v>
      </x:c>
      <x:c r="F14" s="19" t="n">
        <x:f>F13+E14</x:f>
        <x:v>-1550000</x:v>
      </x:c>
      <x:c r="G14" s="20" t="n">
        <x:v>28</x:v>
      </x:c>
      <x:c r="H14" s="20" t="n">
        <x:v>132</x:v>
      </x:c>
      <x:c r="I14" s="19" t="n">
        <x:v>-255000</x:v>
      </x:c>
      <x:c r="J14" s="19" t="n">
        <x:v>43000</x:v>
      </x:c>
      <x:c r="K14" s="20" t="n">
        <x:v>16</x:v>
      </x:c>
    </x:row>
    <x:row r="15" ht="23" customHeight="1">
      <x:c r="A15" s="2" t="str">
        <x:v>2026-10-01_Night</x:v>
      </x:c>
      <x:c r="B15" s="2" t="str">
        <x:v>上昇</x:v>
      </x:c>
      <x:c r="C15" s="19" t="n">
        <x:v>745000</x:v>
      </x:c>
      <x:c r="D15" s="19" t="n">
        <x:v>431000</x:v>
      </x:c>
      <x:c r="E15" s="19" t="n">
        <x:f>C15-D15</x:f>
        <x:v>314000</x:v>
      </x:c>
      <x:c r="F15" s="19" t="n">
        <x:f>F14+E15</x:f>
        <x:v>-1236000</x:v>
      </x:c>
      <x:c r="G15" s="20" t="n">
        <x:v>36</x:v>
      </x:c>
      <x:c r="H15" s="20" t="n">
        <x:v>139</x:v>
      </x:c>
      <x:c r="I15" s="19" t="n">
        <x:v>205000</x:v>
      </x:c>
      <x:c r="J15" s="19" t="n">
        <x:v>109000</x:v>
      </x:c>
      <x:c r="K15" s="20" t="n">
        <x:v>24</x:v>
      </x:c>
    </x:row>
    <x:row r="16" ht="23" customHeight="1">
      <x:c r="A16" s="2" t="str">
        <x:v>2026-10-02_Night</x:v>
      </x:c>
      <x:c r="B16" s="2" t="str">
        <x:v>上昇</x:v>
      </x:c>
      <x:c r="C16" s="19" t="n">
        <x:v>619000</x:v>
      </x:c>
      <x:c r="D16" s="19" t="n">
        <x:v>768000</x:v>
      </x:c>
      <x:c r="E16" s="19" t="n">
        <x:f>C16-D16</x:f>
        <x:v>-149000</x:v>
      </x:c>
      <x:c r="F16" s="19" t="n">
        <x:f>F15+E16</x:f>
        <x:v>-1385000</x:v>
      </x:c>
      <x:c r="G16" s="20" t="n">
        <x:v>42</x:v>
      </x:c>
      <x:c r="H16" s="20" t="n">
        <x:v>163</x:v>
      </x:c>
      <x:c r="I16" s="19" t="n">
        <x:v>-410000</x:v>
      </x:c>
      <x:c r="J16" s="19" t="n">
        <x:v>261000</x:v>
      </x:c>
      <x:c r="K16" s="20" t="n">
        <x:v>27</x:v>
      </x:c>
    </x:row>
    <x:row r="17" ht="23" customHeight="1">
      <x:c r="A17" s="2" t="str">
        <x:v>2026-10-05_Night</x:v>
      </x:c>
      <x:c r="B17" s="2" t="str">
        <x:v>下落</x:v>
      </x:c>
      <x:c r="C17" s="19" t="n">
        <x:v>263000</x:v>
      </x:c>
      <x:c r="D17" s="19" t="n">
        <x:v>424000</x:v>
      </x:c>
      <x:c r="E17" s="19" t="n">
        <x:f>C17-D17</x:f>
        <x:v>-161000</x:v>
      </x:c>
      <x:c r="F17" s="19" t="n">
        <x:f>F16+E17</x:f>
        <x:v>-1546000</x:v>
      </x:c>
      <x:c r="G17" s="20" t="n">
        <x:v>19</x:v>
      </x:c>
      <x:c r="H17" s="20" t="n">
        <x:v>74</x:v>
      </x:c>
      <x:c r="I17" s="19" t="n">
        <x:v>-195000</x:v>
      </x:c>
      <x:c r="J17" s="19" t="n">
        <x:v>34000</x:v>
      </x:c>
      <x:c r="K17" s="20" t="n">
        <x:v>14</x:v>
      </x:c>
    </x:row>
    <x:row r="18" ht="23" customHeight="1">
      <x:c r="A18" s="2" t="str">
        <x:v>2026-10-06_Night</x:v>
      </x:c>
      <x:c r="B18" s="2" t="str">
        <x:v>下落</x:v>
      </x:c>
      <x:c r="C18" s="19" t="n">
        <x:v>153000</x:v>
      </x:c>
      <x:c r="D18" s="19" t="n">
        <x:v>398000</x:v>
      </x:c>
      <x:c r="E18" s="19" t="n">
        <x:f>C18-D18</x:f>
        <x:v>-245000</x:v>
      </x:c>
      <x:c r="F18" s="19" t="n">
        <x:f>F17+E18</x:f>
        <x:v>-1791000</x:v>
      </x:c>
      <x:c r="G18" s="20" t="n">
        <x:v>18</x:v>
      </x:c>
      <x:c r="H18" s="20" t="n">
        <x:v>78</x:v>
      </x:c>
      <x:c r="I18" s="19" t="n">
        <x:v>-235000</x:v>
      </x:c>
      <x:c r="J18" s="19" t="n">
        <x:v>-10000</x:v>
      </x:c>
      <x:c r="K18" s="20" t="n">
        <x:v>13</x:v>
      </x:c>
    </x:row>
    <x:row r="19" ht="23" customHeight="1">
      <x:c r="A19" s="2" t="str">
        <x:v>2026-10-07_Night</x:v>
      </x:c>
      <x:c r="B19" s="2" t="str">
        <x:v>下落</x:v>
      </x:c>
      <x:c r="C19" s="19" t="n">
        <x:v>165000</x:v>
      </x:c>
      <x:c r="D19" s="19" t="n">
        <x:v>567000</x:v>
      </x:c>
      <x:c r="E19" s="19" t="n">
        <x:f>C19-D19</x:f>
        <x:v>-402000</x:v>
      </x:c>
      <x:c r="F19" s="19" t="n">
        <x:f>F18+E19</x:f>
        <x:v>-2193000</x:v>
      </x:c>
      <x:c r="G19" s="20" t="n">
        <x:v>24</x:v>
      </x:c>
      <x:c r="H19" s="20" t="n">
        <x:v>112</x:v>
      </x:c>
      <x:c r="I19" s="19" t="n">
        <x:v>-380000</x:v>
      </x:c>
      <x:c r="J19" s="19" t="n">
        <x:v>-22000</x:v>
      </x:c>
      <x:c r="K19" s="20" t="n">
        <x:v>19</x:v>
      </x:c>
    </x:row>
    <x:row r="20" ht="23" customHeight="1">
      <x:c r="A20" s="2" t="str">
        <x:v>2026-10-08_Night</x:v>
      </x:c>
      <x:c r="B20" s="2" t="str">
        <x:v>下落</x:v>
      </x:c>
      <x:c r="C20" s="19" t="n">
        <x:v>495000</x:v>
      </x:c>
      <x:c r="D20" s="19" t="n">
        <x:v>625000</x:v>
      </x:c>
      <x:c r="E20" s="19" t="n">
        <x:f>C20-D20</x:f>
        <x:v>-130000</x:v>
      </x:c>
      <x:c r="F20" s="19" t="n">
        <x:f>F19+E20</x:f>
        <x:v>-2323000</x:v>
      </x:c>
      <x:c r="G20" s="20" t="n">
        <x:v>40</x:v>
      </x:c>
      <x:c r="H20" s="20" t="n">
        <x:v>153</x:v>
      </x:c>
      <x:c r="I20" s="19" t="n">
        <x:v>-440000</x:v>
      </x:c>
      <x:c r="J20" s="19" t="n">
        <x:v>310000</x:v>
      </x:c>
      <x:c r="K20" s="20" t="n">
        <x:v>27</x:v>
      </x:c>
    </x:row>
    <x:row r="21" ht="23" customHeight="1">
      <x:c r="A21" s="2" t="str">
        <x:v>2026-10-09_Night</x:v>
      </x:c>
      <x:c r="B21" s="2" t="str">
        <x:v>下落</x:v>
      </x:c>
      <x:c r="C21" s="19" t="n">
        <x:v>274000</x:v>
      </x:c>
      <x:c r="D21" s="19" t="n">
        <x:v>115000</x:v>
      </x:c>
      <x:c r="E21" s="19" t="n">
        <x:f>C21-D21</x:f>
        <x:v>159000</x:v>
      </x:c>
      <x:c r="F21" s="19" t="n">
        <x:f>F20+E21</x:f>
        <x:v>-2164000</x:v>
      </x:c>
      <x:c r="G21" s="20" t="n">
        <x:v>14</x:v>
      </x:c>
      <x:c r="H21" s="20" t="n">
        <x:v>70</x:v>
      </x:c>
      <x:c r="I21" s="19" t="n">
        <x:v>145000</x:v>
      </x:c>
      <x:c r="J21" s="19" t="n">
        <x:v>14000</x:v>
      </x:c>
      <x:c r="K21" s="20" t="n">
        <x:v>9</x:v>
      </x:c>
    </x:row>
    <x:row r="22" ht="23" customHeight="1">
      <x:c r="A22" s="2" t="str">
        <x:v>2026-10-12_Night</x:v>
      </x:c>
      <x:c r="B22" s="2" t="str">
        <x:v>下落</x:v>
      </x:c>
      <x:c r="C22" s="19" t="n">
        <x:v>97000</x:v>
      </x:c>
      <x:c r="D22" s="19" t="n">
        <x:v>135000</x:v>
      </x:c>
      <x:c r="E22" s="19" t="n">
        <x:f>C22-D22</x:f>
        <x:v>-38000</x:v>
      </x:c>
      <x:c r="F22" s="19" t="n">
        <x:f>F21+E22</x:f>
        <x:v>-2202000</x:v>
      </x:c>
      <x:c r="G22" s="20" t="n">
        <x:v>6</x:v>
      </x:c>
      <x:c r="H22" s="20" t="n">
        <x:v>30</x:v>
      </x:c>
      <x:c r="I22" s="19" t="n">
        <x:v>-120000</x:v>
      </x:c>
      <x:c r="J22" s="19" t="n">
        <x:v>82000</x:v>
      </x:c>
      <x:c r="K22" s="20" t="n">
        <x:v>5</x:v>
      </x:c>
    </x:row>
    <x:row r="23" ht="23" customHeight="1">
      <x:c r="A23" s="2" t="str">
        <x:v>2026-10-13_Night</x:v>
      </x:c>
      <x:c r="B23" s="2" t="str">
        <x:v>上昇</x:v>
      </x:c>
      <x:c r="C23" s="19" t="n">
        <x:v>30000</x:v>
      </x:c>
      <x:c r="D23" s="19" t="n">
        <x:v>223000</x:v>
      </x:c>
      <x:c r="E23" s="19" t="n">
        <x:f>C23-D23</x:f>
        <x:v>-193000</x:v>
      </x:c>
      <x:c r="F23" s="19" t="n">
        <x:f>F22+E23</x:f>
        <x:v>-2395000</x:v>
      </x:c>
      <x:c r="G23" s="20" t="n">
        <x:v>12</x:v>
      </x:c>
      <x:c r="H23" s="20" t="n">
        <x:v>56</x:v>
      </x:c>
      <x:c r="I23" s="19" t="n">
        <x:v>-140000</x:v>
      </x:c>
      <x:c r="J23" s="19" t="n">
        <x:v>-53000</x:v>
      </x:c>
      <x:c r="K23" s="20" t="n">
        <x:v>9</x:v>
      </x:c>
    </x:row>
    <x:row r="24" ht="23" customHeight="1">
      <x:c r="A24" s="2" t="str">
        <x:v>2026-10-14_Night</x:v>
      </x:c>
      <x:c r="B24" s="2" t="str">
        <x:v>下落</x:v>
      </x:c>
      <x:c r="C24" s="19" t="n">
        <x:v>212000</x:v>
      </x:c>
      <x:c r="D24" s="19" t="n">
        <x:v>636000</x:v>
      </x:c>
      <x:c r="E24" s="19" t="n">
        <x:f>C24-D24</x:f>
        <x:v>-424000</x:v>
      </x:c>
      <x:c r="F24" s="19" t="n">
        <x:f>F23+E24</x:f>
        <x:v>-2819000</x:v>
      </x:c>
      <x:c r="G24" s="20" t="n">
        <x:v>23</x:v>
      </x:c>
      <x:c r="H24" s="20" t="n">
        <x:v>104</x:v>
      </x:c>
      <x:c r="I24" s="19" t="n">
        <x:v>-560000</x:v>
      </x:c>
      <x:c r="J24" s="19" t="n">
        <x:v>136000</x:v>
      </x:c>
      <x:c r="K24" s="20" t="n">
        <x:v>16</x:v>
      </x:c>
    </x:row>
    <x:row r="25" ht="23" customHeight="1">
      <x:c r="A25" s="2" t="str">
        <x:v>2026-10-15_Night</x:v>
      </x:c>
      <x:c r="B25" s="2" t="str">
        <x:v>上昇</x:v>
      </x:c>
      <x:c r="C25" s="19" t="n">
        <x:v>286000</x:v>
      </x:c>
      <x:c r="D25" s="19" t="n">
        <x:v>875000</x:v>
      </x:c>
      <x:c r="E25" s="19" t="n">
        <x:f>C25-D25</x:f>
        <x:v>-589000</x:v>
      </x:c>
      <x:c r="F25" s="19" t="n">
        <x:f>F24+E25</x:f>
        <x:v>-3408000</x:v>
      </x:c>
      <x:c r="G25" s="20" t="n">
        <x:v>34</x:v>
      </x:c>
      <x:c r="H25" s="20" t="n">
        <x:v>124</x:v>
      </x:c>
      <x:c r="I25" s="19" t="n">
        <x:v>-685000</x:v>
      </x:c>
      <x:c r="J25" s="19" t="n">
        <x:v>96000</x:v>
      </x:c>
      <x:c r="K25" s="20" t="n">
        <x:v>25</x:v>
      </x:c>
    </x:row>
    <x:row r="26" ht="23" customHeight="1">
      <x:c r="A26" s="2" t="str">
        <x:v>2026-10-16_Night</x:v>
      </x:c>
      <x:c r="B26" s="2" t="str">
        <x:v>下落</x:v>
      </x:c>
      <x:c r="C26" s="19" t="n">
        <x:v>153000</x:v>
      </x:c>
      <x:c r="D26" s="19" t="n">
        <x:v>782000</x:v>
      </x:c>
      <x:c r="E26" s="19" t="n">
        <x:f>C26-D26</x:f>
        <x:v>-629000</x:v>
      </x:c>
      <x:c r="F26" s="19" t="n">
        <x:f>F25+E26</x:f>
        <x:v>-4037000</x:v>
      </x:c>
      <x:c r="G26" s="20" t="n">
        <x:v>32</x:v>
      </x:c>
      <x:c r="H26" s="20" t="n">
        <x:v>122</x:v>
      </x:c>
      <x:c r="I26" s="19" t="n">
        <x:v>-640000</x:v>
      </x:c>
      <x:c r="J26" s="19" t="n">
        <x:v>11000</x:v>
      </x:c>
      <x:c r="K26" s="20" t="n">
        <x:v>26</x:v>
      </x:c>
    </x:row>
    <x:row r="27" ht="23" customHeight="1">
      <x:c r="A27" s="2" t="str">
        <x:v>2026-10-19_Night</x:v>
      </x:c>
      <x:c r="B27" s="2" t="str">
        <x:v>上昇</x:v>
      </x:c>
      <x:c r="C27" s="19" t="n">
        <x:v>233000</x:v>
      </x:c>
      <x:c r="D27" s="19" t="n">
        <x:v>308000</x:v>
      </x:c>
      <x:c r="E27" s="19" t="n">
        <x:f>C27-D27</x:f>
        <x:v>-75000</x:v>
      </x:c>
      <x:c r="F27" s="19" t="n">
        <x:f>F26+E27</x:f>
        <x:v>-4112000</x:v>
      </x:c>
      <x:c r="G27" s="20" t="n">
        <x:v>32</x:v>
      </x:c>
      <x:c r="H27" s="20" t="n">
        <x:v>113</x:v>
      </x:c>
      <x:c r="I27" s="19" t="n">
        <x:v>-90000</x:v>
      </x:c>
      <x:c r="J27" s="19" t="n">
        <x:v>15000</x:v>
      </x:c>
      <x:c r="K27" s="20" t="n">
        <x:v>21</x:v>
      </x:c>
    </x:row>
    <x:row r="28" ht="23" customHeight="1">
      <x:c r="A28" s="2" t="str">
        <x:v>2026-10-20_Night</x:v>
      </x:c>
      <x:c r="B28" s="2" t="str">
        <x:v>上昇</x:v>
      </x:c>
      <x:c r="C28" s="19" t="n">
        <x:v>1012000</x:v>
      </x:c>
      <x:c r="D28" s="19" t="n">
        <x:v>779000</x:v>
      </x:c>
      <x:c r="E28" s="19" t="n">
        <x:f>C28-D28</x:f>
        <x:v>233000</x:v>
      </x:c>
      <x:c r="F28" s="19" t="n">
        <x:f>F27+E28</x:f>
        <x:v>-3879000</x:v>
      </x:c>
      <x:c r="G28" s="20" t="n">
        <x:v>41</x:v>
      </x:c>
      <x:c r="H28" s="20" t="n">
        <x:v>169</x:v>
      </x:c>
      <x:c r="I28" s="19" t="n">
        <x:v>-245000</x:v>
      </x:c>
      <x:c r="J28" s="19" t="n">
        <x:v>478000</x:v>
      </x:c>
      <x:c r="K28" s="20" t="n">
        <x:v>26</x:v>
      </x:c>
    </x:row>
    <x:row r="29" ht="23" customHeight="1">
      <x:c r="A29" s="2" t="str">
        <x:v>2026-10-21_Night</x:v>
      </x:c>
      <x:c r="B29" s="2" t="str">
        <x:v>上昇</x:v>
      </x:c>
      <x:c r="C29" s="19" t="n">
        <x:v>606000</x:v>
      </x:c>
      <x:c r="D29" s="19" t="n">
        <x:v>235000</x:v>
      </x:c>
      <x:c r="E29" s="19" t="n">
        <x:f>C29-D29</x:f>
        <x:v>371000</x:v>
      </x:c>
      <x:c r="F29" s="19" t="n">
        <x:f>F28+E29</x:f>
        <x:v>-3508000</x:v>
      </x:c>
      <x:c r="G29" s="20" t="n">
        <x:v>19</x:v>
      </x:c>
      <x:c r="H29" s="20" t="n">
        <x:v>87</x:v>
      </x:c>
      <x:c r="I29" s="19" t="n">
        <x:v>395000</x:v>
      </x:c>
      <x:c r="J29" s="19" t="n">
        <x:v>-24000</x:v>
      </x:c>
      <x:c r="K29" s="20" t="n">
        <x:v>13</x:v>
      </x:c>
    </x:row>
    <x:row r="30" ht="23" customHeight="1">
      <x:c r="A30" s="2" t="str">
        <x:v>2026-10-22_Night</x:v>
      </x:c>
      <x:c r="B30" s="2" t="str">
        <x:v>下落</x:v>
      </x:c>
      <x:c r="C30" s="19" t="n">
        <x:v>195000</x:v>
      </x:c>
      <x:c r="D30" s="19" t="n">
        <x:v>708000</x:v>
      </x:c>
      <x:c r="E30" s="19" t="n">
        <x:f>C30-D30</x:f>
        <x:v>-513000</x:v>
      </x:c>
      <x:c r="F30" s="19" t="n">
        <x:f>F29+E30</x:f>
        <x:v>-4021000</x:v>
      </x:c>
      <x:c r="G30" s="20" t="n">
        <x:v>30</x:v>
      </x:c>
      <x:c r="H30" s="20" t="n">
        <x:v>130</x:v>
      </x:c>
      <x:c r="I30" s="19" t="n">
        <x:v>-590000</x:v>
      </x:c>
      <x:c r="J30" s="19" t="n">
        <x:v>77000</x:v>
      </x:c>
      <x:c r="K30" s="20" t="n">
        <x:v>21</x:v>
      </x:c>
    </x:row>
    <x:row r="31" ht="23" customHeight="1">
      <x:c r="A31" s="2" t="str">
        <x:v>2026-10-23_Night</x:v>
      </x:c>
      <x:c r="B31" s="2" t="str">
        <x:v>上昇</x:v>
      </x:c>
      <x:c r="C31" s="19" t="n">
        <x:v>232000</x:v>
      </x:c>
      <x:c r="D31" s="19" t="n">
        <x:v>397000</x:v>
      </x:c>
      <x:c r="E31" s="19" t="n">
        <x:f>C31-D31</x:f>
        <x:v>-165000</x:v>
      </x:c>
      <x:c r="F31" s="19" t="n">
        <x:f>F30+E31</x:f>
        <x:v>-4186000</x:v>
      </x:c>
      <x:c r="G31" s="20" t="n">
        <x:v>25</x:v>
      </x:c>
      <x:c r="H31" s="20" t="n">
        <x:v>106</x:v>
      </x:c>
      <x:c r="I31" s="19" t="n">
        <x:v>-180000</x:v>
      </x:c>
      <x:c r="J31" s="19" t="n">
        <x:v>15000</x:v>
      </x:c>
      <x:c r="K31" s="20" t="n">
        <x:v>18</x:v>
      </x:c>
    </x:row>
    <x:row r="32" ht="23" customHeight="1">
      <x:c r="A32" s="24" t="str">
        <x:v>25夜累計</x:v>
      </x:c>
      <x:c r="B32" s="24"/>
      <x:c r="C32" s="25" t="n">
        <x:f>SUM(C7:C31)</x:f>
        <x:v>6611000</x:v>
      </x:c>
      <x:c r="D32" s="25" t="n">
        <x:f>SUM(D7:D31)</x:f>
        <x:v>10797000</x:v>
      </x:c>
      <x:c r="E32" s="25" t="n">
        <x:f>C32-D32</x:f>
        <x:v>-4186000</x:v>
      </x:c>
      <x:c r="F32" s="25" t="n">
        <x:f>F31</x:f>
        <x:v>-4186000</x:v>
      </x:c>
      <x:c r="G32" s="26" t="n">
        <x:f>SUM(G7:G31)</x:f>
        <x:v>572</x:v>
      </x:c>
      <x:c r="H32" s="26" t="n">
        <x:f>SUM(H7:H31)</x:f>
        <x:v>2393</x:v>
      </x:c>
      <x:c r="I32" s="25" t="n">
        <x:f>SUM(I7:I31)</x:f>
        <x:v>-5740000</x:v>
      </x:c>
      <x:c r="J32" s="25" t="n">
        <x:f>SUM(J7:J31)</x:f>
        <x:v>1554000</x:v>
      </x:c>
      <x:c r="K32" s="26" t="n">
        <x:f>SUM(K7:K31)</x:f>
        <x:v>399</x:v>
      </x:c>
    </x:row>
    <x:row r="33" ht="23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</x:row>
  </x:sheetData>
  <x:conditionalFormatting sqref="C7:F32">
    <x:cfRule type="cellIs" dxfId="36" priority="1" operator="lessThan">
      <x:formula>0</x:formula>
    </x:cfRule>
  </x:conditionalFormatting>
  <x:conditionalFormatting sqref="I7:J32">
    <x:cfRule type="cellIs" dxfId="37" priority="2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de525f4abe54c38"/>
  </x:tableParts>
</x:worksheet>
</file>

<file path=xl/worksheets/sheet21.xml><?xml version="1.0" encoding="utf-8"?>
<x:worksheet xmlns:x="http://schemas.openxmlformats.org/spreadsheetml/2006/main">
  <x:sheetPr>
    <x:tabColor rgb="FF244A70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8" hidden="0" customWidth="1"/>
    <x:col min="2" max="2" width="14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23" customHeight="1">
      <x:c r="A2" s="4" t="str">
        <x:v>Q03　全夜間の利益・損失・収支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</x:row>
    <x:row r="3" ht="23" customHeight="1">
      <x:c r="A3" s="6" t="str">
        <x:v>日経mini・片方向上限10枚・手数料0円・気配差込み。利益と損失は完結した親取引の収支を分類。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 ht="23" customHeight="1">
      <x:c r="A4" s="6" t="str">
        <x:v>2026/09/21～10/23の既知25夜。前段は米国開始15分前まで、後段は米国開始15分後から。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</x:row>
    <x:row r="5" ht="23" customHeight="1">
      <x:c r="A5" s="6" t="str">
        <x:v>確認維持、3本と10本の方向一致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</x:row>
    <x:row r="6" ht="40" customHeight="1">
      <x:c r="A6" s="15" t="str">
        <x:v>セッション</x:v>
      </x:c>
      <x:c r="B6" s="16" t="str">
        <x:v>始終値方向</x:v>
      </x:c>
      <x:c r="C6" s="16" t="str">
        <x:v>利益（円）</x:v>
      </x:c>
      <x:c r="D6" s="16" t="str">
        <x:v>損失（円）</x:v>
      </x:c>
      <x:c r="E6" s="16" t="str">
        <x:v>収支（円）</x:v>
      </x:c>
      <x:c r="F6" s="16" t="str">
        <x:v>累計（円）</x:v>
      </x:c>
      <x:c r="G6" s="16" t="str">
        <x:v>新規件数</x:v>
      </x:c>
      <x:c r="H6" s="16" t="str">
        <x:v>新規合計枚数</x:v>
      </x:c>
      <x:c r="I6" s="16" t="str">
        <x:v>前段収支（円）</x:v>
      </x:c>
      <x:c r="J6" s="16" t="str">
        <x:v>後段収支（円）</x:v>
      </x:c>
      <x:c r="K6" s="17" t="str">
        <x:v>親取引数</x:v>
      </x:c>
    </x:row>
    <x:row r="7" ht="23" customHeight="1">
      <x:c r="A7" s="2" t="str">
        <x:v>2026-09-21_Night</x:v>
      </x:c>
      <x:c r="B7" s="2" t="str">
        <x:v>上昇</x:v>
      </x:c>
      <x:c r="C7" s="19" t="n">
        <x:v>0</x:v>
      </x:c>
      <x:c r="D7" s="19" t="n">
        <x:v>70000</x:v>
      </x:c>
      <x:c r="E7" s="19" t="n">
        <x:f>C7-D7</x:f>
        <x:v>-70000</x:v>
      </x:c>
      <x:c r="F7" s="19" t="n">
        <x:f>E7</x:f>
        <x:v>-70000</x:v>
      </x:c>
      <x:c r="G7" s="20" t="n">
        <x:v>4</x:v>
      </x:c>
      <x:c r="H7" s="20" t="n">
        <x:v>20</x:v>
      </x:c>
      <x:c r="I7" s="19" t="n">
        <x:v>-25000</x:v>
      </x:c>
      <x:c r="J7" s="19" t="n">
        <x:v>-45000</x:v>
      </x:c>
      <x:c r="K7" s="20" t="n">
        <x:v>3</x:v>
      </x:c>
    </x:row>
    <x:row r="8" ht="23" customHeight="1">
      <x:c r="A8" s="2" t="str">
        <x:v>2026-09-22_Night</x:v>
      </x:c>
      <x:c r="B8" s="2" t="str">
        <x:v>上昇</x:v>
      </x:c>
      <x:c r="C8" s="19" t="n">
        <x:v>309000</x:v>
      </x:c>
      <x:c r="D8" s="19" t="n">
        <x:v>260000</x:v>
      </x:c>
      <x:c r="E8" s="19" t="n">
        <x:f>C8-D8</x:f>
        <x:v>49000</x:v>
      </x:c>
      <x:c r="F8" s="19" t="n">
        <x:f>F7+E8</x:f>
        <x:v>-21000</x:v>
      </x:c>
      <x:c r="G8" s="20" t="n">
        <x:v>14</x:v>
      </x:c>
      <x:c r="H8" s="20" t="n">
        <x:v>70</x:v>
      </x:c>
      <x:c r="I8" s="19" t="n">
        <x:v>25000</x:v>
      </x:c>
      <x:c r="J8" s="19" t="n">
        <x:v>24000</x:v>
      </x:c>
      <x:c r="K8" s="20" t="n">
        <x:v>12</x:v>
      </x:c>
    </x:row>
    <x:row r="9" ht="23" customHeight="1">
      <x:c r="A9" s="2" t="str">
        <x:v>2026-09-23_Night</x:v>
      </x:c>
      <x:c r="B9" s="2" t="str">
        <x:v>下落</x:v>
      </x:c>
      <x:c r="C9" s="19" t="n">
        <x:v>154000</x:v>
      </x:c>
      <x:c r="D9" s="19" t="n">
        <x:v>190000</x:v>
      </x:c>
      <x:c r="E9" s="19" t="n">
        <x:f>C9-D9</x:f>
        <x:v>-36000</x:v>
      </x:c>
      <x:c r="F9" s="19" t="n">
        <x:f>F8+E9</x:f>
        <x:v>-57000</x:v>
      </x:c>
      <x:c r="G9" s="20" t="n">
        <x:v>8</x:v>
      </x:c>
      <x:c r="H9" s="20" t="n">
        <x:v>32</x:v>
      </x:c>
      <x:c r="I9" s="19" t="n">
        <x:v>0</x:v>
      </x:c>
      <x:c r="J9" s="19" t="n">
        <x:v>-36000</x:v>
      </x:c>
      <x:c r="K9" s="20" t="n">
        <x:v>6</x:v>
      </x:c>
    </x:row>
    <x:row r="10" ht="23" customHeight="1">
      <x:c r="A10" s="2" t="str">
        <x:v>2026-09-24_Night</x:v>
      </x:c>
      <x:c r="B10" s="2" t="str">
        <x:v>下落</x:v>
      </x:c>
      <x:c r="C10" s="19" t="n">
        <x:v>260000</x:v>
      </x:c>
      <x:c r="D10" s="19" t="n">
        <x:v>475000</x:v>
      </x:c>
      <x:c r="E10" s="19" t="n">
        <x:f>C10-D10</x:f>
        <x:v>-215000</x:v>
      </x:c>
      <x:c r="F10" s="19" t="n">
        <x:f>F9+E10</x:f>
        <x:v>-272000</x:v>
      </x:c>
      <x:c r="G10" s="20" t="n">
        <x:v>25</x:v>
      </x:c>
      <x:c r="H10" s="20" t="n">
        <x:v>117</x:v>
      </x:c>
      <x:c r="I10" s="19" t="n">
        <x:v>-235000</x:v>
      </x:c>
      <x:c r="J10" s="19" t="n">
        <x:v>20000</x:v>
      </x:c>
      <x:c r="K10" s="20" t="n">
        <x:v>18</x:v>
      </x:c>
    </x:row>
    <x:row r="11" ht="23" customHeight="1">
      <x:c r="A11" s="2" t="str">
        <x:v>2026-09-25_Night</x:v>
      </x:c>
      <x:c r="B11" s="2" t="str">
        <x:v>上昇</x:v>
      </x:c>
      <x:c r="C11" s="19" t="n">
        <x:v>107000</x:v>
      </x:c>
      <x:c r="D11" s="19" t="n">
        <x:v>276000</x:v>
      </x:c>
      <x:c r="E11" s="19" t="n">
        <x:f>C11-D11</x:f>
        <x:v>-169000</x:v>
      </x:c>
      <x:c r="F11" s="19" t="n">
        <x:f>F10+E11</x:f>
        <x:v>-441000</x:v>
      </x:c>
      <x:c r="G11" s="20" t="n">
        <x:v>14</x:v>
      </x:c>
      <x:c r="H11" s="20" t="n">
        <x:v>66</x:v>
      </x:c>
      <x:c r="I11" s="19" t="n">
        <x:v>-170000</x:v>
      </x:c>
      <x:c r="J11" s="19" t="n">
        <x:v>1000</x:v>
      </x:c>
      <x:c r="K11" s="20" t="n">
        <x:v>10</x:v>
      </x:c>
    </x:row>
    <x:row r="12" ht="23" customHeight="1">
      <x:c r="A12" s="2" t="str">
        <x:v>2026-09-28_Night</x:v>
      </x:c>
      <x:c r="B12" s="2" t="str">
        <x:v>下落</x:v>
      </x:c>
      <x:c r="C12" s="19" t="n">
        <x:v>36000</x:v>
      </x:c>
      <x:c r="D12" s="19" t="n">
        <x:v>713000</x:v>
      </x:c>
      <x:c r="E12" s="19" t="n">
        <x:f>C12-D12</x:f>
        <x:v>-677000</x:v>
      </x:c>
      <x:c r="F12" s="19" t="n">
        <x:f>F11+E12</x:f>
        <x:v>-1118000</x:v>
      </x:c>
      <x:c r="G12" s="20" t="n">
        <x:v>29</x:v>
      </x:c>
      <x:c r="H12" s="20" t="n">
        <x:v>127</x:v>
      </x:c>
      <x:c r="I12" s="19" t="n">
        <x:v>-630000</x:v>
      </x:c>
      <x:c r="J12" s="19" t="n">
        <x:v>-47000</x:v>
      </x:c>
      <x:c r="K12" s="20" t="n">
        <x:v>21</x:v>
      </x:c>
    </x:row>
    <x:row r="13" ht="23" customHeight="1">
      <x:c r="A13" s="2" t="str">
        <x:v>2026-09-29_Night</x:v>
      </x:c>
      <x:c r="B13" s="2" t="str">
        <x:v>上昇</x:v>
      </x:c>
      <x:c r="C13" s="19" t="n">
        <x:v>87000</x:v>
      </x:c>
      <x:c r="D13" s="19" t="n">
        <x:v>467000</x:v>
      </x:c>
      <x:c r="E13" s="19" t="n">
        <x:f>C13-D13</x:f>
        <x:v>-380000</x:v>
      </x:c>
      <x:c r="F13" s="19" t="n">
        <x:f>F12+E13</x:f>
        <x:v>-1498000</x:v>
      </x:c>
      <x:c r="G13" s="20" t="n">
        <x:v>19</x:v>
      </x:c>
      <x:c r="H13" s="20" t="n">
        <x:v>79</x:v>
      </x:c>
      <x:c r="I13" s="19" t="n">
        <x:v>-445000</x:v>
      </x:c>
      <x:c r="J13" s="19" t="n">
        <x:v>65000</x:v>
      </x:c>
      <x:c r="K13" s="20" t="n">
        <x:v>16</x:v>
      </x:c>
    </x:row>
    <x:row r="14" ht="23" customHeight="1">
      <x:c r="A14" s="2" t="str">
        <x:v>2026-09-30_Night</x:v>
      </x:c>
      <x:c r="B14" s="2" t="str">
        <x:v>下落</x:v>
      </x:c>
      <x:c r="C14" s="19" t="n">
        <x:v>143000</x:v>
      </x:c>
      <x:c r="D14" s="19" t="n">
        <x:v>540000</x:v>
      </x:c>
      <x:c r="E14" s="19" t="n">
        <x:f>C14-D14</x:f>
        <x:v>-397000</x:v>
      </x:c>
      <x:c r="F14" s="19" t="n">
        <x:f>F13+E14</x:f>
        <x:v>-1895000</x:v>
      </x:c>
      <x:c r="G14" s="20" t="n">
        <x:v>33</x:v>
      </x:c>
      <x:c r="H14" s="20" t="n">
        <x:v>157</x:v>
      </x:c>
      <x:c r="I14" s="19" t="n">
        <x:v>-440000</x:v>
      </x:c>
      <x:c r="J14" s="19" t="n">
        <x:v>43000</x:v>
      </x:c>
      <x:c r="K14" s="20" t="n">
        <x:v>21</x:v>
      </x:c>
    </x:row>
    <x:row r="15" ht="23" customHeight="1">
      <x:c r="A15" s="2" t="str">
        <x:v>2026-10-01_Night</x:v>
      </x:c>
      <x:c r="B15" s="2" t="str">
        <x:v>上昇</x:v>
      </x:c>
      <x:c r="C15" s="19" t="n">
        <x:v>840000</x:v>
      </x:c>
      <x:c r="D15" s="19" t="n">
        <x:v>516000</x:v>
      </x:c>
      <x:c r="E15" s="19" t="n">
        <x:f>C15-D15</x:f>
        <x:v>324000</x:v>
      </x:c>
      <x:c r="F15" s="19" t="n">
        <x:f>F14+E15</x:f>
        <x:v>-1571000</x:v>
      </x:c>
      <x:c r="G15" s="20" t="n">
        <x:v>38</x:v>
      </x:c>
      <x:c r="H15" s="20" t="n">
        <x:v>149</x:v>
      </x:c>
      <x:c r="I15" s="19" t="n">
        <x:v>215000</x:v>
      </x:c>
      <x:c r="J15" s="19" t="n">
        <x:v>109000</x:v>
      </x:c>
      <x:c r="K15" s="20" t="n">
        <x:v>25</x:v>
      </x:c>
    </x:row>
    <x:row r="16" ht="23" customHeight="1">
      <x:c r="A16" s="2" t="str">
        <x:v>2026-10-02_Night</x:v>
      </x:c>
      <x:c r="B16" s="2" t="str">
        <x:v>上昇</x:v>
      </x:c>
      <x:c r="C16" s="19" t="n">
        <x:v>589000</x:v>
      </x:c>
      <x:c r="D16" s="19" t="n">
        <x:v>918000</x:v>
      </x:c>
      <x:c r="E16" s="19" t="n">
        <x:f>C16-D16</x:f>
        <x:v>-329000</x:v>
      </x:c>
      <x:c r="F16" s="19" t="n">
        <x:f>F15+E16</x:f>
        <x:v>-1900000</x:v>
      </x:c>
      <x:c r="G16" s="20" t="n">
        <x:v>48</x:v>
      </x:c>
      <x:c r="H16" s="20" t="n">
        <x:v>193</x:v>
      </x:c>
      <x:c r="I16" s="19" t="n">
        <x:v>-590000</x:v>
      </x:c>
      <x:c r="J16" s="19" t="n">
        <x:v>261000</x:v>
      </x:c>
      <x:c r="K16" s="20" t="n">
        <x:v>31</x:v>
      </x:c>
    </x:row>
    <x:row r="17" ht="23" customHeight="1">
      <x:c r="A17" s="2" t="str">
        <x:v>2026-10-05_Night</x:v>
      </x:c>
      <x:c r="B17" s="2" t="str">
        <x:v>下落</x:v>
      </x:c>
      <x:c r="C17" s="19" t="n">
        <x:v>308000</x:v>
      </x:c>
      <x:c r="D17" s="19" t="n">
        <x:v>674000</x:v>
      </x:c>
      <x:c r="E17" s="19" t="n">
        <x:f>C17-D17</x:f>
        <x:v>-366000</x:v>
      </x:c>
      <x:c r="F17" s="19" t="n">
        <x:f>F16+E17</x:f>
        <x:v>-2266000</x:v>
      </x:c>
      <x:c r="G17" s="20" t="n">
        <x:v>27</x:v>
      </x:c>
      <x:c r="H17" s="20" t="n">
        <x:v>114</x:v>
      </x:c>
      <x:c r="I17" s="19" t="n">
        <x:v>-400000</x:v>
      </x:c>
      <x:c r="J17" s="19" t="n">
        <x:v>34000</x:v>
      </x:c>
      <x:c r="K17" s="20" t="n">
        <x:v>21</x:v>
      </x:c>
    </x:row>
    <x:row r="18" ht="23" customHeight="1">
      <x:c r="A18" s="2" t="str">
        <x:v>2026-10-06_Night</x:v>
      </x:c>
      <x:c r="B18" s="2" t="str">
        <x:v>下落</x:v>
      </x:c>
      <x:c r="C18" s="19" t="n">
        <x:v>253000</x:v>
      </x:c>
      <x:c r="D18" s="19" t="n">
        <x:v>438000</x:v>
      </x:c>
      <x:c r="E18" s="19" t="n">
        <x:f>C18-D18</x:f>
        <x:v>-185000</x:v>
      </x:c>
      <x:c r="F18" s="19" t="n">
        <x:f>F17+E18</x:f>
        <x:v>-2451000</x:v>
      </x:c>
      <x:c r="G18" s="20" t="n">
        <x:v>23</x:v>
      </x:c>
      <x:c r="H18" s="20" t="n">
        <x:v>103</x:v>
      </x:c>
      <x:c r="I18" s="19" t="n">
        <x:v>-175000</x:v>
      </x:c>
      <x:c r="J18" s="19" t="n">
        <x:v>-10000</x:v>
      </x:c>
      <x:c r="K18" s="20" t="n">
        <x:v>19</x:v>
      </x:c>
    </x:row>
    <x:row r="19" ht="23" customHeight="1">
      <x:c r="A19" s="2" t="str">
        <x:v>2026-10-07_Night</x:v>
      </x:c>
      <x:c r="B19" s="2" t="str">
        <x:v>下落</x:v>
      </x:c>
      <x:c r="C19" s="19" t="n">
        <x:v>190000</x:v>
      </x:c>
      <x:c r="D19" s="19" t="n">
        <x:v>637000</x:v>
      </x:c>
      <x:c r="E19" s="19" t="n">
        <x:f>C19-D19</x:f>
        <x:v>-447000</x:v>
      </x:c>
      <x:c r="F19" s="19" t="n">
        <x:f>F18+E19</x:f>
        <x:v>-2898000</x:v>
      </x:c>
      <x:c r="G19" s="20" t="n">
        <x:v>27</x:v>
      </x:c>
      <x:c r="H19" s="20" t="n">
        <x:v>127</x:v>
      </x:c>
      <x:c r="I19" s="19" t="n">
        <x:v>-425000</x:v>
      </x:c>
      <x:c r="J19" s="19" t="n">
        <x:v>-22000</x:v>
      </x:c>
      <x:c r="K19" s="20" t="n">
        <x:v>22</x:v>
      </x:c>
    </x:row>
    <x:row r="20" ht="23" customHeight="1">
      <x:c r="A20" s="2" t="str">
        <x:v>2026-10-08_Night</x:v>
      </x:c>
      <x:c r="B20" s="2" t="str">
        <x:v>下落</x:v>
      </x:c>
      <x:c r="C20" s="19" t="n">
        <x:v>485000</x:v>
      </x:c>
      <x:c r="D20" s="19" t="n">
        <x:v>720000</x:v>
      </x:c>
      <x:c r="E20" s="19" t="n">
        <x:f>C20-D20</x:f>
        <x:v>-235000</x:v>
      </x:c>
      <x:c r="F20" s="19" t="n">
        <x:f>F19+E20</x:f>
        <x:v>-3133000</x:v>
      </x:c>
      <x:c r="G20" s="20" t="n">
        <x:v>42</x:v>
      </x:c>
      <x:c r="H20" s="20" t="n">
        <x:v>163</x:v>
      </x:c>
      <x:c r="I20" s="19" t="n">
        <x:v>-545000</x:v>
      </x:c>
      <x:c r="J20" s="19" t="n">
        <x:v>310000</x:v>
      </x:c>
      <x:c r="K20" s="20" t="n">
        <x:v>30</x:v>
      </x:c>
    </x:row>
    <x:row r="21" ht="23" customHeight="1">
      <x:c r="A21" s="2" t="str">
        <x:v>2026-10-09_Night</x:v>
      </x:c>
      <x:c r="B21" s="2" t="str">
        <x:v>下落</x:v>
      </x:c>
      <x:c r="C21" s="19" t="n">
        <x:v>234000</x:v>
      </x:c>
      <x:c r="D21" s="19" t="n">
        <x:v>185000</x:v>
      </x:c>
      <x:c r="E21" s="19" t="n">
        <x:f>C21-D21</x:f>
        <x:v>49000</x:v>
      </x:c>
      <x:c r="F21" s="19" t="n">
        <x:f>F20+E21</x:f>
        <x:v>-3084000</x:v>
      </x:c>
      <x:c r="G21" s="20" t="n">
        <x:v>15</x:v>
      </x:c>
      <x:c r="H21" s="20" t="n">
        <x:v>75</x:v>
      </x:c>
      <x:c r="I21" s="19" t="n">
        <x:v>35000</x:v>
      </x:c>
      <x:c r="J21" s="19" t="n">
        <x:v>14000</x:v>
      </x:c>
      <x:c r="K21" s="20" t="n">
        <x:v>10</x:v>
      </x:c>
    </x:row>
    <x:row r="22" ht="23" customHeight="1">
      <x:c r="A22" s="2" t="str">
        <x:v>2026-10-12_Night</x:v>
      </x:c>
      <x:c r="B22" s="2" t="str">
        <x:v>下落</x:v>
      </x:c>
      <x:c r="C22" s="19" t="n">
        <x:v>127000</x:v>
      </x:c>
      <x:c r="D22" s="19" t="n">
        <x:v>95000</x:v>
      </x:c>
      <x:c r="E22" s="19" t="n">
        <x:f>C22-D22</x:f>
        <x:v>32000</x:v>
      </x:c>
      <x:c r="F22" s="19" t="n">
        <x:f>F21+E22</x:f>
        <x:v>-3052000</x:v>
      </x:c>
      <x:c r="G22" s="20" t="n">
        <x:v>8</x:v>
      </x:c>
      <x:c r="H22" s="20" t="n">
        <x:v>40</x:v>
      </x:c>
      <x:c r="I22" s="19" t="n">
        <x:v>-50000</x:v>
      </x:c>
      <x:c r="J22" s="19" t="n">
        <x:v>82000</x:v>
      </x:c>
      <x:c r="K22" s="20" t="n">
        <x:v>6</x:v>
      </x:c>
    </x:row>
    <x:row r="23" ht="23" customHeight="1">
      <x:c r="A23" s="2" t="str">
        <x:v>2026-10-13_Night</x:v>
      </x:c>
      <x:c r="B23" s="2" t="str">
        <x:v>上昇</x:v>
      </x:c>
      <x:c r="C23" s="19" t="n">
        <x:v>55000</x:v>
      </x:c>
      <x:c r="D23" s="19" t="n">
        <x:v>218000</x:v>
      </x:c>
      <x:c r="E23" s="19" t="n">
        <x:f>C23-D23</x:f>
        <x:v>-163000</x:v>
      </x:c>
      <x:c r="F23" s="19" t="n">
        <x:f>F22+E23</x:f>
        <x:v>-3215000</x:v>
      </x:c>
      <x:c r="G23" s="20" t="n">
        <x:v>11</x:v>
      </x:c>
      <x:c r="H23" s="20" t="n">
        <x:v>51</x:v>
      </x:c>
      <x:c r="I23" s="19" t="n">
        <x:v>-110000</x:v>
      </x:c>
      <x:c r="J23" s="19" t="n">
        <x:v>-53000</x:v>
      </x:c>
      <x:c r="K23" s="20" t="n">
        <x:v>9</x:v>
      </x:c>
    </x:row>
    <x:row r="24" ht="23" customHeight="1">
      <x:c r="A24" s="2" t="str">
        <x:v>2026-10-14_Night</x:v>
      </x:c>
      <x:c r="B24" s="2" t="str">
        <x:v>下落</x:v>
      </x:c>
      <x:c r="C24" s="19" t="n">
        <x:v>222000</x:v>
      </x:c>
      <x:c r="D24" s="19" t="n">
        <x:v>621000</x:v>
      </x:c>
      <x:c r="E24" s="19" t="n">
        <x:f>C24-D24</x:f>
        <x:v>-399000</x:v>
      </x:c>
      <x:c r="F24" s="19" t="n">
        <x:f>F23+E24</x:f>
        <x:v>-3614000</x:v>
      </x:c>
      <x:c r="G24" s="20" t="n">
        <x:v>22</x:v>
      </x:c>
      <x:c r="H24" s="20" t="n">
        <x:v>99</x:v>
      </x:c>
      <x:c r="I24" s="19" t="n">
        <x:v>-535000</x:v>
      </x:c>
      <x:c r="J24" s="19" t="n">
        <x:v>136000</x:v>
      </x:c>
      <x:c r="K24" s="20" t="n">
        <x:v>15</x:v>
      </x:c>
    </x:row>
    <x:row r="25" ht="23" customHeight="1">
      <x:c r="A25" s="2" t="str">
        <x:v>2026-10-15_Night</x:v>
      </x:c>
      <x:c r="B25" s="2" t="str">
        <x:v>上昇</x:v>
      </x:c>
      <x:c r="C25" s="19" t="n">
        <x:v>326000</x:v>
      </x:c>
      <x:c r="D25" s="19" t="n">
        <x:v>640000</x:v>
      </x:c>
      <x:c r="E25" s="19" t="n">
        <x:f>C25-D25</x:f>
        <x:v>-314000</x:v>
      </x:c>
      <x:c r="F25" s="19" t="n">
        <x:f>F24+E25</x:f>
        <x:v>-3928000</x:v>
      </x:c>
      <x:c r="G25" s="20" t="n">
        <x:v>36</x:v>
      </x:c>
      <x:c r="H25" s="20" t="n">
        <x:v>134</x:v>
      </x:c>
      <x:c r="I25" s="19" t="n">
        <x:v>-410000</x:v>
      </x:c>
      <x:c r="J25" s="19" t="n">
        <x:v>96000</x:v>
      </x:c>
      <x:c r="K25" s="20" t="n">
        <x:v>25</x:v>
      </x:c>
    </x:row>
    <x:row r="26" ht="23" customHeight="1">
      <x:c r="A26" s="2" t="str">
        <x:v>2026-10-16_Night</x:v>
      </x:c>
      <x:c r="B26" s="2" t="str">
        <x:v>下落</x:v>
      </x:c>
      <x:c r="C26" s="19" t="n">
        <x:v>153000</x:v>
      </x:c>
      <x:c r="D26" s="19" t="n">
        <x:v>767000</x:v>
      </x:c>
      <x:c r="E26" s="19" t="n">
        <x:f>C26-D26</x:f>
        <x:v>-614000</x:v>
      </x:c>
      <x:c r="F26" s="19" t="n">
        <x:f>F25+E26</x:f>
        <x:v>-4542000</x:v>
      </x:c>
      <x:c r="G26" s="20" t="n">
        <x:v>33</x:v>
      </x:c>
      <x:c r="H26" s="20" t="n">
        <x:v>127</x:v>
      </x:c>
      <x:c r="I26" s="19" t="n">
        <x:v>-625000</x:v>
      </x:c>
      <x:c r="J26" s="19" t="n">
        <x:v>11000</x:v>
      </x:c>
      <x:c r="K26" s="20" t="n">
        <x:v>25</x:v>
      </x:c>
    </x:row>
    <x:row r="27" ht="23" customHeight="1">
      <x:c r="A27" s="2" t="str">
        <x:v>2026-10-19_Night</x:v>
      </x:c>
      <x:c r="B27" s="2" t="str">
        <x:v>上昇</x:v>
      </x:c>
      <x:c r="C27" s="19" t="n">
        <x:v>223000</x:v>
      </x:c>
      <x:c r="D27" s="19" t="n">
        <x:v>398000</x:v>
      </x:c>
      <x:c r="E27" s="19" t="n">
        <x:f>C27-D27</x:f>
        <x:v>-175000</x:v>
      </x:c>
      <x:c r="F27" s="19" t="n">
        <x:f>F26+E27</x:f>
        <x:v>-4717000</x:v>
      </x:c>
      <x:c r="G27" s="20" t="n">
        <x:v>34</x:v>
      </x:c>
      <x:c r="H27" s="20" t="n">
        <x:v>123</x:v>
      </x:c>
      <x:c r="I27" s="19" t="n">
        <x:v>-190000</x:v>
      </x:c>
      <x:c r="J27" s="19" t="n">
        <x:v>15000</x:v>
      </x:c>
      <x:c r="K27" s="20" t="n">
        <x:v>23</x:v>
      </x:c>
    </x:row>
    <x:row r="28" ht="23" customHeight="1">
      <x:c r="A28" s="2" t="str">
        <x:v>2026-10-20_Night</x:v>
      </x:c>
      <x:c r="B28" s="2" t="str">
        <x:v>上昇</x:v>
      </x:c>
      <x:c r="C28" s="19" t="n">
        <x:v>1087000</x:v>
      </x:c>
      <x:c r="D28" s="19" t="n">
        <x:v>924000</x:v>
      </x:c>
      <x:c r="E28" s="19" t="n">
        <x:f>C28-D28</x:f>
        <x:v>163000</x:v>
      </x:c>
      <x:c r="F28" s="19" t="n">
        <x:f>F27+E28</x:f>
        <x:v>-4554000</x:v>
      </x:c>
      <x:c r="G28" s="20" t="n">
        <x:v>45</x:v>
      </x:c>
      <x:c r="H28" s="20" t="n">
        <x:v>189</x:v>
      </x:c>
      <x:c r="I28" s="19" t="n">
        <x:v>-315000</x:v>
      </x:c>
      <x:c r="J28" s="19" t="n">
        <x:v>478000</x:v>
      </x:c>
      <x:c r="K28" s="20" t="n">
        <x:v>30</x:v>
      </x:c>
    </x:row>
    <x:row r="29" ht="23" customHeight="1">
      <x:c r="A29" s="2" t="str">
        <x:v>2026-10-21_Night</x:v>
      </x:c>
      <x:c r="B29" s="2" t="str">
        <x:v>上昇</x:v>
      </x:c>
      <x:c r="C29" s="19" t="n">
        <x:v>556000</x:v>
      </x:c>
      <x:c r="D29" s="19" t="n">
        <x:v>400000</x:v>
      </x:c>
      <x:c r="E29" s="19" t="n">
        <x:f>C29-D29</x:f>
        <x:v>156000</x:v>
      </x:c>
      <x:c r="F29" s="19" t="n">
        <x:f>F28+E29</x:f>
        <x:v>-4398000</x:v>
      </x:c>
      <x:c r="G29" s="20" t="n">
        <x:v>26</x:v>
      </x:c>
      <x:c r="H29" s="20" t="n">
        <x:v>122</x:v>
      </x:c>
      <x:c r="I29" s="19" t="n">
        <x:v>180000</x:v>
      </x:c>
      <x:c r="J29" s="19" t="n">
        <x:v>-24000</x:v>
      </x:c>
      <x:c r="K29" s="20" t="n">
        <x:v>19</x:v>
      </x:c>
    </x:row>
    <x:row r="30" ht="23" customHeight="1">
      <x:c r="A30" s="2" t="str">
        <x:v>2026-10-22_Night</x:v>
      </x:c>
      <x:c r="B30" s="2" t="str">
        <x:v>下落</x:v>
      </x:c>
      <x:c r="C30" s="19" t="n">
        <x:v>215000</x:v>
      </x:c>
      <x:c r="D30" s="19" t="n">
        <x:v>763000</x:v>
      </x:c>
      <x:c r="E30" s="19" t="n">
        <x:f>C30-D30</x:f>
        <x:v>-548000</x:v>
      </x:c>
      <x:c r="F30" s="19" t="n">
        <x:f>F29+E30</x:f>
        <x:v>-4946000</x:v>
      </x:c>
      <x:c r="G30" s="20" t="n">
        <x:v>35</x:v>
      </x:c>
      <x:c r="H30" s="20" t="n">
        <x:v>155</x:v>
      </x:c>
      <x:c r="I30" s="19" t="n">
        <x:v>-625000</x:v>
      </x:c>
      <x:c r="J30" s="19" t="n">
        <x:v>77000</x:v>
      </x:c>
      <x:c r="K30" s="20" t="n">
        <x:v>27</x:v>
      </x:c>
    </x:row>
    <x:row r="31" ht="23" customHeight="1">
      <x:c r="A31" s="2" t="str">
        <x:v>2026-10-23_Night</x:v>
      </x:c>
      <x:c r="B31" s="2" t="str">
        <x:v>上昇</x:v>
      </x:c>
      <x:c r="C31" s="19" t="n">
        <x:v>257000</x:v>
      </x:c>
      <x:c r="D31" s="19" t="n">
        <x:v>342000</x:v>
      </x:c>
      <x:c r="E31" s="19" t="n">
        <x:f>C31-D31</x:f>
        <x:v>-85000</x:v>
      </x:c>
      <x:c r="F31" s="19" t="n">
        <x:f>F30+E31</x:f>
        <x:v>-5031000</x:v>
      </x:c>
      <x:c r="G31" s="20" t="n">
        <x:v>26</x:v>
      </x:c>
      <x:c r="H31" s="20" t="n">
        <x:v>111</x:v>
      </x:c>
      <x:c r="I31" s="19" t="n">
        <x:v>-100000</x:v>
      </x:c>
      <x:c r="J31" s="19" t="n">
        <x:v>15000</x:v>
      </x:c>
      <x:c r="K31" s="20" t="n">
        <x:v>19</x:v>
      </x:c>
    </x:row>
    <x:row r="32" ht="23" customHeight="1">
      <x:c r="A32" s="24" t="str">
        <x:v>25夜累計</x:v>
      </x:c>
      <x:c r="B32" s="24"/>
      <x:c r="C32" s="25" t="n">
        <x:f>SUM(C7:C31)</x:f>
        <x:v>7216000</x:v>
      </x:c>
      <x:c r="D32" s="25" t="n">
        <x:f>SUM(D7:D31)</x:f>
        <x:v>12247000</x:v>
      </x:c>
      <x:c r="E32" s="25" t="n">
        <x:f>C32-D32</x:f>
        <x:v>-5031000</x:v>
      </x:c>
      <x:c r="F32" s="25" t="n">
        <x:f>F31</x:f>
        <x:v>-5031000</x:v>
      </x:c>
      <x:c r="G32" s="26" t="n">
        <x:f>SUM(G7:G31)</x:f>
        <x:v>642</x:v>
      </x:c>
      <x:c r="H32" s="26" t="n">
        <x:f>SUM(H7:H31)</x:f>
        <x:v>2743</x:v>
      </x:c>
      <x:c r="I32" s="25" t="n">
        <x:f>SUM(I7:I31)</x:f>
        <x:v>-6585000</x:v>
      </x:c>
      <x:c r="J32" s="25" t="n">
        <x:f>SUM(J7:J31)</x:f>
        <x:v>1554000</x:v>
      </x:c>
      <x:c r="K32" s="26" t="n">
        <x:f>SUM(K7:K31)</x:f>
        <x:v>463</x:v>
      </x:c>
    </x:row>
    <x:row r="33" ht="23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</x:row>
  </x:sheetData>
  <x:conditionalFormatting sqref="C7:F32">
    <x:cfRule type="cellIs" dxfId="38" priority="1" operator="lessThan">
      <x:formula>0</x:formula>
    </x:cfRule>
  </x:conditionalFormatting>
  <x:conditionalFormatting sqref="I7:J32">
    <x:cfRule type="cellIs" dxfId="39" priority="2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a49dba8379342f8"/>
  </x:tableParts>
</x:worksheet>
</file>

<file path=xl/worksheets/sheet22.xml><?xml version="1.0" encoding="utf-8"?>
<x:worksheet xmlns:x="http://schemas.openxmlformats.org/spreadsheetml/2006/main">
  <x:sheetPr>
    <x:tabColor rgb="FF244A70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8" hidden="0" customWidth="1"/>
    <x:col min="2" max="2" width="14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23" customHeight="1">
      <x:c r="A2" s="4" t="str">
        <x:v>Q04　全夜間の利益・損失・収支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</x:row>
    <x:row r="3" ht="23" customHeight="1">
      <x:c r="A3" s="6" t="str">
        <x:v>日経mini・片方向上限10枚・手数料0円・気配差込み。利益と損失は完結した親取引の収支を分類。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 ht="23" customHeight="1">
      <x:c r="A4" s="6" t="str">
        <x:v>2026/09/21～10/23の既知25夜。前段は米国開始15分前まで、後段は米国開始15分後から。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</x:row>
    <x:row r="5" ht="23" customHeight="1">
      <x:c r="A5" s="6" t="str">
        <x:v>確認維持、5本と20本の方向一致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</x:row>
    <x:row r="6" ht="40" customHeight="1">
      <x:c r="A6" s="15" t="str">
        <x:v>セッション</x:v>
      </x:c>
      <x:c r="B6" s="16" t="str">
        <x:v>始終値方向</x:v>
      </x:c>
      <x:c r="C6" s="16" t="str">
        <x:v>利益（円）</x:v>
      </x:c>
      <x:c r="D6" s="16" t="str">
        <x:v>損失（円）</x:v>
      </x:c>
      <x:c r="E6" s="16" t="str">
        <x:v>収支（円）</x:v>
      </x:c>
      <x:c r="F6" s="16" t="str">
        <x:v>累計（円）</x:v>
      </x:c>
      <x:c r="G6" s="16" t="str">
        <x:v>新規件数</x:v>
      </x:c>
      <x:c r="H6" s="16" t="str">
        <x:v>新規合計枚数</x:v>
      </x:c>
      <x:c r="I6" s="16" t="str">
        <x:v>前段収支（円）</x:v>
      </x:c>
      <x:c r="J6" s="16" t="str">
        <x:v>後段収支（円）</x:v>
      </x:c>
      <x:c r="K6" s="17" t="str">
        <x:v>親取引数</x:v>
      </x:c>
    </x:row>
    <x:row r="7" ht="23" customHeight="1">
      <x:c r="A7" s="2" t="str">
        <x:v>2026-09-21_Night</x:v>
      </x:c>
      <x:c r="B7" s="2" t="str">
        <x:v>上昇</x:v>
      </x:c>
      <x:c r="C7" s="19" t="n">
        <x:v>65000</x:v>
      </x:c>
      <x:c r="D7" s="19" t="n">
        <x:v>45000</x:v>
      </x:c>
      <x:c r="E7" s="19" t="n">
        <x:f>C7-D7</x:f>
        <x:v>20000</x:v>
      </x:c>
      <x:c r="F7" s="19" t="n">
        <x:f>E7</x:f>
        <x:v>20000</x:v>
      </x:c>
      <x:c r="G7" s="20" t="n">
        <x:v>3</x:v>
      </x:c>
      <x:c r="H7" s="20" t="n">
        <x:v>15</x:v>
      </x:c>
      <x:c r="I7" s="19" t="n">
        <x:v>65000</x:v>
      </x:c>
      <x:c r="J7" s="19" t="n">
        <x:v>-45000</x:v>
      </x:c>
      <x:c r="K7" s="20" t="n">
        <x:v>2</x:v>
      </x:c>
    </x:row>
    <x:row r="8" ht="23" customHeight="1">
      <x:c r="A8" s="2" t="str">
        <x:v>2026-09-22_Night</x:v>
      </x:c>
      <x:c r="B8" s="2" t="str">
        <x:v>上昇</x:v>
      </x:c>
      <x:c r="C8" s="19" t="n">
        <x:v>174000</x:v>
      </x:c>
      <x:c r="D8" s="19" t="n">
        <x:v>45000</x:v>
      </x:c>
      <x:c r="E8" s="19" t="n">
        <x:f>C8-D8</x:f>
        <x:v>129000</x:v>
      </x:c>
      <x:c r="F8" s="19" t="n">
        <x:f>F7+E8</x:f>
        <x:v>149000</x:v>
      </x:c>
      <x:c r="G8" s="20" t="n">
        <x:v>6</x:v>
      </x:c>
      <x:c r="H8" s="20" t="n">
        <x:v>30</x:v>
      </x:c>
      <x:c r="I8" s="19" t="n">
        <x:v>105000</x:v>
      </x:c>
      <x:c r="J8" s="19" t="n">
        <x:v>24000</x:v>
      </x:c>
      <x:c r="K8" s="20" t="n">
        <x:v>5</x:v>
      </x:c>
    </x:row>
    <x:row r="9" ht="23" customHeight="1">
      <x:c r="A9" s="2" t="str">
        <x:v>2026-09-23_Night</x:v>
      </x:c>
      <x:c r="B9" s="2" t="str">
        <x:v>下落</x:v>
      </x:c>
      <x:c r="C9" s="19" t="n">
        <x:v>4000</x:v>
      </x:c>
      <x:c r="D9" s="19" t="n">
        <x:v>40000</x:v>
      </x:c>
      <x:c r="E9" s="19" t="n">
        <x:f>C9-D9</x:f>
        <x:v>-36000</x:v>
      </x:c>
      <x:c r="F9" s="19" t="n">
        <x:f>F8+E9</x:f>
        <x:v>113000</x:v>
      </x:c>
      <x:c r="G9" s="20" t="n">
        <x:v>3</x:v>
      </x:c>
      <x:c r="H9" s="20" t="n">
        <x:v>7</x:v>
      </x:c>
      <x:c r="I9" s="19" t="n">
        <x:v>0</x:v>
      </x:c>
      <x:c r="J9" s="19" t="n">
        <x:v>-36000</x:v>
      </x:c>
      <x:c r="K9" s="20" t="n">
        <x:v>2</x:v>
      </x:c>
    </x:row>
    <x:row r="10" ht="23" customHeight="1">
      <x:c r="A10" s="2" t="str">
        <x:v>2026-09-24_Night</x:v>
      </x:c>
      <x:c r="B10" s="2" t="str">
        <x:v>下落</x:v>
      </x:c>
      <x:c r="C10" s="19" t="n">
        <x:v>95000</x:v>
      </x:c>
      <x:c r="D10" s="19" t="n">
        <x:v>400000</x:v>
      </x:c>
      <x:c r="E10" s="19" t="n">
        <x:f>C10-D10</x:f>
        <x:v>-305000</x:v>
      </x:c>
      <x:c r="F10" s="19" t="n">
        <x:f>F9+E10</x:f>
        <x:v>-192000</x:v>
      </x:c>
      <x:c r="G10" s="20" t="n">
        <x:v>15</x:v>
      </x:c>
      <x:c r="H10" s="20" t="n">
        <x:v>67</x:v>
      </x:c>
      <x:c r="I10" s="19" t="n">
        <x:v>-325000</x:v>
      </x:c>
      <x:c r="J10" s="19" t="n">
        <x:v>20000</x:v>
      </x:c>
      <x:c r="K10" s="20" t="n">
        <x:v>10</x:v>
      </x:c>
    </x:row>
    <x:row r="11" ht="23" customHeight="1">
      <x:c r="A11" s="2" t="str">
        <x:v>2026-09-25_Night</x:v>
      </x:c>
      <x:c r="B11" s="2" t="str">
        <x:v>上昇</x:v>
      </x:c>
      <x:c r="C11" s="19" t="n">
        <x:v>117000</x:v>
      </x:c>
      <x:c r="D11" s="19" t="n">
        <x:v>66000</x:v>
      </x:c>
      <x:c r="E11" s="19" t="n">
        <x:f>C11-D11</x:f>
        <x:v>51000</x:v>
      </x:c>
      <x:c r="F11" s="19" t="n">
        <x:f>F10+E11</x:f>
        <x:v>-141000</x:v>
      </x:c>
      <x:c r="G11" s="20" t="n">
        <x:v>6</x:v>
      </x:c>
      <x:c r="H11" s="20" t="n">
        <x:v>26</x:v>
      </x:c>
      <x:c r="I11" s="19" t="n">
        <x:v>50000</x:v>
      </x:c>
      <x:c r="J11" s="19" t="n">
        <x:v>1000</x:v>
      </x:c>
      <x:c r="K11" s="20" t="n">
        <x:v>5</x:v>
      </x:c>
    </x:row>
    <x:row r="12" ht="23" customHeight="1">
      <x:c r="A12" s="2" t="str">
        <x:v>2026-09-28_Night</x:v>
      </x:c>
      <x:c r="B12" s="2" t="str">
        <x:v>下落</x:v>
      </x:c>
      <x:c r="C12" s="19" t="n">
        <x:v>1000</x:v>
      </x:c>
      <x:c r="D12" s="19" t="n">
        <x:v>618000</x:v>
      </x:c>
      <x:c r="E12" s="19" t="n">
        <x:f>C12-D12</x:f>
        <x:v>-617000</x:v>
      </x:c>
      <x:c r="F12" s="19" t="n">
        <x:f>F11+E12</x:f>
        <x:v>-758000</x:v>
      </x:c>
      <x:c r="G12" s="20" t="n">
        <x:v>19</x:v>
      </x:c>
      <x:c r="H12" s="20" t="n">
        <x:v>77</x:v>
      </x:c>
      <x:c r="I12" s="19" t="n">
        <x:v>-570000</x:v>
      </x:c>
      <x:c r="J12" s="19" t="n">
        <x:v>-47000</x:v>
      </x:c>
      <x:c r="K12" s="20" t="n">
        <x:v>14</x:v>
      </x:c>
    </x:row>
    <x:row r="13" ht="23" customHeight="1">
      <x:c r="A13" s="2" t="str">
        <x:v>2026-09-29_Night</x:v>
      </x:c>
      <x:c r="B13" s="2" t="str">
        <x:v>上昇</x:v>
      </x:c>
      <x:c r="C13" s="19" t="n">
        <x:v>112000</x:v>
      </x:c>
      <x:c r="D13" s="19" t="n">
        <x:v>152000</x:v>
      </x:c>
      <x:c r="E13" s="19" t="n">
        <x:f>C13-D13</x:f>
        <x:v>-40000</x:v>
      </x:c>
      <x:c r="F13" s="19" t="n">
        <x:f>F12+E13</x:f>
        <x:v>-798000</x:v>
      </x:c>
      <x:c r="G13" s="20" t="n">
        <x:v>11</x:v>
      </x:c>
      <x:c r="H13" s="20" t="n">
        <x:v>39</x:v>
      </x:c>
      <x:c r="I13" s="19" t="n">
        <x:v>-105000</x:v>
      </x:c>
      <x:c r="J13" s="19" t="n">
        <x:v>65000</x:v>
      </x:c>
      <x:c r="K13" s="20" t="n">
        <x:v>10</x:v>
      </x:c>
    </x:row>
    <x:row r="14" ht="23" customHeight="1">
      <x:c r="A14" s="2" t="str">
        <x:v>2026-09-30_Night</x:v>
      </x:c>
      <x:c r="B14" s="2" t="str">
        <x:v>下落</x:v>
      </x:c>
      <x:c r="C14" s="19" t="n">
        <x:v>138000</x:v>
      </x:c>
      <x:c r="D14" s="19" t="n">
        <x:v>505000</x:v>
      </x:c>
      <x:c r="E14" s="19" t="n">
        <x:f>C14-D14</x:f>
        <x:v>-367000</x:v>
      </x:c>
      <x:c r="F14" s="19" t="n">
        <x:f>F13+E14</x:f>
        <x:v>-1165000</x:v>
      </x:c>
      <x:c r="G14" s="20" t="n">
        <x:v>22</x:v>
      </x:c>
      <x:c r="H14" s="20" t="n">
        <x:v>102</x:v>
      </x:c>
      <x:c r="I14" s="19" t="n">
        <x:v>-410000</x:v>
      </x:c>
      <x:c r="J14" s="19" t="n">
        <x:v>43000</x:v>
      </x:c>
      <x:c r="K14" s="20" t="n">
        <x:v>15</x:v>
      </x:c>
    </x:row>
    <x:row r="15" ht="23" customHeight="1">
      <x:c r="A15" s="2" t="str">
        <x:v>2026-10-01_Night</x:v>
      </x:c>
      <x:c r="B15" s="2" t="str">
        <x:v>上昇</x:v>
      </x:c>
      <x:c r="C15" s="19" t="n">
        <x:v>560000</x:v>
      </x:c>
      <x:c r="D15" s="19" t="n">
        <x:v>366000</x:v>
      </x:c>
      <x:c r="E15" s="19" t="n">
        <x:f>C15-D15</x:f>
        <x:v>194000</x:v>
      </x:c>
      <x:c r="F15" s="19" t="n">
        <x:f>F14+E15</x:f>
        <x:v>-971000</x:v>
      </x:c>
      <x:c r="G15" s="20" t="n">
        <x:v>28</x:v>
      </x:c>
      <x:c r="H15" s="20" t="n">
        <x:v>99</x:v>
      </x:c>
      <x:c r="I15" s="19" t="n">
        <x:v>85000</x:v>
      </x:c>
      <x:c r="J15" s="19" t="n">
        <x:v>109000</x:v>
      </x:c>
      <x:c r="K15" s="20" t="n">
        <x:v>18</x:v>
      </x:c>
    </x:row>
    <x:row r="16" ht="23" customHeight="1">
      <x:c r="A16" s="2" t="str">
        <x:v>2026-10-02_Night</x:v>
      </x:c>
      <x:c r="B16" s="2" t="str">
        <x:v>上昇</x:v>
      </x:c>
      <x:c r="C16" s="19" t="n">
        <x:v>589000</x:v>
      </x:c>
      <x:c r="D16" s="19" t="n">
        <x:v>498000</x:v>
      </x:c>
      <x:c r="E16" s="19" t="n">
        <x:f>C16-D16</x:f>
        <x:v>91000</x:v>
      </x:c>
      <x:c r="F16" s="19" t="n">
        <x:f>F15+E16</x:f>
        <x:v>-880000</x:v>
      </x:c>
      <x:c r="G16" s="20" t="n">
        <x:v>37</x:v>
      </x:c>
      <x:c r="H16" s="20" t="n">
        <x:v>138</x:v>
      </x:c>
      <x:c r="I16" s="19" t="n">
        <x:v>-170000</x:v>
      </x:c>
      <x:c r="J16" s="19" t="n">
        <x:v>261000</x:v>
      </x:c>
      <x:c r="K16" s="20" t="n">
        <x:v>23</x:v>
      </x:c>
    </x:row>
    <x:row r="17" ht="23" customHeight="1">
      <x:c r="A17" s="2" t="str">
        <x:v>2026-10-05_Night</x:v>
      </x:c>
      <x:c r="B17" s="2" t="str">
        <x:v>下落</x:v>
      </x:c>
      <x:c r="C17" s="19" t="n">
        <x:v>203000</x:v>
      </x:c>
      <x:c r="D17" s="19" t="n">
        <x:v>114000</x:v>
      </x:c>
      <x:c r="E17" s="19" t="n">
        <x:f>C17-D17</x:f>
        <x:v>89000</x:v>
      </x:c>
      <x:c r="F17" s="19" t="n">
        <x:f>F16+E17</x:f>
        <x:v>-791000</x:v>
      </x:c>
      <x:c r="G17" s="20" t="n">
        <x:v>12</x:v>
      </x:c>
      <x:c r="H17" s="20" t="n">
        <x:v>39</x:v>
      </x:c>
      <x:c r="I17" s="19" t="n">
        <x:v>55000</x:v>
      </x:c>
      <x:c r="J17" s="19" t="n">
        <x:v>34000</x:v>
      </x:c>
      <x:c r="K17" s="20" t="n">
        <x:v>8</x:v>
      </x:c>
    </x:row>
    <x:row r="18" ht="23" customHeight="1">
      <x:c r="A18" s="2" t="str">
        <x:v>2026-10-06_Night</x:v>
      </x:c>
      <x:c r="B18" s="2" t="str">
        <x:v>下落</x:v>
      </x:c>
      <x:c r="C18" s="19" t="n">
        <x:v>98000</x:v>
      </x:c>
      <x:c r="D18" s="19" t="n">
        <x:v>333000</x:v>
      </x:c>
      <x:c r="E18" s="19" t="n">
        <x:f>C18-D18</x:f>
        <x:v>-235000</x:v>
      </x:c>
      <x:c r="F18" s="19" t="n">
        <x:f>F17+E18</x:f>
        <x:v>-1026000</x:v>
      </x:c>
      <x:c r="G18" s="20" t="n">
        <x:v>12</x:v>
      </x:c>
      <x:c r="H18" s="20" t="n">
        <x:v>48</x:v>
      </x:c>
      <x:c r="I18" s="19" t="n">
        <x:v>-225000</x:v>
      </x:c>
      <x:c r="J18" s="19" t="n">
        <x:v>-10000</x:v>
      </x:c>
      <x:c r="K18" s="20" t="n">
        <x:v>10</x:v>
      </x:c>
    </x:row>
    <x:row r="19" ht="23" customHeight="1">
      <x:c r="A19" s="2" t="str">
        <x:v>2026-10-07_Night</x:v>
      </x:c>
      <x:c r="B19" s="2" t="str">
        <x:v>下落</x:v>
      </x:c>
      <x:c r="C19" s="19" t="n">
        <x:v>200000</x:v>
      </x:c>
      <x:c r="D19" s="19" t="n">
        <x:v>227000</x:v>
      </x:c>
      <x:c r="E19" s="19" t="n">
        <x:f>C19-D19</x:f>
        <x:v>-27000</x:v>
      </x:c>
      <x:c r="F19" s="19" t="n">
        <x:f>F18+E19</x:f>
        <x:v>-1053000</x:v>
      </x:c>
      <x:c r="G19" s="20" t="n">
        <x:v>13</x:v>
      </x:c>
      <x:c r="H19" s="20" t="n">
        <x:v>57</x:v>
      </x:c>
      <x:c r="I19" s="19" t="n">
        <x:v>-5000</x:v>
      </x:c>
      <x:c r="J19" s="19" t="n">
        <x:v>-22000</x:v>
      </x:c>
      <x:c r="K19" s="20" t="n">
        <x:v>9</x:v>
      </x:c>
    </x:row>
    <x:row r="20" ht="23" customHeight="1">
      <x:c r="A20" s="2" t="str">
        <x:v>2026-10-08_Night</x:v>
      </x:c>
      <x:c r="B20" s="2" t="str">
        <x:v>下落</x:v>
      </x:c>
      <x:c r="C20" s="19" t="n">
        <x:v>490000</x:v>
      </x:c>
      <x:c r="D20" s="19" t="n">
        <x:v>310000</x:v>
      </x:c>
      <x:c r="E20" s="19" t="n">
        <x:f>C20-D20</x:f>
        <x:v>180000</x:v>
      </x:c>
      <x:c r="F20" s="19" t="n">
        <x:f>F19+E20</x:f>
        <x:v>-873000</x:v>
      </x:c>
      <x:c r="G20" s="20" t="n">
        <x:v>31</x:v>
      </x:c>
      <x:c r="H20" s="20" t="n">
        <x:v>108</x:v>
      </x:c>
      <x:c r="I20" s="19" t="n">
        <x:v>-130000</x:v>
      </x:c>
      <x:c r="J20" s="19" t="n">
        <x:v>310000</x:v>
      </x:c>
      <x:c r="K20" s="20" t="n">
        <x:v>18</x:v>
      </x:c>
    </x:row>
    <x:row r="21" ht="23" customHeight="1">
      <x:c r="A21" s="2" t="str">
        <x:v>2026-10-09_Night</x:v>
      </x:c>
      <x:c r="B21" s="2" t="str">
        <x:v>下落</x:v>
      </x:c>
      <x:c r="C21" s="19" t="n">
        <x:v>54000</x:v>
      </x:c>
      <x:c r="D21" s="19" t="n">
        <x:v>260000</x:v>
      </x:c>
      <x:c r="E21" s="19" t="n">
        <x:f>C21-D21</x:f>
        <x:v>-206000</x:v>
      </x:c>
      <x:c r="F21" s="19" t="n">
        <x:f>F20+E21</x:f>
        <x:v>-1079000</x:v>
      </x:c>
      <x:c r="G21" s="20" t="n">
        <x:v>11</x:v>
      </x:c>
      <x:c r="H21" s="20" t="n">
        <x:v>55</x:v>
      </x:c>
      <x:c r="I21" s="19" t="n">
        <x:v>-220000</x:v>
      </x:c>
      <x:c r="J21" s="19" t="n">
        <x:v>14000</x:v>
      </x:c>
      <x:c r="K21" s="20" t="n">
        <x:v>7</x:v>
      </x:c>
    </x:row>
    <x:row r="22" ht="23" customHeight="1">
      <x:c r="A22" s="2" t="str">
        <x:v>2026-10-12_Night</x:v>
      </x:c>
      <x:c r="B22" s="2" t="str">
        <x:v>下落</x:v>
      </x:c>
      <x:c r="C22" s="19" t="n">
        <x:v>82000</x:v>
      </x:c>
      <x:c r="D22" s="19" t="n">
        <x:v>105000</x:v>
      </x:c>
      <x:c r="E22" s="19" t="n">
        <x:f>C22-D22</x:f>
        <x:v>-23000</x:v>
      </x:c>
      <x:c r="F22" s="19" t="n">
        <x:f>F21+E22</x:f>
        <x:v>-1102000</x:v>
      </x:c>
      <x:c r="G22" s="20" t="n">
        <x:v>4</x:v>
      </x:c>
      <x:c r="H22" s="20" t="n">
        <x:v>20</x:v>
      </x:c>
      <x:c r="I22" s="19" t="n">
        <x:v>-105000</x:v>
      </x:c>
      <x:c r="J22" s="19" t="n">
        <x:v>82000</x:v>
      </x:c>
      <x:c r="K22" s="20" t="n">
        <x:v>3</x:v>
      </x:c>
    </x:row>
    <x:row r="23" ht="23" customHeight="1">
      <x:c r="A23" s="2" t="str">
        <x:v>2026-10-13_Night</x:v>
      </x:c>
      <x:c r="B23" s="2" t="str">
        <x:v>上昇</x:v>
      </x:c>
      <x:c r="C23" s="19" t="n">
        <x:v>0</x:v>
      </x:c>
      <x:c r="D23" s="19" t="n">
        <x:v>203000</x:v>
      </x:c>
      <x:c r="E23" s="19" t="n">
        <x:f>C23-D23</x:f>
        <x:v>-203000</x:v>
      </x:c>
      <x:c r="F23" s="19" t="n">
        <x:f>F22+E23</x:f>
        <x:v>-1305000</x:v>
      </x:c>
      <x:c r="G23" s="20" t="n">
        <x:v>6</x:v>
      </x:c>
      <x:c r="H23" s="20" t="n">
        <x:v>26</x:v>
      </x:c>
      <x:c r="I23" s="19" t="n">
        <x:v>-150000</x:v>
      </x:c>
      <x:c r="J23" s="19" t="n">
        <x:v>-53000</x:v>
      </x:c>
      <x:c r="K23" s="20" t="n">
        <x:v>5</x:v>
      </x:c>
    </x:row>
    <x:row r="24" ht="23" customHeight="1">
      <x:c r="A24" s="2" t="str">
        <x:v>2026-10-14_Night</x:v>
      </x:c>
      <x:c r="B24" s="2" t="str">
        <x:v>下落</x:v>
      </x:c>
      <x:c r="C24" s="19" t="n">
        <x:v>197000</x:v>
      </x:c>
      <x:c r="D24" s="19" t="n">
        <x:v>666000</x:v>
      </x:c>
      <x:c r="E24" s="19" t="n">
        <x:f>C24-D24</x:f>
        <x:v>-469000</x:v>
      </x:c>
      <x:c r="F24" s="19" t="n">
        <x:f>F23+E24</x:f>
        <x:v>-1774000</x:v>
      </x:c>
      <x:c r="G24" s="20" t="n">
        <x:v>17</x:v>
      </x:c>
      <x:c r="H24" s="20" t="n">
        <x:v>74</x:v>
      </x:c>
      <x:c r="I24" s="19" t="n">
        <x:v>-605000</x:v>
      </x:c>
      <x:c r="J24" s="19" t="n">
        <x:v>136000</x:v>
      </x:c>
      <x:c r="K24" s="20" t="n">
        <x:v>13</x:v>
      </x:c>
    </x:row>
    <x:row r="25" ht="23" customHeight="1">
      <x:c r="A25" s="2" t="str">
        <x:v>2026-10-15_Night</x:v>
      </x:c>
      <x:c r="B25" s="2" t="str">
        <x:v>上昇</x:v>
      </x:c>
      <x:c r="C25" s="19" t="n">
        <x:v>256000</x:v>
      </x:c>
      <x:c r="D25" s="19" t="n">
        <x:v>740000</x:v>
      </x:c>
      <x:c r="E25" s="19" t="n">
        <x:f>C25-D25</x:f>
        <x:v>-484000</x:v>
      </x:c>
      <x:c r="F25" s="19" t="n">
        <x:f>F24+E25</x:f>
        <x:v>-2258000</x:v>
      </x:c>
      <x:c r="G25" s="20" t="n">
        <x:v>29</x:v>
      </x:c>
      <x:c r="H25" s="20" t="n">
        <x:v>99</x:v>
      </x:c>
      <x:c r="I25" s="19" t="n">
        <x:v>-580000</x:v>
      </x:c>
      <x:c r="J25" s="19" t="n">
        <x:v>96000</x:v>
      </x:c>
      <x:c r="K25" s="20" t="n">
        <x:v>19</x:v>
      </x:c>
    </x:row>
    <x:row r="26" ht="23" customHeight="1">
      <x:c r="A26" s="2" t="str">
        <x:v>2026-10-16_Night</x:v>
      </x:c>
      <x:c r="B26" s="2" t="str">
        <x:v>下落</x:v>
      </x:c>
      <x:c r="C26" s="19" t="n">
        <x:v>198000</x:v>
      </x:c>
      <x:c r="D26" s="19" t="n">
        <x:v>547000</x:v>
      </x:c>
      <x:c r="E26" s="19" t="n">
        <x:f>C26-D26</x:f>
        <x:v>-349000</x:v>
      </x:c>
      <x:c r="F26" s="19" t="n">
        <x:f>F25+E26</x:f>
        <x:v>-2607000</x:v>
      </x:c>
      <x:c r="G26" s="20" t="n">
        <x:v>25</x:v>
      </x:c>
      <x:c r="H26" s="20" t="n">
        <x:v>87</x:v>
      </x:c>
      <x:c r="I26" s="19" t="n">
        <x:v>-360000</x:v>
      </x:c>
      <x:c r="J26" s="19" t="n">
        <x:v>11000</x:v>
      </x:c>
      <x:c r="K26" s="20" t="n">
        <x:v>20</x:v>
      </x:c>
    </x:row>
    <x:row r="27" ht="23" customHeight="1">
      <x:c r="A27" s="2" t="str">
        <x:v>2026-10-19_Night</x:v>
      </x:c>
      <x:c r="B27" s="2" t="str">
        <x:v>上昇</x:v>
      </x:c>
      <x:c r="C27" s="19" t="n">
        <x:v>203000</x:v>
      </x:c>
      <x:c r="D27" s="19" t="n">
        <x:v>388000</x:v>
      </x:c>
      <x:c r="E27" s="19" t="n">
        <x:f>C27-D27</x:f>
        <x:v>-185000</x:v>
      </x:c>
      <x:c r="F27" s="19" t="n">
        <x:f>F26+E27</x:f>
        <x:v>-2792000</x:v>
      </x:c>
      <x:c r="G27" s="20" t="n">
        <x:v>26</x:v>
      </x:c>
      <x:c r="H27" s="20" t="n">
        <x:v>83</x:v>
      </x:c>
      <x:c r="I27" s="19" t="n">
        <x:v>-200000</x:v>
      </x:c>
      <x:c r="J27" s="19" t="n">
        <x:v>15000</x:v>
      </x:c>
      <x:c r="K27" s="20" t="n">
        <x:v>17</x:v>
      </x:c>
    </x:row>
    <x:row r="28" ht="23" customHeight="1">
      <x:c r="A28" s="2" t="str">
        <x:v>2026-10-20_Night</x:v>
      </x:c>
      <x:c r="B28" s="2" t="str">
        <x:v>上昇</x:v>
      </x:c>
      <x:c r="C28" s="19" t="n">
        <x:v>842000</x:v>
      </x:c>
      <x:c r="D28" s="19" t="n">
        <x:v>504000</x:v>
      </x:c>
      <x:c r="E28" s="19" t="n">
        <x:f>C28-D28</x:f>
        <x:v>338000</x:v>
      </x:c>
      <x:c r="F28" s="19" t="n">
        <x:f>F27+E28</x:f>
        <x:v>-2454000</x:v>
      </x:c>
      <x:c r="G28" s="20" t="n">
        <x:v>32</x:v>
      </x:c>
      <x:c r="H28" s="20" t="n">
        <x:v>124</x:v>
      </x:c>
      <x:c r="I28" s="19" t="n">
        <x:v>-140000</x:v>
      </x:c>
      <x:c r="J28" s="19" t="n">
        <x:v>478000</x:v>
      </x:c>
      <x:c r="K28" s="20" t="n">
        <x:v>21</x:v>
      </x:c>
    </x:row>
    <x:row r="29" ht="23" customHeight="1">
      <x:c r="A29" s="2" t="str">
        <x:v>2026-10-21_Night</x:v>
      </x:c>
      <x:c r="B29" s="2" t="str">
        <x:v>上昇</x:v>
      </x:c>
      <x:c r="C29" s="19" t="n">
        <x:v>431000</x:v>
      </x:c>
      <x:c r="D29" s="19" t="n">
        <x:v>250000</x:v>
      </x:c>
      <x:c r="E29" s="19" t="n">
        <x:f>C29-D29</x:f>
        <x:v>181000</x:v>
      </x:c>
      <x:c r="F29" s="19" t="n">
        <x:f>F28+E29</x:f>
        <x:v>-2273000</x:v>
      </x:c>
      <x:c r="G29" s="20" t="n">
        <x:v>14</x:v>
      </x:c>
      <x:c r="H29" s="20" t="n">
        <x:v>62</x:v>
      </x:c>
      <x:c r="I29" s="19" t="n">
        <x:v>205000</x:v>
      </x:c>
      <x:c r="J29" s="19" t="n">
        <x:v>-24000</x:v>
      </x:c>
      <x:c r="K29" s="20" t="n">
        <x:v>10</x:v>
      </x:c>
    </x:row>
    <x:row r="30" ht="23" customHeight="1">
      <x:c r="A30" s="2" t="str">
        <x:v>2026-10-22_Night</x:v>
      </x:c>
      <x:c r="B30" s="2" t="str">
        <x:v>下落</x:v>
      </x:c>
      <x:c r="C30" s="19" t="n">
        <x:v>160000</x:v>
      </x:c>
      <x:c r="D30" s="19" t="n">
        <x:v>728000</x:v>
      </x:c>
      <x:c r="E30" s="19" t="n">
        <x:f>C30-D30</x:f>
        <x:v>-568000</x:v>
      </x:c>
      <x:c r="F30" s="19" t="n">
        <x:f>F29+E30</x:f>
        <x:v>-2841000</x:v>
      </x:c>
      <x:c r="G30" s="20" t="n">
        <x:v>24</x:v>
      </x:c>
      <x:c r="H30" s="20" t="n">
        <x:v>100</x:v>
      </x:c>
      <x:c r="I30" s="19" t="n">
        <x:v>-645000</x:v>
      </x:c>
      <x:c r="J30" s="19" t="n">
        <x:v>77000</x:v>
      </x:c>
      <x:c r="K30" s="20" t="n">
        <x:v>17</x:v>
      </x:c>
    </x:row>
    <x:row r="31" ht="23" customHeight="1">
      <x:c r="A31" s="2" t="str">
        <x:v>2026-10-23_Night</x:v>
      </x:c>
      <x:c r="B31" s="2" t="str">
        <x:v>上昇</x:v>
      </x:c>
      <x:c r="C31" s="19" t="n">
        <x:v>107000</x:v>
      </x:c>
      <x:c r="D31" s="19" t="n">
        <x:v>352000</x:v>
      </x:c>
      <x:c r="E31" s="19" t="n">
        <x:f>C31-D31</x:f>
        <x:v>-245000</x:v>
      </x:c>
      <x:c r="F31" s="19" t="n">
        <x:f>F30+E31</x:f>
        <x:v>-3086000</x:v>
      </x:c>
      <x:c r="G31" s="20" t="n">
        <x:v>17</x:v>
      </x:c>
      <x:c r="H31" s="20" t="n">
        <x:v>66</x:v>
      </x:c>
      <x:c r="I31" s="19" t="n">
        <x:v>-260000</x:v>
      </x:c>
      <x:c r="J31" s="19" t="n">
        <x:v>15000</x:v>
      </x:c>
      <x:c r="K31" s="20" t="n">
        <x:v>11</x:v>
      </x:c>
    </x:row>
    <x:row r="32" ht="23" customHeight="1">
      <x:c r="A32" s="24" t="str">
        <x:v>25夜累計</x:v>
      </x:c>
      <x:c r="B32" s="24"/>
      <x:c r="C32" s="25" t="n">
        <x:f>SUM(C7:C31)</x:f>
        <x:v>5376000</x:v>
      </x:c>
      <x:c r="D32" s="25" t="n">
        <x:f>SUM(D7:D31)</x:f>
        <x:v>8462000</x:v>
      </x:c>
      <x:c r="E32" s="25" t="n">
        <x:f>C32-D32</x:f>
        <x:v>-3086000</x:v>
      </x:c>
      <x:c r="F32" s="25" t="n">
        <x:f>F31</x:f>
        <x:v>-3086000</x:v>
      </x:c>
      <x:c r="G32" s="26" t="n">
        <x:f>SUM(G7:G31)</x:f>
        <x:v>423</x:v>
      </x:c>
      <x:c r="H32" s="26" t="n">
        <x:f>SUM(H7:H31)</x:f>
        <x:v>1648</x:v>
      </x:c>
      <x:c r="I32" s="25" t="n">
        <x:f>SUM(I7:I31)</x:f>
        <x:v>-4640000</x:v>
      </x:c>
      <x:c r="J32" s="25" t="n">
        <x:f>SUM(J7:J31)</x:f>
        <x:v>1554000</x:v>
      </x:c>
      <x:c r="K32" s="26" t="n">
        <x:f>SUM(K7:K31)</x:f>
        <x:v>292</x:v>
      </x:c>
    </x:row>
    <x:row r="33" ht="23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</x:row>
  </x:sheetData>
  <x:conditionalFormatting sqref="C7:F32">
    <x:cfRule type="cellIs" dxfId="40" priority="1" operator="lessThan">
      <x:formula>0</x:formula>
    </x:cfRule>
  </x:conditionalFormatting>
  <x:conditionalFormatting sqref="I7:J32">
    <x:cfRule type="cellIs" dxfId="41" priority="2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2724cebaeab439a"/>
  </x:tableParts>
</x:worksheet>
</file>

<file path=xl/worksheets/sheet23.xml><?xml version="1.0" encoding="utf-8"?>
<x:worksheet xmlns:x="http://schemas.openxmlformats.org/spreadsheetml/2006/main">
  <x:sheetPr>
    <x:tabColor rgb="FF244A70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8" hidden="0" customWidth="1"/>
    <x:col min="2" max="2" width="14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23" customHeight="1">
      <x:c r="A2" s="4" t="str">
        <x:v>Q05　全夜間の利益・損失・収支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</x:row>
    <x:row r="3" ht="23" customHeight="1">
      <x:c r="A3" s="6" t="str">
        <x:v>日経mini・片方向上限10枚・手数料0円・気配差込み。利益と損失は完結した親取引の収支を分類。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 ht="23" customHeight="1">
      <x:c r="A4" s="6" t="str">
        <x:v>2026/09/21～10/23の既知25夜。前段は米国開始15分前まで、後段は米国開始15分後から。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</x:row>
    <x:row r="5" ht="23" customHeight="1">
      <x:c r="A5" s="6" t="str">
        <x:v>確認維持、速度を12pt毎分と3pt毎分へ引上げ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</x:row>
    <x:row r="6" ht="40" customHeight="1">
      <x:c r="A6" s="15" t="str">
        <x:v>セッション</x:v>
      </x:c>
      <x:c r="B6" s="16" t="str">
        <x:v>始終値方向</x:v>
      </x:c>
      <x:c r="C6" s="16" t="str">
        <x:v>利益（円）</x:v>
      </x:c>
      <x:c r="D6" s="16" t="str">
        <x:v>損失（円）</x:v>
      </x:c>
      <x:c r="E6" s="16" t="str">
        <x:v>収支（円）</x:v>
      </x:c>
      <x:c r="F6" s="16" t="str">
        <x:v>累計（円）</x:v>
      </x:c>
      <x:c r="G6" s="16" t="str">
        <x:v>新規件数</x:v>
      </x:c>
      <x:c r="H6" s="16" t="str">
        <x:v>新規合計枚数</x:v>
      </x:c>
      <x:c r="I6" s="16" t="str">
        <x:v>前段収支（円）</x:v>
      </x:c>
      <x:c r="J6" s="16" t="str">
        <x:v>後段収支（円）</x:v>
      </x:c>
      <x:c r="K6" s="17" t="str">
        <x:v>親取引数</x:v>
      </x:c>
    </x:row>
    <x:row r="7" ht="23" customHeight="1">
      <x:c r="A7" s="2" t="str">
        <x:v>2026-09-21_Night</x:v>
      </x:c>
      <x:c r="B7" s="2" t="str">
        <x:v>上昇</x:v>
      </x:c>
      <x:c r="C7" s="19" t="n">
        <x:v>10000</x:v>
      </x:c>
      <x:c r="D7" s="19" t="n">
        <x:v>45000</x:v>
      </x:c>
      <x:c r="E7" s="19" t="n">
        <x:f>C7-D7</x:f>
        <x:v>-35000</x:v>
      </x:c>
      <x:c r="F7" s="19" t="n">
        <x:f>E7</x:f>
        <x:v>-35000</x:v>
      </x:c>
      <x:c r="G7" s="20" t="n">
        <x:v>2</x:v>
      </x:c>
      <x:c r="H7" s="20" t="n">
        <x:v>10</x:v>
      </x:c>
      <x:c r="I7" s="19" t="n">
        <x:v>10000</x:v>
      </x:c>
      <x:c r="J7" s="19" t="n">
        <x:v>-45000</x:v>
      </x:c>
      <x:c r="K7" s="20" t="n">
        <x:v>2</x:v>
      </x:c>
    </x:row>
    <x:row r="8" ht="23" customHeight="1">
      <x:c r="A8" s="2" t="str">
        <x:v>2026-09-22_Night</x:v>
      </x:c>
      <x:c r="B8" s="2" t="str">
        <x:v>上昇</x:v>
      </x:c>
      <x:c r="C8" s="19" t="n">
        <x:v>314000</x:v>
      </x:c>
      <x:c r="D8" s="19" t="n">
        <x:v>155000</x:v>
      </x:c>
      <x:c r="E8" s="19" t="n">
        <x:f>C8-D8</x:f>
        <x:v>159000</x:v>
      </x:c>
      <x:c r="F8" s="19" t="n">
        <x:f>F7+E8</x:f>
        <x:v>124000</x:v>
      </x:c>
      <x:c r="G8" s="20" t="n">
        <x:v>9</x:v>
      </x:c>
      <x:c r="H8" s="20" t="n">
        <x:v>45</x:v>
      </x:c>
      <x:c r="I8" s="19" t="n">
        <x:v>135000</x:v>
      </x:c>
      <x:c r="J8" s="19" t="n">
        <x:v>24000</x:v>
      </x:c>
      <x:c r="K8" s="20" t="n">
        <x:v>7</x:v>
      </x:c>
    </x:row>
    <x:row r="9" ht="23" customHeight="1">
      <x:c r="A9" s="2" t="str">
        <x:v>2026-09-23_Night</x:v>
      </x:c>
      <x:c r="B9" s="2" t="str">
        <x:v>下落</x:v>
      </x:c>
      <x:c r="C9" s="19" t="n">
        <x:v>4000</x:v>
      </x:c>
      <x:c r="D9" s="19" t="n">
        <x:v>185000</x:v>
      </x:c>
      <x:c r="E9" s="19" t="n">
        <x:f>C9-D9</x:f>
        <x:v>-181000</x:v>
      </x:c>
      <x:c r="F9" s="19" t="n">
        <x:f>F8+E9</x:f>
        <x:v>-57000</x:v>
      </x:c>
      <x:c r="G9" s="20" t="n">
        <x:v>6</x:v>
      </x:c>
      <x:c r="H9" s="20" t="n">
        <x:v>22</x:v>
      </x:c>
      <x:c r="I9" s="19" t="n">
        <x:v>-145000</x:v>
      </x:c>
      <x:c r="J9" s="19" t="n">
        <x:v>-36000</x:v>
      </x:c>
      <x:c r="K9" s="20" t="n">
        <x:v>5</x:v>
      </x:c>
    </x:row>
    <x:row r="10" ht="23" customHeight="1">
      <x:c r="A10" s="2" t="str">
        <x:v>2026-09-24_Night</x:v>
      </x:c>
      <x:c r="B10" s="2" t="str">
        <x:v>下落</x:v>
      </x:c>
      <x:c r="C10" s="19" t="n">
        <x:v>130000</x:v>
      </x:c>
      <x:c r="D10" s="19" t="n">
        <x:v>290000</x:v>
      </x:c>
      <x:c r="E10" s="19" t="n">
        <x:f>C10-D10</x:f>
        <x:v>-160000</x:v>
      </x:c>
      <x:c r="F10" s="19" t="n">
        <x:f>F9+E10</x:f>
        <x:v>-217000</x:v>
      </x:c>
      <x:c r="G10" s="20" t="n">
        <x:v>19</x:v>
      </x:c>
      <x:c r="H10" s="20" t="n">
        <x:v>87</x:v>
      </x:c>
      <x:c r="I10" s="19" t="n">
        <x:v>-180000</x:v>
      </x:c>
      <x:c r="J10" s="19" t="n">
        <x:v>20000</x:v>
      </x:c>
      <x:c r="K10" s="20" t="n">
        <x:v>12</x:v>
      </x:c>
    </x:row>
    <x:row r="11" ht="23" customHeight="1">
      <x:c r="A11" s="2" t="str">
        <x:v>2026-09-25_Night</x:v>
      </x:c>
      <x:c r="B11" s="2" t="str">
        <x:v>上昇</x:v>
      </x:c>
      <x:c r="C11" s="19" t="n">
        <x:v>132000</x:v>
      </x:c>
      <x:c r="D11" s="19" t="n">
        <x:v>191000</x:v>
      </x:c>
      <x:c r="E11" s="19" t="n">
        <x:f>C11-D11</x:f>
        <x:v>-59000</x:v>
      </x:c>
      <x:c r="F11" s="19" t="n">
        <x:f>F10+E11</x:f>
        <x:v>-276000</x:v>
      </x:c>
      <x:c r="G11" s="20" t="n">
        <x:v>11</x:v>
      </x:c>
      <x:c r="H11" s="20" t="n">
        <x:v>51</x:v>
      </x:c>
      <x:c r="I11" s="19" t="n">
        <x:v>-60000</x:v>
      </x:c>
      <x:c r="J11" s="19" t="n">
        <x:v>1000</x:v>
      </x:c>
      <x:c r="K11" s="20" t="n">
        <x:v>9</x:v>
      </x:c>
    </x:row>
    <x:row r="12" ht="23" customHeight="1">
      <x:c r="A12" s="2" t="str">
        <x:v>2026-09-28_Night</x:v>
      </x:c>
      <x:c r="B12" s="2" t="str">
        <x:v>下落</x:v>
      </x:c>
      <x:c r="C12" s="19" t="n">
        <x:v>36000</x:v>
      </x:c>
      <x:c r="D12" s="19" t="n">
        <x:v>233000</x:v>
      </x:c>
      <x:c r="E12" s="19" t="n">
        <x:f>C12-D12</x:f>
        <x:v>-197000</x:v>
      </x:c>
      <x:c r="F12" s="19" t="n">
        <x:f>F11+E12</x:f>
        <x:v>-473000</x:v>
      </x:c>
      <x:c r="G12" s="20" t="n">
        <x:v>16</x:v>
      </x:c>
      <x:c r="H12" s="20" t="n">
        <x:v>62</x:v>
      </x:c>
      <x:c r="I12" s="19" t="n">
        <x:v>-150000</x:v>
      </x:c>
      <x:c r="J12" s="19" t="n">
        <x:v>-47000</x:v>
      </x:c>
      <x:c r="K12" s="20" t="n">
        <x:v>12</x:v>
      </x:c>
    </x:row>
    <x:row r="13" ht="23" customHeight="1">
      <x:c r="A13" s="2" t="str">
        <x:v>2026-09-29_Night</x:v>
      </x:c>
      <x:c r="B13" s="2" t="str">
        <x:v>上昇</x:v>
      </x:c>
      <x:c r="C13" s="19" t="n">
        <x:v>97000</x:v>
      </x:c>
      <x:c r="D13" s="19" t="n">
        <x:v>232000</x:v>
      </x:c>
      <x:c r="E13" s="19" t="n">
        <x:f>C13-D13</x:f>
        <x:v>-135000</x:v>
      </x:c>
      <x:c r="F13" s="19" t="n">
        <x:f>F12+E13</x:f>
        <x:v>-608000</x:v>
      </x:c>
      <x:c r="G13" s="20" t="n">
        <x:v>12</x:v>
      </x:c>
      <x:c r="H13" s="20" t="n">
        <x:v>44</x:v>
      </x:c>
      <x:c r="I13" s="19" t="n">
        <x:v>-200000</x:v>
      </x:c>
      <x:c r="J13" s="19" t="n">
        <x:v>65000</x:v>
      </x:c>
      <x:c r="K13" s="20" t="n">
        <x:v>10</x:v>
      </x:c>
    </x:row>
    <x:row r="14" ht="23" customHeight="1">
      <x:c r="A14" s="2" t="str">
        <x:v>2026-09-30_Night</x:v>
      </x:c>
      <x:c r="B14" s="2" t="str">
        <x:v>下落</x:v>
      </x:c>
      <x:c r="C14" s="19" t="n">
        <x:v>188000</x:v>
      </x:c>
      <x:c r="D14" s="19" t="n">
        <x:v>585000</x:v>
      </x:c>
      <x:c r="E14" s="19" t="n">
        <x:f>C14-D14</x:f>
        <x:v>-397000</x:v>
      </x:c>
      <x:c r="F14" s="19" t="n">
        <x:f>F13+E14</x:f>
        <x:v>-1005000</x:v>
      </x:c>
      <x:c r="G14" s="20" t="n">
        <x:v>27</x:v>
      </x:c>
      <x:c r="H14" s="20" t="n">
        <x:v>127</x:v>
      </x:c>
      <x:c r="I14" s="19" t="n">
        <x:v>-440000</x:v>
      </x:c>
      <x:c r="J14" s="19" t="n">
        <x:v>43000</x:v>
      </x:c>
      <x:c r="K14" s="20" t="n">
        <x:v>19</x:v>
      </x:c>
    </x:row>
    <x:row r="15" ht="23" customHeight="1">
      <x:c r="A15" s="2" t="str">
        <x:v>2026-10-01_Night</x:v>
      </x:c>
      <x:c r="B15" s="2" t="str">
        <x:v>上昇</x:v>
      </x:c>
      <x:c r="C15" s="19" t="n">
        <x:v>645000</x:v>
      </x:c>
      <x:c r="D15" s="19" t="n">
        <x:v>306000</x:v>
      </x:c>
      <x:c r="E15" s="19" t="n">
        <x:f>C15-D15</x:f>
        <x:v>339000</x:v>
      </x:c>
      <x:c r="F15" s="19" t="n">
        <x:f>F14+E15</x:f>
        <x:v>-666000</x:v>
      </x:c>
      <x:c r="G15" s="20" t="n">
        <x:v>31</x:v>
      </x:c>
      <x:c r="H15" s="20" t="n">
        <x:v>114</x:v>
      </x:c>
      <x:c r="I15" s="19" t="n">
        <x:v>230000</x:v>
      </x:c>
      <x:c r="J15" s="19" t="n">
        <x:v>109000</x:v>
      </x:c>
      <x:c r="K15" s="20" t="n">
        <x:v>20</x:v>
      </x:c>
    </x:row>
    <x:row r="16" ht="23" customHeight="1">
      <x:c r="A16" s="2" t="str">
        <x:v>2026-10-02_Night</x:v>
      </x:c>
      <x:c r="B16" s="2" t="str">
        <x:v>上昇</x:v>
      </x:c>
      <x:c r="C16" s="19" t="n">
        <x:v>604000</x:v>
      </x:c>
      <x:c r="D16" s="19" t="n">
        <x:v>433000</x:v>
      </x:c>
      <x:c r="E16" s="19" t="n">
        <x:f>C16-D16</x:f>
        <x:v>171000</x:v>
      </x:c>
      <x:c r="F16" s="19" t="n">
        <x:f>F15+E16</x:f>
        <x:v>-495000</x:v>
      </x:c>
      <x:c r="G16" s="20" t="n">
        <x:v>35</x:v>
      </x:c>
      <x:c r="H16" s="20" t="n">
        <x:v>128</x:v>
      </x:c>
      <x:c r="I16" s="19" t="n">
        <x:v>-90000</x:v>
      </x:c>
      <x:c r="J16" s="19" t="n">
        <x:v>261000</x:v>
      </x:c>
      <x:c r="K16" s="20" t="n">
        <x:v>21</x:v>
      </x:c>
    </x:row>
    <x:row r="17" ht="23" customHeight="1">
      <x:c r="A17" s="2" t="str">
        <x:v>2026-10-05_Night</x:v>
      </x:c>
      <x:c r="B17" s="2" t="str">
        <x:v>下落</x:v>
      </x:c>
      <x:c r="C17" s="19" t="n">
        <x:v>248000</x:v>
      </x:c>
      <x:c r="D17" s="19" t="n">
        <x:v>414000</x:v>
      </x:c>
      <x:c r="E17" s="19" t="n">
        <x:f>C17-D17</x:f>
        <x:v>-166000</x:v>
      </x:c>
      <x:c r="F17" s="19" t="n">
        <x:f>F16+E17</x:f>
        <x:v>-661000</x:v>
      </x:c>
      <x:c r="G17" s="20" t="n">
        <x:v>18</x:v>
      </x:c>
      <x:c r="H17" s="20" t="n">
        <x:v>69</x:v>
      </x:c>
      <x:c r="I17" s="19" t="n">
        <x:v>-200000</x:v>
      </x:c>
      <x:c r="J17" s="19" t="n">
        <x:v>34000</x:v>
      </x:c>
      <x:c r="K17" s="20" t="n">
        <x:v>13</x:v>
      </x:c>
    </x:row>
    <x:row r="18" ht="23" customHeight="1">
      <x:c r="A18" s="2" t="str">
        <x:v>2026-10-06_Night</x:v>
      </x:c>
      <x:c r="B18" s="2" t="str">
        <x:v>下落</x:v>
      </x:c>
      <x:c r="C18" s="19" t="n">
        <x:v>198000</x:v>
      </x:c>
      <x:c r="D18" s="19" t="n">
        <x:v>318000</x:v>
      </x:c>
      <x:c r="E18" s="19" t="n">
        <x:f>C18-D18</x:f>
        <x:v>-120000</x:v>
      </x:c>
      <x:c r="F18" s="19" t="n">
        <x:f>F17+E18</x:f>
        <x:v>-781000</x:v>
      </x:c>
      <x:c r="G18" s="20" t="n">
        <x:v>16</x:v>
      </x:c>
      <x:c r="H18" s="20" t="n">
        <x:v>68</x:v>
      </x:c>
      <x:c r="I18" s="19" t="n">
        <x:v>-110000</x:v>
      </x:c>
      <x:c r="J18" s="19" t="n">
        <x:v>-10000</x:v>
      </x:c>
      <x:c r="K18" s="20" t="n">
        <x:v>10</x:v>
      </x:c>
    </x:row>
    <x:row r="19" ht="23" customHeight="1">
      <x:c r="A19" s="2" t="str">
        <x:v>2026-10-07_Night</x:v>
      </x:c>
      <x:c r="B19" s="2" t="str">
        <x:v>下落</x:v>
      </x:c>
      <x:c r="C19" s="19" t="n">
        <x:v>45000</x:v>
      </x:c>
      <x:c r="D19" s="19" t="n">
        <x:v>437000</x:v>
      </x:c>
      <x:c r="E19" s="19" t="n">
        <x:f>C19-D19</x:f>
        <x:v>-392000</x:v>
      </x:c>
      <x:c r="F19" s="19" t="n">
        <x:f>F18+E19</x:f>
        <x:v>-1173000</x:v>
      </x:c>
      <x:c r="G19" s="20" t="n">
        <x:v>15</x:v>
      </x:c>
      <x:c r="H19" s="20" t="n">
        <x:v>67</x:v>
      </x:c>
      <x:c r="I19" s="19" t="n">
        <x:v>-370000</x:v>
      </x:c>
      <x:c r="J19" s="19" t="n">
        <x:v>-22000</x:v>
      </x:c>
      <x:c r="K19" s="20" t="n">
        <x:v>11</x:v>
      </x:c>
    </x:row>
    <x:row r="20" ht="23" customHeight="1">
      <x:c r="A20" s="2" t="str">
        <x:v>2026-10-08_Night</x:v>
      </x:c>
      <x:c r="B20" s="2" t="str">
        <x:v>下落</x:v>
      </x:c>
      <x:c r="C20" s="19" t="n">
        <x:v>425000</x:v>
      </x:c>
      <x:c r="D20" s="19" t="n">
        <x:v>460000</x:v>
      </x:c>
      <x:c r="E20" s="19" t="n">
        <x:f>C20-D20</x:f>
        <x:v>-35000</x:v>
      </x:c>
      <x:c r="F20" s="19" t="n">
        <x:f>F19+E20</x:f>
        <x:v>-1208000</x:v>
      </x:c>
      <x:c r="G20" s="20" t="n">
        <x:v>33</x:v>
      </x:c>
      <x:c r="H20" s="20" t="n">
        <x:v>118</x:v>
      </x:c>
      <x:c r="I20" s="19" t="n">
        <x:v>-345000</x:v>
      </x:c>
      <x:c r="J20" s="19" t="n">
        <x:v>310000</x:v>
      </x:c>
      <x:c r="K20" s="20" t="n">
        <x:v>22</x:v>
      </x:c>
    </x:row>
    <x:row r="21" ht="23" customHeight="1">
      <x:c r="A21" s="2" t="str">
        <x:v>2026-10-09_Night</x:v>
      </x:c>
      <x:c r="B21" s="2" t="str">
        <x:v>下落</x:v>
      </x:c>
      <x:c r="C21" s="19" t="n">
        <x:v>129000</x:v>
      </x:c>
      <x:c r="D21" s="19" t="n">
        <x:v>65000</x:v>
      </x:c>
      <x:c r="E21" s="19" t="n">
        <x:f>C21-D21</x:f>
        <x:v>64000</x:v>
      </x:c>
      <x:c r="F21" s="19" t="n">
        <x:f>F20+E21</x:f>
        <x:v>-1144000</x:v>
      </x:c>
      <x:c r="G21" s="20" t="n">
        <x:v>10</x:v>
      </x:c>
      <x:c r="H21" s="20" t="n">
        <x:v>50</x:v>
      </x:c>
      <x:c r="I21" s="19" t="n">
        <x:v>50000</x:v>
      </x:c>
      <x:c r="J21" s="19" t="n">
        <x:v>14000</x:v>
      </x:c>
      <x:c r="K21" s="20" t="n">
        <x:v>6</x:v>
      </x:c>
    </x:row>
    <x:row r="22" ht="23" customHeight="1">
      <x:c r="A22" s="2" t="str">
        <x:v>2026-10-12_Night</x:v>
      </x:c>
      <x:c r="B22" s="2" t="str">
        <x:v>下落</x:v>
      </x:c>
      <x:c r="C22" s="19" t="n">
        <x:v>107000</x:v>
      </x:c>
      <x:c r="D22" s="19" t="n">
        <x:v>100000</x:v>
      </x:c>
      <x:c r="E22" s="19" t="n">
        <x:f>C22-D22</x:f>
        <x:v>7000</x:v>
      </x:c>
      <x:c r="F22" s="19" t="n">
        <x:f>F21+E22</x:f>
        <x:v>-1137000</x:v>
      </x:c>
      <x:c r="G22" s="20" t="n">
        <x:v>5</x:v>
      </x:c>
      <x:c r="H22" s="20" t="n">
        <x:v>25</x:v>
      </x:c>
      <x:c r="I22" s="19" t="n">
        <x:v>-75000</x:v>
      </x:c>
      <x:c r="J22" s="19" t="n">
        <x:v>82000</x:v>
      </x:c>
      <x:c r="K22" s="20" t="n">
        <x:v>4</x:v>
      </x:c>
    </x:row>
    <x:row r="23" ht="23" customHeight="1">
      <x:c r="A23" s="2" t="str">
        <x:v>2026-10-13_Night</x:v>
      </x:c>
      <x:c r="B23" s="2" t="str">
        <x:v>上昇</x:v>
      </x:c>
      <x:c r="C23" s="19" t="n">
        <x:v>55000</x:v>
      </x:c>
      <x:c r="D23" s="19" t="n">
        <x:v>98000</x:v>
      </x:c>
      <x:c r="E23" s="19" t="n">
        <x:f>C23-D23</x:f>
        <x:v>-43000</x:v>
      </x:c>
      <x:c r="F23" s="19" t="n">
        <x:f>F22+E23</x:f>
        <x:v>-1180000</x:v>
      </x:c>
      <x:c r="G23" s="20" t="n">
        <x:v>5</x:v>
      </x:c>
      <x:c r="H23" s="20" t="n">
        <x:v>21</x:v>
      </x:c>
      <x:c r="I23" s="19" t="n">
        <x:v>10000</x:v>
      </x:c>
      <x:c r="J23" s="19" t="n">
        <x:v>-53000</x:v>
      </x:c>
      <x:c r="K23" s="20" t="n">
        <x:v>4</x:v>
      </x:c>
    </x:row>
    <x:row r="24" ht="23" customHeight="1">
      <x:c r="A24" s="2" t="str">
        <x:v>2026-10-14_Night</x:v>
      </x:c>
      <x:c r="B24" s="2" t="str">
        <x:v>下落</x:v>
      </x:c>
      <x:c r="C24" s="19" t="n">
        <x:v>197000</x:v>
      </x:c>
      <x:c r="D24" s="19" t="n">
        <x:v>741000</x:v>
      </x:c>
      <x:c r="E24" s="19" t="n">
        <x:f>C24-D24</x:f>
        <x:v>-544000</x:v>
      </x:c>
      <x:c r="F24" s="19" t="n">
        <x:f>F23+E24</x:f>
        <x:v>-1724000</x:v>
      </x:c>
      <x:c r="G24" s="20" t="n">
        <x:v>17</x:v>
      </x:c>
      <x:c r="H24" s="20" t="n">
        <x:v>74</x:v>
      </x:c>
      <x:c r="I24" s="19" t="n">
        <x:v>-680000</x:v>
      </x:c>
      <x:c r="J24" s="19" t="n">
        <x:v>136000</x:v>
      </x:c>
      <x:c r="K24" s="20" t="n">
        <x:v>12</x:v>
      </x:c>
    </x:row>
    <x:row r="25" ht="23" customHeight="1">
      <x:c r="A25" s="2" t="str">
        <x:v>2026-10-15_Night</x:v>
      </x:c>
      <x:c r="B25" s="2" t="str">
        <x:v>上昇</x:v>
      </x:c>
      <x:c r="C25" s="19" t="n">
        <x:v>216000</x:v>
      </x:c>
      <x:c r="D25" s="19" t="n">
        <x:v>715000</x:v>
      </x:c>
      <x:c r="E25" s="19" t="n">
        <x:f>C25-D25</x:f>
        <x:v>-499000</x:v>
      </x:c>
      <x:c r="F25" s="19" t="n">
        <x:f>F24+E25</x:f>
        <x:v>-2223000</x:v>
      </x:c>
      <x:c r="G25" s="20" t="n">
        <x:v>31</x:v>
      </x:c>
      <x:c r="H25" s="20" t="n">
        <x:v>109</x:v>
      </x:c>
      <x:c r="I25" s="19" t="n">
        <x:v>-595000</x:v>
      </x:c>
      <x:c r="J25" s="19" t="n">
        <x:v>96000</x:v>
      </x:c>
      <x:c r="K25" s="20" t="n">
        <x:v>21</x:v>
      </x:c>
    </x:row>
    <x:row r="26" ht="23" customHeight="1">
      <x:c r="A26" s="2" t="str">
        <x:v>2026-10-16_Night</x:v>
      </x:c>
      <x:c r="B26" s="2" t="str">
        <x:v>下落</x:v>
      </x:c>
      <x:c r="C26" s="19" t="n">
        <x:v>168000</x:v>
      </x:c>
      <x:c r="D26" s="19" t="n">
        <x:v>577000</x:v>
      </x:c>
      <x:c r="E26" s="19" t="n">
        <x:f>C26-D26</x:f>
        <x:v>-409000</x:v>
      </x:c>
      <x:c r="F26" s="19" t="n">
        <x:f>F25+E26</x:f>
        <x:v>-2632000</x:v>
      </x:c>
      <x:c r="G26" s="20" t="n">
        <x:v>25</x:v>
      </x:c>
      <x:c r="H26" s="20" t="n">
        <x:v>87</x:v>
      </x:c>
      <x:c r="I26" s="19" t="n">
        <x:v>-420000</x:v>
      </x:c>
      <x:c r="J26" s="19" t="n">
        <x:v>11000</x:v>
      </x:c>
      <x:c r="K26" s="20" t="n">
        <x:v>21</x:v>
      </x:c>
    </x:row>
    <x:row r="27" ht="23" customHeight="1">
      <x:c r="A27" s="2" t="str">
        <x:v>2026-10-19_Night</x:v>
      </x:c>
      <x:c r="B27" s="2" t="str">
        <x:v>上昇</x:v>
      </x:c>
      <x:c r="C27" s="19" t="n">
        <x:v>198000</x:v>
      </x:c>
      <x:c r="D27" s="19" t="n">
        <x:v>248000</x:v>
      </x:c>
      <x:c r="E27" s="19" t="n">
        <x:f>C27-D27</x:f>
        <x:v>-50000</x:v>
      </x:c>
      <x:c r="F27" s="19" t="n">
        <x:f>F26+E27</x:f>
        <x:v>-2682000</x:v>
      </x:c>
      <x:c r="G27" s="20" t="n">
        <x:v>28</x:v>
      </x:c>
      <x:c r="H27" s="20" t="n">
        <x:v>93</x:v>
      </x:c>
      <x:c r="I27" s="19" t="n">
        <x:v>-65000</x:v>
      </x:c>
      <x:c r="J27" s="19" t="n">
        <x:v>15000</x:v>
      </x:c>
      <x:c r="K27" s="20" t="n">
        <x:v>18</x:v>
      </x:c>
    </x:row>
    <x:row r="28" ht="23" customHeight="1">
      <x:c r="A28" s="2" t="str">
        <x:v>2026-10-20_Night</x:v>
      </x:c>
      <x:c r="B28" s="2" t="str">
        <x:v>上昇</x:v>
      </x:c>
      <x:c r="C28" s="19" t="n">
        <x:v>1052000</x:v>
      </x:c>
      <x:c r="D28" s="19" t="n">
        <x:v>719000</x:v>
      </x:c>
      <x:c r="E28" s="19" t="n">
        <x:f>C28-D28</x:f>
        <x:v>333000</x:v>
      </x:c>
      <x:c r="F28" s="19" t="n">
        <x:f>F27+E28</x:f>
        <x:v>-2349000</x:v>
      </x:c>
      <x:c r="G28" s="20" t="n">
        <x:v>36</x:v>
      </x:c>
      <x:c r="H28" s="20" t="n">
        <x:v>144</x:v>
      </x:c>
      <x:c r="I28" s="19" t="n">
        <x:v>-145000</x:v>
      </x:c>
      <x:c r="J28" s="19" t="n">
        <x:v>478000</x:v>
      </x:c>
      <x:c r="K28" s="20" t="n">
        <x:v>23</x:v>
      </x:c>
    </x:row>
    <x:row r="29" ht="23" customHeight="1">
      <x:c r="A29" s="2" t="str">
        <x:v>2026-10-21_Night</x:v>
      </x:c>
      <x:c r="B29" s="2" t="str">
        <x:v>上昇</x:v>
      </x:c>
      <x:c r="C29" s="19" t="n">
        <x:v>516000</x:v>
      </x:c>
      <x:c r="D29" s="19" t="n">
        <x:v>150000</x:v>
      </x:c>
      <x:c r="E29" s="19" t="n">
        <x:f>C29-D29</x:f>
        <x:v>366000</x:v>
      </x:c>
      <x:c r="F29" s="19" t="n">
        <x:f>F28+E29</x:f>
        <x:v>-1983000</x:v>
      </x:c>
      <x:c r="G29" s="20" t="n">
        <x:v>16</x:v>
      </x:c>
      <x:c r="H29" s="20" t="n">
        <x:v>72</x:v>
      </x:c>
      <x:c r="I29" s="19" t="n">
        <x:v>390000</x:v>
      </x:c>
      <x:c r="J29" s="19" t="n">
        <x:v>-24000</x:v>
      </x:c>
      <x:c r="K29" s="20" t="n">
        <x:v>10</x:v>
      </x:c>
    </x:row>
    <x:row r="30" ht="23" customHeight="1">
      <x:c r="A30" s="2" t="str">
        <x:v>2026-10-22_Night</x:v>
      </x:c>
      <x:c r="B30" s="2" t="str">
        <x:v>下落</x:v>
      </x:c>
      <x:c r="C30" s="19" t="n">
        <x:v>160000</x:v>
      </x:c>
      <x:c r="D30" s="19" t="n">
        <x:v>488000</x:v>
      </x:c>
      <x:c r="E30" s="19" t="n">
        <x:f>C30-D30</x:f>
        <x:v>-328000</x:v>
      </x:c>
      <x:c r="F30" s="19" t="n">
        <x:f>F29+E30</x:f>
        <x:v>-2311000</x:v>
      </x:c>
      <x:c r="G30" s="20" t="n">
        <x:v>21</x:v>
      </x:c>
      <x:c r="H30" s="20" t="n">
        <x:v>85</x:v>
      </x:c>
      <x:c r="I30" s="19" t="n">
        <x:v>-405000</x:v>
      </x:c>
      <x:c r="J30" s="19" t="n">
        <x:v>77000</x:v>
      </x:c>
      <x:c r="K30" s="20" t="n">
        <x:v>15</x:v>
      </x:c>
    </x:row>
    <x:row r="31" ht="23" customHeight="1">
      <x:c r="A31" s="2" t="str">
        <x:v>2026-10-23_Night</x:v>
      </x:c>
      <x:c r="B31" s="2" t="str">
        <x:v>上昇</x:v>
      </x:c>
      <x:c r="C31" s="19" t="n">
        <x:v>247000</x:v>
      </x:c>
      <x:c r="D31" s="19" t="n">
        <x:v>277000</x:v>
      </x:c>
      <x:c r="E31" s="19" t="n">
        <x:f>C31-D31</x:f>
        <x:v>-30000</x:v>
      </x:c>
      <x:c r="F31" s="19" t="n">
        <x:f>F30+E31</x:f>
        <x:v>-2341000</x:v>
      </x:c>
      <x:c r="G31" s="20" t="n">
        <x:v>18</x:v>
      </x:c>
      <x:c r="H31" s="20" t="n">
        <x:v>71</x:v>
      </x:c>
      <x:c r="I31" s="19" t="n">
        <x:v>-45000</x:v>
      </x:c>
      <x:c r="J31" s="19" t="n">
        <x:v>15000</x:v>
      </x:c>
      <x:c r="K31" s="20" t="n">
        <x:v>12</x:v>
      </x:c>
    </x:row>
    <x:row r="32" ht="23" customHeight="1">
      <x:c r="A32" s="24" t="str">
        <x:v>25夜累計</x:v>
      </x:c>
      <x:c r="B32" s="24"/>
      <x:c r="C32" s="25" t="n">
        <x:f>SUM(C7:C31)</x:f>
        <x:v>6121000</x:v>
      </x:c>
      <x:c r="D32" s="25" t="n">
        <x:f>SUM(D7:D31)</x:f>
        <x:v>8462000</x:v>
      </x:c>
      <x:c r="E32" s="25" t="n">
        <x:f>C32-D32</x:f>
        <x:v>-2341000</x:v>
      </x:c>
      <x:c r="F32" s="25" t="n">
        <x:f>F31</x:f>
        <x:v>-2341000</x:v>
      </x:c>
      <x:c r="G32" s="26" t="n">
        <x:f>SUM(G7:G31)</x:f>
        <x:v>462</x:v>
      </x:c>
      <x:c r="H32" s="26" t="n">
        <x:f>SUM(H7:H31)</x:f>
        <x:v>1843</x:v>
      </x:c>
      <x:c r="I32" s="25" t="n">
        <x:f>SUM(I7:I31)</x:f>
        <x:v>-3895000</x:v>
      </x:c>
      <x:c r="J32" s="25" t="n">
        <x:f>SUM(J7:J31)</x:f>
        <x:v>1554000</x:v>
      </x:c>
      <x:c r="K32" s="26" t="n">
        <x:f>SUM(K7:K31)</x:f>
        <x:v>319</x:v>
      </x:c>
    </x:row>
    <x:row r="33" ht="23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</x:row>
  </x:sheetData>
  <x:conditionalFormatting sqref="C7:F32">
    <x:cfRule type="cellIs" dxfId="42" priority="1" operator="lessThan">
      <x:formula>0</x:formula>
    </x:cfRule>
  </x:conditionalFormatting>
  <x:conditionalFormatting sqref="I7:J32">
    <x:cfRule type="cellIs" dxfId="43" priority="2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271135e3a28495b"/>
  </x:tableParts>
</x:worksheet>
</file>

<file path=xl/worksheets/sheet24.xml><?xml version="1.0" encoding="utf-8"?>
<x:worksheet xmlns:x="http://schemas.openxmlformats.org/spreadsheetml/2006/main">
  <x:sheetPr>
    <x:tabColor rgb="FF244A70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8" hidden="0" customWidth="1"/>
    <x:col min="2" max="2" width="14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23" customHeight="1">
      <x:c r="A2" s="4" t="str">
        <x:v>Q06　全夜間の利益・損失・収支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</x:row>
    <x:row r="3" ht="23" customHeight="1">
      <x:c r="A3" s="6" t="str">
        <x:v>日経mini・片方向上限10枚・手数料0円・気配差込み。利益と損失は完結した親取引の収支を分類。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 ht="23" customHeight="1">
      <x:c r="A4" s="6" t="str">
        <x:v>2026/09/21～10/23の既知25夜。前段は米国開始15分前まで、後段は米国開始15分後から。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</x:row>
    <x:row r="5" ht="23" customHeight="1">
      <x:c r="A5" s="6" t="str">
        <x:v>方向一致後40pt押し・30pt再反発で入る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</x:row>
    <x:row r="6" ht="40" customHeight="1">
      <x:c r="A6" s="15" t="str">
        <x:v>セッション</x:v>
      </x:c>
      <x:c r="B6" s="16" t="str">
        <x:v>始終値方向</x:v>
      </x:c>
      <x:c r="C6" s="16" t="str">
        <x:v>利益（円）</x:v>
      </x:c>
      <x:c r="D6" s="16" t="str">
        <x:v>損失（円）</x:v>
      </x:c>
      <x:c r="E6" s="16" t="str">
        <x:v>収支（円）</x:v>
      </x:c>
      <x:c r="F6" s="16" t="str">
        <x:v>累計（円）</x:v>
      </x:c>
      <x:c r="G6" s="16" t="str">
        <x:v>新規件数</x:v>
      </x:c>
      <x:c r="H6" s="16" t="str">
        <x:v>新規合計枚数</x:v>
      </x:c>
      <x:c r="I6" s="16" t="str">
        <x:v>前段収支（円）</x:v>
      </x:c>
      <x:c r="J6" s="16" t="str">
        <x:v>後段収支（円）</x:v>
      </x:c>
      <x:c r="K6" s="17" t="str">
        <x:v>親取引数</x:v>
      </x:c>
    </x:row>
    <x:row r="7" ht="23" customHeight="1">
      <x:c r="A7" s="2" t="str">
        <x:v>2026-09-21_Night</x:v>
      </x:c>
      <x:c r="B7" s="2" t="str">
        <x:v>上昇</x:v>
      </x:c>
      <x:c r="C7" s="19" t="n">
        <x:v>0</x:v>
      </x:c>
      <x:c r="D7" s="19" t="n">
        <x:v>45000</x:v>
      </x:c>
      <x:c r="E7" s="19" t="n">
        <x:f>C7-D7</x:f>
        <x:v>-45000</x:v>
      </x:c>
      <x:c r="F7" s="19" t="n">
        <x:f>E7</x:f>
        <x:v>-45000</x:v>
      </x:c>
      <x:c r="G7" s="20" t="n">
        <x:v>1</x:v>
      </x:c>
      <x:c r="H7" s="20" t="n">
        <x:v>5</x:v>
      </x:c>
      <x:c r="I7" s="19" t="n">
        <x:v>0</x:v>
      </x:c>
      <x:c r="J7" s="19" t="n">
        <x:v>-45000</x:v>
      </x:c>
      <x:c r="K7" s="20" t="n">
        <x:v>1</x:v>
      </x:c>
    </x:row>
    <x:row r="8" ht="23" customHeight="1">
      <x:c r="A8" s="2" t="str">
        <x:v>2026-09-22_Night</x:v>
      </x:c>
      <x:c r="B8" s="2" t="str">
        <x:v>上昇</x:v>
      </x:c>
      <x:c r="C8" s="19" t="n">
        <x:v>304000</x:v>
      </x:c>
      <x:c r="D8" s="19" t="n">
        <x:v>190000</x:v>
      </x:c>
      <x:c r="E8" s="19" t="n">
        <x:f>C8-D8</x:f>
        <x:v>114000</x:v>
      </x:c>
      <x:c r="F8" s="19" t="n">
        <x:f>F7+E8</x:f>
        <x:v>69000</x:v>
      </x:c>
      <x:c r="G8" s="20" t="n">
        <x:v>12</x:v>
      </x:c>
      <x:c r="H8" s="20" t="n">
        <x:v>60</x:v>
      </x:c>
      <x:c r="I8" s="19" t="n">
        <x:v>90000</x:v>
      </x:c>
      <x:c r="J8" s="19" t="n">
        <x:v>24000</x:v>
      </x:c>
      <x:c r="K8" s="20" t="n">
        <x:v>8</x:v>
      </x:c>
    </x:row>
    <x:row r="9" ht="23" customHeight="1">
      <x:c r="A9" s="2" t="str">
        <x:v>2026-09-23_Night</x:v>
      </x:c>
      <x:c r="B9" s="2" t="str">
        <x:v>下落</x:v>
      </x:c>
      <x:c r="C9" s="19" t="n">
        <x:v>4000</x:v>
      </x:c>
      <x:c r="D9" s="19" t="n">
        <x:v>100000</x:v>
      </x:c>
      <x:c r="E9" s="19" t="n">
        <x:f>C9-D9</x:f>
        <x:v>-96000</x:v>
      </x:c>
      <x:c r="F9" s="19" t="n">
        <x:f>F8+E9</x:f>
        <x:v>-27000</x:v>
      </x:c>
      <x:c r="G9" s="20" t="n">
        <x:v>5</x:v>
      </x:c>
      <x:c r="H9" s="20" t="n">
        <x:v>17</x:v>
      </x:c>
      <x:c r="I9" s="19" t="n">
        <x:v>-60000</x:v>
      </x:c>
      <x:c r="J9" s="19" t="n">
        <x:v>-36000</x:v>
      </x:c>
      <x:c r="K9" s="20" t="n">
        <x:v>4</x:v>
      </x:c>
    </x:row>
    <x:row r="10" ht="23" customHeight="1">
      <x:c r="A10" s="2" t="str">
        <x:v>2026-09-24_Night</x:v>
      </x:c>
      <x:c r="B10" s="2" t="str">
        <x:v>下落</x:v>
      </x:c>
      <x:c r="C10" s="19" t="n">
        <x:v>30000</x:v>
      </x:c>
      <x:c r="D10" s="19" t="n">
        <x:v>330000</x:v>
      </x:c>
      <x:c r="E10" s="19" t="n">
        <x:f>C10-D10</x:f>
        <x:v>-300000</x:v>
      </x:c>
      <x:c r="F10" s="19" t="n">
        <x:f>F9+E10</x:f>
        <x:v>-327000</x:v>
      </x:c>
      <x:c r="G10" s="20" t="n">
        <x:v>19</x:v>
      </x:c>
      <x:c r="H10" s="20" t="n">
        <x:v>87</x:v>
      </x:c>
      <x:c r="I10" s="19" t="n">
        <x:v>-320000</x:v>
      </x:c>
      <x:c r="J10" s="19" t="n">
        <x:v>20000</x:v>
      </x:c>
      <x:c r="K10" s="20" t="n">
        <x:v>12</x:v>
      </x:c>
    </x:row>
    <x:row r="11" ht="23" customHeight="1">
      <x:c r="A11" s="2" t="str">
        <x:v>2026-09-25_Night</x:v>
      </x:c>
      <x:c r="B11" s="2" t="str">
        <x:v>上昇</x:v>
      </x:c>
      <x:c r="C11" s="19" t="n">
        <x:v>22000</x:v>
      </x:c>
      <x:c r="D11" s="19" t="n">
        <x:v>246000</x:v>
      </x:c>
      <x:c r="E11" s="19" t="n">
        <x:f>C11-D11</x:f>
        <x:v>-224000</x:v>
      </x:c>
      <x:c r="F11" s="19" t="n">
        <x:f>F10+E11</x:f>
        <x:v>-551000</x:v>
      </x:c>
      <x:c r="G11" s="20" t="n">
        <x:v>9</x:v>
      </x:c>
      <x:c r="H11" s="20" t="n">
        <x:v>41</x:v>
      </x:c>
      <x:c r="I11" s="19" t="n">
        <x:v>-225000</x:v>
      </x:c>
      <x:c r="J11" s="19" t="n">
        <x:v>1000</x:v>
      </x:c>
      <x:c r="K11" s="20" t="n">
        <x:v>6</x:v>
      </x:c>
    </x:row>
    <x:row r="12" ht="23" customHeight="1">
      <x:c r="A12" s="2" t="str">
        <x:v>2026-09-28_Night</x:v>
      </x:c>
      <x:c r="B12" s="2" t="str">
        <x:v>下落</x:v>
      </x:c>
      <x:c r="C12" s="19" t="n">
        <x:v>41000</x:v>
      </x:c>
      <x:c r="D12" s="19" t="n">
        <x:v>418000</x:v>
      </x:c>
      <x:c r="E12" s="19" t="n">
        <x:f>C12-D12</x:f>
        <x:v>-377000</x:v>
      </x:c>
      <x:c r="F12" s="19" t="n">
        <x:f>F11+E12</x:f>
        <x:v>-928000</x:v>
      </x:c>
      <x:c r="G12" s="20" t="n">
        <x:v>18</x:v>
      </x:c>
      <x:c r="H12" s="20" t="n">
        <x:v>72</x:v>
      </x:c>
      <x:c r="I12" s="19" t="n">
        <x:v>-330000</x:v>
      </x:c>
      <x:c r="J12" s="19" t="n">
        <x:v>-47000</x:v>
      </x:c>
      <x:c r="K12" s="20" t="n">
        <x:v>12</x:v>
      </x:c>
    </x:row>
    <x:row r="13" ht="23" customHeight="1">
      <x:c r="A13" s="2" t="str">
        <x:v>2026-09-29_Night</x:v>
      </x:c>
      <x:c r="B13" s="2" t="str">
        <x:v>上昇</x:v>
      </x:c>
      <x:c r="C13" s="19" t="n">
        <x:v>87000</x:v>
      </x:c>
      <x:c r="D13" s="19" t="n">
        <x:v>187000</x:v>
      </x:c>
      <x:c r="E13" s="19" t="n">
        <x:f>C13-D13</x:f>
        <x:v>-100000</x:v>
      </x:c>
      <x:c r="F13" s="19" t="n">
        <x:f>F12+E13</x:f>
        <x:v>-1028000</x:v>
      </x:c>
      <x:c r="G13" s="20" t="n">
        <x:v>11</x:v>
      </x:c>
      <x:c r="H13" s="20" t="n">
        <x:v>39</x:v>
      </x:c>
      <x:c r="I13" s="19" t="n">
        <x:v>-165000</x:v>
      </x:c>
      <x:c r="J13" s="19" t="n">
        <x:v>65000</x:v>
      </x:c>
      <x:c r="K13" s="20" t="n">
        <x:v>9</x:v>
      </x:c>
    </x:row>
    <x:row r="14" ht="23" customHeight="1">
      <x:c r="A14" s="2" t="str">
        <x:v>2026-09-30_Night</x:v>
      </x:c>
      <x:c r="B14" s="2" t="str">
        <x:v>下落</x:v>
      </x:c>
      <x:c r="C14" s="19" t="n">
        <x:v>163000</x:v>
      </x:c>
      <x:c r="D14" s="19" t="n">
        <x:v>455000</x:v>
      </x:c>
      <x:c r="E14" s="19" t="n">
        <x:f>C14-D14</x:f>
        <x:v>-292000</x:v>
      </x:c>
      <x:c r="F14" s="19" t="n">
        <x:f>F13+E14</x:f>
        <x:v>-1320000</x:v>
      </x:c>
      <x:c r="G14" s="20" t="n">
        <x:v>22</x:v>
      </x:c>
      <x:c r="H14" s="20" t="n">
        <x:v>102</x:v>
      </x:c>
      <x:c r="I14" s="19" t="n">
        <x:v>-335000</x:v>
      </x:c>
      <x:c r="J14" s="19" t="n">
        <x:v>43000</x:v>
      </x:c>
      <x:c r="K14" s="20" t="n">
        <x:v>14</x:v>
      </x:c>
    </x:row>
    <x:row r="15" ht="23" customHeight="1">
      <x:c r="A15" s="2" t="str">
        <x:v>2026-10-01_Night</x:v>
      </x:c>
      <x:c r="B15" s="2" t="str">
        <x:v>上昇</x:v>
      </x:c>
      <x:c r="C15" s="19" t="n">
        <x:v>560000</x:v>
      </x:c>
      <x:c r="D15" s="19" t="n">
        <x:v>286000</x:v>
      </x:c>
      <x:c r="E15" s="19" t="n">
        <x:f>C15-D15</x:f>
        <x:v>274000</x:v>
      </x:c>
      <x:c r="F15" s="19" t="n">
        <x:f>F14+E15</x:f>
        <x:v>-1046000</x:v>
      </x:c>
      <x:c r="G15" s="20" t="n">
        <x:v>29</x:v>
      </x:c>
      <x:c r="H15" s="20" t="n">
        <x:v>104</x:v>
      </x:c>
      <x:c r="I15" s="19" t="n">
        <x:v>165000</x:v>
      </x:c>
      <x:c r="J15" s="19" t="n">
        <x:v>109000</x:v>
      </x:c>
      <x:c r="K15" s="20" t="n">
        <x:v>19</x:v>
      </x:c>
    </x:row>
    <x:row r="16" ht="23" customHeight="1">
      <x:c r="A16" s="2" t="str">
        <x:v>2026-10-02_Night</x:v>
      </x:c>
      <x:c r="B16" s="2" t="str">
        <x:v>上昇</x:v>
      </x:c>
      <x:c r="C16" s="19" t="n">
        <x:v>514000</x:v>
      </x:c>
      <x:c r="D16" s="19" t="n">
        <x:v>348000</x:v>
      </x:c>
      <x:c r="E16" s="19" t="n">
        <x:f>C16-D16</x:f>
        <x:v>166000</x:v>
      </x:c>
      <x:c r="F16" s="19" t="n">
        <x:f>F15+E16</x:f>
        <x:v>-880000</x:v>
      </x:c>
      <x:c r="G16" s="20" t="n">
        <x:v>33</x:v>
      </x:c>
      <x:c r="H16" s="20" t="n">
        <x:v>118</x:v>
      </x:c>
      <x:c r="I16" s="19" t="n">
        <x:v>-95000</x:v>
      </x:c>
      <x:c r="J16" s="19" t="n">
        <x:v>261000</x:v>
      </x:c>
      <x:c r="K16" s="20" t="n">
        <x:v>22</x:v>
      </x:c>
    </x:row>
    <x:row r="17" ht="23" customHeight="1">
      <x:c r="A17" s="2" t="str">
        <x:v>2026-10-05_Night</x:v>
      </x:c>
      <x:c r="B17" s="2" t="str">
        <x:v>下落</x:v>
      </x:c>
      <x:c r="C17" s="19" t="n">
        <x:v>253000</x:v>
      </x:c>
      <x:c r="D17" s="19" t="n">
        <x:v>294000</x:v>
      </x:c>
      <x:c r="E17" s="19" t="n">
        <x:f>C17-D17</x:f>
        <x:v>-41000</x:v>
      </x:c>
      <x:c r="F17" s="19" t="n">
        <x:f>F16+E17</x:f>
        <x:v>-921000</x:v>
      </x:c>
      <x:c r="G17" s="20" t="n">
        <x:v>15</x:v>
      </x:c>
      <x:c r="H17" s="20" t="n">
        <x:v>54</x:v>
      </x:c>
      <x:c r="I17" s="19" t="n">
        <x:v>-75000</x:v>
      </x:c>
      <x:c r="J17" s="19" t="n">
        <x:v>34000</x:v>
      </x:c>
      <x:c r="K17" s="20" t="n">
        <x:v>12</x:v>
      </x:c>
    </x:row>
    <x:row r="18" ht="23" customHeight="1">
      <x:c r="A18" s="2" t="str">
        <x:v>2026-10-06_Night</x:v>
      </x:c>
      <x:c r="B18" s="2" t="str">
        <x:v>下落</x:v>
      </x:c>
      <x:c r="C18" s="19" t="n">
        <x:v>33000</x:v>
      </x:c>
      <x:c r="D18" s="19" t="n">
        <x:v>48000</x:v>
      </x:c>
      <x:c r="E18" s="19" t="n">
        <x:f>C18-D18</x:f>
        <x:v>-15000</x:v>
      </x:c>
      <x:c r="F18" s="19" t="n">
        <x:f>F17+E18</x:f>
        <x:v>-936000</x:v>
      </x:c>
      <x:c r="G18" s="20" t="n">
        <x:v>5</x:v>
      </x:c>
      <x:c r="H18" s="20" t="n">
        <x:v>13</x:v>
      </x:c>
      <x:c r="I18" s="19" t="n">
        <x:v>-5000</x:v>
      </x:c>
      <x:c r="J18" s="19" t="n">
        <x:v>-10000</x:v>
      </x:c>
      <x:c r="K18" s="20" t="n">
        <x:v>4</x:v>
      </x:c>
    </x:row>
    <x:row r="19" ht="23" customHeight="1">
      <x:c r="A19" s="2" t="str">
        <x:v>2026-10-07_Night</x:v>
      </x:c>
      <x:c r="B19" s="2" t="str">
        <x:v>下落</x:v>
      </x:c>
      <x:c r="C19" s="19" t="n">
        <x:v>20000</x:v>
      </x:c>
      <x:c r="D19" s="19" t="n">
        <x:v>272000</x:v>
      </x:c>
      <x:c r="E19" s="19" t="n">
        <x:f>C19-D19</x:f>
        <x:v>-252000</x:v>
      </x:c>
      <x:c r="F19" s="19" t="n">
        <x:f>F18+E19</x:f>
        <x:v>-1188000</x:v>
      </x:c>
      <x:c r="G19" s="20" t="n">
        <x:v>10</x:v>
      </x:c>
      <x:c r="H19" s="20" t="n">
        <x:v>42</x:v>
      </x:c>
      <x:c r="I19" s="19" t="n">
        <x:v>-230000</x:v>
      </x:c>
      <x:c r="J19" s="19" t="n">
        <x:v>-22000</x:v>
      </x:c>
      <x:c r="K19" s="20" t="n">
        <x:v>8</x:v>
      </x:c>
    </x:row>
    <x:row r="20" ht="23" customHeight="1">
      <x:c r="A20" s="2" t="str">
        <x:v>2026-10-08_Night</x:v>
      </x:c>
      <x:c r="B20" s="2" t="str">
        <x:v>下落</x:v>
      </x:c>
      <x:c r="C20" s="19" t="n">
        <x:v>450000</x:v>
      </x:c>
      <x:c r="D20" s="19" t="n">
        <x:v>365000</x:v>
      </x:c>
      <x:c r="E20" s="19" t="n">
        <x:f>C20-D20</x:f>
        <x:v>85000</x:v>
      </x:c>
      <x:c r="F20" s="19" t="n">
        <x:f>F19+E20</x:f>
        <x:v>-1103000</x:v>
      </x:c>
      <x:c r="G20" s="20" t="n">
        <x:v>31</x:v>
      </x:c>
      <x:c r="H20" s="20" t="n">
        <x:v>108</x:v>
      </x:c>
      <x:c r="I20" s="19" t="n">
        <x:v>-225000</x:v>
      </x:c>
      <x:c r="J20" s="19" t="n">
        <x:v>310000</x:v>
      </x:c>
      <x:c r="K20" s="20" t="n">
        <x:v>22</x:v>
      </x:c>
    </x:row>
    <x:row r="21" ht="23" customHeight="1">
      <x:c r="A21" s="2" t="str">
        <x:v>2026-10-09_Night</x:v>
      </x:c>
      <x:c r="B21" s="2" t="str">
        <x:v>下落</x:v>
      </x:c>
      <x:c r="C21" s="19" t="n">
        <x:v>24000</x:v>
      </x:c>
      <x:c r="D21" s="19" t="n">
        <x:v>135000</x:v>
      </x:c>
      <x:c r="E21" s="19" t="n">
        <x:f>C21-D21</x:f>
        <x:v>-111000</x:v>
      </x:c>
      <x:c r="F21" s="19" t="n">
        <x:f>F20+E21</x:f>
        <x:v>-1214000</x:v>
      </x:c>
      <x:c r="G21" s="20" t="n">
        <x:v>12</x:v>
      </x:c>
      <x:c r="H21" s="20" t="n">
        <x:v>60</x:v>
      </x:c>
      <x:c r="I21" s="19" t="n">
        <x:v>-125000</x:v>
      </x:c>
      <x:c r="J21" s="19" t="n">
        <x:v>14000</x:v>
      </x:c>
      <x:c r="K21" s="20" t="n">
        <x:v>8</x:v>
      </x:c>
    </x:row>
    <x:row r="22" ht="23" customHeight="1">
      <x:c r="A22" s="2" t="str">
        <x:v>2026-10-12_Night</x:v>
      </x:c>
      <x:c r="B22" s="2" t="str">
        <x:v>下落</x:v>
      </x:c>
      <x:c r="C22" s="19" t="n">
        <x:v>82000</x:v>
      </x:c>
      <x:c r="D22" s="19" t="n">
        <x:v>125000</x:v>
      </x:c>
      <x:c r="E22" s="19" t="n">
        <x:f>C22-D22</x:f>
        <x:v>-43000</x:v>
      </x:c>
      <x:c r="F22" s="19" t="n">
        <x:f>F21+E22</x:f>
        <x:v>-1257000</x:v>
      </x:c>
      <x:c r="G22" s="20" t="n">
        <x:v>4</x:v>
      </x:c>
      <x:c r="H22" s="20" t="n">
        <x:v>20</x:v>
      </x:c>
      <x:c r="I22" s="19" t="n">
        <x:v>-125000</x:v>
      </x:c>
      <x:c r="J22" s="19" t="n">
        <x:v>82000</x:v>
      </x:c>
      <x:c r="K22" s="20" t="n">
        <x:v>4</x:v>
      </x:c>
    </x:row>
    <x:row r="23" ht="23" customHeight="1">
      <x:c r="A23" s="2" t="str">
        <x:v>2026-10-13_Night</x:v>
      </x:c>
      <x:c r="B23" s="2" t="str">
        <x:v>上昇</x:v>
      </x:c>
      <x:c r="C23" s="19" t="n">
        <x:v>55000</x:v>
      </x:c>
      <x:c r="D23" s="19" t="n">
        <x:v>238000</x:v>
      </x:c>
      <x:c r="E23" s="19" t="n">
        <x:f>C23-D23</x:f>
        <x:v>-183000</x:v>
      </x:c>
      <x:c r="F23" s="19" t="n">
        <x:f>F22+E23</x:f>
        <x:v>-1440000</x:v>
      </x:c>
      <x:c r="G23" s="20" t="n">
        <x:v>10</x:v>
      </x:c>
      <x:c r="H23" s="20" t="n">
        <x:v>46</x:v>
      </x:c>
      <x:c r="I23" s="19" t="n">
        <x:v>-130000</x:v>
      </x:c>
      <x:c r="J23" s="19" t="n">
        <x:v>-53000</x:v>
      </x:c>
      <x:c r="K23" s="20" t="n">
        <x:v>8</x:v>
      </x:c>
    </x:row>
    <x:row r="24" ht="23" customHeight="1">
      <x:c r="A24" s="2" t="str">
        <x:v>2026-10-14_Night</x:v>
      </x:c>
      <x:c r="B24" s="2" t="str">
        <x:v>下落</x:v>
      </x:c>
      <x:c r="C24" s="19" t="n">
        <x:v>197000</x:v>
      </x:c>
      <x:c r="D24" s="19" t="n">
        <x:v>541000</x:v>
      </x:c>
      <x:c r="E24" s="19" t="n">
        <x:f>C24-D24</x:f>
        <x:v>-344000</x:v>
      </x:c>
      <x:c r="F24" s="19" t="n">
        <x:f>F23+E24</x:f>
        <x:v>-1784000</x:v>
      </x:c>
      <x:c r="G24" s="20" t="n">
        <x:v>15</x:v>
      </x:c>
      <x:c r="H24" s="20" t="n">
        <x:v>64</x:v>
      </x:c>
      <x:c r="I24" s="19" t="n">
        <x:v>-480000</x:v>
      </x:c>
      <x:c r="J24" s="19" t="n">
        <x:v>136000</x:v>
      </x:c>
      <x:c r="K24" s="20" t="n">
        <x:v>12</x:v>
      </x:c>
    </x:row>
    <x:row r="25" ht="23" customHeight="1">
      <x:c r="A25" s="2" t="str">
        <x:v>2026-10-15_Night</x:v>
      </x:c>
      <x:c r="B25" s="2" t="str">
        <x:v>上昇</x:v>
      </x:c>
      <x:c r="C25" s="19" t="n">
        <x:v>226000</x:v>
      </x:c>
      <x:c r="D25" s="19" t="n">
        <x:v>365000</x:v>
      </x:c>
      <x:c r="E25" s="19" t="n">
        <x:f>C25-D25</x:f>
        <x:v>-139000</x:v>
      </x:c>
      <x:c r="F25" s="19" t="n">
        <x:f>F24+E25</x:f>
        <x:v>-1923000</x:v>
      </x:c>
      <x:c r="G25" s="20" t="n">
        <x:v>25</x:v>
      </x:c>
      <x:c r="H25" s="20" t="n">
        <x:v>79</x:v>
      </x:c>
      <x:c r="I25" s="19" t="n">
        <x:v>-235000</x:v>
      </x:c>
      <x:c r="J25" s="19" t="n">
        <x:v>96000</x:v>
      </x:c>
      <x:c r="K25" s="20" t="n">
        <x:v>16</x:v>
      </x:c>
    </x:row>
    <x:row r="26" ht="23" customHeight="1">
      <x:c r="A26" s="2" t="str">
        <x:v>2026-10-16_Night</x:v>
      </x:c>
      <x:c r="B26" s="2" t="str">
        <x:v>下落</x:v>
      </x:c>
      <x:c r="C26" s="19" t="n">
        <x:v>153000</x:v>
      </x:c>
      <x:c r="D26" s="19" t="n">
        <x:v>447000</x:v>
      </x:c>
      <x:c r="E26" s="19" t="n">
        <x:f>C26-D26</x:f>
        <x:v>-294000</x:v>
      </x:c>
      <x:c r="F26" s="19" t="n">
        <x:f>F25+E26</x:f>
        <x:v>-2217000</x:v>
      </x:c>
      <x:c r="G26" s="20" t="n">
        <x:v>22</x:v>
      </x:c>
      <x:c r="H26" s="20" t="n">
        <x:v>72</x:v>
      </x:c>
      <x:c r="I26" s="19" t="n">
        <x:v>-305000</x:v>
      </x:c>
      <x:c r="J26" s="19" t="n">
        <x:v>11000</x:v>
      </x:c>
      <x:c r="K26" s="20" t="n">
        <x:v>18</x:v>
      </x:c>
    </x:row>
    <x:row r="27" ht="23" customHeight="1">
      <x:c r="A27" s="2" t="str">
        <x:v>2026-10-19_Night</x:v>
      </x:c>
      <x:c r="B27" s="2" t="str">
        <x:v>上昇</x:v>
      </x:c>
      <x:c r="C27" s="19" t="n">
        <x:v>168000</x:v>
      </x:c>
      <x:c r="D27" s="19" t="n">
        <x:v>143000</x:v>
      </x:c>
      <x:c r="E27" s="19" t="n">
        <x:f>C27-D27</x:f>
        <x:v>25000</x:v>
      </x:c>
      <x:c r="F27" s="19" t="n">
        <x:f>F26+E27</x:f>
        <x:v>-2192000</x:v>
      </x:c>
      <x:c r="G27" s="20" t="n">
        <x:v>27</x:v>
      </x:c>
      <x:c r="H27" s="20" t="n">
        <x:v>88</x:v>
      </x:c>
      <x:c r="I27" s="19" t="n">
        <x:v>10000</x:v>
      </x:c>
      <x:c r="J27" s="19" t="n">
        <x:v>15000</x:v>
      </x:c>
      <x:c r="K27" s="20" t="n">
        <x:v>16</x:v>
      </x:c>
    </x:row>
    <x:row r="28" ht="23" customHeight="1">
      <x:c r="A28" s="2" t="str">
        <x:v>2026-10-20_Night</x:v>
      </x:c>
      <x:c r="B28" s="2" t="str">
        <x:v>上昇</x:v>
      </x:c>
      <x:c r="C28" s="19" t="n">
        <x:v>847000</x:v>
      </x:c>
      <x:c r="D28" s="19" t="n">
        <x:v>534000</x:v>
      </x:c>
      <x:c r="E28" s="19" t="n">
        <x:f>C28-D28</x:f>
        <x:v>313000</x:v>
      </x:c>
      <x:c r="F28" s="19" t="n">
        <x:f>F27+E28</x:f>
        <x:v>-1879000</x:v>
      </x:c>
      <x:c r="G28" s="20" t="n">
        <x:v>31</x:v>
      </x:c>
      <x:c r="H28" s="20" t="n">
        <x:v>119</x:v>
      </x:c>
      <x:c r="I28" s="19" t="n">
        <x:v>-165000</x:v>
      </x:c>
      <x:c r="J28" s="19" t="n">
        <x:v>478000</x:v>
      </x:c>
      <x:c r="K28" s="20" t="n">
        <x:v>21</x:v>
      </x:c>
    </x:row>
    <x:row r="29" ht="23" customHeight="1">
      <x:c r="A29" s="2" t="str">
        <x:v>2026-10-21_Night</x:v>
      </x:c>
      <x:c r="B29" s="2" t="str">
        <x:v>上昇</x:v>
      </x:c>
      <x:c r="C29" s="19" t="n">
        <x:v>326000</x:v>
      </x:c>
      <x:c r="D29" s="19" t="n">
        <x:v>160000</x:v>
      </x:c>
      <x:c r="E29" s="19" t="n">
        <x:f>C29-D29</x:f>
        <x:v>166000</x:v>
      </x:c>
      <x:c r="F29" s="19" t="n">
        <x:f>F28+E29</x:f>
        <x:v>-1713000</x:v>
      </x:c>
      <x:c r="G29" s="20" t="n">
        <x:v>12</x:v>
      </x:c>
      <x:c r="H29" s="20" t="n">
        <x:v>52</x:v>
      </x:c>
      <x:c r="I29" s="19" t="n">
        <x:v>190000</x:v>
      </x:c>
      <x:c r="J29" s="19" t="n">
        <x:v>-24000</x:v>
      </x:c>
      <x:c r="K29" s="20" t="n">
        <x:v>8</x:v>
      </x:c>
    </x:row>
    <x:row r="30" ht="23" customHeight="1">
      <x:c r="A30" s="2" t="str">
        <x:v>2026-10-22_Night</x:v>
      </x:c>
      <x:c r="B30" s="2" t="str">
        <x:v>下落</x:v>
      </x:c>
      <x:c r="C30" s="19" t="n">
        <x:v>160000</x:v>
      </x:c>
      <x:c r="D30" s="19" t="n">
        <x:v>508000</x:v>
      </x:c>
      <x:c r="E30" s="19" t="n">
        <x:f>C30-D30</x:f>
        <x:v>-348000</x:v>
      </x:c>
      <x:c r="F30" s="19" t="n">
        <x:f>F29+E30</x:f>
        <x:v>-2061000</x:v>
      </x:c>
      <x:c r="G30" s="20" t="n">
        <x:v>22</x:v>
      </x:c>
      <x:c r="H30" s="20" t="n">
        <x:v>90</x:v>
      </x:c>
      <x:c r="I30" s="19" t="n">
        <x:v>-425000</x:v>
      </x:c>
      <x:c r="J30" s="19" t="n">
        <x:v>77000</x:v>
      </x:c>
      <x:c r="K30" s="20" t="n">
        <x:v>16</x:v>
      </x:c>
    </x:row>
    <x:row r="31" ht="23" customHeight="1">
      <x:c r="A31" s="2" t="str">
        <x:v>2026-10-23_Night</x:v>
      </x:c>
      <x:c r="B31" s="2" t="str">
        <x:v>上昇</x:v>
      </x:c>
      <x:c r="C31" s="19" t="n">
        <x:v>202000</x:v>
      </x:c>
      <x:c r="D31" s="19" t="n">
        <x:v>177000</x:v>
      </x:c>
      <x:c r="E31" s="19" t="n">
        <x:f>C31-D31</x:f>
        <x:v>25000</x:v>
      </x:c>
      <x:c r="F31" s="19" t="n">
        <x:f>F30+E31</x:f>
        <x:v>-2036000</x:v>
      </x:c>
      <x:c r="G31" s="20" t="n">
        <x:v>17</x:v>
      </x:c>
      <x:c r="H31" s="20" t="n">
        <x:v>66</x:v>
      </x:c>
      <x:c r="I31" s="19" t="n">
        <x:v>10000</x:v>
      </x:c>
      <x:c r="J31" s="19" t="n">
        <x:v>15000</x:v>
      </x:c>
      <x:c r="K31" s="20" t="n">
        <x:v>11</x:v>
      </x:c>
    </x:row>
    <x:row r="32" ht="23" customHeight="1">
      <x:c r="A32" s="24" t="str">
        <x:v>25夜累計</x:v>
      </x:c>
      <x:c r="B32" s="24"/>
      <x:c r="C32" s="25" t="n">
        <x:f>SUM(C7:C31)</x:f>
        <x:v>4921000</x:v>
      </x:c>
      <x:c r="D32" s="25" t="n">
        <x:f>SUM(D7:D31)</x:f>
        <x:v>6957000</x:v>
      </x:c>
      <x:c r="E32" s="25" t="n">
        <x:f>C32-D32</x:f>
        <x:v>-2036000</x:v>
      </x:c>
      <x:c r="F32" s="25" t="n">
        <x:f>F31</x:f>
        <x:v>-2036000</x:v>
      </x:c>
      <x:c r="G32" s="26" t="n">
        <x:f>SUM(G7:G31)</x:f>
        <x:v>417</x:v>
      </x:c>
      <x:c r="H32" s="26" t="n">
        <x:f>SUM(H7:H31)</x:f>
        <x:v>1618</x:v>
      </x:c>
      <x:c r="I32" s="25" t="n">
        <x:f>SUM(I7:I31)</x:f>
        <x:v>-3590000</x:v>
      </x:c>
      <x:c r="J32" s="25" t="n">
        <x:f>SUM(J7:J31)</x:f>
        <x:v>1554000</x:v>
      </x:c>
      <x:c r="K32" s="26" t="n">
        <x:f>SUM(K7:K31)</x:f>
        <x:v>291</x:v>
      </x:c>
    </x:row>
    <x:row r="33" ht="23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</x:row>
  </x:sheetData>
  <x:conditionalFormatting sqref="C7:F32">
    <x:cfRule type="cellIs" dxfId="44" priority="1" operator="lessThan">
      <x:formula>0</x:formula>
    </x:cfRule>
  </x:conditionalFormatting>
  <x:conditionalFormatting sqref="I7:J32">
    <x:cfRule type="cellIs" dxfId="45" priority="2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e3ebbdf73534b62"/>
  </x:tableParts>
</x:worksheet>
</file>

<file path=xl/worksheets/sheet25.xml><?xml version="1.0" encoding="utf-8"?>
<x:worksheet xmlns:x="http://schemas.openxmlformats.org/spreadsheetml/2006/main">
  <x:sheetPr>
    <x:tabColor rgb="FF244A70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8" hidden="0" customWidth="1"/>
    <x:col min="2" max="2" width="14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23" customHeight="1">
      <x:c r="A2" s="4" t="str">
        <x:v>Q07　全夜間の利益・損失・収支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</x:row>
    <x:row r="3" ht="23" customHeight="1">
      <x:c r="A3" s="6" t="str">
        <x:v>日経mini・片方向上限10枚・手数料0円・気配差込み。利益と損失は完結した親取引の収支を分類。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 ht="23" customHeight="1">
      <x:c r="A4" s="6" t="str">
        <x:v>2026/09/21～10/23の既知25夜。前段は米国開始15分前まで、後段は米国開始15分後から。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</x:row>
    <x:row r="5" ht="23" customHeight="1">
      <x:c r="A5" s="6" t="str">
        <x:v>押戻り再反発、初期損切140・利益開始160・追跡120pt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</x:row>
    <x:row r="6" ht="40" customHeight="1">
      <x:c r="A6" s="15" t="str">
        <x:v>セッション</x:v>
      </x:c>
      <x:c r="B6" s="16" t="str">
        <x:v>始終値方向</x:v>
      </x:c>
      <x:c r="C6" s="16" t="str">
        <x:v>利益（円）</x:v>
      </x:c>
      <x:c r="D6" s="16" t="str">
        <x:v>損失（円）</x:v>
      </x:c>
      <x:c r="E6" s="16" t="str">
        <x:v>収支（円）</x:v>
      </x:c>
      <x:c r="F6" s="16" t="str">
        <x:v>累計（円）</x:v>
      </x:c>
      <x:c r="G6" s="16" t="str">
        <x:v>新規件数</x:v>
      </x:c>
      <x:c r="H6" s="16" t="str">
        <x:v>新規合計枚数</x:v>
      </x:c>
      <x:c r="I6" s="16" t="str">
        <x:v>前段収支（円）</x:v>
      </x:c>
      <x:c r="J6" s="16" t="str">
        <x:v>後段収支（円）</x:v>
      </x:c>
      <x:c r="K6" s="17" t="str">
        <x:v>親取引数</x:v>
      </x:c>
    </x:row>
    <x:row r="7" ht="23" customHeight="1">
      <x:c r="A7" s="2" t="str">
        <x:v>2026-09-21_Night</x:v>
      </x:c>
      <x:c r="B7" s="2" t="str">
        <x:v>上昇</x:v>
      </x:c>
      <x:c r="C7" s="19" t="n">
        <x:v>0</x:v>
      </x:c>
      <x:c r="D7" s="19" t="n">
        <x:v>45000</x:v>
      </x:c>
      <x:c r="E7" s="19" t="n">
        <x:f>C7-D7</x:f>
        <x:v>-45000</x:v>
      </x:c>
      <x:c r="F7" s="19" t="n">
        <x:f>E7</x:f>
        <x:v>-45000</x:v>
      </x:c>
      <x:c r="G7" s="20" t="n">
        <x:v>1</x:v>
      </x:c>
      <x:c r="H7" s="20" t="n">
        <x:v>5</x:v>
      </x:c>
      <x:c r="I7" s="19" t="n">
        <x:v>0</x:v>
      </x:c>
      <x:c r="J7" s="19" t="n">
        <x:v>-45000</x:v>
      </x:c>
      <x:c r="K7" s="20" t="n">
        <x:v>1</x:v>
      </x:c>
    </x:row>
    <x:row r="8" ht="23" customHeight="1">
      <x:c r="A8" s="2" t="str">
        <x:v>2026-09-22_Night</x:v>
      </x:c>
      <x:c r="B8" s="2" t="str">
        <x:v>上昇</x:v>
      </x:c>
      <x:c r="C8" s="19" t="n">
        <x:v>199000</x:v>
      </x:c>
      <x:c r="D8" s="19" t="n">
        <x:v>190000</x:v>
      </x:c>
      <x:c r="E8" s="19" t="n">
        <x:f>C8-D8</x:f>
        <x:v>9000</x:v>
      </x:c>
      <x:c r="F8" s="19" t="n">
        <x:f>F7+E8</x:f>
        <x:v>-36000</x:v>
      </x:c>
      <x:c r="G8" s="20" t="n">
        <x:v>12</x:v>
      </x:c>
      <x:c r="H8" s="20" t="n">
        <x:v>60</x:v>
      </x:c>
      <x:c r="I8" s="19" t="n">
        <x:v>-15000</x:v>
      </x:c>
      <x:c r="J8" s="19" t="n">
        <x:v>24000</x:v>
      </x:c>
      <x:c r="K8" s="20" t="n">
        <x:v>7</x:v>
      </x:c>
    </x:row>
    <x:row r="9" ht="23" customHeight="1">
      <x:c r="A9" s="2" t="str">
        <x:v>2026-09-23_Night</x:v>
      </x:c>
      <x:c r="B9" s="2" t="str">
        <x:v>下落</x:v>
      </x:c>
      <x:c r="C9" s="19" t="n">
        <x:v>4000</x:v>
      </x:c>
      <x:c r="D9" s="19" t="n">
        <x:v>105000</x:v>
      </x:c>
      <x:c r="E9" s="19" t="n">
        <x:f>C9-D9</x:f>
        <x:v>-101000</x:v>
      </x:c>
      <x:c r="F9" s="19" t="n">
        <x:f>F8+E9</x:f>
        <x:v>-137000</x:v>
      </x:c>
      <x:c r="G9" s="20" t="n">
        <x:v>5</x:v>
      </x:c>
      <x:c r="H9" s="20" t="n">
        <x:v>17</x:v>
      </x:c>
      <x:c r="I9" s="19" t="n">
        <x:v>-65000</x:v>
      </x:c>
      <x:c r="J9" s="19" t="n">
        <x:v>-36000</x:v>
      </x:c>
      <x:c r="K9" s="20" t="n">
        <x:v>4</x:v>
      </x:c>
    </x:row>
    <x:row r="10" ht="23" customHeight="1">
      <x:c r="A10" s="2" t="str">
        <x:v>2026-09-24_Night</x:v>
      </x:c>
      <x:c r="B10" s="2" t="str">
        <x:v>下落</x:v>
      </x:c>
      <x:c r="C10" s="19" t="n">
        <x:v>20000</x:v>
      </x:c>
      <x:c r="D10" s="19" t="n">
        <x:v>415000</x:v>
      </x:c>
      <x:c r="E10" s="19" t="n">
        <x:f>C10-D10</x:f>
        <x:v>-395000</x:v>
      </x:c>
      <x:c r="F10" s="19" t="n">
        <x:f>F9+E10</x:f>
        <x:v>-532000</x:v>
      </x:c>
      <x:c r="G10" s="20" t="n">
        <x:v>18</x:v>
      </x:c>
      <x:c r="H10" s="20" t="n">
        <x:v>82</x:v>
      </x:c>
      <x:c r="I10" s="19" t="n">
        <x:v>-415000</x:v>
      </x:c>
      <x:c r="J10" s="19" t="n">
        <x:v>20000</x:v>
      </x:c>
      <x:c r="K10" s="20" t="n">
        <x:v>12</x:v>
      </x:c>
    </x:row>
    <x:row r="11" ht="23" customHeight="1">
      <x:c r="A11" s="2" t="str">
        <x:v>2026-09-25_Night</x:v>
      </x:c>
      <x:c r="B11" s="2" t="str">
        <x:v>上昇</x:v>
      </x:c>
      <x:c r="C11" s="19" t="n">
        <x:v>182000</x:v>
      </x:c>
      <x:c r="D11" s="19" t="n">
        <x:v>326000</x:v>
      </x:c>
      <x:c r="E11" s="19" t="n">
        <x:f>C11-D11</x:f>
        <x:v>-144000</x:v>
      </x:c>
      <x:c r="F11" s="19" t="n">
        <x:f>F10+E11</x:f>
        <x:v>-676000</x:v>
      </x:c>
      <x:c r="G11" s="20" t="n">
        <x:v>9</x:v>
      </x:c>
      <x:c r="H11" s="20" t="n">
        <x:v>41</x:v>
      </x:c>
      <x:c r="I11" s="19" t="n">
        <x:v>-145000</x:v>
      </x:c>
      <x:c r="J11" s="19" t="n">
        <x:v>1000</x:v>
      </x:c>
      <x:c r="K11" s="20" t="n">
        <x:v>6</x:v>
      </x:c>
    </x:row>
    <x:row r="12" ht="23" customHeight="1">
      <x:c r="A12" s="2" t="str">
        <x:v>2026-09-28_Night</x:v>
      </x:c>
      <x:c r="B12" s="2" t="str">
        <x:v>下落</x:v>
      </x:c>
      <x:c r="C12" s="19" t="n">
        <x:v>31000</x:v>
      </x:c>
      <x:c r="D12" s="19" t="n">
        <x:v>493000</x:v>
      </x:c>
      <x:c r="E12" s="19" t="n">
        <x:f>C12-D12</x:f>
        <x:v>-462000</x:v>
      </x:c>
      <x:c r="F12" s="19" t="n">
        <x:f>F11+E12</x:f>
        <x:v>-1138000</x:v>
      </x:c>
      <x:c r="G12" s="20" t="n">
        <x:v>18</x:v>
      </x:c>
      <x:c r="H12" s="20" t="n">
        <x:v>72</x:v>
      </x:c>
      <x:c r="I12" s="19" t="n">
        <x:v>-415000</x:v>
      </x:c>
      <x:c r="J12" s="19" t="n">
        <x:v>-47000</x:v>
      </x:c>
      <x:c r="K12" s="20" t="n">
        <x:v>12</x:v>
      </x:c>
    </x:row>
    <x:row r="13" ht="23" customHeight="1">
      <x:c r="A13" s="2" t="str">
        <x:v>2026-09-29_Night</x:v>
      </x:c>
      <x:c r="B13" s="2" t="str">
        <x:v>上昇</x:v>
      </x:c>
      <x:c r="C13" s="19" t="n">
        <x:v>87000</x:v>
      </x:c>
      <x:c r="D13" s="19" t="n">
        <x:v>207000</x:v>
      </x:c>
      <x:c r="E13" s="19" t="n">
        <x:f>C13-D13</x:f>
        <x:v>-120000</x:v>
      </x:c>
      <x:c r="F13" s="19" t="n">
        <x:f>F12+E13</x:f>
        <x:v>-1258000</x:v>
      </x:c>
      <x:c r="G13" s="20" t="n">
        <x:v>11</x:v>
      </x:c>
      <x:c r="H13" s="20" t="n">
        <x:v>39</x:v>
      </x:c>
      <x:c r="I13" s="19" t="n">
        <x:v>-185000</x:v>
      </x:c>
      <x:c r="J13" s="19" t="n">
        <x:v>65000</x:v>
      </x:c>
      <x:c r="K13" s="20" t="n">
        <x:v>9</x:v>
      </x:c>
    </x:row>
    <x:row r="14" ht="23" customHeight="1">
      <x:c r="A14" s="2" t="str">
        <x:v>2026-09-30_Night</x:v>
      </x:c>
      <x:c r="B14" s="2" t="str">
        <x:v>下落</x:v>
      </x:c>
      <x:c r="C14" s="19" t="n">
        <x:v>103000</x:v>
      </x:c>
      <x:c r="D14" s="19" t="n">
        <x:v>540000</x:v>
      </x:c>
      <x:c r="E14" s="19" t="n">
        <x:f>C14-D14</x:f>
        <x:v>-437000</x:v>
      </x:c>
      <x:c r="F14" s="19" t="n">
        <x:f>F13+E14</x:f>
        <x:v>-1695000</x:v>
      </x:c>
      <x:c r="G14" s="20" t="n">
        <x:v>19</x:v>
      </x:c>
      <x:c r="H14" s="20" t="n">
        <x:v>87</x:v>
      </x:c>
      <x:c r="I14" s="19" t="n">
        <x:v>-480000</x:v>
      </x:c>
      <x:c r="J14" s="19" t="n">
        <x:v>43000</x:v>
      </x:c>
      <x:c r="K14" s="20" t="n">
        <x:v>13</x:v>
      </x:c>
    </x:row>
    <x:row r="15" ht="23" customHeight="1">
      <x:c r="A15" s="2" t="str">
        <x:v>2026-10-01_Night</x:v>
      </x:c>
      <x:c r="B15" s="2" t="str">
        <x:v>上昇</x:v>
      </x:c>
      <x:c r="C15" s="19" t="n">
        <x:v>510000</x:v>
      </x:c>
      <x:c r="D15" s="19" t="n">
        <x:v>216000</x:v>
      </x:c>
      <x:c r="E15" s="19" t="n">
        <x:f>C15-D15</x:f>
        <x:v>294000</x:v>
      </x:c>
      <x:c r="F15" s="19" t="n">
        <x:f>F14+E15</x:f>
        <x:v>-1401000</x:v>
      </x:c>
      <x:c r="G15" s="20" t="n">
        <x:v>26</x:v>
      </x:c>
      <x:c r="H15" s="20" t="n">
        <x:v>89</x:v>
      </x:c>
      <x:c r="I15" s="19" t="n">
        <x:v>185000</x:v>
      </x:c>
      <x:c r="J15" s="19" t="n">
        <x:v>109000</x:v>
      </x:c>
      <x:c r="K15" s="20" t="n">
        <x:v>17</x:v>
      </x:c>
    </x:row>
    <x:row r="16" ht="23" customHeight="1">
      <x:c r="A16" s="2" t="str">
        <x:v>2026-10-02_Night</x:v>
      </x:c>
      <x:c r="B16" s="2" t="str">
        <x:v>上昇</x:v>
      </x:c>
      <x:c r="C16" s="19" t="n">
        <x:v>499000</x:v>
      </x:c>
      <x:c r="D16" s="19" t="n">
        <x:v>388000</x:v>
      </x:c>
      <x:c r="E16" s="19" t="n">
        <x:f>C16-D16</x:f>
        <x:v>111000</x:v>
      </x:c>
      <x:c r="F16" s="19" t="n">
        <x:f>F15+E16</x:f>
        <x:v>-1290000</x:v>
      </x:c>
      <x:c r="G16" s="20" t="n">
        <x:v>33</x:v>
      </x:c>
      <x:c r="H16" s="20" t="n">
        <x:v>118</x:v>
      </x:c>
      <x:c r="I16" s="19" t="n">
        <x:v>-150000</x:v>
      </x:c>
      <x:c r="J16" s="19" t="n">
        <x:v>261000</x:v>
      </x:c>
      <x:c r="K16" s="20" t="n">
        <x:v>21</x:v>
      </x:c>
    </x:row>
    <x:row r="17" ht="23" customHeight="1">
      <x:c r="A17" s="2" t="str">
        <x:v>2026-10-05_Night</x:v>
      </x:c>
      <x:c r="B17" s="2" t="str">
        <x:v>下落</x:v>
      </x:c>
      <x:c r="C17" s="19" t="n">
        <x:v>193000</x:v>
      </x:c>
      <x:c r="D17" s="19" t="n">
        <x:v>309000</x:v>
      </x:c>
      <x:c r="E17" s="19" t="n">
        <x:f>C17-D17</x:f>
        <x:v>-116000</x:v>
      </x:c>
      <x:c r="F17" s="19" t="n">
        <x:f>F16+E17</x:f>
        <x:v>-1406000</x:v>
      </x:c>
      <x:c r="G17" s="20" t="n">
        <x:v>14</x:v>
      </x:c>
      <x:c r="H17" s="20" t="n">
        <x:v>49</x:v>
      </x:c>
      <x:c r="I17" s="19" t="n">
        <x:v>-150000</x:v>
      </x:c>
      <x:c r="J17" s="19" t="n">
        <x:v>34000</x:v>
      </x:c>
      <x:c r="K17" s="20" t="n">
        <x:v>11</x:v>
      </x:c>
    </x:row>
    <x:row r="18" ht="23" customHeight="1">
      <x:c r="A18" s="2" t="str">
        <x:v>2026-10-06_Night</x:v>
      </x:c>
      <x:c r="B18" s="2" t="str">
        <x:v>下落</x:v>
      </x:c>
      <x:c r="C18" s="19" t="n">
        <x:v>33000</x:v>
      </x:c>
      <x:c r="D18" s="19" t="n">
        <x:v>48000</x:v>
      </x:c>
      <x:c r="E18" s="19" t="n">
        <x:f>C18-D18</x:f>
        <x:v>-15000</x:v>
      </x:c>
      <x:c r="F18" s="19" t="n">
        <x:f>F17+E18</x:f>
        <x:v>-1421000</x:v>
      </x:c>
      <x:c r="G18" s="20" t="n">
        <x:v>5</x:v>
      </x:c>
      <x:c r="H18" s="20" t="n">
        <x:v>13</x:v>
      </x:c>
      <x:c r="I18" s="19" t="n">
        <x:v>-5000</x:v>
      </x:c>
      <x:c r="J18" s="19" t="n">
        <x:v>-10000</x:v>
      </x:c>
      <x:c r="K18" s="20" t="n">
        <x:v>4</x:v>
      </x:c>
    </x:row>
    <x:row r="19" ht="23" customHeight="1">
      <x:c r="A19" s="2" t="str">
        <x:v>2026-10-07_Night</x:v>
      </x:c>
      <x:c r="B19" s="2" t="str">
        <x:v>下落</x:v>
      </x:c>
      <x:c r="C19" s="19" t="n">
        <x:v>0</x:v>
      </x:c>
      <x:c r="D19" s="19" t="n">
        <x:v>277000</x:v>
      </x:c>
      <x:c r="E19" s="19" t="n">
        <x:f>C19-D19</x:f>
        <x:v>-277000</x:v>
      </x:c>
      <x:c r="F19" s="19" t="n">
        <x:f>F18+E19</x:f>
        <x:v>-1698000</x:v>
      </x:c>
      <x:c r="G19" s="20" t="n">
        <x:v>10</x:v>
      </x:c>
      <x:c r="H19" s="20" t="n">
        <x:v>42</x:v>
      </x:c>
      <x:c r="I19" s="19" t="n">
        <x:v>-255000</x:v>
      </x:c>
      <x:c r="J19" s="19" t="n">
        <x:v>-22000</x:v>
      </x:c>
      <x:c r="K19" s="20" t="n">
        <x:v>8</x:v>
      </x:c>
    </x:row>
    <x:row r="20" ht="23" customHeight="1">
      <x:c r="A20" s="2" t="str">
        <x:v>2026-10-08_Night</x:v>
      </x:c>
      <x:c r="B20" s="2" t="str">
        <x:v>下落</x:v>
      </x:c>
      <x:c r="C20" s="19" t="n">
        <x:v>385000</x:v>
      </x:c>
      <x:c r="D20" s="19" t="n">
        <x:v>355000</x:v>
      </x:c>
      <x:c r="E20" s="19" t="n">
        <x:f>C20-D20</x:f>
        <x:v>30000</x:v>
      </x:c>
      <x:c r="F20" s="19" t="n">
        <x:f>F19+E20</x:f>
        <x:v>-1668000</x:v>
      </x:c>
      <x:c r="G20" s="20" t="n">
        <x:v>31</x:v>
      </x:c>
      <x:c r="H20" s="20" t="n">
        <x:v>108</x:v>
      </x:c>
      <x:c r="I20" s="19" t="n">
        <x:v>-280000</x:v>
      </x:c>
      <x:c r="J20" s="19" t="n">
        <x:v>310000</x:v>
      </x:c>
      <x:c r="K20" s="20" t="n">
        <x:v>22</x:v>
      </x:c>
    </x:row>
    <x:row r="21" ht="23" customHeight="1">
      <x:c r="A21" s="2" t="str">
        <x:v>2026-10-09_Night</x:v>
      </x:c>
      <x:c r="B21" s="2" t="str">
        <x:v>下落</x:v>
      </x:c>
      <x:c r="C21" s="19" t="n">
        <x:v>14000</x:v>
      </x:c>
      <x:c r="D21" s="19" t="n">
        <x:v>185000</x:v>
      </x:c>
      <x:c r="E21" s="19" t="n">
        <x:f>C21-D21</x:f>
        <x:v>-171000</x:v>
      </x:c>
      <x:c r="F21" s="19" t="n">
        <x:f>F20+E21</x:f>
        <x:v>-1839000</x:v>
      </x:c>
      <x:c r="G21" s="20" t="n">
        <x:v>12</x:v>
      </x:c>
      <x:c r="H21" s="20" t="n">
        <x:v>60</x:v>
      </x:c>
      <x:c r="I21" s="19" t="n">
        <x:v>-185000</x:v>
      </x:c>
      <x:c r="J21" s="19" t="n">
        <x:v>14000</x:v>
      </x:c>
      <x:c r="K21" s="20" t="n">
        <x:v>8</x:v>
      </x:c>
    </x:row>
    <x:row r="22" ht="23" customHeight="1">
      <x:c r="A22" s="2" t="str">
        <x:v>2026-10-12_Night</x:v>
      </x:c>
      <x:c r="B22" s="2" t="str">
        <x:v>下落</x:v>
      </x:c>
      <x:c r="C22" s="19" t="n">
        <x:v>82000</x:v>
      </x:c>
      <x:c r="D22" s="19" t="n">
        <x:v>145000</x:v>
      </x:c>
      <x:c r="E22" s="19" t="n">
        <x:f>C22-D22</x:f>
        <x:v>-63000</x:v>
      </x:c>
      <x:c r="F22" s="19" t="n">
        <x:f>F21+E22</x:f>
        <x:v>-1902000</x:v>
      </x:c>
      <x:c r="G22" s="20" t="n">
        <x:v>4</x:v>
      </x:c>
      <x:c r="H22" s="20" t="n">
        <x:v>20</x:v>
      </x:c>
      <x:c r="I22" s="19" t="n">
        <x:v>-145000</x:v>
      </x:c>
      <x:c r="J22" s="19" t="n">
        <x:v>82000</x:v>
      </x:c>
      <x:c r="K22" s="20" t="n">
        <x:v>4</x:v>
      </x:c>
    </x:row>
    <x:row r="23" ht="23" customHeight="1">
      <x:c r="A23" s="2" t="str">
        <x:v>2026-10-13_Night</x:v>
      </x:c>
      <x:c r="B23" s="2" t="str">
        <x:v>上昇</x:v>
      </x:c>
      <x:c r="C23" s="19" t="n">
        <x:v>175000</x:v>
      </x:c>
      <x:c r="D23" s="19" t="n">
        <x:v>168000</x:v>
      </x:c>
      <x:c r="E23" s="19" t="n">
        <x:f>C23-D23</x:f>
        <x:v>7000</x:v>
      </x:c>
      <x:c r="F23" s="19" t="n">
        <x:f>F22+E23</x:f>
        <x:v>-1895000</x:v>
      </x:c>
      <x:c r="G23" s="20" t="n">
        <x:v>7</x:v>
      </x:c>
      <x:c r="H23" s="20" t="n">
        <x:v>31</x:v>
      </x:c>
      <x:c r="I23" s="19" t="n">
        <x:v>60000</x:v>
      </x:c>
      <x:c r="J23" s="19" t="n">
        <x:v>-53000</x:v>
      </x:c>
      <x:c r="K23" s="20" t="n">
        <x:v>5</x:v>
      </x:c>
    </x:row>
    <x:row r="24" ht="23" customHeight="1">
      <x:c r="A24" s="2" t="str">
        <x:v>2026-10-14_Night</x:v>
      </x:c>
      <x:c r="B24" s="2" t="str">
        <x:v>下落</x:v>
      </x:c>
      <x:c r="C24" s="19" t="n">
        <x:v>197000</x:v>
      </x:c>
      <x:c r="D24" s="19" t="n">
        <x:v>446000</x:v>
      </x:c>
      <x:c r="E24" s="19" t="n">
        <x:f>C24-D24</x:f>
        <x:v>-249000</x:v>
      </x:c>
      <x:c r="F24" s="19" t="n">
        <x:f>F23+E24</x:f>
        <x:v>-2144000</x:v>
      </x:c>
      <x:c r="G24" s="20" t="n">
        <x:v>14</x:v>
      </x:c>
      <x:c r="H24" s="20" t="n">
        <x:v>59</x:v>
      </x:c>
      <x:c r="I24" s="19" t="n">
        <x:v>-385000</x:v>
      </x:c>
      <x:c r="J24" s="19" t="n">
        <x:v>136000</x:v>
      </x:c>
      <x:c r="K24" s="20" t="n">
        <x:v>10</x:v>
      </x:c>
    </x:row>
    <x:row r="25" ht="23" customHeight="1">
      <x:c r="A25" s="2" t="str">
        <x:v>2026-10-15_Night</x:v>
      </x:c>
      <x:c r="B25" s="2" t="str">
        <x:v>上昇</x:v>
      </x:c>
      <x:c r="C25" s="19" t="n">
        <x:v>241000</x:v>
      </x:c>
      <x:c r="D25" s="19" t="n">
        <x:v>430000</x:v>
      </x:c>
      <x:c r="E25" s="19" t="n">
        <x:f>C25-D25</x:f>
        <x:v>-189000</x:v>
      </x:c>
      <x:c r="F25" s="19" t="n">
        <x:f>F24+E25</x:f>
        <x:v>-2333000</x:v>
      </x:c>
      <x:c r="G25" s="20" t="n">
        <x:v>24</x:v>
      </x:c>
      <x:c r="H25" s="20" t="n">
        <x:v>74</x:v>
      </x:c>
      <x:c r="I25" s="19" t="n">
        <x:v>-285000</x:v>
      </x:c>
      <x:c r="J25" s="19" t="n">
        <x:v>96000</x:v>
      </x:c>
      <x:c r="K25" s="20" t="n">
        <x:v>15</x:v>
      </x:c>
    </x:row>
    <x:row r="26" ht="23" customHeight="1">
      <x:c r="A26" s="2" t="str">
        <x:v>2026-10-16_Night</x:v>
      </x:c>
      <x:c r="B26" s="2" t="str">
        <x:v>下落</x:v>
      </x:c>
      <x:c r="C26" s="19" t="n">
        <x:v>153000</x:v>
      </x:c>
      <x:c r="D26" s="19" t="n">
        <x:v>437000</x:v>
      </x:c>
      <x:c r="E26" s="19" t="n">
        <x:f>C26-D26</x:f>
        <x:v>-284000</x:v>
      </x:c>
      <x:c r="F26" s="19" t="n">
        <x:f>F25+E26</x:f>
        <x:v>-2617000</x:v>
      </x:c>
      <x:c r="G26" s="20" t="n">
        <x:v>22</x:v>
      </x:c>
      <x:c r="H26" s="20" t="n">
        <x:v>72</x:v>
      </x:c>
      <x:c r="I26" s="19" t="n">
        <x:v>-295000</x:v>
      </x:c>
      <x:c r="J26" s="19" t="n">
        <x:v>11000</x:v>
      </x:c>
      <x:c r="K26" s="20" t="n">
        <x:v>18</x:v>
      </x:c>
    </x:row>
    <x:row r="27" ht="23" customHeight="1">
      <x:c r="A27" s="2" t="str">
        <x:v>2026-10-19_Night</x:v>
      </x:c>
      <x:c r="B27" s="2" t="str">
        <x:v>上昇</x:v>
      </x:c>
      <x:c r="C27" s="19" t="n">
        <x:v>223000</x:v>
      </x:c>
      <x:c r="D27" s="19" t="n">
        <x:v>168000</x:v>
      </x:c>
      <x:c r="E27" s="19" t="n">
        <x:f>C27-D27</x:f>
        <x:v>55000</x:v>
      </x:c>
      <x:c r="F27" s="19" t="n">
        <x:f>F26+E27</x:f>
        <x:v>-2562000</x:v>
      </x:c>
      <x:c r="G27" s="20" t="n">
        <x:v>27</x:v>
      </x:c>
      <x:c r="H27" s="20" t="n">
        <x:v>88</x:v>
      </x:c>
      <x:c r="I27" s="19" t="n">
        <x:v>40000</x:v>
      </x:c>
      <x:c r="J27" s="19" t="n">
        <x:v>15000</x:v>
      </x:c>
      <x:c r="K27" s="20" t="n">
        <x:v>16</x:v>
      </x:c>
    </x:row>
    <x:row r="28" ht="23" customHeight="1">
      <x:c r="A28" s="2" t="str">
        <x:v>2026-10-20_Night</x:v>
      </x:c>
      <x:c r="B28" s="2" t="str">
        <x:v>上昇</x:v>
      </x:c>
      <x:c r="C28" s="19" t="n">
        <x:v>862000</x:v>
      </x:c>
      <x:c r="D28" s="19" t="n">
        <x:v>369000</x:v>
      </x:c>
      <x:c r="E28" s="19" t="n">
        <x:f>C28-D28</x:f>
        <x:v>493000</x:v>
      </x:c>
      <x:c r="F28" s="19" t="n">
        <x:f>F27+E28</x:f>
        <x:v>-2069000</x:v>
      </x:c>
      <x:c r="G28" s="20" t="n">
        <x:v>26</x:v>
      </x:c>
      <x:c r="H28" s="20" t="n">
        <x:v>94</x:v>
      </x:c>
      <x:c r="I28" s="19" t="n">
        <x:v>15000</x:v>
      </x:c>
      <x:c r="J28" s="19" t="n">
        <x:v>478000</x:v>
      </x:c>
      <x:c r="K28" s="20" t="n">
        <x:v>17</x:v>
      </x:c>
    </x:row>
    <x:row r="29" ht="23" customHeight="1">
      <x:c r="A29" s="2" t="str">
        <x:v>2026-10-21_Night</x:v>
      </x:c>
      <x:c r="B29" s="2" t="str">
        <x:v>上昇</x:v>
      </x:c>
      <x:c r="C29" s="19" t="n">
        <x:v>346000</x:v>
      </x:c>
      <x:c r="D29" s="19" t="n">
        <x:v>105000</x:v>
      </x:c>
      <x:c r="E29" s="19" t="n">
        <x:f>C29-D29</x:f>
        <x:v>241000</x:v>
      </x:c>
      <x:c r="F29" s="19" t="n">
        <x:f>F28+E29</x:f>
        <x:v>-1828000</x:v>
      </x:c>
      <x:c r="G29" s="20" t="n">
        <x:v>11</x:v>
      </x:c>
      <x:c r="H29" s="20" t="n">
        <x:v>47</x:v>
      </x:c>
      <x:c r="I29" s="19" t="n">
        <x:v>265000</x:v>
      </x:c>
      <x:c r="J29" s="19" t="n">
        <x:v>-24000</x:v>
      </x:c>
      <x:c r="K29" s="20" t="n">
        <x:v>7</x:v>
      </x:c>
    </x:row>
    <x:row r="30" ht="23" customHeight="1">
      <x:c r="A30" s="2" t="str">
        <x:v>2026-10-22_Night</x:v>
      </x:c>
      <x:c r="B30" s="2" t="str">
        <x:v>下落</x:v>
      </x:c>
      <x:c r="C30" s="19" t="n">
        <x:v>160000</x:v>
      </x:c>
      <x:c r="D30" s="19" t="n">
        <x:v>568000</x:v>
      </x:c>
      <x:c r="E30" s="19" t="n">
        <x:f>C30-D30</x:f>
        <x:v>-408000</x:v>
      </x:c>
      <x:c r="F30" s="19" t="n">
        <x:f>F29+E30</x:f>
        <x:v>-2236000</x:v>
      </x:c>
      <x:c r="G30" s="20" t="n">
        <x:v>22</x:v>
      </x:c>
      <x:c r="H30" s="20" t="n">
        <x:v>90</x:v>
      </x:c>
      <x:c r="I30" s="19" t="n">
        <x:v>-485000</x:v>
      </x:c>
      <x:c r="J30" s="19" t="n">
        <x:v>77000</x:v>
      </x:c>
      <x:c r="K30" s="20" t="n">
        <x:v>16</x:v>
      </x:c>
    </x:row>
    <x:row r="31" ht="23" customHeight="1">
      <x:c r="A31" s="2" t="str">
        <x:v>2026-10-23_Night</x:v>
      </x:c>
      <x:c r="B31" s="2" t="str">
        <x:v>上昇</x:v>
      </x:c>
      <x:c r="C31" s="19" t="n">
        <x:v>262000</x:v>
      </x:c>
      <x:c r="D31" s="19" t="n">
        <x:v>92000</x:v>
      </x:c>
      <x:c r="E31" s="19" t="n">
        <x:f>C31-D31</x:f>
        <x:v>170000</x:v>
      </x:c>
      <x:c r="F31" s="19" t="n">
        <x:f>F30+E31</x:f>
        <x:v>-2066000</x:v>
      </x:c>
      <x:c r="G31" s="20" t="n">
        <x:v>15</x:v>
      </x:c>
      <x:c r="H31" s="20" t="n">
        <x:v>56</x:v>
      </x:c>
      <x:c r="I31" s="19" t="n">
        <x:v>155000</x:v>
      </x:c>
      <x:c r="J31" s="19" t="n">
        <x:v>15000</x:v>
      </x:c>
      <x:c r="K31" s="20" t="n">
        <x:v>10</x:v>
      </x:c>
    </x:row>
    <x:row r="32" ht="23" customHeight="1">
      <x:c r="A32" s="24" t="str">
        <x:v>25夜累計</x:v>
      </x:c>
      <x:c r="B32" s="24"/>
      <x:c r="C32" s="25" t="n">
        <x:f>SUM(C7:C31)</x:f>
        <x:v>4961000</x:v>
      </x:c>
      <x:c r="D32" s="25" t="n">
        <x:f>SUM(D7:D31)</x:f>
        <x:v>7027000</x:v>
      </x:c>
      <x:c r="E32" s="25" t="n">
        <x:f>C32-D32</x:f>
        <x:v>-2066000</x:v>
      </x:c>
      <x:c r="F32" s="25" t="n">
        <x:f>F31</x:f>
        <x:v>-2066000</x:v>
      </x:c>
      <x:c r="G32" s="26" t="n">
        <x:f>SUM(G7:G31)</x:f>
        <x:v>396</x:v>
      </x:c>
      <x:c r="H32" s="26" t="n">
        <x:f>SUM(H7:H31)</x:f>
        <x:v>1513</x:v>
      </x:c>
      <x:c r="I32" s="25" t="n">
        <x:f>SUM(I7:I31)</x:f>
        <x:v>-3620000</x:v>
      </x:c>
      <x:c r="J32" s="25" t="n">
        <x:f>SUM(J7:J31)</x:f>
        <x:v>1554000</x:v>
      </x:c>
      <x:c r="K32" s="26" t="n">
        <x:f>SUM(K7:K31)</x:f>
        <x:v>273</x:v>
      </x:c>
    </x:row>
    <x:row r="33" ht="23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</x:row>
  </x:sheetData>
  <x:conditionalFormatting sqref="C7:F32">
    <x:cfRule type="cellIs" dxfId="46" priority="1" operator="lessThan">
      <x:formula>0</x:formula>
    </x:cfRule>
  </x:conditionalFormatting>
  <x:conditionalFormatting sqref="I7:J32">
    <x:cfRule type="cellIs" dxfId="47" priority="2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0bd4d7ad2f54665"/>
  </x:tableParts>
</x:worksheet>
</file>

<file path=xl/worksheets/sheet26.xml><?xml version="1.0" encoding="utf-8"?>
<x:worksheet xmlns:x="http://schemas.openxmlformats.org/spreadsheetml/2006/main">
  <x:sheetPr>
    <x:tabColor rgb="FF244A70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8" hidden="0" customWidth="1"/>
    <x:col min="2" max="2" width="14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23" customHeight="1">
      <x:c r="A2" s="4" t="str">
        <x:v>Q08　全夜間の利益・損失・収支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</x:row>
    <x:row r="3" ht="23" customHeight="1">
      <x:c r="A3" s="6" t="str">
        <x:v>日経mini・片方向上限10枚・手数料0円・気配差込み。利益と損失は完結した親取引の収支を分類。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 ht="23" customHeight="1">
      <x:c r="A4" s="6" t="str">
        <x:v>2026/09/21～10/23の既知25夜。前段は米国開始15分前まで、後段は米国開始15分後から。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</x:row>
    <x:row r="5" ht="23" customHeight="1">
      <x:c r="A5" s="6" t="str">
        <x:v>押戻り再反発の長期支持を20本へ延長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</x:row>
    <x:row r="6" ht="40" customHeight="1">
      <x:c r="A6" s="15" t="str">
        <x:v>セッション</x:v>
      </x:c>
      <x:c r="B6" s="16" t="str">
        <x:v>始終値方向</x:v>
      </x:c>
      <x:c r="C6" s="16" t="str">
        <x:v>利益（円）</x:v>
      </x:c>
      <x:c r="D6" s="16" t="str">
        <x:v>損失（円）</x:v>
      </x:c>
      <x:c r="E6" s="16" t="str">
        <x:v>収支（円）</x:v>
      </x:c>
      <x:c r="F6" s="16" t="str">
        <x:v>累計（円）</x:v>
      </x:c>
      <x:c r="G6" s="16" t="str">
        <x:v>新規件数</x:v>
      </x:c>
      <x:c r="H6" s="16" t="str">
        <x:v>新規合計枚数</x:v>
      </x:c>
      <x:c r="I6" s="16" t="str">
        <x:v>前段収支（円）</x:v>
      </x:c>
      <x:c r="J6" s="16" t="str">
        <x:v>後段収支（円）</x:v>
      </x:c>
      <x:c r="K6" s="17" t="str">
        <x:v>親取引数</x:v>
      </x:c>
    </x:row>
    <x:row r="7" ht="23" customHeight="1">
      <x:c r="A7" s="2" t="str">
        <x:v>2026-09-21_Night</x:v>
      </x:c>
      <x:c r="B7" s="2" t="str">
        <x:v>上昇</x:v>
      </x:c>
      <x:c r="C7" s="19" t="n">
        <x:v>0</x:v>
      </x:c>
      <x:c r="D7" s="19" t="n">
        <x:v>45000</x:v>
      </x:c>
      <x:c r="E7" s="19" t="n">
        <x:f>C7-D7</x:f>
        <x:v>-45000</x:v>
      </x:c>
      <x:c r="F7" s="19" t="n">
        <x:f>E7</x:f>
        <x:v>-45000</x:v>
      </x:c>
      <x:c r="G7" s="20" t="n">
        <x:v>1</x:v>
      </x:c>
      <x:c r="H7" s="20" t="n">
        <x:v>5</x:v>
      </x:c>
      <x:c r="I7" s="19" t="n">
        <x:v>0</x:v>
      </x:c>
      <x:c r="J7" s="19" t="n">
        <x:v>-45000</x:v>
      </x:c>
      <x:c r="K7" s="20" t="n">
        <x:v>1</x:v>
      </x:c>
    </x:row>
    <x:row r="8" ht="23" customHeight="1">
      <x:c r="A8" s="2" t="str">
        <x:v>2026-09-22_Night</x:v>
      </x:c>
      <x:c r="B8" s="2" t="str">
        <x:v>上昇</x:v>
      </x:c>
      <x:c r="C8" s="19" t="n">
        <x:v>119000</x:v>
      </x:c>
      <x:c r="D8" s="19" t="n">
        <x:v>0</x:v>
      </x:c>
      <x:c r="E8" s="19" t="n">
        <x:f>C8-D8</x:f>
        <x:v>119000</x:v>
      </x:c>
      <x:c r="F8" s="19" t="n">
        <x:f>F7+E8</x:f>
        <x:v>74000</x:v>
      </x:c>
      <x:c r="G8" s="20" t="n">
        <x:v>3</x:v>
      </x:c>
      <x:c r="H8" s="20" t="n">
        <x:v>15</x:v>
      </x:c>
      <x:c r="I8" s="19" t="n">
        <x:v>95000</x:v>
      </x:c>
      <x:c r="J8" s="19" t="n">
        <x:v>24000</x:v>
      </x:c>
      <x:c r="K8" s="20" t="n">
        <x:v>2</x:v>
      </x:c>
    </x:row>
    <x:row r="9" ht="23" customHeight="1">
      <x:c r="A9" s="2" t="str">
        <x:v>2026-09-23_Night</x:v>
      </x:c>
      <x:c r="B9" s="2" t="str">
        <x:v>下落</x:v>
      </x:c>
      <x:c r="C9" s="19" t="n">
        <x:v>4000</x:v>
      </x:c>
      <x:c r="D9" s="19" t="n">
        <x:v>40000</x:v>
      </x:c>
      <x:c r="E9" s="19" t="n">
        <x:f>C9-D9</x:f>
        <x:v>-36000</x:v>
      </x:c>
      <x:c r="F9" s="19" t="n">
        <x:f>F8+E9</x:f>
        <x:v>38000</x:v>
      </x:c>
      <x:c r="G9" s="20" t="n">
        <x:v>3</x:v>
      </x:c>
      <x:c r="H9" s="20" t="n">
        <x:v>7</x:v>
      </x:c>
      <x:c r="I9" s="19" t="n">
        <x:v>0</x:v>
      </x:c>
      <x:c r="J9" s="19" t="n">
        <x:v>-36000</x:v>
      </x:c>
      <x:c r="K9" s="20" t="n">
        <x:v>2</x:v>
      </x:c>
    </x:row>
    <x:row r="10" ht="23" customHeight="1">
      <x:c r="A10" s="2" t="str">
        <x:v>2026-09-24_Night</x:v>
      </x:c>
      <x:c r="B10" s="2" t="str">
        <x:v>下落</x:v>
      </x:c>
      <x:c r="C10" s="19" t="n">
        <x:v>35000</x:v>
      </x:c>
      <x:c r="D10" s="19" t="n">
        <x:v>420000</x:v>
      </x:c>
      <x:c r="E10" s="19" t="n">
        <x:f>C10-D10</x:f>
        <x:v>-385000</x:v>
      </x:c>
      <x:c r="F10" s="19" t="n">
        <x:f>F9+E10</x:f>
        <x:v>-347000</x:v>
      </x:c>
      <x:c r="G10" s="20" t="n">
        <x:v>13</x:v>
      </x:c>
      <x:c r="H10" s="20" t="n">
        <x:v>57</x:v>
      </x:c>
      <x:c r="I10" s="19" t="n">
        <x:v>-405000</x:v>
      </x:c>
      <x:c r="J10" s="19" t="n">
        <x:v>20000</x:v>
      </x:c>
      <x:c r="K10" s="20" t="n">
        <x:v>9</x:v>
      </x:c>
    </x:row>
    <x:row r="11" ht="23" customHeight="1">
      <x:c r="A11" s="2" t="str">
        <x:v>2026-09-25_Night</x:v>
      </x:c>
      <x:c r="B11" s="2" t="str">
        <x:v>上昇</x:v>
      </x:c>
      <x:c r="C11" s="19" t="n">
        <x:v>107000</x:v>
      </x:c>
      <x:c r="D11" s="19" t="n">
        <x:v>66000</x:v>
      </x:c>
      <x:c r="E11" s="19" t="n">
        <x:f>C11-D11</x:f>
        <x:v>41000</x:v>
      </x:c>
      <x:c r="F11" s="19" t="n">
        <x:f>F10+E11</x:f>
        <x:v>-306000</x:v>
      </x:c>
      <x:c r="G11" s="20" t="n">
        <x:v>5</x:v>
      </x:c>
      <x:c r="H11" s="20" t="n">
        <x:v>21</x:v>
      </x:c>
      <x:c r="I11" s="19" t="n">
        <x:v>40000</x:v>
      </x:c>
      <x:c r="J11" s="19" t="n">
        <x:v>1000</x:v>
      </x:c>
      <x:c r="K11" s="20" t="n">
        <x:v>4</x:v>
      </x:c>
    </x:row>
    <x:row r="12" ht="23" customHeight="1">
      <x:c r="A12" s="2" t="str">
        <x:v>2026-09-28_Night</x:v>
      </x:c>
      <x:c r="B12" s="2" t="str">
        <x:v>下落</x:v>
      </x:c>
      <x:c r="C12" s="19" t="n">
        <x:v>36000</x:v>
      </x:c>
      <x:c r="D12" s="19" t="n">
        <x:v>408000</x:v>
      </x:c>
      <x:c r="E12" s="19" t="n">
        <x:f>C12-D12</x:f>
        <x:v>-372000</x:v>
      </x:c>
      <x:c r="F12" s="19" t="n">
        <x:f>F11+E12</x:f>
        <x:v>-678000</x:v>
      </x:c>
      <x:c r="G12" s="20" t="n">
        <x:v>14</x:v>
      </x:c>
      <x:c r="H12" s="20" t="n">
        <x:v>52</x:v>
      </x:c>
      <x:c r="I12" s="19" t="n">
        <x:v>-325000</x:v>
      </x:c>
      <x:c r="J12" s="19" t="n">
        <x:v>-47000</x:v>
      </x:c>
      <x:c r="K12" s="20" t="n">
        <x:v>10</x:v>
      </x:c>
    </x:row>
    <x:row r="13" ht="23" customHeight="1">
      <x:c r="A13" s="2" t="str">
        <x:v>2026-09-29_Night</x:v>
      </x:c>
      <x:c r="B13" s="2" t="str">
        <x:v>上昇</x:v>
      </x:c>
      <x:c r="C13" s="19" t="n">
        <x:v>87000</x:v>
      </x:c>
      <x:c r="D13" s="19" t="n">
        <x:v>22000</x:v>
      </x:c>
      <x:c r="E13" s="19" t="n">
        <x:f>C13-D13</x:f>
        <x:v>65000</x:v>
      </x:c>
      <x:c r="F13" s="19" t="n">
        <x:f>F12+E13</x:f>
        <x:v>-613000</x:v>
      </x:c>
      <x:c r="G13" s="20" t="n">
        <x:v>6</x:v>
      </x:c>
      <x:c r="H13" s="20" t="n">
        <x:v>14</x:v>
      </x:c>
      <x:c r="I13" s="19" t="n">
        <x:v>0</x:v>
      </x:c>
      <x:c r="J13" s="19" t="n">
        <x:v>65000</x:v>
      </x:c>
      <x:c r="K13" s="20" t="n">
        <x:v>5</x:v>
      </x:c>
    </x:row>
    <x:row r="14" ht="23" customHeight="1">
      <x:c r="A14" s="2" t="str">
        <x:v>2026-09-30_Night</x:v>
      </x:c>
      <x:c r="B14" s="2" t="str">
        <x:v>下落</x:v>
      </x:c>
      <x:c r="C14" s="19" t="n">
        <x:v>123000</x:v>
      </x:c>
      <x:c r="D14" s="19" t="n">
        <x:v>260000</x:v>
      </x:c>
      <x:c r="E14" s="19" t="n">
        <x:f>C14-D14</x:f>
        <x:v>-137000</x:v>
      </x:c>
      <x:c r="F14" s="19" t="n">
        <x:f>F13+E14</x:f>
        <x:v>-750000</x:v>
      </x:c>
      <x:c r="G14" s="20" t="n">
        <x:v>16</x:v>
      </x:c>
      <x:c r="H14" s="20" t="n">
        <x:v>72</x:v>
      </x:c>
      <x:c r="I14" s="19" t="n">
        <x:v>-180000</x:v>
      </x:c>
      <x:c r="J14" s="19" t="n">
        <x:v>43000</x:v>
      </x:c>
      <x:c r="K14" s="20" t="n">
        <x:v>11</x:v>
      </x:c>
    </x:row>
    <x:row r="15" ht="23" customHeight="1">
      <x:c r="A15" s="2" t="str">
        <x:v>2026-10-01_Night</x:v>
      </x:c>
      <x:c r="B15" s="2" t="str">
        <x:v>上昇</x:v>
      </x:c>
      <x:c r="C15" s="19" t="n">
        <x:v>405000</x:v>
      </x:c>
      <x:c r="D15" s="19" t="n">
        <x:v>336000</x:v>
      </x:c>
      <x:c r="E15" s="19" t="n">
        <x:f>C15-D15</x:f>
        <x:v>69000</x:v>
      </x:c>
      <x:c r="F15" s="19" t="n">
        <x:f>F14+E15</x:f>
        <x:v>-681000</x:v>
      </x:c>
      <x:c r="G15" s="20" t="n">
        <x:v>22</x:v>
      </x:c>
      <x:c r="H15" s="20" t="n">
        <x:v>69</x:v>
      </x:c>
      <x:c r="I15" s="19" t="n">
        <x:v>-40000</x:v>
      </x:c>
      <x:c r="J15" s="19" t="n">
        <x:v>109000</x:v>
      </x:c>
      <x:c r="K15" s="20" t="n">
        <x:v>14</x:v>
      </x:c>
    </x:row>
    <x:row r="16" ht="23" customHeight="1">
      <x:c r="A16" s="2" t="str">
        <x:v>2026-10-02_Night</x:v>
      </x:c>
      <x:c r="B16" s="2" t="str">
        <x:v>上昇</x:v>
      </x:c>
      <x:c r="C16" s="19" t="n">
        <x:v>469000</x:v>
      </x:c>
      <x:c r="D16" s="19" t="n">
        <x:v>203000</x:v>
      </x:c>
      <x:c r="E16" s="19" t="n">
        <x:f>C16-D16</x:f>
        <x:v>266000</x:v>
      </x:c>
      <x:c r="F16" s="19" t="n">
        <x:f>F15+E16</x:f>
        <x:v>-415000</x:v>
      </x:c>
      <x:c r="G16" s="20" t="n">
        <x:v>27</x:v>
      </x:c>
      <x:c r="H16" s="20" t="n">
        <x:v>88</x:v>
      </x:c>
      <x:c r="I16" s="19" t="n">
        <x:v>5000</x:v>
      </x:c>
      <x:c r="J16" s="19" t="n">
        <x:v>261000</x:v>
      </x:c>
      <x:c r="K16" s="20" t="n">
        <x:v>16</x:v>
      </x:c>
    </x:row>
    <x:row r="17" ht="23" customHeight="1">
      <x:c r="A17" s="2" t="str">
        <x:v>2026-10-05_Night</x:v>
      </x:c>
      <x:c r="B17" s="2" t="str">
        <x:v>下落</x:v>
      </x:c>
      <x:c r="C17" s="19" t="n">
        <x:v>213000</x:v>
      </x:c>
      <x:c r="D17" s="19" t="n">
        <x:v>114000</x:v>
      </x:c>
      <x:c r="E17" s="19" t="n">
        <x:f>C17-D17</x:f>
        <x:v>99000</x:v>
      </x:c>
      <x:c r="F17" s="19" t="n">
        <x:f>F16+E17</x:f>
        <x:v>-316000</x:v>
      </x:c>
      <x:c r="G17" s="20" t="n">
        <x:v>12</x:v>
      </x:c>
      <x:c r="H17" s="20" t="n">
        <x:v>39</x:v>
      </x:c>
      <x:c r="I17" s="19" t="n">
        <x:v>65000</x:v>
      </x:c>
      <x:c r="J17" s="19" t="n">
        <x:v>34000</x:v>
      </x:c>
      <x:c r="K17" s="20" t="n">
        <x:v>8</x:v>
      </x:c>
    </x:row>
    <x:row r="18" ht="23" customHeight="1">
      <x:c r="A18" s="2" t="str">
        <x:v>2026-10-06_Night</x:v>
      </x:c>
      <x:c r="B18" s="2" t="str">
        <x:v>下落</x:v>
      </x:c>
      <x:c r="C18" s="19" t="n">
        <x:v>33000</x:v>
      </x:c>
      <x:c r="D18" s="19" t="n">
        <x:v>98000</x:v>
      </x:c>
      <x:c r="E18" s="19" t="n">
        <x:f>C18-D18</x:f>
        <x:v>-65000</x:v>
      </x:c>
      <x:c r="F18" s="19" t="n">
        <x:f>F17+E18</x:f>
        <x:v>-381000</x:v>
      </x:c>
      <x:c r="G18" s="20" t="n">
        <x:v>6</x:v>
      </x:c>
      <x:c r="H18" s="20" t="n">
        <x:v>18</x:v>
      </x:c>
      <x:c r="I18" s="19" t="n">
        <x:v>-55000</x:v>
      </x:c>
      <x:c r="J18" s="19" t="n">
        <x:v>-10000</x:v>
      </x:c>
      <x:c r="K18" s="20" t="n">
        <x:v>4</x:v>
      </x:c>
    </x:row>
    <x:row r="19" ht="23" customHeight="1">
      <x:c r="A19" s="2" t="str">
        <x:v>2026-10-07_Night</x:v>
      </x:c>
      <x:c r="B19" s="2" t="str">
        <x:v>下落</x:v>
      </x:c>
      <x:c r="C19" s="19" t="n">
        <x:v>140000</x:v>
      </x:c>
      <x:c r="D19" s="19" t="n">
        <x:v>22000</x:v>
      </x:c>
      <x:c r="E19" s="19" t="n">
        <x:f>C19-D19</x:f>
        <x:v>118000</x:v>
      </x:c>
      <x:c r="F19" s="19" t="n">
        <x:f>F18+E19</x:f>
        <x:v>-263000</x:v>
      </x:c>
      <x:c r="G19" s="20" t="n">
        <x:v>8</x:v>
      </x:c>
      <x:c r="H19" s="20" t="n">
        <x:v>32</x:v>
      </x:c>
      <x:c r="I19" s="19" t="n">
        <x:v>140000</x:v>
      </x:c>
      <x:c r="J19" s="19" t="n">
        <x:v>-22000</x:v>
      </x:c>
      <x:c r="K19" s="20" t="n">
        <x:v>4</x:v>
      </x:c>
    </x:row>
    <x:row r="20" ht="23" customHeight="1">
      <x:c r="A20" s="2" t="str">
        <x:v>2026-10-08_Night</x:v>
      </x:c>
      <x:c r="B20" s="2" t="str">
        <x:v>下落</x:v>
      </x:c>
      <x:c r="C20" s="19" t="n">
        <x:v>370000</x:v>
      </x:c>
      <x:c r="D20" s="19" t="n">
        <x:v>155000</x:v>
      </x:c>
      <x:c r="E20" s="19" t="n">
        <x:f>C20-D20</x:f>
        <x:v>215000</x:v>
      </x:c>
      <x:c r="F20" s="19" t="n">
        <x:f>F19+E20</x:f>
        <x:v>-48000</x:v>
      </x:c>
      <x:c r="G20" s="20" t="n">
        <x:v>24</x:v>
      </x:c>
      <x:c r="H20" s="20" t="n">
        <x:v>73</x:v>
      </x:c>
      <x:c r="I20" s="19" t="n">
        <x:v>-95000</x:v>
      </x:c>
      <x:c r="J20" s="19" t="n">
        <x:v>310000</x:v>
      </x:c>
      <x:c r="K20" s="20" t="n">
        <x:v>15</x:v>
      </x:c>
    </x:row>
    <x:row r="21" ht="23" customHeight="1">
      <x:c r="A21" s="2" t="str">
        <x:v>2026-10-09_Night</x:v>
      </x:c>
      <x:c r="B21" s="2" t="str">
        <x:v>下落</x:v>
      </x:c>
      <x:c r="C21" s="19" t="n">
        <x:v>14000</x:v>
      </x:c>
      <x:c r="D21" s="19" t="n">
        <x:v>190000</x:v>
      </x:c>
      <x:c r="E21" s="19" t="n">
        <x:f>C21-D21</x:f>
        <x:v>-176000</x:v>
      </x:c>
      <x:c r="F21" s="19" t="n">
        <x:f>F20+E21</x:f>
        <x:v>-224000</x:v>
      </x:c>
      <x:c r="G21" s="20" t="n">
        <x:v>7</x:v>
      </x:c>
      <x:c r="H21" s="20" t="n">
        <x:v>35</x:v>
      </x:c>
      <x:c r="I21" s="19" t="n">
        <x:v>-190000</x:v>
      </x:c>
      <x:c r="J21" s="19" t="n">
        <x:v>14000</x:v>
      </x:c>
      <x:c r="K21" s="20" t="n">
        <x:v>5</x:v>
      </x:c>
    </x:row>
    <x:row r="22" ht="23" customHeight="1">
      <x:c r="A22" s="2" t="str">
        <x:v>2026-10-12_Night</x:v>
      </x:c>
      <x:c r="B22" s="2" t="str">
        <x:v>下落</x:v>
      </x:c>
      <x:c r="C22" s="19" t="n">
        <x:v>82000</x:v>
      </x:c>
      <x:c r="D22" s="19" t="n">
        <x:v>100000</x:v>
      </x:c>
      <x:c r="E22" s="19" t="n">
        <x:f>C22-D22</x:f>
        <x:v>-18000</x:v>
      </x:c>
      <x:c r="F22" s="19" t="n">
        <x:f>F21+E22</x:f>
        <x:v>-242000</x:v>
      </x:c>
      <x:c r="G22" s="20" t="n">
        <x:v>3</x:v>
      </x:c>
      <x:c r="H22" s="20" t="n">
        <x:v>15</x:v>
      </x:c>
      <x:c r="I22" s="19" t="n">
        <x:v>-100000</x:v>
      </x:c>
      <x:c r="J22" s="19" t="n">
        <x:v>82000</x:v>
      </x:c>
      <x:c r="K22" s="20" t="n">
        <x:v>3</x:v>
      </x:c>
    </x:row>
    <x:row r="23" ht="23" customHeight="1">
      <x:c r="A23" s="2" t="str">
        <x:v>2026-10-13_Night</x:v>
      </x:c>
      <x:c r="B23" s="2" t="str">
        <x:v>上昇</x:v>
      </x:c>
      <x:c r="C23" s="19" t="n">
        <x:v>0</x:v>
      </x:c>
      <x:c r="D23" s="19" t="n">
        <x:v>53000</x:v>
      </x:c>
      <x:c r="E23" s="19" t="n">
        <x:f>C23-D23</x:f>
        <x:v>-53000</x:v>
      </x:c>
      <x:c r="F23" s="19" t="n">
        <x:f>F22+E23</x:f>
        <x:v>-295000</x:v>
      </x:c>
      <x:c r="G23" s="20" t="n">
        <x:v>2</x:v>
      </x:c>
      <x:c r="H23" s="20" t="n">
        <x:v>6</x:v>
      </x:c>
      <x:c r="I23" s="19" t="n">
        <x:v>0</x:v>
      </x:c>
      <x:c r="J23" s="19" t="n">
        <x:v>-53000</x:v>
      </x:c>
      <x:c r="K23" s="20" t="n">
        <x:v>2</x:v>
      </x:c>
    </x:row>
    <x:row r="24" ht="23" customHeight="1">
      <x:c r="A24" s="2" t="str">
        <x:v>2026-10-14_Night</x:v>
      </x:c>
      <x:c r="B24" s="2" t="str">
        <x:v>下落</x:v>
      </x:c>
      <x:c r="C24" s="19" t="n">
        <x:v>197000</x:v>
      </x:c>
      <x:c r="D24" s="19" t="n">
        <x:v>626000</x:v>
      </x:c>
      <x:c r="E24" s="19" t="n">
        <x:f>C24-D24</x:f>
        <x:v>-429000</x:v>
      </x:c>
      <x:c r="F24" s="19" t="n">
        <x:f>F23+E24</x:f>
        <x:v>-724000</x:v>
      </x:c>
      <x:c r="G24" s="20" t="n">
        <x:v>12</x:v>
      </x:c>
      <x:c r="H24" s="20" t="n">
        <x:v>49</x:v>
      </x:c>
      <x:c r="I24" s="19" t="n">
        <x:v>-565000</x:v>
      </x:c>
      <x:c r="J24" s="19" t="n">
        <x:v>136000</x:v>
      </x:c>
      <x:c r="K24" s="20" t="n">
        <x:v>11</x:v>
      </x:c>
    </x:row>
    <x:row r="25" ht="23" customHeight="1">
      <x:c r="A25" s="2" t="str">
        <x:v>2026-10-15_Night</x:v>
      </x:c>
      <x:c r="B25" s="2" t="str">
        <x:v>上昇</x:v>
      </x:c>
      <x:c r="C25" s="19" t="n">
        <x:v>216000</x:v>
      </x:c>
      <x:c r="D25" s="19" t="n">
        <x:v>520000</x:v>
      </x:c>
      <x:c r="E25" s="19" t="n">
        <x:f>C25-D25</x:f>
        <x:v>-304000</x:v>
      </x:c>
      <x:c r="F25" s="19" t="n">
        <x:f>F24+E25</x:f>
        <x:v>-1028000</x:v>
      </x:c>
      <x:c r="G25" s="20" t="n">
        <x:v>25</x:v>
      </x:c>
      <x:c r="H25" s="20" t="n">
        <x:v>79</x:v>
      </x:c>
      <x:c r="I25" s="19" t="n">
        <x:v>-400000</x:v>
      </x:c>
      <x:c r="J25" s="19" t="n">
        <x:v>96000</x:v>
      </x:c>
      <x:c r="K25" s="20" t="n">
        <x:v>17</x:v>
      </x:c>
    </x:row>
    <x:row r="26" ht="23" customHeight="1">
      <x:c r="A26" s="2" t="str">
        <x:v>2026-10-16_Night</x:v>
      </x:c>
      <x:c r="B26" s="2" t="str">
        <x:v>下落</x:v>
      </x:c>
      <x:c r="C26" s="19" t="n">
        <x:v>153000</x:v>
      </x:c>
      <x:c r="D26" s="19" t="n">
        <x:v>552000</x:v>
      </x:c>
      <x:c r="E26" s="19" t="n">
        <x:f>C26-D26</x:f>
        <x:v>-399000</x:v>
      </x:c>
      <x:c r="F26" s="19" t="n">
        <x:f>F25+E26</x:f>
        <x:v>-1427000</x:v>
      </x:c>
      <x:c r="G26" s="20" t="n">
        <x:v>22</x:v>
      </x:c>
      <x:c r="H26" s="20" t="n">
        <x:v>72</x:v>
      </x:c>
      <x:c r="I26" s="19" t="n">
        <x:v>-410000</x:v>
      </x:c>
      <x:c r="J26" s="19" t="n">
        <x:v>11000</x:v>
      </x:c>
      <x:c r="K26" s="20" t="n">
        <x:v>18</x:v>
      </x:c>
    </x:row>
    <x:row r="27" ht="23" customHeight="1">
      <x:c r="A27" s="2" t="str">
        <x:v>2026-10-19_Night</x:v>
      </x:c>
      <x:c r="B27" s="2" t="str">
        <x:v>上昇</x:v>
      </x:c>
      <x:c r="C27" s="19" t="n">
        <x:v>168000</x:v>
      </x:c>
      <x:c r="D27" s="19" t="n">
        <x:v>198000</x:v>
      </x:c>
      <x:c r="E27" s="19" t="n">
        <x:f>C27-D27</x:f>
        <x:v>-30000</x:v>
      </x:c>
      <x:c r="F27" s="19" t="n">
        <x:f>F26+E27</x:f>
        <x:v>-1457000</x:v>
      </x:c>
      <x:c r="G27" s="20" t="n">
        <x:v>22</x:v>
      </x:c>
      <x:c r="H27" s="20" t="n">
        <x:v>63</x:v>
      </x:c>
      <x:c r="I27" s="19" t="n">
        <x:v>-45000</x:v>
      </x:c>
      <x:c r="J27" s="19" t="n">
        <x:v>15000</x:v>
      </x:c>
      <x:c r="K27" s="20" t="n">
        <x:v>14</x:v>
      </x:c>
    </x:row>
    <x:row r="28" ht="23" customHeight="1">
      <x:c r="A28" s="2" t="str">
        <x:v>2026-10-20_Night</x:v>
      </x:c>
      <x:c r="B28" s="2" t="str">
        <x:v>上昇</x:v>
      </x:c>
      <x:c r="C28" s="19" t="n">
        <x:v>742000</x:v>
      </x:c>
      <x:c r="D28" s="19" t="n">
        <x:v>394000</x:v>
      </x:c>
      <x:c r="E28" s="19" t="n">
        <x:f>C28-D28</x:f>
        <x:v>348000</x:v>
      </x:c>
      <x:c r="F28" s="19" t="n">
        <x:f>F27+E28</x:f>
        <x:v>-1109000</x:v>
      </x:c>
      <x:c r="G28" s="20" t="n">
        <x:v>26</x:v>
      </x:c>
      <x:c r="H28" s="20" t="n">
        <x:v>94</x:v>
      </x:c>
      <x:c r="I28" s="19" t="n">
        <x:v>-130000</x:v>
      </x:c>
      <x:c r="J28" s="19" t="n">
        <x:v>478000</x:v>
      </x:c>
      <x:c r="K28" s="20" t="n">
        <x:v>16</x:v>
      </x:c>
    </x:row>
    <x:row r="29" ht="23" customHeight="1">
      <x:c r="A29" s="2" t="str">
        <x:v>2026-10-21_Night</x:v>
      </x:c>
      <x:c r="B29" s="2" t="str">
        <x:v>上昇</x:v>
      </x:c>
      <x:c r="C29" s="19" t="n">
        <x:v>266000</x:v>
      </x:c>
      <x:c r="D29" s="19" t="n">
        <x:v>190000</x:v>
      </x:c>
      <x:c r="E29" s="19" t="n">
        <x:f>C29-D29</x:f>
        <x:v>76000</x:v>
      </x:c>
      <x:c r="F29" s="19" t="n">
        <x:f>F28+E29</x:f>
        <x:v>-1033000</x:v>
      </x:c>
      <x:c r="G29" s="20" t="n">
        <x:v>11</x:v>
      </x:c>
      <x:c r="H29" s="20" t="n">
        <x:v>47</x:v>
      </x:c>
      <x:c r="I29" s="19" t="n">
        <x:v>100000</x:v>
      </x:c>
      <x:c r="J29" s="19" t="n">
        <x:v>-24000</x:v>
      </x:c>
      <x:c r="K29" s="20" t="n">
        <x:v>7</x:v>
      </x:c>
    </x:row>
    <x:row r="30" ht="23" customHeight="1">
      <x:c r="A30" s="2" t="str">
        <x:v>2026-10-22_Night</x:v>
      </x:c>
      <x:c r="B30" s="2" t="str">
        <x:v>下落</x:v>
      </x:c>
      <x:c r="C30" s="19" t="n">
        <x:v>160000</x:v>
      </x:c>
      <x:c r="D30" s="19" t="n">
        <x:v>488000</x:v>
      </x:c>
      <x:c r="E30" s="19" t="n">
        <x:f>C30-D30</x:f>
        <x:v>-328000</x:v>
      </x:c>
      <x:c r="F30" s="19" t="n">
        <x:f>F29+E30</x:f>
        <x:v>-1361000</x:v>
      </x:c>
      <x:c r="G30" s="20" t="n">
        <x:v>17</x:v>
      </x:c>
      <x:c r="H30" s="20" t="n">
        <x:v>65</x:v>
      </x:c>
      <x:c r="I30" s="19" t="n">
        <x:v>-405000</x:v>
      </x:c>
      <x:c r="J30" s="19" t="n">
        <x:v>77000</x:v>
      </x:c>
      <x:c r="K30" s="20" t="n">
        <x:v>13</x:v>
      </x:c>
    </x:row>
    <x:row r="31" ht="23" customHeight="1">
      <x:c r="A31" s="2" t="str">
        <x:v>2026-10-23_Night</x:v>
      </x:c>
      <x:c r="B31" s="2" t="str">
        <x:v>上昇</x:v>
      </x:c>
      <x:c r="C31" s="19" t="n">
        <x:v>162000</x:v>
      </x:c>
      <x:c r="D31" s="19" t="n">
        <x:v>237000</x:v>
      </x:c>
      <x:c r="E31" s="19" t="n">
        <x:f>C31-D31</x:f>
        <x:v>-75000</x:v>
      </x:c>
      <x:c r="F31" s="19" t="n">
        <x:f>F30+E31</x:f>
        <x:v>-1436000</x:v>
      </x:c>
      <x:c r="G31" s="20" t="n">
        <x:v>14</x:v>
      </x:c>
      <x:c r="H31" s="20" t="n">
        <x:v>51</x:v>
      </x:c>
      <x:c r="I31" s="19" t="n">
        <x:v>-90000</x:v>
      </x:c>
      <x:c r="J31" s="19" t="n">
        <x:v>15000</x:v>
      </x:c>
      <x:c r="K31" s="20" t="n">
        <x:v>8</x:v>
      </x:c>
    </x:row>
    <x:row r="32" ht="23" customHeight="1">
      <x:c r="A32" s="24" t="str">
        <x:v>25夜累計</x:v>
      </x:c>
      <x:c r="B32" s="24"/>
      <x:c r="C32" s="25" t="n">
        <x:f>SUM(C7:C31)</x:f>
        <x:v>4301000</x:v>
      </x:c>
      <x:c r="D32" s="25" t="n">
        <x:f>SUM(D7:D31)</x:f>
        <x:v>5737000</x:v>
      </x:c>
      <x:c r="E32" s="25" t="n">
        <x:f>C32-D32</x:f>
        <x:v>-1436000</x:v>
      </x:c>
      <x:c r="F32" s="25" t="n">
        <x:f>F31</x:f>
        <x:v>-1436000</x:v>
      </x:c>
      <x:c r="G32" s="26" t="n">
        <x:f>SUM(G7:G31)</x:f>
        <x:v>321</x:v>
      </x:c>
      <x:c r="H32" s="26" t="n">
        <x:f>SUM(H7:H31)</x:f>
        <x:v>1138</x:v>
      </x:c>
      <x:c r="I32" s="25" t="n">
        <x:f>SUM(I7:I31)</x:f>
        <x:v>-2990000</x:v>
      </x:c>
      <x:c r="J32" s="25" t="n">
        <x:f>SUM(J7:J31)</x:f>
        <x:v>1554000</x:v>
      </x:c>
      <x:c r="K32" s="26" t="n">
        <x:f>SUM(K7:K31)</x:f>
        <x:v>219</x:v>
      </x:c>
    </x:row>
    <x:row r="33" ht="23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</x:row>
  </x:sheetData>
  <x:conditionalFormatting sqref="C7:F32">
    <x:cfRule type="cellIs" dxfId="48" priority="1" operator="lessThan">
      <x:formula>0</x:formula>
    </x:cfRule>
  </x:conditionalFormatting>
  <x:conditionalFormatting sqref="I7:J32">
    <x:cfRule type="cellIs" dxfId="49" priority="2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a43d2bee400478f"/>
  </x:tableParts>
</x:worksheet>
</file>

<file path=xl/worksheets/sheet27.xml><?xml version="1.0" encoding="utf-8"?>
<x:worksheet xmlns:x="http://schemas.openxmlformats.org/spreadsheetml/2006/main">
  <x:sheetPr>
    <x:tabColor rgb="FF244A70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</x:row>
    <x:row r="2" ht="23" customHeight="1">
      <x:c r="A2" s="4" t="str">
        <x:v>2026/10/26ナイト　米国開始前の途中評価</x:v>
      </x:c>
      <x:c r="B2" s="5"/>
      <x:c r="C2" s="5"/>
      <x:c r="D2" s="5"/>
      <x:c r="E2" s="5"/>
      <x:c r="F2" s="5"/>
      <x:c r="G2" s="5"/>
      <x:c r="H2" s="5"/>
    </x:row>
    <x:row r="3" ht="23" customHeight="1">
      <x:c r="A3" s="6" t="str">
        <x:v>日経mini・片方向上限10枚・手数料0円・気配差込み。利益と損失は完結した親取引の収支を分類。</x:v>
      </x:c>
      <x:c r="B3" s="2"/>
      <x:c r="C3" s="2"/>
      <x:c r="D3" s="2"/>
      <x:c r="E3" s="2"/>
      <x:c r="F3" s="2"/>
      <x:c r="G3" s="2"/>
      <x:c r="H3" s="2"/>
    </x:row>
    <x:row r="4" ht="23" customHeight="1">
      <x:c r="A4" s="6" t="str">
        <x:v>21:13:52までの保存スナップショット。終端で強制返済せず含み損益を表示。完了25夜に含めない。</x:v>
      </x:c>
      <x:c r="B4" s="2"/>
      <x:c r="C4" s="2"/>
      <x:c r="D4" s="2"/>
      <x:c r="E4" s="2"/>
      <x:c r="F4" s="2"/>
      <x:c r="G4" s="2"/>
      <x:c r="H4" s="2"/>
    </x:row>
    <x:row r="5" ht="23" customHeight="1">
      <x:c r="A5" s="6" t="str">
        <x:v>新規合計枚数は累計約定枚数。未約定待機・売買回数・同時保有枚数とは区別する。</x:v>
      </x:c>
      <x:c r="B5" s="2"/>
      <x:c r="C5" s="2"/>
      <x:c r="D5" s="2"/>
      <x:c r="E5" s="2"/>
      <x:c r="F5" s="2"/>
      <x:c r="G5" s="2"/>
      <x:c r="H5" s="2"/>
    </x:row>
    <x:row r="6" ht="40" customHeight="1">
      <x:c r="A6" s="15" t="str">
        <x:v>手法ID</x:v>
      </x:c>
      <x:c r="B6" s="16" t="str">
        <x:v>実現収支（円）</x:v>
      </x:c>
      <x:c r="C6" s="16" t="str">
        <x:v>含み損益（円）</x:v>
      </x:c>
      <x:c r="D6" s="16" t="str">
        <x:v>合計評価（円）</x:v>
      </x:c>
      <x:c r="E6" s="16" t="str">
        <x:v>新規件数</x:v>
      </x:c>
      <x:c r="F6" s="16" t="str">
        <x:v>新規合計枚数</x:v>
      </x:c>
      <x:c r="G6" s="16" t="str">
        <x:v>買い保有枚数</x:v>
      </x:c>
      <x:c r="H6" s="17" t="str">
        <x:v>売り保有枚数</x:v>
      </x:c>
    </x:row>
    <x:row r="7" ht="23" customHeight="1">
      <x:c r="A7" s="2" t="str">
        <x:v>D07</x:v>
      </x:c>
      <x:c r="B7" s="19" t="n">
        <x:v>0</x:v>
      </x:c>
      <x:c r="C7" s="19" t="n">
        <x:v>0</x:v>
      </x:c>
      <x:c r="D7" s="19" t="n">
        <x:f>B7+C7</x:f>
        <x:v>0</x:v>
      </x:c>
      <x:c r="E7" s="2" t="n">
        <x:v>0</x:v>
      </x:c>
      <x:c r="F7" s="2" t="n">
        <x:v>0</x:v>
      </x:c>
      <x:c r="G7" s="2" t="n">
        <x:v>0</x:v>
      </x:c>
      <x:c r="H7" s="2" t="n">
        <x:v>0</x:v>
      </x:c>
    </x:row>
    <x:row r="8" ht="23" customHeight="1">
      <x:c r="A8" s="2" t="str">
        <x:v>P01</x:v>
      </x:c>
      <x:c r="B8" s="19" t="n">
        <x:v>0</x:v>
      </x:c>
      <x:c r="C8" s="19" t="n">
        <x:v>0</x:v>
      </x:c>
      <x:c r="D8" s="19" t="n">
        <x:f>B8+C8</x:f>
        <x:v>0</x:v>
      </x:c>
      <x:c r="E8" s="2" t="n">
        <x:v>4</x:v>
      </x:c>
      <x:c r="F8" s="2" t="n">
        <x:v>20</x:v>
      </x:c>
      <x:c r="G8" s="2" t="n">
        <x:v>0</x:v>
      </x:c>
      <x:c r="H8" s="2" t="n">
        <x:v>0</x:v>
      </x:c>
    </x:row>
    <x:row r="9" ht="23" customHeight="1">
      <x:c r="A9" s="2" t="str">
        <x:v>P02</x:v>
      </x:c>
      <x:c r="B9" s="19" t="n">
        <x:v>50000</x:v>
      </x:c>
      <x:c r="C9" s="19" t="n">
        <x:v>0</x:v>
      </x:c>
      <x:c r="D9" s="19" t="n">
        <x:f>B9+C9</x:f>
        <x:v>50000</x:v>
      </x:c>
      <x:c r="E9" s="2" t="n">
        <x:v>3</x:v>
      </x:c>
      <x:c r="F9" s="2" t="n">
        <x:v>15</x:v>
      </x:c>
      <x:c r="G9" s="2" t="n">
        <x:v>0</x:v>
      </x:c>
      <x:c r="H9" s="2" t="n">
        <x:v>0</x:v>
      </x:c>
    </x:row>
    <x:row r="10" ht="23" customHeight="1">
      <x:c r="A10" s="2" t="str">
        <x:v>P03</x:v>
      </x:c>
      <x:c r="B10" s="19" t="n">
        <x:v>0</x:v>
      </x:c>
      <x:c r="C10" s="19" t="n">
        <x:v>0</x:v>
      </x:c>
      <x:c r="D10" s="19" t="n">
        <x:f>B10+C10</x:f>
        <x:v>0</x:v>
      </x:c>
      <x:c r="E10" s="2" t="n">
        <x:v>4</x:v>
      </x:c>
      <x:c r="F10" s="2" t="n">
        <x:v>20</x:v>
      </x:c>
      <x:c r="G10" s="2" t="n">
        <x:v>0</x:v>
      </x:c>
      <x:c r="H10" s="2" t="n">
        <x:v>0</x:v>
      </x:c>
    </x:row>
    <x:row r="11" ht="23" customHeight="1">
      <x:c r="A11" s="2" t="str">
        <x:v>P04</x:v>
      </x:c>
      <x:c r="B11" s="19" t="n">
        <x:v>50000</x:v>
      </x:c>
      <x:c r="C11" s="19" t="n">
        <x:v>0</x:v>
      </x:c>
      <x:c r="D11" s="19" t="n">
        <x:f>B11+C11</x:f>
        <x:v>50000</x:v>
      </x:c>
      <x:c r="E11" s="2" t="n">
        <x:v>3</x:v>
      </x:c>
      <x:c r="F11" s="2" t="n">
        <x:v>15</x:v>
      </x:c>
      <x:c r="G11" s="2" t="n">
        <x:v>0</x:v>
      </x:c>
      <x:c r="H11" s="2" t="n">
        <x:v>0</x:v>
      </x:c>
    </x:row>
    <x:row r="12" ht="23" customHeight="1">
      <x:c r="A12" s="2" t="str">
        <x:v>P05</x:v>
      </x:c>
      <x:c r="B12" s="19" t="n">
        <x:v>-50000</x:v>
      </x:c>
      <x:c r="C12" s="19" t="n">
        <x:v>0</x:v>
      </x:c>
      <x:c r="D12" s="19" t="n">
        <x:f>B12+C12</x:f>
        <x:v>-50000</x:v>
      </x:c>
      <x:c r="E12" s="2" t="n">
        <x:v>5</x:v>
      </x:c>
      <x:c r="F12" s="2" t="n">
        <x:v>25</x:v>
      </x:c>
      <x:c r="G12" s="2" t="n">
        <x:v>0</x:v>
      </x:c>
      <x:c r="H12" s="2" t="n">
        <x:v>0</x:v>
      </x:c>
    </x:row>
    <x:row r="13" ht="23" customHeight="1">
      <x:c r="A13" s="2" t="str">
        <x:v>P06</x:v>
      </x:c>
      <x:c r="B13" s="19" t="n">
        <x:v>0</x:v>
      </x:c>
      <x:c r="C13" s="19" t="n">
        <x:v>0</x:v>
      </x:c>
      <x:c r="D13" s="19" t="n">
        <x:f>B13+C13</x:f>
        <x:v>0</x:v>
      </x:c>
      <x:c r="E13" s="2" t="n">
        <x:v>0</x:v>
      </x:c>
      <x:c r="F13" s="2" t="n">
        <x:v>0</x:v>
      </x:c>
      <x:c r="G13" s="2" t="n">
        <x:v>0</x:v>
      </x:c>
      <x:c r="H13" s="2" t="n">
        <x:v>0</x:v>
      </x:c>
    </x:row>
    <x:row r="14" ht="23" customHeight="1">
      <x:c r="A14" s="2" t="str">
        <x:v>P07</x:v>
      </x:c>
      <x:c r="B14" s="19" t="n">
        <x:v>-15000</x:v>
      </x:c>
      <x:c r="C14" s="19" t="n">
        <x:v>0</x:v>
      </x:c>
      <x:c r="D14" s="19" t="n">
        <x:f>B14+C14</x:f>
        <x:v>-15000</x:v>
      </x:c>
      <x:c r="E14" s="2" t="n">
        <x:v>4</x:v>
      </x:c>
      <x:c r="F14" s="2" t="n">
        <x:v>20</x:v>
      </x:c>
      <x:c r="G14" s="2" t="n">
        <x:v>0</x:v>
      </x:c>
      <x:c r="H14" s="2" t="n">
        <x:v>0</x:v>
      </x:c>
    </x:row>
    <x:row r="15" ht="23" customHeight="1">
      <x:c r="A15" s="2" t="str">
        <x:v>P08</x:v>
      </x:c>
      <x:c r="B15" s="19" t="n">
        <x:v>15000</x:v>
      </x:c>
      <x:c r="C15" s="19" t="n">
        <x:v>0</x:v>
      </x:c>
      <x:c r="D15" s="19" t="n">
        <x:f>B15+C15</x:f>
        <x:v>15000</x:v>
      </x:c>
      <x:c r="E15" s="2" t="n">
        <x:v>4</x:v>
      </x:c>
      <x:c r="F15" s="2" t="n">
        <x:v>20</x:v>
      </x:c>
      <x:c r="G15" s="2" t="n">
        <x:v>0</x:v>
      </x:c>
      <x:c r="H15" s="2" t="n">
        <x:v>0</x:v>
      </x:c>
    </x:row>
    <x:row r="16" ht="23" customHeight="1">
      <x:c r="A16" s="2" t="str">
        <x:v>P09</x:v>
      </x:c>
      <x:c r="B16" s="19" t="n">
        <x:v>20000</x:v>
      </x:c>
      <x:c r="C16" s="19" t="n">
        <x:v>0</x:v>
      </x:c>
      <x:c r="D16" s="19" t="n">
        <x:f>B16+C16</x:f>
        <x:v>20000</x:v>
      </x:c>
      <x:c r="E16" s="2" t="n">
        <x:v>4</x:v>
      </x:c>
      <x:c r="F16" s="2" t="n">
        <x:v>20</x:v>
      </x:c>
      <x:c r="G16" s="2" t="n">
        <x:v>0</x:v>
      </x:c>
      <x:c r="H16" s="2" t="n">
        <x:v>0</x:v>
      </x:c>
    </x:row>
    <x:row r="17" ht="23" customHeight="1">
      <x:c r="A17" s="2" t="str">
        <x:v>P10</x:v>
      </x:c>
      <x:c r="B17" s="19" t="n">
        <x:v>75000</x:v>
      </x:c>
      <x:c r="C17" s="19" t="n">
        <x:v>-25000</x:v>
      </x:c>
      <x:c r="D17" s="19" t="n">
        <x:f>B17+C17</x:f>
        <x:v>50000</x:v>
      </x:c>
      <x:c r="E17" s="2" t="n">
        <x:v>4</x:v>
      </x:c>
      <x:c r="F17" s="2" t="n">
        <x:v>20</x:v>
      </x:c>
      <x:c r="G17" s="2" t="n">
        <x:v>5</x:v>
      </x:c>
      <x:c r="H17" s="2" t="n">
        <x:v>0</x:v>
      </x:c>
    </x:row>
    <x:row r="18" ht="23" customHeight="1">
      <x:c r="A18" s="2" t="str">
        <x:v>P11</x:v>
      </x:c>
      <x:c r="B18" s="19" t="n">
        <x:v>-45000</x:v>
      </x:c>
      <x:c r="C18" s="19" t="n">
        <x:v>0</x:v>
      </x:c>
      <x:c r="D18" s="19" t="n">
        <x:f>B18+C18</x:f>
        <x:v>-45000</x:v>
      </x:c>
      <x:c r="E18" s="2" t="n">
        <x:v>4</x:v>
      </x:c>
      <x:c r="F18" s="2" t="n">
        <x:v>20</x:v>
      </x:c>
      <x:c r="G18" s="2" t="n">
        <x:v>0</x:v>
      </x:c>
      <x:c r="H18" s="2" t="n">
        <x:v>0</x:v>
      </x:c>
    </x:row>
    <x:row r="19" ht="23" customHeight="1">
      <x:c r="A19" s="2" t="str">
        <x:v>P12</x:v>
      </x:c>
      <x:c r="B19" s="19" t="n">
        <x:v>0</x:v>
      </x:c>
      <x:c r="C19" s="19" t="n">
        <x:v>0</x:v>
      </x:c>
      <x:c r="D19" s="19" t="n">
        <x:f>B19+C19</x:f>
        <x:v>0</x:v>
      </x:c>
      <x:c r="E19" s="2" t="n">
        <x:v>4</x:v>
      </x:c>
      <x:c r="F19" s="2" t="n">
        <x:v>20</x:v>
      </x:c>
      <x:c r="G19" s="2" t="n">
        <x:v>0</x:v>
      </x:c>
      <x:c r="H19" s="2" t="n">
        <x:v>0</x:v>
      </x:c>
    </x:row>
    <x:row r="20" ht="23" customHeight="1">
      <x:c r="A20" s="2" t="str">
        <x:v>P13</x:v>
      </x:c>
      <x:c r="B20" s="19" t="n">
        <x:v>0</x:v>
      </x:c>
      <x:c r="C20" s="19" t="n">
        <x:v>0</x:v>
      </x:c>
      <x:c r="D20" s="19" t="n">
        <x:f>B20+C20</x:f>
        <x:v>0</x:v>
      </x:c>
      <x:c r="E20" s="2" t="n">
        <x:v>4</x:v>
      </x:c>
      <x:c r="F20" s="2" t="n">
        <x:v>20</x:v>
      </x:c>
      <x:c r="G20" s="2" t="n">
        <x:v>0</x:v>
      </x:c>
      <x:c r="H20" s="2" t="n">
        <x:v>0</x:v>
      </x:c>
    </x:row>
    <x:row r="21" ht="23" customHeight="1">
      <x:c r="A21" s="2" t="str">
        <x:v>P14</x:v>
      </x:c>
      <x:c r="B21" s="19" t="n">
        <x:v>0</x:v>
      </x:c>
      <x:c r="C21" s="19" t="n">
        <x:v>0</x:v>
      </x:c>
      <x:c r="D21" s="19" t="n">
        <x:f>B21+C21</x:f>
        <x:v>0</x:v>
      </x:c>
      <x:c r="E21" s="2" t="n">
        <x:v>4</x:v>
      </x:c>
      <x:c r="F21" s="2" t="n">
        <x:v>20</x:v>
      </x:c>
      <x:c r="G21" s="2" t="n">
        <x:v>0</x:v>
      </x:c>
      <x:c r="H21" s="2" t="n">
        <x:v>0</x:v>
      </x:c>
    </x:row>
    <x:row r="22" ht="23" customHeight="1">
      <x:c r="A22" s="2" t="str">
        <x:v>P15</x:v>
      </x:c>
      <x:c r="B22" s="19" t="n">
        <x:v>-190000</x:v>
      </x:c>
      <x:c r="C22" s="19" t="n">
        <x:v>0</x:v>
      </x:c>
      <x:c r="D22" s="19" t="n">
        <x:f>B22+C22</x:f>
        <x:v>-190000</x:v>
      </x:c>
      <x:c r="E22" s="2" t="n">
        <x:v>4</x:v>
      </x:c>
      <x:c r="F22" s="2" t="n">
        <x:v>40</x:v>
      </x:c>
      <x:c r="G22" s="2" t="n">
        <x:v>0</x:v>
      </x:c>
      <x:c r="H22" s="2" t="n">
        <x:v>0</x:v>
      </x:c>
    </x:row>
    <x:row r="23" ht="23" customHeight="1">
      <x:c r="A23" s="2" t="str">
        <x:v>P16</x:v>
      </x:c>
      <x:c r="B23" s="19" t="n">
        <x:v>9000</x:v>
      </x:c>
      <x:c r="C23" s="19" t="n">
        <x:v>0</x:v>
      </x:c>
      <x:c r="D23" s="19" t="n">
        <x:f>B23+C23</x:f>
        <x:v>9000</x:v>
      </x:c>
      <x:c r="E23" s="2" t="n">
        <x:v>4</x:v>
      </x:c>
      <x:c r="F23" s="2" t="n">
        <x:v>9</x:v>
      </x:c>
      <x:c r="G23" s="2" t="n">
        <x:v>0</x:v>
      </x:c>
      <x:c r="H23" s="2" t="n">
        <x:v>0</x:v>
      </x:c>
    </x:row>
    <x:row r="24" ht="23" customHeight="1">
      <x:c r="A24" s="2" t="str">
        <x:v>Q01</x:v>
      </x:c>
      <x:c r="B24" s="19" t="n">
        <x:v>240000</x:v>
      </x:c>
      <x:c r="C24" s="19" t="n">
        <x:v>-25000</x:v>
      </x:c>
      <x:c r="D24" s="19" t="n">
        <x:f>B24+C24</x:f>
        <x:v>215000</x:v>
      </x:c>
      <x:c r="E24" s="2" t="n">
        <x:v>14</x:v>
      </x:c>
      <x:c r="F24" s="2" t="n">
        <x:v>70</x:v>
      </x:c>
      <x:c r="G24" s="2" t="n">
        <x:v>5</x:v>
      </x:c>
      <x:c r="H24" s="2" t="n">
        <x:v>0</x:v>
      </x:c>
    </x:row>
    <x:row r="25" ht="23" customHeight="1">
      <x:c r="A25" s="2" t="str">
        <x:v>Q02</x:v>
      </x:c>
      <x:c r="B25" s="19" t="n">
        <x:v>280000</x:v>
      </x:c>
      <x:c r="C25" s="19" t="n">
        <x:v>-25000</x:v>
      </x:c>
      <x:c r="D25" s="19" t="n">
        <x:f>B25+C25</x:f>
        <x:v>255000</x:v>
      </x:c>
      <x:c r="E25" s="2" t="n">
        <x:v>13</x:v>
      </x:c>
      <x:c r="F25" s="2" t="n">
        <x:v>65</x:v>
      </x:c>
      <x:c r="G25" s="2" t="n">
        <x:v>5</x:v>
      </x:c>
      <x:c r="H25" s="2" t="n">
        <x:v>0</x:v>
      </x:c>
    </x:row>
    <x:row r="26" ht="23" customHeight="1">
      <x:c r="A26" s="2" t="str">
        <x:v>Q03</x:v>
      </x:c>
      <x:c r="B26" s="19" t="n">
        <x:v>330000</x:v>
      </x:c>
      <x:c r="C26" s="19" t="n">
        <x:v>-25000</x:v>
      </x:c>
      <x:c r="D26" s="19" t="n">
        <x:f>B26+C26</x:f>
        <x:v>305000</x:v>
      </x:c>
      <x:c r="E26" s="2" t="n">
        <x:v>13</x:v>
      </x:c>
      <x:c r="F26" s="2" t="n">
        <x:v>65</x:v>
      </x:c>
      <x:c r="G26" s="2" t="n">
        <x:v>5</x:v>
      </x:c>
      <x:c r="H26" s="2" t="n">
        <x:v>0</x:v>
      </x:c>
    </x:row>
    <x:row r="27" ht="23" customHeight="1">
      <x:c r="A27" s="2" t="str">
        <x:v>Q04</x:v>
      </x:c>
      <x:c r="B27" s="19" t="n">
        <x:v>430000</x:v>
      </x:c>
      <x:c r="C27" s="19" t="n">
        <x:v>-25000</x:v>
      </x:c>
      <x:c r="D27" s="19" t="n">
        <x:f>B27+C27</x:f>
        <x:v>405000</x:v>
      </x:c>
      <x:c r="E27" s="2" t="n">
        <x:v>10</x:v>
      </x:c>
      <x:c r="F27" s="2" t="n">
        <x:v>50</x:v>
      </x:c>
      <x:c r="G27" s="2" t="n">
        <x:v>10</x:v>
      </x:c>
      <x:c r="H27" s="2" t="n">
        <x:v>0</x:v>
      </x:c>
    </x:row>
    <x:row r="28" ht="23" customHeight="1">
      <x:c r="A28" s="2" t="str">
        <x:v>Q05</x:v>
      </x:c>
      <x:c r="B28" s="19" t="n">
        <x:v>230000</x:v>
      </x:c>
      <x:c r="C28" s="19" t="n">
        <x:v>-10000</x:v>
      </x:c>
      <x:c r="D28" s="19" t="n">
        <x:f>B28+C28</x:f>
        <x:v>220000</x:v>
      </x:c>
      <x:c r="E28" s="2" t="n">
        <x:v>11</x:v>
      </x:c>
      <x:c r="F28" s="2" t="n">
        <x:v>55</x:v>
      </x:c>
      <x:c r="G28" s="2" t="n">
        <x:v>5</x:v>
      </x:c>
      <x:c r="H28" s="2" t="n">
        <x:v>0</x:v>
      </x:c>
    </x:row>
    <x:row r="29" ht="23" customHeight="1">
      <x:c r="A29" s="2" t="str">
        <x:v>Q06</x:v>
      </x:c>
      <x:c r="B29" s="19" t="n">
        <x:v>170000</x:v>
      </x:c>
      <x:c r="C29" s="19" t="n">
        <x:v>-20000</x:v>
      </x:c>
      <x:c r="D29" s="19" t="n">
        <x:f>B29+C29</x:f>
        <x:v>150000</x:v>
      </x:c>
      <x:c r="E29" s="2" t="n">
        <x:v>6</x:v>
      </x:c>
      <x:c r="F29" s="2" t="n">
        <x:v>30</x:v>
      </x:c>
      <x:c r="G29" s="2" t="n">
        <x:v>5</x:v>
      </x:c>
      <x:c r="H29" s="2" t="n">
        <x:v>0</x:v>
      </x:c>
    </x:row>
    <x:row r="30" ht="23" customHeight="1">
      <x:c r="A30" s="2" t="str">
        <x:v>Q07</x:v>
      </x:c>
      <x:c r="B30" s="19" t="n">
        <x:v>255000</x:v>
      </x:c>
      <x:c r="C30" s="19" t="n">
        <x:v>40000</x:v>
      </x:c>
      <x:c r="D30" s="19" t="n">
        <x:f>B30+C30</x:f>
        <x:v>295000</x:v>
      </x:c>
      <x:c r="E30" s="2" t="n">
        <x:v>4</x:v>
      </x:c>
      <x:c r="F30" s="2" t="n">
        <x:v>20</x:v>
      </x:c>
      <x:c r="G30" s="2" t="n">
        <x:v>5</x:v>
      </x:c>
      <x:c r="H30" s="2" t="n">
        <x:v>0</x:v>
      </x:c>
    </x:row>
    <x:row r="31" ht="23" customHeight="1">
      <x:c r="A31" s="2" t="str">
        <x:v>Q08</x:v>
      </x:c>
      <x:c r="B31" s="19" t="n">
        <x:v>185000</x:v>
      </x:c>
      <x:c r="C31" s="19" t="n">
        <x:v>-20000</x:v>
      </x:c>
      <x:c r="D31" s="19" t="n">
        <x:f>B31+C31</x:f>
        <x:v>165000</x:v>
      </x:c>
      <x:c r="E31" s="2" t="n">
        <x:v>7</x:v>
      </x:c>
      <x:c r="F31" s="2" t="n">
        <x:v>35</x:v>
      </x:c>
      <x:c r="G31" s="2" t="n">
        <x:v>5</x:v>
      </x:c>
      <x:c r="H31" s="2" t="n">
        <x:v>0</x:v>
      </x:c>
    </x:row>
  </x:sheetData>
  <x:conditionalFormatting sqref="B7:D31">
    <x:cfRule type="cellIs" dxfId="53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9bdb1b8914f44f6"/>
  </x:tableParts>
</x:worksheet>
</file>