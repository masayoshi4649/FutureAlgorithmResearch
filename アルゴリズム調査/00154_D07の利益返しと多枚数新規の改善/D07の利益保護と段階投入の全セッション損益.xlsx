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3cb1cc0fd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4627b5b328334c56"/>
    <x:sheet xmlns:r="http://schemas.openxmlformats.org/officeDocument/2006/relationships" name="日経_D07" sheetId="2" r:id="Ra62b723260934128"/>
    <x:sheet xmlns:r="http://schemas.openxmlformats.org/officeDocument/2006/relationships" name="日経_E01" sheetId="3" r:id="Rdae3bdcd1db640ff"/>
    <x:sheet xmlns:r="http://schemas.openxmlformats.org/officeDocument/2006/relationships" name="日経_E02" sheetId="4" r:id="Rdf05989f18884a16"/>
    <x:sheet xmlns:r="http://schemas.openxmlformats.org/officeDocument/2006/relationships" name="日経_E03" sheetId="5" r:id="R1dae3695151645b2"/>
    <x:sheet xmlns:r="http://schemas.openxmlformats.org/officeDocument/2006/relationships" name="日経_E04" sheetId="6" r:id="Rf9963024667e4629"/>
    <x:sheet xmlns:r="http://schemas.openxmlformats.org/officeDocument/2006/relationships" name="日経_E05" sheetId="7" r:id="R9e5c4ddddddf42c8"/>
    <x:sheet xmlns:r="http://schemas.openxmlformats.org/officeDocument/2006/relationships" name="日経_C01" sheetId="8" r:id="R9dbfdb73cbc24916"/>
    <x:sheet xmlns:r="http://schemas.openxmlformats.org/officeDocument/2006/relationships" name="日経_C02" sheetId="9" r:id="R7b7d4737b9ac4c04"/>
    <x:sheet xmlns:r="http://schemas.openxmlformats.org/officeDocument/2006/relationships" name="日経_C03" sheetId="10" r:id="Rced5858235e94a74"/>
    <x:sheet xmlns:r="http://schemas.openxmlformats.org/officeDocument/2006/relationships" name="日経_A01" sheetId="11" r:id="R3be8043afd0141cf"/>
    <x:sheet xmlns:r="http://schemas.openxmlformats.org/officeDocument/2006/relationships" name="日経_X01" sheetId="12" r:id="R40ac46befbe2433a"/>
    <x:sheet xmlns:r="http://schemas.openxmlformats.org/officeDocument/2006/relationships" name="日経_X02" sheetId="13" r:id="R5ef4062d56634fb1"/>
    <x:sheet xmlns:r="http://schemas.openxmlformats.org/officeDocument/2006/relationships" name="日経_X03" sheetId="14" r:id="R94e12721c2df4099"/>
    <x:sheet xmlns:r="http://schemas.openxmlformats.org/officeDocument/2006/relationships" name="日経_G01" sheetId="15" r:id="Rcc55cca0ffb246bf"/>
    <x:sheet xmlns:r="http://schemas.openxmlformats.org/officeDocument/2006/relationships" name="日経_G02" sheetId="16" r:id="R792c3b7607814c7e"/>
    <x:sheet xmlns:r="http://schemas.openxmlformats.org/officeDocument/2006/relationships" name="日経_S00" sheetId="17" r:id="Rdfcefc6ae00540d5"/>
    <x:sheet xmlns:r="http://schemas.openxmlformats.org/officeDocument/2006/relationships" name="日経_S01" sheetId="18" r:id="R9c318f5e8b7a47d9"/>
    <x:sheet xmlns:r="http://schemas.openxmlformats.org/officeDocument/2006/relationships" name="日経_S04" sheetId="19" r:id="R5c4f70e00062479a"/>
    <x:sheet xmlns:r="http://schemas.openxmlformats.org/officeDocument/2006/relationships" name="日経_S02" sheetId="20" r:id="Rbd2bdf9d44834a79"/>
    <x:sheet xmlns:r="http://schemas.openxmlformats.org/officeDocument/2006/relationships" name="日経_S03" sheetId="21" r:id="R7c09a6f4e286449c"/>
    <x:sheet xmlns:r="http://schemas.openxmlformats.org/officeDocument/2006/relationships" name="日経_J01" sheetId="22" r:id="Rfe84046282254f01"/>
    <x:sheet xmlns:r="http://schemas.openxmlformats.org/officeDocument/2006/relationships" name="日経_J02" sheetId="23" r:id="Rd82da464f85a48b8"/>
    <x:sheet xmlns:r="http://schemas.openxmlformats.org/officeDocument/2006/relationships" name="日経_J03" sheetId="24" r:id="R5ca9ee16eb03416a"/>
    <x:sheet xmlns:r="http://schemas.openxmlformats.org/officeDocument/2006/relationships" name="10月27日デイ途中" sheetId="25" r:id="Rc74d000df5fa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—&quot;"/>
    <x:numFmt numFmtId="201" formatCode="0.00"/>
  </x:numFmts>
  <x:fonts count="6">
    <x:font>
      <x:sz val="11"/>
      <x:name val="Carlito"/>
    </x:font>
    <x:font>
      <x:sz val="10"/>
      <x:color rgb="FF21384D"/>
      <x:name val="Yu Gothic"/>
    </x:font>
    <x:font>
      <x:b/>
      <x:sz val="14"/>
      <x:color rgb="FF21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1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4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ac8a919aa4247" /><Relationship Type="http://schemas.openxmlformats.org/officeDocument/2006/relationships/theme" Target="/xl/theme/theme1.xml" Id="R084e03875df14705" /><Relationship Type="http://schemas.openxmlformats.org/officeDocument/2006/relationships/sharedStrings" Target="/xl/sharedStrings.xml" Id="R4b1abf0d49f147e6" /><Relationship Type="http://schemas.openxmlformats.org/officeDocument/2006/relationships/worksheet" Target="/xl/worksheets/sheet1.xml" Id="R4627b5b328334c56" /><Relationship Type="http://schemas.openxmlformats.org/officeDocument/2006/relationships/worksheet" Target="/xl/worksheets/sheet2.xml" Id="Ra62b723260934128" /><Relationship Type="http://schemas.openxmlformats.org/officeDocument/2006/relationships/worksheet" Target="/xl/worksheets/sheet3.xml" Id="Rdae3bdcd1db640ff" /><Relationship Type="http://schemas.openxmlformats.org/officeDocument/2006/relationships/worksheet" Target="/xl/worksheets/sheet4.xml" Id="Rdf05989f18884a16" /><Relationship Type="http://schemas.openxmlformats.org/officeDocument/2006/relationships/worksheet" Target="/xl/worksheets/sheet5.xml" Id="R1dae3695151645b2" /><Relationship Type="http://schemas.openxmlformats.org/officeDocument/2006/relationships/worksheet" Target="/xl/worksheets/sheet6.xml" Id="Rf9963024667e4629" /><Relationship Type="http://schemas.openxmlformats.org/officeDocument/2006/relationships/worksheet" Target="/xl/worksheets/sheet7.xml" Id="R9e5c4ddddddf42c8" /><Relationship Type="http://schemas.openxmlformats.org/officeDocument/2006/relationships/worksheet" Target="/xl/worksheets/sheet8.xml" Id="R9dbfdb73cbc24916" /><Relationship Type="http://schemas.openxmlformats.org/officeDocument/2006/relationships/worksheet" Target="/xl/worksheets/sheet9.xml" Id="R7b7d4737b9ac4c04" /><Relationship Type="http://schemas.openxmlformats.org/officeDocument/2006/relationships/worksheet" Target="/xl/worksheets/sheet10.xml" Id="Rced5858235e94a74" /><Relationship Type="http://schemas.openxmlformats.org/officeDocument/2006/relationships/worksheet" Target="/xl/worksheets/sheet11.xml" Id="R3be8043afd0141cf" /><Relationship Type="http://schemas.openxmlformats.org/officeDocument/2006/relationships/worksheet" Target="/xl/worksheets/sheet12.xml" Id="R40ac46befbe2433a" /><Relationship Type="http://schemas.openxmlformats.org/officeDocument/2006/relationships/worksheet" Target="/xl/worksheets/sheet13.xml" Id="R5ef4062d56634fb1" /><Relationship Type="http://schemas.openxmlformats.org/officeDocument/2006/relationships/worksheet" Target="/xl/worksheets/sheet14.xml" Id="R94e12721c2df4099" /><Relationship Type="http://schemas.openxmlformats.org/officeDocument/2006/relationships/worksheet" Target="/xl/worksheets/sheet15.xml" Id="Rcc55cca0ffb246bf" /><Relationship Type="http://schemas.openxmlformats.org/officeDocument/2006/relationships/worksheet" Target="/xl/worksheets/sheet16.xml" Id="R792c3b7607814c7e" /><Relationship Type="http://schemas.openxmlformats.org/officeDocument/2006/relationships/worksheet" Target="/xl/worksheets/sheet17.xml" Id="Rdfcefc6ae00540d5" /><Relationship Type="http://schemas.openxmlformats.org/officeDocument/2006/relationships/worksheet" Target="/xl/worksheets/sheet18.xml" Id="R9c318f5e8b7a47d9" /><Relationship Type="http://schemas.openxmlformats.org/officeDocument/2006/relationships/worksheet" Target="/xl/worksheets/sheet19.xml" Id="R5c4f70e00062479a" /><Relationship Type="http://schemas.openxmlformats.org/officeDocument/2006/relationships/worksheet" Target="/xl/worksheets/sheet20.xml" Id="Rbd2bdf9d44834a79" /><Relationship Type="http://schemas.openxmlformats.org/officeDocument/2006/relationships/worksheet" Target="/xl/worksheets/sheet21.xml" Id="R7c09a6f4e286449c" /><Relationship Type="http://schemas.openxmlformats.org/officeDocument/2006/relationships/worksheet" Target="/xl/worksheets/sheet22.xml" Id="Rfe84046282254f01" /><Relationship Type="http://schemas.openxmlformats.org/officeDocument/2006/relationships/worksheet" Target="/xl/worksheets/sheet23.xml" Id="Rd82da464f85a48b8" /><Relationship Type="http://schemas.openxmlformats.org/officeDocument/2006/relationships/worksheet" Target="/xl/worksheets/sheet24.xml" Id="R5ca9ee16eb03416a" /><Relationship Type="http://schemas.openxmlformats.org/officeDocument/2006/relationships/worksheet" Target="/xl/worksheets/sheet25.xml" Id="Rc74d000df5fa42e2" /></Relationships>
</file>

<file path=xl/tables/table1.xml><?xml version="1.0" encoding="utf-8"?>
<x:table xmlns:x="http://schemas.openxmlformats.org/spreadsheetml/2006/main" id="24" name="D154_comparison" displayName="D154_comparison" ref="A5:N28" headerRowCount="1" totalsRowCount="0" totalsRowShown="0">
  <x:autoFilter ref="A5:N28"/>
  <x:tableColumns count="14">
    <x:tableColumn id="1" name="手法"/>
    <x:tableColumn id="2" name="簡単な説明"/>
    <x:tableColumn id="3" name="総利益（円）"/>
    <x:tableColumn id="4" name="総損失（円）"/>
    <x:tableColumn id="5" name="収支（円）"/>
    <x:tableColumn id="6" name="利益／損失"/>
    <x:tableColumn id="7" name="赤字場数"/>
    <x:tableColumn id="8" name="平均赤字（円）"/>
    <x:tableColumn id="9" name="最大赤字（円）"/>
    <x:tableColumn id="10" name="上位3黒字除外"/>
    <x:tableColumn id="11" name="デイ収支（円）"/>
    <x:tableColumn id="12" name="ナイト収支（円）"/>
    <x:tableColumn id="13" name="上昇場収支（円）"/>
    <x:tableColumn id="14" name="下落場収支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154_D07" displayName="D154_D07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154_E01" displayName="D154_E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154_E02" displayName="D154_E02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154_E03" displayName="D154_E03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D154_E04" displayName="D154_E04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154_E05" displayName="D154_E05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154_C01" displayName="D154_C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D154_C02" displayName="D154_C02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D154_C03" displayName="D154_C03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D154_A01" displayName="D154_A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D154_X01" displayName="D154_X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D154_X02" displayName="D154_X02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D154_X03" displayName="D154_X03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D154_G01" displayName="D154_G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D154_G02" displayName="D154_G02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D154_S00" displayName="D154_S00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D154_S01" displayName="D154_S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D154_S04" displayName="D154_S04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D154_S02" displayName="D154_S02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D154_S03" displayName="D154_S03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D154_J01" displayName="D154_J01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D154_J02" displayName="D154_J02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D154_J03" displayName="D154_J03" ref="A5:M56" headerRowCount="1" totalsRowCount="0" totalsRowShown="0">
  <x:autoFilter ref="A5:M56"/>
  <x:tableColumns count="13">
    <x:tableColumn id="1" name="セッション"/>
    <x:tableColumn id="2" name="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D07差（円）"/>
    <x:tableColumn id="9" name="初回玉収支（円）"/>
    <x:tableColumn id="10" name="追撃玉収支（円）"/>
    <x:tableColumn id="11" name="回転玉収支（円）"/>
    <x:tableColumn id="12" name="新規件数"/>
    <x:tableColumn id="13" name="新規枚数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154_current" displayName="D154_current" ref="A5:K28" headerRowCount="1" totalsRowCount="0" totalsRowShown="0">
  <x:autoFilter ref="A5:K28"/>
  <x:tableColumns count="11">
    <x:tableColumn id="1" name="手法"/>
    <x:tableColumn id="2" name="完了取引利益（円）"/>
    <x:tableColumn id="3" name="完了取引損失（円）"/>
    <x:tableColumn id="4" name="継続中実現（円）"/>
    <x:tableColumn id="5" name="実現収支（円）"/>
    <x:tableColumn id="6" name="含み損益（円）"/>
    <x:tableColumn id="7" name="時価収支（円）"/>
    <x:tableColumn id="8" name="未返済枚数"/>
    <x:tableColumn id="9" name="11:21実現（円）"/>
    <x:tableColumn id="10" name="11:21含み（円）"/>
    <x:tableColumn id="11" name="11:21時価（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f0a21bcbb049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682d4b767c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ec5b5f7dd24f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9f27b7375044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3f9977f7ee47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f047c9b1ca4e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c5263d3a2340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bdc29aada9d46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dc0d08c4d9f4c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47b161600624d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ea0379812e042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e0acb96e52e4b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1dc9d2e643c4a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8960db7e0b54f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0e85b147afc4d6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f0f9f453872409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51f6e4590f142b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94e3f13935840a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20f7b81a92c435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5c1cace3585417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288360794264c2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815581d513c4ef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b15ac88121104b3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77545c70b774e5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08755bbddcd4f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D07の利益保護と段階投入の比較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4" t="str">
        <x:v>2026/09/21～10/26デイの51完了場。今日の途中結果は別シート。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4" t="str">
        <x:v>利益／損失は一連の売買を合算。上位3黒字場を除いた収支も表示。既知資料での比較、ラージ次正常気配の約定模型。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3" customHeight="1">
      <x:c r="A5" s="10" t="str">
        <x:v>手法</x:v>
      </x:c>
      <x:c r="B5" s="10" t="str">
        <x:v>簡単な説明</x:v>
      </x:c>
      <x:c r="C5" s="10" t="str">
        <x:v>総利益（円）</x:v>
      </x:c>
      <x:c r="D5" s="10" t="str">
        <x:v>総損失（円）</x:v>
      </x:c>
      <x:c r="E5" s="10" t="str">
        <x:v>収支（円）</x:v>
      </x:c>
      <x:c r="F5" s="10" t="str">
        <x:v>利益／損失</x:v>
      </x:c>
      <x:c r="G5" s="10" t="str">
        <x:v>赤字場数</x:v>
      </x:c>
      <x:c r="H5" s="10" t="str">
        <x:v>平均赤字（円）</x:v>
      </x:c>
      <x:c r="I5" s="10" t="str">
        <x:v>最大赤字（円）</x:v>
      </x:c>
      <x:c r="J5" s="10" t="str">
        <x:v>上位3黒字除外</x:v>
      </x:c>
      <x:c r="K5" s="10" t="str">
        <x:v>デイ収支（円）</x:v>
      </x:c>
      <x:c r="L5" s="10" t="str">
        <x:v>ナイト収支（円）</x:v>
      </x:c>
      <x:c r="M5" s="10" t="str">
        <x:v>上昇場収支（円）</x:v>
      </x:c>
      <x:c r="N5" s="10" t="str">
        <x:v>下落場収支（円）</x:v>
      </x:c>
    </x:row>
    <x:row r="6" ht="43" customHeight="1">
      <x:c r="A6" s="2" t="str">
        <x:v>D07</x:v>
      </x:c>
      <x:c r="B6" s="16" t="str">
        <x:v>現在D07の基準</x:v>
      </x:c>
      <x:c r="C6" s="6" t="n">
        <x:f>'日経_D07'!D57</x:f>
        <x:v>6604000</x:v>
      </x:c>
      <x:c r="D6" s="6" t="n">
        <x:f>'日経_D07'!E57</x:f>
        <x:v>3545000</x:v>
      </x:c>
      <x:c r="E6" s="6" t="n">
        <x:f>'日経_D07'!F57</x:f>
        <x:v>3059000</x:v>
      </x:c>
      <x:c r="F6" s="17" t="n">
        <x:f>IF(D6=0,"",C6/D6)</x:f>
        <x:v>1.8629055007052187</x:v>
      </x:c>
      <x:c r="G6" s="6" t="n">
        <x:f>COUNTIFS('日経_D07'!$F$6:$F$56,"&lt;0")</x:f>
        <x:v>17</x:v>
      </x:c>
      <x:c r="H6" s="6" t="n">
        <x:f>IF(G6=0,0,-SUMIFS('日経_D07'!$F$6:$F$56,'日経_D07'!$F$6:$F$56,"&lt;0")/G6)</x:f>
        <x:v>45823.529411764706</x:v>
      </x:c>
      <x:c r="I6" s="6" t="n">
        <x:f>MAX(0,-MIN('日経_D07'!$F$6:$F$56))</x:f>
        <x:v>121000</x:v>
      </x:c>
      <x:c r="J6" s="6" t="n">
        <x:f>E6-MAX(0,LARGE('日経_D07'!$F$6:$F$56,1))-MAX(0,LARGE('日経_D07'!$F$6:$F$56,2))-MAX(0,LARGE('日経_D07'!$F$6:$F$56,3))</x:f>
        <x:v>1569000</x:v>
      </x:c>
      <x:c r="K6" s="6" t="n">
        <x:f>SUMIFS('日経_D07'!$F$6:$F$56,'日経_D07'!$B$6:$B$56,"デイ")</x:f>
        <x:v>1906000</x:v>
      </x:c>
      <x:c r="L6" s="6" t="n">
        <x:f>SUMIFS('日経_D07'!$F$6:$F$56,'日経_D07'!$B$6:$B$56,"ナイト")</x:f>
        <x:v>1153000</x:v>
      </x:c>
      <x:c r="M6" s="6" t="n">
        <x:f>SUMIFS('日経_D07'!$F$6:$F$56,'日経_D07'!$C$6:$C$56,"上昇")</x:f>
        <x:v>1172000</x:v>
      </x:c>
      <x:c r="N6" s="6" t="n">
        <x:f>SUMIFS('日経_D07'!$F$6:$F$56,'日経_D07'!$C$6:$C$56,"下落")</x:f>
        <x:v>1917000</x:v>
      </x:c>
    </x:row>
    <x:row r="7" ht="43" customHeight="1">
      <x:c r="A7" s="2" t="str">
        <x:v>E01</x:v>
      </x:c>
      <x:c r="B7" s="16" t="str">
        <x:v>別入口の残り1枚化を止め元の全返済を尊重</x:v>
      </x:c>
      <x:c r="C7" s="6" t="n">
        <x:f>'日経_E01'!D57</x:f>
        <x:v>6572000</x:v>
      </x:c>
      <x:c r="D7" s="6" t="n">
        <x:f>'日経_E01'!E57</x:f>
        <x:v>3797000</x:v>
      </x:c>
      <x:c r="E7" s="6" t="n">
        <x:f>'日経_E01'!F57</x:f>
        <x:v>2775000</x:v>
      </x:c>
      <x:c r="F7" s="17" t="n">
        <x:f>IF(D7=0,"",C7/D7)</x:f>
        <x:v>1.7308401369502238</x:v>
      </x:c>
      <x:c r="G7" s="6" t="n">
        <x:f>COUNTIFS('日経_E01'!$F$6:$F$56,"&lt;0")</x:f>
        <x:v>16</x:v>
      </x:c>
      <x:c r="H7" s="6" t="n">
        <x:f>IF(G7=0,0,-SUMIFS('日経_E01'!$F$6:$F$56,'日経_E01'!$F$6:$F$56,"&lt;0")/G7)</x:f>
        <x:v>48687.5</x:v>
      </x:c>
      <x:c r="I7" s="6" t="n">
        <x:f>MAX(0,-MIN('日経_E01'!$F$6:$F$56))</x:f>
        <x:v>115000</x:v>
      </x:c>
      <x:c r="J7" s="6" t="n">
        <x:f>E7-MAX(0,LARGE('日経_E01'!$F$6:$F$56,1))-MAX(0,LARGE('日経_E01'!$F$6:$F$56,2))-MAX(0,LARGE('日経_E01'!$F$6:$F$56,3))</x:f>
        <x:v>1446000</x:v>
      </x:c>
      <x:c r="K7" s="6" t="n">
        <x:f>SUMIFS('日経_E01'!$F$6:$F$56,'日経_E01'!$B$6:$B$56,"デイ")</x:f>
        <x:v>1593000</x:v>
      </x:c>
      <x:c r="L7" s="6" t="n">
        <x:f>SUMIFS('日経_E01'!$F$6:$F$56,'日経_E01'!$B$6:$B$56,"ナイト")</x:f>
        <x:v>1182000</x:v>
      </x:c>
      <x:c r="M7" s="6" t="n">
        <x:f>SUMIFS('日経_E01'!$F$6:$F$56,'日経_E01'!$C$6:$C$56,"上昇")</x:f>
        <x:v>1146000</x:v>
      </x:c>
      <x:c r="N7" s="6" t="n">
        <x:f>SUMIFS('日経_E01'!$F$6:$F$56,'日経_E01'!$C$6:$C$56,"下落")</x:f>
        <x:v>1675000</x:v>
      </x:c>
    </x:row>
    <x:row r="8" ht="43" customHeight="1">
      <x:c r="A8" s="2" t="str">
        <x:v>E02</x:v>
      </x:c>
      <x:c r="B8" s="16" t="str">
        <x:v>別入口の残1損失予算を50%に縮小</x:v>
      </x:c>
      <x:c r="C8" s="6" t="n">
        <x:f>'日経_E02'!D57</x:f>
        <x:v>6649000</x:v>
      </x:c>
      <x:c r="D8" s="6" t="n">
        <x:f>'日経_E02'!E57</x:f>
        <x:v>3597000</x:v>
      </x:c>
      <x:c r="E8" s="6" t="n">
        <x:f>'日経_E02'!F57</x:f>
        <x:v>3052000</x:v>
      </x:c>
      <x:c r="F8" s="17" t="n">
        <x:f>IF(D8=0,"",C8/D8)</x:f>
        <x:v>1.8484848484848484</x:v>
      </x:c>
      <x:c r="G8" s="6" t="n">
        <x:f>COUNTIFS('日経_E02'!$F$6:$F$56,"&lt;0")</x:f>
        <x:v>18</x:v>
      </x:c>
      <x:c r="H8" s="6" t="n">
        <x:f>IF(G8=0,0,-SUMIFS('日経_E02'!$F$6:$F$56,'日経_E02'!$F$6:$F$56,"&lt;0")/G8)</x:f>
        <x:v>43444.444444444445</x:v>
      </x:c>
      <x:c r="I8" s="6" t="n">
        <x:f>MAX(0,-MIN('日経_E02'!$F$6:$F$56))</x:f>
        <x:v>119000</x:v>
      </x:c>
      <x:c r="J8" s="6" t="n">
        <x:f>E8-MAX(0,LARGE('日経_E02'!$F$6:$F$56,1))-MAX(0,LARGE('日経_E02'!$F$6:$F$56,2))-MAX(0,LARGE('日経_E02'!$F$6:$F$56,3))</x:f>
        <x:v>1562000</x:v>
      </x:c>
      <x:c r="K8" s="6" t="n">
        <x:f>SUMIFS('日経_E02'!$F$6:$F$56,'日経_E02'!$B$6:$B$56,"デイ")</x:f>
        <x:v>1894000</x:v>
      </x:c>
      <x:c r="L8" s="6" t="n">
        <x:f>SUMIFS('日経_E02'!$F$6:$F$56,'日経_E02'!$B$6:$B$56,"ナイト")</x:f>
        <x:v>1158000</x:v>
      </x:c>
      <x:c r="M8" s="6" t="n">
        <x:f>SUMIFS('日経_E02'!$F$6:$F$56,'日経_E02'!$C$6:$C$56,"上昇")</x:f>
        <x:v>1168000</x:v>
      </x:c>
      <x:c r="N8" s="6" t="n">
        <x:f>SUMIFS('日経_E02'!$F$6:$F$56,'日経_E02'!$C$6:$C$56,"下落")</x:f>
        <x:v>1914000</x:v>
      </x:c>
    </x:row>
    <x:row r="9" ht="43" customHeight="1">
      <x:c r="A9" s="2" t="str">
        <x:v>E03</x:v>
      </x:c>
      <x:c r="B9" s="16" t="str">
        <x:v>別入口の残1追尾幅に160pt上限</x:v>
      </x:c>
      <x:c r="C9" s="6" t="n">
        <x:f>'日経_E03'!D57</x:f>
        <x:v>6479000</x:v>
      </x:c>
      <x:c r="D9" s="6" t="n">
        <x:f>'日経_E03'!E57</x:f>
        <x:v>3759000</x:v>
      </x:c>
      <x:c r="E9" s="6" t="n">
        <x:f>'日経_E03'!F57</x:f>
        <x:v>2720000</x:v>
      </x:c>
      <x:c r="F9" s="17" t="n">
        <x:f>IF(D9=0,"",C9/D9)</x:f>
        <x:v>1.7235967012503326</x:v>
      </x:c>
      <x:c r="G9" s="6" t="n">
        <x:f>COUNTIFS('日経_E03'!$F$6:$F$56,"&lt;0")</x:f>
        <x:v>19</x:v>
      </x:c>
      <x:c r="H9" s="6" t="n">
        <x:f>IF(G9=0,0,-SUMIFS('日経_E03'!$F$6:$F$56,'日経_E03'!$F$6:$F$56,"&lt;0")/G9)</x:f>
        <x:v>41947.36842105263</x:v>
      </x:c>
      <x:c r="I9" s="6" t="n">
        <x:f>MAX(0,-MIN('日経_E03'!$F$6:$F$56))</x:f>
        <x:v>120000</x:v>
      </x:c>
      <x:c r="J9" s="6" t="n">
        <x:f>E9-MAX(0,LARGE('日経_E03'!$F$6:$F$56,1))-MAX(0,LARGE('日経_E03'!$F$6:$F$56,2))-MAX(0,LARGE('日経_E03'!$F$6:$F$56,3))</x:f>
        <x:v>1417000</x:v>
      </x:c>
      <x:c r="K9" s="6" t="n">
        <x:f>SUMIFS('日経_E03'!$F$6:$F$56,'日経_E03'!$B$6:$B$56,"デイ")</x:f>
        <x:v>1581000</x:v>
      </x:c>
      <x:c r="L9" s="6" t="n">
        <x:f>SUMIFS('日経_E03'!$F$6:$F$56,'日経_E03'!$B$6:$B$56,"ナイト")</x:f>
        <x:v>1139000</x:v>
      </x:c>
      <x:c r="M9" s="6" t="n">
        <x:f>SUMIFS('日経_E03'!$F$6:$F$56,'日経_E03'!$C$6:$C$56,"上昇")</x:f>
        <x:v>1041000</x:v>
      </x:c>
      <x:c r="N9" s="6" t="n">
        <x:f>SUMIFS('日経_E03'!$F$6:$F$56,'日経_E03'!$C$6:$C$56,"下落")</x:f>
        <x:v>1709000</x:v>
      </x:c>
    </x:row>
    <x:row r="10" ht="43" customHeight="1">
      <x:c r="A10" s="2" t="str">
        <x:v>E04</x:v>
      </x:c>
      <x:c r="B10" s="16" t="str">
        <x:v>別入口の残1追尾幅に80pt上限</x:v>
      </x:c>
      <x:c r="C10" s="6" t="n">
        <x:f>'日経_E04'!D57</x:f>
        <x:v>6600000</x:v>
      </x:c>
      <x:c r="D10" s="6" t="n">
        <x:f>'日経_E04'!E57</x:f>
        <x:v>3797000</x:v>
      </x:c>
      <x:c r="E10" s="6" t="n">
        <x:f>'日経_E04'!F57</x:f>
        <x:v>2803000</x:v>
      </x:c>
      <x:c r="F10" s="17" t="n">
        <x:f>IF(D10=0,"",C10/D10)</x:f>
        <x:v>1.7382143797735055</x:v>
      </x:c>
      <x:c r="G10" s="6" t="n">
        <x:f>COUNTIFS('日経_E04'!$F$6:$F$56,"&lt;0")</x:f>
        <x:v>17</x:v>
      </x:c>
      <x:c r="H10" s="6" t="n">
        <x:f>IF(G10=0,0,-SUMIFS('日経_E04'!$F$6:$F$56,'日経_E04'!$F$6:$F$56,"&lt;0")/G10)</x:f>
        <x:v>44176.470588235294</x:v>
      </x:c>
      <x:c r="I10" s="6" t="n">
        <x:f>MAX(0,-MIN('日経_E04'!$F$6:$F$56))</x:f>
        <x:v>117000</x:v>
      </x:c>
      <x:c r="J10" s="6" t="n">
        <x:f>E10-MAX(0,LARGE('日経_E04'!$F$6:$F$56,1))-MAX(0,LARGE('日経_E04'!$F$6:$F$56,2))-MAX(0,LARGE('日経_E04'!$F$6:$F$56,3))</x:f>
        <x:v>1485000</x:v>
      </x:c>
      <x:c r="K10" s="6" t="n">
        <x:f>SUMIFS('日経_E04'!$F$6:$F$56,'日経_E04'!$B$6:$B$56,"デイ")</x:f>
        <x:v>1619000</x:v>
      </x:c>
      <x:c r="L10" s="6" t="n">
        <x:f>SUMIFS('日経_E04'!$F$6:$F$56,'日経_E04'!$B$6:$B$56,"ナイト")</x:f>
        <x:v>1184000</x:v>
      </x:c>
      <x:c r="M10" s="6" t="n">
        <x:f>SUMIFS('日経_E04'!$F$6:$F$56,'日経_E04'!$C$6:$C$56,"上昇")</x:f>
        <x:v>1131000</x:v>
      </x:c>
      <x:c r="N10" s="6" t="n">
        <x:f>SUMIFS('日経_E04'!$F$6:$F$56,'日経_E04'!$C$6:$C$56,"下落")</x:f>
        <x:v>1716000</x:v>
      </x:c>
    </x:row>
    <x:row r="11" ht="43" customHeight="1">
      <x:c r="A11" s="2" t="str">
        <x:v>E05</x:v>
      </x:c>
      <x:c r="B11" s="16" t="str">
        <x:v>別入口の残1化時の利益50%を固定床</x:v>
      </x:c>
      <x:c r="C11" s="6" t="n">
        <x:f>'日経_E05'!D57</x:f>
        <x:v>6679000</x:v>
      </x:c>
      <x:c r="D11" s="6" t="n">
        <x:f>'日経_E05'!E57</x:f>
        <x:v>3665000</x:v>
      </x:c>
      <x:c r="E11" s="6" t="n">
        <x:f>'日経_E05'!F57</x:f>
        <x:v>3014000</x:v>
      </x:c>
      <x:c r="F11" s="17" t="n">
        <x:f>IF(D11=0,"",C11/D11)</x:f>
        <x:v>1.8223738062755799</x:v>
      </x:c>
      <x:c r="G11" s="6" t="n">
        <x:f>COUNTIFS('日経_E05'!$F$6:$F$56,"&lt;0")</x:f>
        <x:v>18</x:v>
      </x:c>
      <x:c r="H11" s="6" t="n">
        <x:f>IF(G11=0,0,-SUMIFS('日経_E05'!$F$6:$F$56,'日経_E05'!$F$6:$F$56,"&lt;0")/G11)</x:f>
        <x:v>42222.22222222222</x:v>
      </x:c>
      <x:c r="I11" s="6" t="n">
        <x:f>MAX(0,-MIN('日経_E05'!$F$6:$F$56))</x:f>
        <x:v>117000</x:v>
      </x:c>
      <x:c r="J11" s="6" t="n">
        <x:f>E11-MAX(0,LARGE('日経_E05'!$F$6:$F$56,1))-MAX(0,LARGE('日経_E05'!$F$6:$F$56,2))-MAX(0,LARGE('日経_E05'!$F$6:$F$56,3))</x:f>
        <x:v>1595000</x:v>
      </x:c>
      <x:c r="K11" s="6" t="n">
        <x:f>SUMIFS('日経_E05'!$F$6:$F$56,'日経_E05'!$B$6:$B$56,"デイ")</x:f>
        <x:v>1853000</x:v>
      </x:c>
      <x:c r="L11" s="6" t="n">
        <x:f>SUMIFS('日経_E05'!$F$6:$F$56,'日経_E05'!$B$6:$B$56,"ナイト")</x:f>
        <x:v>1161000</x:v>
      </x:c>
      <x:c r="M11" s="6" t="n">
        <x:f>SUMIFS('日経_E05'!$F$6:$F$56,'日経_E05'!$C$6:$C$56,"上昇")</x:f>
        <x:v>1101000</x:v>
      </x:c>
      <x:c r="N11" s="6" t="n">
        <x:f>SUMIFS('日経_E05'!$F$6:$F$56,'日経_E05'!$C$6:$C$56,"下落")</x:f>
        <x:v>1943000</x:v>
      </x:c>
    </x:row>
    <x:row r="12" ht="43" customHeight="1">
      <x:c r="A12" s="2" t="str">
        <x:v>C01</x:v>
      </x:c>
      <x:c r="B12" s="16" t="str">
        <x:v>昼主担当は120秒の逆向き・未知を拒否</x:v>
      </x:c>
      <x:c r="C12" s="6" t="n">
        <x:f>'日経_C01'!D57</x:f>
        <x:v>6137000</x:v>
      </x:c>
      <x:c r="D12" s="6" t="n">
        <x:f>'日経_C01'!E57</x:f>
        <x:v>3155000</x:v>
      </x:c>
      <x:c r="E12" s="6" t="n">
        <x:f>'日経_C01'!F57</x:f>
        <x:v>2982000</x:v>
      </x:c>
      <x:c r="F12" s="17" t="n">
        <x:f>IF(D12=0,"",C12/D12)</x:f>
        <x:v>1.9451664025356576</x:v>
      </x:c>
      <x:c r="G12" s="6" t="n">
        <x:f>COUNTIFS('日経_C01'!$F$6:$F$56,"&lt;0")</x:f>
        <x:v>19</x:v>
      </x:c>
      <x:c r="H12" s="6" t="n">
        <x:f>IF(G12=0,0,-SUMIFS('日経_C01'!$F$6:$F$56,'日経_C01'!$F$6:$F$56,"&lt;0")/G12)</x:f>
        <x:v>49631.57894736842</x:v>
      </x:c>
      <x:c r="I12" s="6" t="n">
        <x:f>MAX(0,-MIN('日経_C01'!$F$6:$F$56))</x:f>
        <x:v>143000</x:v>
      </x:c>
      <x:c r="J12" s="6" t="n">
        <x:f>E12-MAX(0,LARGE('日経_C01'!$F$6:$F$56,1))-MAX(0,LARGE('日経_C01'!$F$6:$F$56,2))-MAX(0,LARGE('日経_C01'!$F$6:$F$56,3))</x:f>
        <x:v>1492000</x:v>
      </x:c>
      <x:c r="K12" s="6" t="n">
        <x:f>SUMIFS('日経_C01'!$F$6:$F$56,'日経_C01'!$B$6:$B$56,"デイ")</x:f>
        <x:v>1829000</x:v>
      </x:c>
      <x:c r="L12" s="6" t="n">
        <x:f>SUMIFS('日経_C01'!$F$6:$F$56,'日経_C01'!$B$6:$B$56,"ナイト")</x:f>
        <x:v>1153000</x:v>
      </x:c>
      <x:c r="M12" s="6" t="n">
        <x:f>SUMIFS('日経_C01'!$F$6:$F$56,'日経_C01'!$C$6:$C$56,"上昇")</x:f>
        <x:v>1040000</x:v>
      </x:c>
      <x:c r="N12" s="6" t="n">
        <x:f>SUMIFS('日経_C01'!$F$6:$F$56,'日経_C01'!$C$6:$C$56,"下落")</x:f>
        <x:v>1972000</x:v>
      </x:c>
    </x:row>
    <x:row r="13" ht="43" customHeight="1">
      <x:c r="A13" s="2" t="str">
        <x:v>C02</x:v>
      </x:c>
      <x:c r="B13" s="16" t="str">
        <x:v>昼主担当は初回1枚のみ</x:v>
      </x:c>
      <x:c r="C13" s="6" t="n">
        <x:f>'日経_C02'!D57</x:f>
        <x:v>4409000</x:v>
      </x:c>
      <x:c r="D13" s="6" t="n">
        <x:f>'日経_C02'!E57</x:f>
        <x:v>2577000</x:v>
      </x:c>
      <x:c r="E13" s="6" t="n">
        <x:f>'日経_C02'!F57</x:f>
        <x:v>1832000</x:v>
      </x:c>
      <x:c r="F13" s="17" t="n">
        <x:f>IF(D13=0,"",C13/D13)</x:f>
        <x:v>1.7109041521148622</x:v>
      </x:c>
      <x:c r="G13" s="6" t="n">
        <x:f>COUNTIFS('日経_C02'!$F$6:$F$56,"&lt;0")</x:f>
        <x:v>22</x:v>
      </x:c>
      <x:c r="H13" s="6" t="n">
        <x:f>IF(G13=0,0,-SUMIFS('日経_C02'!$F$6:$F$56,'日経_C02'!$F$6:$F$56,"&lt;0")/G13)</x:f>
        <x:v>45636.36363636364</x:v>
      </x:c>
      <x:c r="I13" s="6" t="n">
        <x:f>MAX(0,-MIN('日経_C02'!$F$6:$F$56))</x:f>
        <x:v>135000</x:v>
      </x:c>
      <x:c r="J13" s="6" t="n">
        <x:f>E13-MAX(0,LARGE('日経_C02'!$F$6:$F$56,1))-MAX(0,LARGE('日経_C02'!$F$6:$F$56,2))-MAX(0,LARGE('日経_C02'!$F$6:$F$56,3))</x:f>
        <x:v>837000</x:v>
      </x:c>
      <x:c r="K13" s="6" t="n">
        <x:f>SUMIFS('日経_C02'!$F$6:$F$56,'日経_C02'!$B$6:$B$56,"デイ")</x:f>
        <x:v>679000</x:v>
      </x:c>
      <x:c r="L13" s="6" t="n">
        <x:f>SUMIFS('日経_C02'!$F$6:$F$56,'日経_C02'!$B$6:$B$56,"ナイト")</x:f>
        <x:v>1153000</x:v>
      </x:c>
      <x:c r="M13" s="6" t="n">
        <x:f>SUMIFS('日経_C02'!$F$6:$F$56,'日経_C02'!$C$6:$C$56,"上昇")</x:f>
        <x:v>583000</x:v>
      </x:c>
      <x:c r="N13" s="6" t="n">
        <x:f>SUMIFS('日経_C02'!$F$6:$F$56,'日経_C02'!$C$6:$C$56,"下落")</x:f>
        <x:v>1279000</x:v>
      </x:c>
    </x:row>
    <x:row r="14" ht="43" customHeight="1">
      <x:c r="A14" s="2" t="str">
        <x:v>C03</x:v>
      </x:c>
      <x:c r="B14" s="16" t="str">
        <x:v>昼主担当は初回1枚、0.5R順行ごと1枚追加</x:v>
      </x:c>
      <x:c r="C14" s="6" t="n">
        <x:f>'日経_C03'!D57</x:f>
        <x:v>4543000</x:v>
      </x:c>
      <x:c r="D14" s="6" t="n">
        <x:f>'日経_C03'!E57</x:f>
        <x:v>2633000</x:v>
      </x:c>
      <x:c r="E14" s="6" t="n">
        <x:f>'日経_C03'!F57</x:f>
        <x:v>1910000</x:v>
      </x:c>
      <x:c r="F14" s="17" t="n">
        <x:f>IF(D14=0,"",C14/D14)</x:f>
        <x:v>1.7254082795290544</x:v>
      </x:c>
      <x:c r="G14" s="6" t="n">
        <x:f>COUNTIFS('日経_C03'!$F$6:$F$56,"&lt;0")</x:f>
        <x:v>21</x:v>
      </x:c>
      <x:c r="H14" s="6" t="n">
        <x:f>IF(G14=0,0,-SUMIFS('日経_C03'!$F$6:$F$56,'日経_C03'!$F$6:$F$56,"&lt;0")/G14)</x:f>
        <x:v>39380.95238095238</x:v>
      </x:c>
      <x:c r="I14" s="6" t="n">
        <x:f>MAX(0,-MIN('日経_C03'!$F$6:$F$56))</x:f>
        <x:v>116000</x:v>
      </x:c>
      <x:c r="J14" s="6" t="n">
        <x:f>E14-MAX(0,LARGE('日経_C03'!$F$6:$F$56,1))-MAX(0,LARGE('日経_C03'!$F$6:$F$56,2))-MAX(0,LARGE('日経_C03'!$F$6:$F$56,3))</x:f>
        <x:v>927000</x:v>
      </x:c>
      <x:c r="K14" s="6" t="n">
        <x:f>SUMIFS('日経_C03'!$F$6:$F$56,'日経_C03'!$B$6:$B$56,"デイ")</x:f>
        <x:v>757000</x:v>
      </x:c>
      <x:c r="L14" s="6" t="n">
        <x:f>SUMIFS('日経_C03'!$F$6:$F$56,'日経_C03'!$B$6:$B$56,"ナイト")</x:f>
        <x:v>1153000</x:v>
      </x:c>
      <x:c r="M14" s="6" t="n">
        <x:f>SUMIFS('日経_C03'!$F$6:$F$56,'日経_C03'!$C$6:$C$56,"上昇")</x:f>
        <x:v>641000</x:v>
      </x:c>
      <x:c r="N14" s="6" t="n">
        <x:f>SUMIFS('日経_C03'!$F$6:$F$56,'日経_C03'!$C$6:$C$56,"下落")</x:f>
        <x:v>1299000</x:v>
      </x:c>
    </x:row>
    <x:row r="15" ht="43" customHeight="1">
      <x:c r="A15" s="2" t="str">
        <x:v>A01</x:v>
      </x:c>
      <x:c r="B15" s="16" t="str">
        <x:v>追加担当の通常追撃だけを停止</x:v>
      </x:c>
      <x:c r="C15" s="6" t="n">
        <x:f>'日経_A01'!D57</x:f>
        <x:v>6515000</x:v>
      </x:c>
      <x:c r="D15" s="6" t="n">
        <x:f>'日経_A01'!E57</x:f>
        <x:v>3423000</x:v>
      </x:c>
      <x:c r="E15" s="6" t="n">
        <x:f>'日経_A01'!F57</x:f>
        <x:v>3092000</x:v>
      </x:c>
      <x:c r="F15" s="17" t="n">
        <x:f>IF(D15=0,"",C15/D15)</x:f>
        <x:v>1.9033011977797254</x:v>
      </x:c>
      <x:c r="G15" s="6" t="n">
        <x:f>COUNTIFS('日経_A01'!$F$6:$F$56,"&lt;0")</x:f>
        <x:v>16</x:v>
      </x:c>
      <x:c r="H15" s="6" t="n">
        <x:f>IF(G15=0,0,-SUMIFS('日経_A01'!$F$6:$F$56,'日経_A01'!$F$6:$F$56,"&lt;0")/G15)</x:f>
        <x:v>45500</x:v>
      </x:c>
      <x:c r="I15" s="6" t="n">
        <x:f>MAX(0,-MIN('日経_A01'!$F$6:$F$56))</x:f>
        <x:v>123000</x:v>
      </x:c>
      <x:c r="J15" s="6" t="n">
        <x:f>E15-MAX(0,LARGE('日経_A01'!$F$6:$F$56,1))-MAX(0,LARGE('日経_A01'!$F$6:$F$56,2))-MAX(0,LARGE('日経_A01'!$F$6:$F$56,3))</x:f>
        <x:v>1592000</x:v>
      </x:c>
      <x:c r="K15" s="6" t="n">
        <x:f>SUMIFS('日経_A01'!$F$6:$F$56,'日経_A01'!$B$6:$B$56,"デイ")</x:f>
        <x:v>1941000</x:v>
      </x:c>
      <x:c r="L15" s="6" t="n">
        <x:f>SUMIFS('日経_A01'!$F$6:$F$56,'日経_A01'!$B$6:$B$56,"ナイト")</x:f>
        <x:v>1151000</x:v>
      </x:c>
      <x:c r="M15" s="6" t="n">
        <x:f>SUMIFS('日経_A01'!$F$6:$F$56,'日経_A01'!$C$6:$C$56,"上昇")</x:f>
        <x:v>1240000</x:v>
      </x:c>
      <x:c r="N15" s="6" t="n">
        <x:f>SUMIFS('日経_A01'!$F$6:$F$56,'日経_A01'!$C$6:$C$56,"下落")</x:f>
        <x:v>1873000</x:v>
      </x:c>
    </x:row>
    <x:row r="16" ht="43" customHeight="1">
      <x:c r="A16" s="2" t="str">
        <x:v>X01</x:v>
      </x:c>
      <x:c r="B16" s="16" t="str">
        <x:v>残1の160pt上限と昼120秒逆向き拒否</x:v>
      </x:c>
      <x:c r="C16" s="6" t="n">
        <x:f>'日経_X01'!D57</x:f>
        <x:v>6012000</x:v>
      </x:c>
      <x:c r="D16" s="6" t="n">
        <x:f>'日経_X01'!E57</x:f>
        <x:v>3369000</x:v>
      </x:c>
      <x:c r="E16" s="6" t="n">
        <x:f>'日経_X01'!F57</x:f>
        <x:v>2643000</x:v>
      </x:c>
      <x:c r="F16" s="17" t="n">
        <x:f>IF(D16=0,"",C16/D16)</x:f>
        <x:v>1.7845057880676758</x:v>
      </x:c>
      <x:c r="G16" s="6" t="n">
        <x:f>COUNTIFS('日経_X01'!$F$6:$F$56,"&lt;0")</x:f>
        <x:v>20</x:v>
      </x:c>
      <x:c r="H16" s="6" t="n">
        <x:f>IF(G16=0,0,-SUMIFS('日経_X01'!$F$6:$F$56,'日経_X01'!$F$6:$F$56,"&lt;0")/G16)</x:f>
        <x:v>46600</x:v>
      </x:c>
      <x:c r="I16" s="6" t="n">
        <x:f>MAX(0,-MIN('日経_X01'!$F$6:$F$56))</x:f>
        <x:v>129000</x:v>
      </x:c>
      <x:c r="J16" s="6" t="n">
        <x:f>E16-MAX(0,LARGE('日経_X01'!$F$6:$F$56,1))-MAX(0,LARGE('日経_X01'!$F$6:$F$56,2))-MAX(0,LARGE('日経_X01'!$F$6:$F$56,3))</x:f>
        <x:v>1340000</x:v>
      </x:c>
      <x:c r="K16" s="6" t="n">
        <x:f>SUMIFS('日経_X01'!$F$6:$F$56,'日経_X01'!$B$6:$B$56,"デイ")</x:f>
        <x:v>1504000</x:v>
      </x:c>
      <x:c r="L16" s="6" t="n">
        <x:f>SUMIFS('日経_X01'!$F$6:$F$56,'日経_X01'!$B$6:$B$56,"ナイト")</x:f>
        <x:v>1139000</x:v>
      </x:c>
      <x:c r="M16" s="6" t="n">
        <x:f>SUMIFS('日経_X01'!$F$6:$F$56,'日経_X01'!$C$6:$C$56,"上昇")</x:f>
        <x:v>909000</x:v>
      </x:c>
      <x:c r="N16" s="6" t="n">
        <x:f>SUMIFS('日経_X01'!$F$6:$F$56,'日経_X01'!$C$6:$C$56,"下落")</x:f>
        <x:v>1764000</x:v>
      </x:c>
    </x:row>
    <x:row r="17" ht="43" customHeight="1">
      <x:c r="A17" s="2" t="str">
        <x:v>X02</x:v>
      </x:c>
      <x:c r="B17" s="16" t="str">
        <x:v>残1の160pt上限と昼1枚からの確認追加</x:v>
      </x:c>
      <x:c r="C17" s="6" t="n">
        <x:f>'日経_X02'!D57</x:f>
        <x:v>4418000</x:v>
      </x:c>
      <x:c r="D17" s="6" t="n">
        <x:f>'日経_X02'!E57</x:f>
        <x:v>2847000</x:v>
      </x:c>
      <x:c r="E17" s="6" t="n">
        <x:f>'日経_X02'!F57</x:f>
        <x:v>1571000</x:v>
      </x:c>
      <x:c r="F17" s="17" t="n">
        <x:f>IF(D17=0,"",C17/D17)</x:f>
        <x:v>1.5518089216719353</x:v>
      </x:c>
      <x:c r="G17" s="6" t="n">
        <x:f>COUNTIFS('日経_X02'!$F$6:$F$56,"&lt;0")</x:f>
        <x:v>23</x:v>
      </x:c>
      <x:c r="H17" s="6" t="n">
        <x:f>IF(G17=0,0,-SUMIFS('日経_X02'!$F$6:$F$56,'日経_X02'!$F$6:$F$56,"&lt;0")/G17)</x:f>
        <x:v>38130.434782608696</x:v>
      </x:c>
      <x:c r="I17" s="6" t="n">
        <x:f>MAX(0,-MIN('日経_X02'!$F$6:$F$56))</x:f>
        <x:v>135000</x:v>
      </x:c>
      <x:c r="J17" s="6" t="n">
        <x:f>E17-MAX(0,LARGE('日経_X02'!$F$6:$F$56,1))-MAX(0,LARGE('日経_X02'!$F$6:$F$56,2))-MAX(0,LARGE('日経_X02'!$F$6:$F$56,3))</x:f>
        <x:v>575000</x:v>
      </x:c>
      <x:c r="K17" s="6" t="n">
        <x:f>SUMIFS('日経_X02'!$F$6:$F$56,'日経_X02'!$B$6:$B$56,"デイ")</x:f>
        <x:v>432000</x:v>
      </x:c>
      <x:c r="L17" s="6" t="n">
        <x:f>SUMIFS('日経_X02'!$F$6:$F$56,'日経_X02'!$B$6:$B$56,"ナイト")</x:f>
        <x:v>1139000</x:v>
      </x:c>
      <x:c r="M17" s="6" t="n">
        <x:f>SUMIFS('日経_X02'!$F$6:$F$56,'日経_X02'!$C$6:$C$56,"上昇")</x:f>
        <x:v>510000</x:v>
      </x:c>
      <x:c r="N17" s="6" t="n">
        <x:f>SUMIFS('日経_X02'!$F$6:$F$56,'日経_X02'!$C$6:$C$56,"下落")</x:f>
        <x:v>1091000</x:v>
      </x:c>
    </x:row>
    <x:row r="18" ht="43" customHeight="1">
      <x:c r="A18" s="2" t="str">
        <x:v>X03</x:v>
      </x:c>
      <x:c r="B18" s="16" t="str">
        <x:v>残1化時50%床と昼1枚からの確認追加</x:v>
      </x:c>
      <x:c r="C18" s="6" t="n">
        <x:f>'日経_X03'!D57</x:f>
        <x:v>4618000</x:v>
      </x:c>
      <x:c r="D18" s="6" t="n">
        <x:f>'日経_X03'!E57</x:f>
        <x:v>2753000</x:v>
      </x:c>
      <x:c r="E18" s="6" t="n">
        <x:f>'日経_X03'!F57</x:f>
        <x:v>1865000</x:v>
      </x:c>
      <x:c r="F18" s="17" t="n">
        <x:f>IF(D18=0,"",C18/D18)</x:f>
        <x:v>1.6774427896839812</x:v>
      </x:c>
      <x:c r="G18" s="6" t="n">
        <x:f>COUNTIFS('日経_X03'!$F$6:$F$56,"&lt;0")</x:f>
        <x:v>22</x:v>
      </x:c>
      <x:c r="H18" s="6" t="n">
        <x:f>IF(G18=0,0,-SUMIFS('日経_X03'!$F$6:$F$56,'日経_X03'!$F$6:$F$56,"&lt;0")/G18)</x:f>
        <x:v>36681.818181818184</x:v>
      </x:c>
      <x:c r="I18" s="6" t="n">
        <x:f>MAX(0,-MIN('日経_X03'!$F$6:$F$56))</x:f>
        <x:v>126000</x:v>
      </x:c>
      <x:c r="J18" s="6" t="n">
        <x:f>E18-MAX(0,LARGE('日経_X03'!$F$6:$F$56,1))-MAX(0,LARGE('日経_X03'!$F$6:$F$56,2))-MAX(0,LARGE('日経_X03'!$F$6:$F$56,3))</x:f>
        <x:v>871000</x:v>
      </x:c>
      <x:c r="K18" s="6" t="n">
        <x:f>SUMIFS('日経_X03'!$F$6:$F$56,'日経_X03'!$B$6:$B$56,"デイ")</x:f>
        <x:v>704000</x:v>
      </x:c>
      <x:c r="L18" s="6" t="n">
        <x:f>SUMIFS('日経_X03'!$F$6:$F$56,'日経_X03'!$B$6:$B$56,"ナイト")</x:f>
        <x:v>1161000</x:v>
      </x:c>
      <x:c r="M18" s="6" t="n">
        <x:f>SUMIFS('日経_X03'!$F$6:$F$56,'日経_X03'!$C$6:$C$56,"上昇")</x:f>
        <x:v>570000</x:v>
      </x:c>
      <x:c r="N18" s="6" t="n">
        <x:f>SUMIFS('日経_X03'!$F$6:$F$56,'日経_X03'!$C$6:$C$56,"下落")</x:f>
        <x:v>1325000</x:v>
      </x:c>
    </x:row>
    <x:row r="19" ht="43" customHeight="1">
      <x:c r="A19" s="2" t="str">
        <x:v>G01</x:v>
      </x:c>
      <x:c r="B19" s="16" t="str">
        <x:v>全担当の親総時価が初回0.5R相当へ到達後、最高益の50%を保護</x:v>
      </x:c>
      <x:c r="C19" s="6" t="n">
        <x:f>'日経_G01'!D57</x:f>
        <x:v>2941000</x:v>
      </x:c>
      <x:c r="D19" s="6" t="n">
        <x:f>'日経_G01'!E57</x:f>
        <x:v>2614000</x:v>
      </x:c>
      <x:c r="E19" s="6" t="n">
        <x:f>'日経_G01'!F57</x:f>
        <x:v>327000</x:v>
      </x:c>
      <x:c r="F19" s="17" t="n">
        <x:f>IF(D19=0,"",C19/D19)</x:f>
        <x:v>1.1250956388676359</x:v>
      </x:c>
      <x:c r="G19" s="6" t="n">
        <x:f>COUNTIFS('日経_G01'!$F$6:$F$56,"&lt;0")</x:f>
        <x:v>21</x:v>
      </x:c>
      <x:c r="H19" s="6" t="n">
        <x:f>IF(G19=0,0,-SUMIFS('日経_G01'!$F$6:$F$56,'日経_G01'!$F$6:$F$56,"&lt;0")/G19)</x:f>
        <x:v>58952.380952380954</x:v>
      </x:c>
      <x:c r="I19" s="6" t="n">
        <x:f>MAX(0,-MIN('日経_G01'!$F$6:$F$56))</x:f>
        <x:v>168000</x:v>
      </x:c>
      <x:c r="J19" s="6" t="n">
        <x:f>E19-MAX(0,LARGE('日経_G01'!$F$6:$F$56,1))-MAX(0,LARGE('日経_G01'!$F$6:$F$56,2))-MAX(0,LARGE('日経_G01'!$F$6:$F$56,3))</x:f>
        <x:v>-127000</x:v>
      </x:c>
      <x:c r="K19" s="6" t="n">
        <x:f>SUMIFS('日経_G01'!$F$6:$F$56,'日経_G01'!$B$6:$B$56,"デイ")</x:f>
        <x:v>-323000</x:v>
      </x:c>
      <x:c r="L19" s="6" t="n">
        <x:f>SUMIFS('日経_G01'!$F$6:$F$56,'日経_G01'!$B$6:$B$56,"ナイト")</x:f>
        <x:v>650000</x:v>
      </x:c>
      <x:c r="M19" s="6" t="n">
        <x:f>SUMIFS('日経_G01'!$F$6:$F$56,'日経_G01'!$C$6:$C$56,"上昇")</x:f>
        <x:v>630000</x:v>
      </x:c>
      <x:c r="N19" s="6" t="n">
        <x:f>SUMIFS('日経_G01'!$F$6:$F$56,'日経_G01'!$C$6:$C$56,"下落")</x:f>
        <x:v>-247000</x:v>
      </x:c>
    </x:row>
    <x:row r="20" ht="43" customHeight="1">
      <x:c r="A20" s="2" t="str">
        <x:v>G02</x:v>
      </x:c>
      <x:c r="B20" s="16" t="str">
        <x:v>全担当の親総時価が初回1R相当へ到達後、最高益の50%を保護</x:v>
      </x:c>
      <x:c r="C20" s="6" t="n">
        <x:f>'日経_G02'!D57</x:f>
        <x:v>5154000</x:v>
      </x:c>
      <x:c r="D20" s="6" t="n">
        <x:f>'日経_G02'!E57</x:f>
        <x:v>3448000</x:v>
      </x:c>
      <x:c r="E20" s="6" t="n">
        <x:f>'日経_G02'!F57</x:f>
        <x:v>1706000</x:v>
      </x:c>
      <x:c r="F20" s="17" t="n">
        <x:f>IF(D20=0,"",C20/D20)</x:f>
        <x:v>1.4947795823665893</x:v>
      </x:c>
      <x:c r="G20" s="6" t="n">
        <x:f>COUNTIFS('日経_G02'!$F$6:$F$56,"&lt;0")</x:f>
        <x:v>19</x:v>
      </x:c>
      <x:c r="H20" s="6" t="n">
        <x:f>IF(G20=0,0,-SUMIFS('日経_G02'!$F$6:$F$56,'日経_G02'!$F$6:$F$56,"&lt;0")/G20)</x:f>
        <x:v>57210.52631578947</x:v>
      </x:c>
      <x:c r="I20" s="6" t="n">
        <x:f>MAX(0,-MIN('日経_G02'!$F$6:$F$56))</x:f>
        <x:v>153000</x:v>
      </x:c>
      <x:c r="J20" s="6" t="n">
        <x:f>E20-MAX(0,LARGE('日経_G02'!$F$6:$F$56,1))-MAX(0,LARGE('日経_G02'!$F$6:$F$56,2))-MAX(0,LARGE('日経_G02'!$F$6:$F$56,3))</x:f>
        <x:v>665000</x:v>
      </x:c>
      <x:c r="K20" s="6" t="n">
        <x:f>SUMIFS('日経_G02'!$F$6:$F$56,'日経_G02'!$B$6:$B$56,"デイ")</x:f>
        <x:v>935000</x:v>
      </x:c>
      <x:c r="L20" s="6" t="n">
        <x:f>SUMIFS('日経_G02'!$F$6:$F$56,'日経_G02'!$B$6:$B$56,"ナイト")</x:f>
        <x:v>771000</x:v>
      </x:c>
      <x:c r="M20" s="6" t="n">
        <x:f>SUMIFS('日経_G02'!$F$6:$F$56,'日経_G02'!$C$6:$C$56,"上昇")</x:f>
        <x:v>857000</x:v>
      </x:c>
      <x:c r="N20" s="6" t="n">
        <x:f>SUMIFS('日経_G02'!$F$6:$F$56,'日経_G02'!$C$6:$C$56,"下落")</x:f>
        <x:v>893000</x:v>
      </x:c>
    </x:row>
    <x:row r="21" ht="43" customHeight="1">
      <x:c r="A21" s="2" t="str">
        <x:v>S00</x:v>
      </x:c>
      <x:c r="B21" s="16" t="str">
        <x:v>別入口だけ0.5R相当から親利益の半分を保護</x:v>
      </x:c>
      <x:c r="C21" s="6" t="n">
        <x:f>'日経_S00'!D57</x:f>
        <x:v>6092000</x:v>
      </x:c>
      <x:c r="D21" s="6" t="n">
        <x:f>'日経_S00'!E57</x:f>
        <x:v>3372000</x:v>
      </x:c>
      <x:c r="E21" s="6" t="n">
        <x:f>'日経_S00'!F57</x:f>
        <x:v>2720000</x:v>
      </x:c>
      <x:c r="F21" s="17" t="n">
        <x:f>IF(D21=0,"",C21/D21)</x:f>
        <x:v>1.8066429418742587</x:v>
      </x:c>
      <x:c r="G21" s="6" t="n">
        <x:f>COUNTIFS('日経_S00'!$F$6:$F$56,"&lt;0")</x:f>
        <x:v>16</x:v>
      </x:c>
      <x:c r="H21" s="6" t="n">
        <x:f>IF(G21=0,0,-SUMIFS('日経_S00'!$F$6:$F$56,'日経_S00'!$F$6:$F$56,"&lt;0")/G21)</x:f>
        <x:v>44750</x:v>
      </x:c>
      <x:c r="I21" s="6" t="n">
        <x:f>MAX(0,-MIN('日経_S00'!$F$6:$F$56))</x:f>
        <x:v>113000</x:v>
      </x:c>
      <x:c r="J21" s="6" t="n">
        <x:f>E21-MAX(0,LARGE('日経_S00'!$F$6:$F$56,1))-MAX(0,LARGE('日経_S00'!$F$6:$F$56,2))-MAX(0,LARGE('日経_S00'!$F$6:$F$56,3))</x:f>
        <x:v>1741000</x:v>
      </x:c>
      <x:c r="K21" s="6" t="n">
        <x:f>SUMIFS('日経_S00'!$F$6:$F$56,'日経_S00'!$B$6:$B$56,"デイ")</x:f>
        <x:v>1713000</x:v>
      </x:c>
      <x:c r="L21" s="6" t="n">
        <x:f>SUMIFS('日経_S00'!$F$6:$F$56,'日経_S00'!$B$6:$B$56,"ナイト")</x:f>
        <x:v>1007000</x:v>
      </x:c>
      <x:c r="M21" s="6" t="n">
        <x:f>SUMIFS('日経_S00'!$F$6:$F$56,'日経_S00'!$C$6:$C$56,"上昇")</x:f>
        <x:v>1264000</x:v>
      </x:c>
      <x:c r="N21" s="6" t="n">
        <x:f>SUMIFS('日経_S00'!$F$6:$F$56,'日経_S00'!$C$6:$C$56,"下落")</x:f>
        <x:v>1524000</x:v>
      </x:c>
    </x:row>
    <x:row r="22" ht="43" customHeight="1">
      <x:c r="A22" s="2" t="str">
        <x:v>S01</x:v>
      </x:c>
      <x:c r="B22" s="16" t="str">
        <x:v>S00と基準D07旧親占有中の別入口再参加抑止</x:v>
      </x:c>
      <x:c r="C22" s="6" t="n">
        <x:f>'日経_S01'!D57</x:f>
        <x:v>6060000</x:v>
      </x:c>
      <x:c r="D22" s="6" t="n">
        <x:f>'日経_S01'!E57</x:f>
        <x:v>3120000</x:v>
      </x:c>
      <x:c r="E22" s="6" t="n">
        <x:f>'日経_S01'!F57</x:f>
        <x:v>2940000</x:v>
      </x:c>
      <x:c r="F22" s="17" t="n">
        <x:f>IF(D22=0,"",C22/D22)</x:f>
        <x:v>1.9423076923076923</x:v>
      </x:c>
      <x:c r="G22" s="6" t="n">
        <x:f>COUNTIFS('日経_S01'!$F$6:$F$56,"&lt;0")</x:f>
        <x:v>15</x:v>
      </x:c>
      <x:c r="H22" s="6" t="n">
        <x:f>IF(G22=0,0,-SUMIFS('日経_S01'!$F$6:$F$56,'日経_S01'!$F$6:$F$56,"&lt;0")/G22)</x:f>
        <x:v>47200</x:v>
      </x:c>
      <x:c r="I22" s="6" t="n">
        <x:f>MAX(0,-MIN('日経_S01'!$F$6:$F$56))</x:f>
        <x:v>113000</x:v>
      </x:c>
      <x:c r="J22" s="6" t="n">
        <x:f>E22-MAX(0,LARGE('日経_S01'!$F$6:$F$56,1))-MAX(0,LARGE('日経_S01'!$F$6:$F$56,2))-MAX(0,LARGE('日経_S01'!$F$6:$F$56,3))</x:f>
        <x:v>1920000</x:v>
      </x:c>
      <x:c r="K22" s="6" t="n">
        <x:f>SUMIFS('日経_S01'!$F$6:$F$56,'日経_S01'!$B$6:$B$56,"デイ")</x:f>
        <x:v>1935000</x:v>
      </x:c>
      <x:c r="L22" s="6" t="n">
        <x:f>SUMIFS('日経_S01'!$F$6:$F$56,'日経_S01'!$B$6:$B$56,"ナイト")</x:f>
        <x:v>1005000</x:v>
      </x:c>
      <x:c r="M22" s="6" t="n">
        <x:f>SUMIFS('日経_S01'!$F$6:$F$56,'日経_S01'!$C$6:$C$56,"上昇")</x:f>
        <x:v>1326000</x:v>
      </x:c>
      <x:c r="N22" s="6" t="n">
        <x:f>SUMIFS('日経_S01'!$F$6:$F$56,'日経_S01'!$C$6:$C$56,"下落")</x:f>
        <x:v>1682000</x:v>
      </x:c>
    </x:row>
    <x:row r="23" ht="43" customHeight="1">
      <x:c r="A23" s="2" t="str">
        <x:v>S04</x:v>
      </x:c>
      <x:c r="B23" s="16" t="str">
        <x:v>別入口だけ1R相当から親利益の半分を保護</x:v>
      </x:c>
      <x:c r="C23" s="6" t="n">
        <x:f>'日経_S04'!D57</x:f>
        <x:v>6336000</x:v>
      </x:c>
      <x:c r="D23" s="6" t="n">
        <x:f>'日経_S04'!E57</x:f>
        <x:v>3568000</x:v>
      </x:c>
      <x:c r="E23" s="6" t="n">
        <x:f>'日経_S04'!F57</x:f>
        <x:v>2768000</x:v>
      </x:c>
      <x:c r="F23" s="17" t="n">
        <x:f>IF(D23=0,"",C23/D23)</x:f>
        <x:v>1.7757847533632287</x:v>
      </x:c>
      <x:c r="G23" s="6" t="n">
        <x:f>COUNTIFS('日経_S04'!$F$6:$F$56,"&lt;0")</x:f>
        <x:v>17</x:v>
      </x:c>
      <x:c r="H23" s="6" t="n">
        <x:f>IF(G23=0,0,-SUMIFS('日経_S04'!$F$6:$F$56,'日経_S04'!$F$6:$F$56,"&lt;0")/G23)</x:f>
        <x:v>43529.41176470588</x:v>
      </x:c>
      <x:c r="I23" s="6" t="n">
        <x:f>MAX(0,-MIN('日経_S04'!$F$6:$F$56))</x:f>
        <x:v>109000</x:v>
      </x:c>
      <x:c r="J23" s="6" t="n">
        <x:f>E23-MAX(0,LARGE('日経_S04'!$F$6:$F$56,1))-MAX(0,LARGE('日経_S04'!$F$6:$F$56,2))-MAX(0,LARGE('日経_S04'!$F$6:$F$56,3))</x:f>
        <x:v>1580000</x:v>
      </x:c>
      <x:c r="K23" s="6" t="n">
        <x:f>SUMIFS('日経_S04'!$F$6:$F$56,'日経_S04'!$B$6:$B$56,"デイ")</x:f>
        <x:v>1767000</x:v>
      </x:c>
      <x:c r="L23" s="6" t="n">
        <x:f>SUMIFS('日経_S04'!$F$6:$F$56,'日経_S04'!$B$6:$B$56,"ナイト")</x:f>
        <x:v>1001000</x:v>
      </x:c>
      <x:c r="M23" s="6" t="n">
        <x:f>SUMIFS('日経_S04'!$F$6:$F$56,'日経_S04'!$C$6:$C$56,"上昇")</x:f>
        <x:v>1177000</x:v>
      </x:c>
      <x:c r="N23" s="6" t="n">
        <x:f>SUMIFS('日経_S04'!$F$6:$F$56,'日経_S04'!$C$6:$C$56,"下落")</x:f>
        <x:v>1647000</x:v>
      </x:c>
    </x:row>
    <x:row r="24" ht="43" customHeight="1">
      <x:c r="A24" s="2" t="str">
        <x:v>S02</x:v>
      </x:c>
      <x:c r="B24" s="16" t="str">
        <x:v>S04と基準D07旧親占有中の別入口再参加抑止</x:v>
      </x:c>
      <x:c r="C24" s="6" t="n">
        <x:f>'日経_S02'!D57</x:f>
        <x:v>6308000</x:v>
      </x:c>
      <x:c r="D24" s="6" t="n">
        <x:f>'日経_S02'!E57</x:f>
        <x:v>3490000</x:v>
      </x:c>
      <x:c r="E24" s="6" t="n">
        <x:f>'日経_S02'!F57</x:f>
        <x:v>2818000</x:v>
      </x:c>
      <x:c r="F24" s="17" t="n">
        <x:f>IF(D24=0,"",C24/D24)</x:f>
        <x:v>1.8074498567335244</x:v>
      </x:c>
      <x:c r="G24" s="6" t="n">
        <x:f>COUNTIFS('日経_S02'!$F$6:$F$56,"&lt;0")</x:f>
        <x:v>17</x:v>
      </x:c>
      <x:c r="H24" s="6" t="n">
        <x:f>IF(G24=0,0,-SUMIFS('日経_S02'!$F$6:$F$56,'日経_S02'!$F$6:$F$56,"&lt;0")/G24)</x:f>
        <x:v>42235.294117647056</x:v>
      </x:c>
      <x:c r="I24" s="6" t="n">
        <x:f>MAX(0,-MIN('日経_S02'!$F$6:$F$56))</x:f>
        <x:v>109000</x:v>
      </x:c>
      <x:c r="J24" s="6" t="n">
        <x:f>E24-MAX(0,LARGE('日経_S02'!$F$6:$F$56,1))-MAX(0,LARGE('日経_S02'!$F$6:$F$56,2))-MAX(0,LARGE('日経_S02'!$F$6:$F$56,3))</x:f>
        <x:v>1630000</x:v>
      </x:c>
      <x:c r="K24" s="6" t="n">
        <x:f>SUMIFS('日経_S02'!$F$6:$F$56,'日経_S02'!$B$6:$B$56,"デイ")</x:f>
        <x:v>1832000</x:v>
      </x:c>
      <x:c r="L24" s="6" t="n">
        <x:f>SUMIFS('日経_S02'!$F$6:$F$56,'日経_S02'!$B$6:$B$56,"ナイト")</x:f>
        <x:v>986000</x:v>
      </x:c>
      <x:c r="M24" s="6" t="n">
        <x:f>SUMIFS('日経_S02'!$F$6:$F$56,'日経_S02'!$C$6:$C$56,"上昇")</x:f>
        <x:v>1177000</x:v>
      </x:c>
      <x:c r="N24" s="6" t="n">
        <x:f>SUMIFS('日経_S02'!$F$6:$F$56,'日経_S02'!$C$6:$C$56,"下落")</x:f>
        <x:v>1697000</x:v>
      </x:c>
    </x:row>
    <x:row r="25" ht="43" customHeight="1">
      <x:c r="A25" s="2" t="str">
        <x:v>S03</x:v>
      </x:c>
      <x:c r="B25" s="16" t="str">
        <x:v>全担当1R保護と別入口の旧親占有中再参加抑止</x:v>
      </x:c>
      <x:c r="C25" s="6" t="n">
        <x:f>'日経_S03'!D57</x:f>
        <x:v>5126000</x:v>
      </x:c>
      <x:c r="D25" s="6" t="n">
        <x:f>'日経_S03'!E57</x:f>
        <x:v>3370000</x:v>
      </x:c>
      <x:c r="E25" s="6" t="n">
        <x:f>'日経_S03'!F57</x:f>
        <x:v>1756000</x:v>
      </x:c>
      <x:c r="F25" s="17" t="n">
        <x:f>IF(D25=0,"",C25/D25)</x:f>
        <x:v>1.5210682492581602</x:v>
      </x:c>
      <x:c r="G25" s="6" t="n">
        <x:f>COUNTIFS('日経_S03'!$F$6:$F$56,"&lt;0")</x:f>
        <x:v>19</x:v>
      </x:c>
      <x:c r="H25" s="6" t="n">
        <x:f>IF(G25=0,0,-SUMIFS('日経_S03'!$F$6:$F$56,'日経_S03'!$F$6:$F$56,"&lt;0")/G25)</x:f>
        <x:v>55736.84210526316</x:v>
      </x:c>
      <x:c r="I25" s="6" t="n">
        <x:f>MAX(0,-MIN('日経_S03'!$F$6:$F$56))</x:f>
        <x:v>153000</x:v>
      </x:c>
      <x:c r="J25" s="6" t="n">
        <x:f>E25-MAX(0,LARGE('日経_S03'!$F$6:$F$56,1))-MAX(0,LARGE('日経_S03'!$F$6:$F$56,2))-MAX(0,LARGE('日経_S03'!$F$6:$F$56,3))</x:f>
        <x:v>730000</x:v>
      </x:c>
      <x:c r="K25" s="6" t="n">
        <x:f>SUMIFS('日経_S03'!$F$6:$F$56,'日経_S03'!$B$6:$B$56,"デイ")</x:f>
        <x:v>1000000</x:v>
      </x:c>
      <x:c r="L25" s="6" t="n">
        <x:f>SUMIFS('日経_S03'!$F$6:$F$56,'日経_S03'!$B$6:$B$56,"ナイト")</x:f>
        <x:v>756000</x:v>
      </x:c>
      <x:c r="M25" s="6" t="n">
        <x:f>SUMIFS('日経_S03'!$F$6:$F$56,'日経_S03'!$C$6:$C$56,"上昇")</x:f>
        <x:v>857000</x:v>
      </x:c>
      <x:c r="N25" s="6" t="n">
        <x:f>SUMIFS('日経_S03'!$F$6:$F$56,'日経_S03'!$C$6:$C$56,"下落")</x:f>
        <x:v>943000</x:v>
      </x:c>
    </x:row>
    <x:row r="26" ht="43" customHeight="1">
      <x:c r="A26" s="2" t="str">
        <x:v>J01</x:v>
      </x:c>
      <x:c r="B26" s="16" t="str">
        <x:v>早い同方向玉が1R進んだ昼主担当だけ初回1枚</x:v>
      </x:c>
      <x:c r="C26" s="6" t="n">
        <x:f>'日経_J01'!D57</x:f>
        <x:v>5991000</x:v>
      </x:c>
      <x:c r="D26" s="6" t="n">
        <x:f>'日経_J01'!E57</x:f>
        <x:v>3441000</x:v>
      </x:c>
      <x:c r="E26" s="6" t="n">
        <x:f>'日経_J01'!F57</x:f>
        <x:v>2550000</x:v>
      </x:c>
      <x:c r="F26" s="17" t="n">
        <x:f>IF(D26=0,"",C26/D26)</x:f>
        <x:v>1.7410636442894507</x:v>
      </x:c>
      <x:c r="G26" s="6" t="n">
        <x:f>COUNTIFS('日経_J01'!$F$6:$F$56,"&lt;0")</x:f>
        <x:v>17</x:v>
      </x:c>
      <x:c r="H26" s="6" t="n">
        <x:f>IF(G26=0,0,-SUMIFS('日経_J01'!$F$6:$F$56,'日経_J01'!$F$6:$F$56,"&lt;0")/G26)</x:f>
        <x:v>45823.529411764706</x:v>
      </x:c>
      <x:c r="I26" s="6" t="n">
        <x:f>MAX(0,-MIN('日経_J01'!$F$6:$F$56))</x:f>
        <x:v>121000</x:v>
      </x:c>
      <x:c r="J26" s="6" t="n">
        <x:f>E26-MAX(0,LARGE('日経_J01'!$F$6:$F$56,1))-MAX(0,LARGE('日経_J01'!$F$6:$F$56,2))-MAX(0,LARGE('日経_J01'!$F$6:$F$56,3))</x:f>
        <x:v>1555000</x:v>
      </x:c>
      <x:c r="K26" s="6" t="n">
        <x:f>SUMIFS('日経_J01'!$F$6:$F$56,'日経_J01'!$B$6:$B$56,"デイ")</x:f>
        <x:v>1397000</x:v>
      </x:c>
      <x:c r="L26" s="6" t="n">
        <x:f>SUMIFS('日経_J01'!$F$6:$F$56,'日経_J01'!$B$6:$B$56,"ナイト")</x:f>
        <x:v>1153000</x:v>
      </x:c>
      <x:c r="M26" s="6" t="n">
        <x:f>SUMIFS('日経_J01'!$F$6:$F$56,'日経_J01'!$C$6:$C$56,"上昇")</x:f>
        <x:v>1024000</x:v>
      </x:c>
      <x:c r="N26" s="6" t="n">
        <x:f>SUMIFS('日経_J01'!$F$6:$F$56,'日経_J01'!$C$6:$C$56,"下落")</x:f>
        <x:v>1556000</x:v>
      </x:c>
    </x:row>
    <x:row r="27" ht="43" customHeight="1">
      <x:c r="A27" s="2" t="str">
        <x:v>J02</x:v>
      </x:c>
      <x:c r="B27" s="16" t="str">
        <x:v>J01の判定時だけ1枚から順行確認で段階追加</x:v>
      </x:c>
      <x:c r="C27" s="6" t="n">
        <x:f>'日経_J02'!D57</x:f>
        <x:v>5938000</x:v>
      </x:c>
      <x:c r="D27" s="6" t="n">
        <x:f>'日経_J02'!E57</x:f>
        <x:v>3441000</x:v>
      </x:c>
      <x:c r="E27" s="6" t="n">
        <x:f>'日経_J02'!F57</x:f>
        <x:v>2497000</x:v>
      </x:c>
      <x:c r="F27" s="17" t="n">
        <x:f>IF(D27=0,"",C27/D27)</x:f>
        <x:v>1.7256611450159838</x:v>
      </x:c>
      <x:c r="G27" s="6" t="n">
        <x:f>COUNTIFS('日経_J02'!$F$6:$F$56,"&lt;0")</x:f>
        <x:v>17</x:v>
      </x:c>
      <x:c r="H27" s="6" t="n">
        <x:f>IF(G27=0,0,-SUMIFS('日経_J02'!$F$6:$F$56,'日経_J02'!$F$6:$F$56,"&lt;0")/G27)</x:f>
        <x:v>45823.529411764706</x:v>
      </x:c>
      <x:c r="I27" s="6" t="n">
        <x:f>MAX(0,-MIN('日経_J02'!$F$6:$F$56))</x:f>
        <x:v>121000</x:v>
      </x:c>
      <x:c r="J27" s="6" t="n">
        <x:f>E27-MAX(0,LARGE('日経_J02'!$F$6:$F$56,1))-MAX(0,LARGE('日経_J02'!$F$6:$F$56,2))-MAX(0,LARGE('日経_J02'!$F$6:$F$56,3))</x:f>
        <x:v>1514000</x:v>
      </x:c>
      <x:c r="K27" s="6" t="n">
        <x:f>SUMIFS('日経_J02'!$F$6:$F$56,'日経_J02'!$B$6:$B$56,"デイ")</x:f>
        <x:v>1344000</x:v>
      </x:c>
      <x:c r="L27" s="6" t="n">
        <x:f>SUMIFS('日経_J02'!$F$6:$F$56,'日経_J02'!$B$6:$B$56,"ナイト")</x:f>
        <x:v>1153000</x:v>
      </x:c>
      <x:c r="M27" s="6" t="n">
        <x:f>SUMIFS('日経_J02'!$F$6:$F$56,'日経_J02'!$C$6:$C$56,"上昇")</x:f>
        <x:v>1052000</x:v>
      </x:c>
      <x:c r="N27" s="6" t="n">
        <x:f>SUMIFS('日経_J02'!$F$6:$F$56,'日経_J02'!$C$6:$C$56,"下落")</x:f>
        <x:v>1475000</x:v>
      </x:c>
    </x:row>
    <x:row r="28" ht="43" customHeight="1">
      <x:c r="A28" s="2" t="str">
        <x:v>J03</x:v>
      </x:c>
      <x:c r="B28" s="16" t="str">
        <x:v>J02と昼の追加担当の通常追撃停止</x:v>
      </x:c>
      <x:c r="C28" s="6" t="n">
        <x:f>'日経_J03'!D57</x:f>
        <x:v>5862000</x:v>
      </x:c>
      <x:c r="D28" s="6" t="n">
        <x:f>'日経_J03'!E57</x:f>
        <x:v>3330000</x:v>
      </x:c>
      <x:c r="E28" s="6" t="n">
        <x:f>'日経_J03'!F57</x:f>
        <x:v>2532000</x:v>
      </x:c>
      <x:c r="F28" s="17" t="n">
        <x:f>IF(D28=0,"",C28/D28)</x:f>
        <x:v>1.7603603603603604</x:v>
      </x:c>
      <x:c r="G28" s="6" t="n">
        <x:f>COUNTIFS('日経_J03'!$F$6:$F$56,"&lt;0")</x:f>
        <x:v>17</x:v>
      </x:c>
      <x:c r="H28" s="6" t="n">
        <x:f>IF(G28=0,0,-SUMIFS('日経_J03'!$F$6:$F$56,'日経_J03'!$F$6:$F$56,"&lt;0")/G28)</x:f>
        <x:v>43823.529411764706</x:v>
      </x:c>
      <x:c r="I28" s="6" t="n">
        <x:f>MAX(0,-MIN('日経_J03'!$F$6:$F$56))</x:f>
        <x:v>123000</x:v>
      </x:c>
      <x:c r="J28" s="6" t="n">
        <x:f>E28-MAX(0,LARGE('日経_J03'!$F$6:$F$56,1))-MAX(0,LARGE('日経_J03'!$F$6:$F$56,2))-MAX(0,LARGE('日経_J03'!$F$6:$F$56,3))</x:f>
        <x:v>1549000</x:v>
      </x:c>
      <x:c r="K28" s="6" t="n">
        <x:f>SUMIFS('日経_J03'!$F$6:$F$56,'日経_J03'!$B$6:$B$56,"デイ")</x:f>
        <x:v>1379000</x:v>
      </x:c>
      <x:c r="L28" s="6" t="n">
        <x:f>SUMIFS('日経_J03'!$F$6:$F$56,'日経_J03'!$B$6:$B$56,"ナイト")</x:f>
        <x:v>1153000</x:v>
      </x:c>
      <x:c r="M28" s="6" t="n">
        <x:f>SUMIFS('日経_J03'!$F$6:$F$56,'日経_J03'!$C$6:$C$56,"上昇")</x:f>
        <x:v>1099000</x:v>
      </x:c>
      <x:c r="N28" s="6" t="n">
        <x:f>SUMIFS('日経_J03'!$F$6:$F$56,'日経_J03'!$C$6:$C$56,"下落")</x:f>
        <x:v>1463000</x:v>
      </x:c>
    </x:row>
  </x:sheetData>
  <x:conditionalFormatting sqref="E6:E28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f0a21bcbb049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D07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現在D07の基準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128000</x:v>
      </x:c>
      <x:c r="E12" s="6" t="n">
        <x:v>60000</x:v>
      </x:c>
      <x:c r="F12" s="6" t="n">
        <x:f>D12-E12</x:f>
        <x:v>68000</x:v>
      </x:c>
      <x:c r="G12" s="6" t="n">
        <x:f>G11+F12</x:f>
        <x:v>21000</x:v>
      </x:c>
      <x:c r="H12" s="6" t="n">
        <x:f>F12-F12</x:f>
        <x:v>0</x:v>
      </x:c>
      <x:c r="I12" s="6" t="n">
        <x:v>44000</x:v>
      </x:c>
      <x:c r="J12" s="6" t="n">
        <x:v>24000</x:v>
      </x:c>
      <x:c r="K12" s="6" t="n">
        <x:v>0</x:v>
      </x:c>
      <x:c r="L12" s="6" t="n">
        <x:v>9</x:v>
      </x:c>
      <x:c r="M12" s="6" t="n">
        <x:v>20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41000</x:v>
      </x:c>
      <x:c r="H13" s="6" t="n">
        <x:f>F13-F13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134000</x:v>
      </x:c>
      <x:c r="H14" s="6" t="n">
        <x:f>F14-F14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135000</x:v>
      </x:c>
      <x:c r="H15" s="6" t="n">
        <x:f>F15-F15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105000</x:v>
      </x:c>
      <x:c r="H16" s="6" t="n">
        <x:f>F16-F16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85000</x:v>
      </x:c>
      <x:c r="H17" s="6" t="n">
        <x:f>F17-F17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155000</x:v>
      </x:c>
      <x:c r="H18" s="6" t="n">
        <x:f>F18-F18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220000</x:v>
      </x:c>
      <x:c r="H19" s="6" t="n">
        <x:f>F19-F19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330000</x:v>
      </x:c>
      <x:c r="H20" s="6" t="n">
        <x:f>F20-F20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373000</x:v>
      </x:c>
      <x:c r="H21" s="6" t="n">
        <x:f>F21-F21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469000</x:v>
      </x:c>
      <x:c r="H22" s="6" t="n">
        <x:f>F22-F22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578000</x:v>
      </x:c>
      <x:c r="H23" s="6" t="n">
        <x:f>F23-F23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73000</x:v>
      </x:c>
      <x:c r="F24" s="6" t="n">
        <x:f>D24-E24</x:f>
        <x:v>-9000</x:v>
      </x:c>
      <x:c r="G24" s="6" t="n">
        <x:f>G23+F24</x:f>
        <x:v>569000</x:v>
      </x:c>
      <x:c r="H24" s="6" t="n">
        <x:f>F24-F24</x:f>
        <x:v>0</x:v>
      </x:c>
      <x:c r="I24" s="6" t="n">
        <x:v>-45000</x:v>
      </x:c>
      <x:c r="J24" s="6" t="n">
        <x:v>36000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825000</x:v>
      </x:c>
      <x:c r="H25" s="6" t="n">
        <x:f>F25-F25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48000</x:v>
      </x:c>
      <x:c r="E26" s="6" t="n">
        <x:v>156000</x:v>
      </x:c>
      <x:c r="F26" s="6" t="n">
        <x:f>D26-E26</x:f>
        <x:v>-108000</x:v>
      </x:c>
      <x:c r="G26" s="6" t="n">
        <x:f>G25+F26</x:f>
        <x:v>717000</x:v>
      </x:c>
      <x:c r="H26" s="6" t="n">
        <x:f>F26-F26</x:f>
        <x:v>0</x:v>
      </x:c>
      <x:c r="I26" s="6" t="n">
        <x:v>-97000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751000</x:v>
      </x:c>
      <x:c r="H27" s="6" t="n">
        <x:f>F27-F27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115000</x:v>
      </x:c>
      <x:c r="E28" s="6" t="n">
        <x:v>160000</x:v>
      </x:c>
      <x:c r="F28" s="6" t="n">
        <x:f>D28-E28</x:f>
        <x:v>-45000</x:v>
      </x:c>
      <x:c r="G28" s="6" t="n">
        <x:f>G27+F28</x:f>
        <x:v>706000</x:v>
      </x:c>
      <x:c r="H28" s="6" t="n">
        <x:f>F28-F28</x:f>
        <x:v>0</x:v>
      </x:c>
      <x:c r="I28" s="6" t="n">
        <x:v>-36000</x:v>
      </x:c>
      <x:c r="J28" s="6" t="n">
        <x:v>-9000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696000</x:v>
      </x:c>
      <x:c r="H29" s="6" t="n">
        <x:f>F29-F29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817000</x:v>
      </x:c>
      <x:c r="H30" s="6" t="n">
        <x:f>F30-F30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774000</x:v>
      </x:c>
      <x:c r="H31" s="6" t="n">
        <x:f>F31-F31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118000</x:v>
      </x:c>
      <x:c r="F32" s="6" t="n">
        <x:f>D32-E32</x:f>
        <x:v>3000</x:v>
      </x:c>
      <x:c r="G32" s="6" t="n">
        <x:f>G31+F32</x:f>
        <x:v>777000</x:v>
      </x:c>
      <x:c r="H32" s="6" t="n">
        <x:f>F32-F32</x:f>
        <x:v>0</x:v>
      </x:c>
      <x:c r="I32" s="6" t="n">
        <x:v>4000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1088000</x:v>
      </x:c>
      <x:c r="H33" s="6" t="n">
        <x:f>F33-F33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1131000</x:v>
      </x:c>
      <x:c r="H34" s="6" t="n">
        <x:f>F34-F34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1145000</x:v>
      </x:c>
      <x:c r="H35" s="6" t="n">
        <x:f>F35-F35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1153000</x:v>
      </x:c>
      <x:c r="H36" s="6" t="n">
        <x:f>F36-F36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1235000</x:v>
      </x:c>
      <x:c r="H37" s="6" t="n">
        <x:f>F37-F37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1246000</x:v>
      </x:c>
      <x:c r="H38" s="6" t="n">
        <x:f>F38-F38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1193000</x:v>
      </x:c>
      <x:c r="H39" s="6" t="n">
        <x:f>F39-F39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1294000</x:v>
      </x:c>
      <x:c r="H40" s="6" t="n">
        <x:f>F40-F40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1430000</x:v>
      </x:c>
      <x:c r="H41" s="6" t="n">
        <x:f>F41-F41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457000</x:v>
      </x:c>
      <x:c r="E42" s="6" t="n">
        <x:v>66000</x:v>
      </x:c>
      <x:c r="F42" s="6" t="n">
        <x:f>D42-E42</x:f>
        <x:v>391000</x:v>
      </x:c>
      <x:c r="G42" s="6" t="n">
        <x:f>G41+F42</x:f>
        <x:v>1821000</x:v>
      </x:c>
      <x:c r="H42" s="6" t="n">
        <x:f>F42-F42</x:f>
        <x:v>0</x:v>
      </x:c>
      <x:c r="I42" s="6" t="n">
        <x:v>370000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1843000</x:v>
      </x:c>
      <x:c r="H43" s="6" t="n">
        <x:f>F43-F43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123000</x:v>
      </x:c>
      <x:c r="E44" s="6" t="n">
        <x:v>244000</x:v>
      </x:c>
      <x:c r="F44" s="6" t="n">
        <x:f>D44-E44</x:f>
        <x:v>-121000</x:v>
      </x:c>
      <x:c r="G44" s="6" t="n">
        <x:f>G43+F44</x:f>
        <x:v>1722000</x:v>
      </x:c>
      <x:c r="H44" s="6" t="n">
        <x:f>F44-F44</x:f>
        <x:v>0</x:v>
      </x:c>
      <x:c r="I44" s="6" t="n">
        <x:v>-101000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1754000</x:v>
      </x:c>
      <x:c r="H45" s="6" t="n">
        <x:f>F45-F45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2152000</x:v>
      </x:c>
      <x:c r="H46" s="6" t="n">
        <x:f>F46-F46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2144000</x:v>
      </x:c>
      <x:c r="H47" s="6" t="n">
        <x:f>F47-F47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182000</x:v>
      </x:c>
      <x:c r="E48" s="6" t="n">
        <x:v>206000</x:v>
      </x:c>
      <x:c r="F48" s="6" t="n">
        <x:f>D48-E48</x:f>
        <x:v>-24000</x:v>
      </x:c>
      <x:c r="G48" s="6" t="n">
        <x:f>G47+F48</x:f>
        <x:v>2120000</x:v>
      </x:c>
      <x:c r="H48" s="6" t="n">
        <x:f>F48-F48</x:f>
        <x:v>0</x:v>
      </x:c>
      <x:c r="I48" s="6" t="n">
        <x:v>-41000</x:v>
      </x:c>
      <x:c r="J48" s="6" t="n">
        <x:v>17000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2220000</x:v>
      </x:c>
      <x:c r="H49" s="6" t="n">
        <x:f>F49-F49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2100000</x:v>
      </x:c>
      <x:c r="H50" s="6" t="n">
        <x:f>F50-F50</x:f>
        <x:v>0</x:v>
      </x:c>
      <x:c r="I50" s="6" t="n">
        <x:v>-112000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2076000</x:v>
      </x:c>
      <x:c r="H51" s="6" t="n">
        <x:f>F51-F51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701000</x:v>
      </x:c>
      <x:c r="E52" s="6" t="n">
        <x:v>0</x:v>
      </x:c>
      <x:c r="F52" s="6" t="n">
        <x:f>D52-E52</x:f>
        <x:v>701000</x:v>
      </x:c>
      <x:c r="G52" s="6" t="n">
        <x:f>G51+F52</x:f>
        <x:v>2777000</x:v>
      </x:c>
      <x:c r="H52" s="6" t="n">
        <x:f>F52-F52</x:f>
        <x:v>0</x:v>
      </x:c>
      <x:c r="I52" s="6" t="n">
        <x:v>570000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2933000</x:v>
      </x:c>
      <x:c r="H53" s="6" t="n">
        <x:f>F53-F53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219000</x:v>
      </x:c>
      <x:c r="E54" s="6" t="n">
        <x:v>89000</x:v>
      </x:c>
      <x:c r="F54" s="6" t="n">
        <x:f>D54-E54</x:f>
        <x:v>130000</x:v>
      </x:c>
      <x:c r="G54" s="6" t="n">
        <x:f>G53+F54</x:f>
        <x:v>3063000</x:v>
      </x:c>
      <x:c r="H54" s="6" t="n">
        <x:f>F54-F54</x:f>
        <x:v>0</x:v>
      </x:c>
      <x:c r="I54" s="6" t="n">
        <x:v>171000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3050000</x:v>
      </x:c>
      <x:c r="H55" s="6" t="n">
        <x:f>F55-F55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190000</x:v>
      </x:c>
      <x:c r="F56" s="6" t="n">
        <x:f>D56-E56</x:f>
        <x:v>9000</x:v>
      </x:c>
      <x:c r="G56" s="6" t="n">
        <x:f>G55+F56</x:f>
        <x:v>3059000</x:v>
      </x:c>
      <x:c r="H56" s="6" t="n">
        <x:f>F56-F56</x:f>
        <x:v>0</x:v>
      </x:c>
      <x:c r="I56" s="6" t="n">
        <x:v>-14000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6604000</x:v>
      </x:c>
      <x:c r="E57" s="14" t="n">
        <x:f>SUM(E6:E56)</x:f>
        <x:v>3545000</x:v>
      </x:c>
      <x:c r="F57" s="14" t="n">
        <x:f>D57-E57</x:f>
        <x:v>3059000</x:v>
      </x:c>
      <x:c r="G57" s="14" t="n">
        <x:f>G56</x:f>
        <x:v>3059000</x:v>
      </x:c>
      <x:c r="H57" s="14" t="n">
        <x:f>SUM(H6:H56)</x:f>
        <x:v>0</x:v>
      </x:c>
      <x:c r="I57" s="14" t="n">
        <x:f>SUM(I6:I56)</x:f>
        <x:v>2981000</x:v>
      </x:c>
      <x:c r="J57" s="14" t="n">
        <x:f>SUM(J6:J56)</x:f>
        <x:v>78000</x:v>
      </x:c>
      <x:c r="K57" s="14" t="n">
        <x:f>SUM(K6:K56)</x:f>
        <x:v>0</x:v>
      </x:c>
      <x:c r="L57" s="14" t="n">
        <x:f>SUM(L6:L56)</x:f>
        <x:v>359</x:v>
      </x:c>
      <x:c r="M57" s="14" t="n">
        <x:f>SUM(M6:M56)</x:f>
        <x:v>835</x:v>
      </x:c>
    </x:row>
  </x:sheetData>
  <x:conditionalFormatting sqref="F6:K5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682d4b767c49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E01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別入口の残り1枚化を止め元の全返済を尊重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173000</x:v>
      </x:c>
      <x:c r="E12" s="6" t="n">
        <x:v>84000</x:v>
      </x:c>
      <x:c r="F12" s="6" t="n">
        <x:f>D12-E12</x:f>
        <x:v>89000</x:v>
      </x:c>
      <x:c r="G12" s="6" t="n">
        <x:f>G11+F12</x:f>
        <x:v>42000</x:v>
      </x:c>
      <x:c r="H12" s="6" t="n">
        <x:f>F12-'日経_D07'!F12</x:f>
        <x:v>21000</x:v>
      </x:c>
      <x:c r="I12" s="6" t="n">
        <x:v>65000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17000</x:v>
      </x:c>
      <x:c r="E13" s="6" t="n">
        <x:v>0</x:v>
      </x:c>
      <x:c r="F13" s="6" t="n">
        <x:f>D13-E13</x:f>
        <x:v>17000</x:v>
      </x:c>
      <x:c r="G13" s="6" t="n">
        <x:f>G12+F13</x:f>
        <x:v>59000</x:v>
      </x:c>
      <x:c r="H13" s="6" t="n">
        <x:f>F13-'日経_D07'!F13</x:f>
        <x:v>-3000</x:v>
      </x:c>
      <x:c r="I13" s="6" t="n">
        <x:v>13000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152000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153000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123000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103000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173000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102000</x:v>
      </x:c>
      <x:c r="E19" s="6" t="n">
        <x:v>22000</x:v>
      </x:c>
      <x:c r="F19" s="6" t="n">
        <x:f>D19-E19</x:f>
        <x:v>80000</x:v>
      </x:c>
      <x:c r="G19" s="6" t="n">
        <x:f>G18+F19</x:f>
        <x:v>253000</x:v>
      </x:c>
      <x:c r="H19" s="6" t="n">
        <x:f>F19-'日経_D07'!F19</x:f>
        <x:v>15000</x:v>
      </x:c>
      <x:c r="I19" s="6" t="n">
        <x:v>77000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188000</x:v>
      </x:c>
      <x:c r="E20" s="6" t="n">
        <x:v>75000</x:v>
      </x:c>
      <x:c r="F20" s="6" t="n">
        <x:f>D20-E20</x:f>
        <x:v>113000</x:v>
      </x:c>
      <x:c r="G20" s="6" t="n">
        <x:f>G19+F20</x:f>
        <x:v>366000</x:v>
      </x:c>
      <x:c r="H20" s="6" t="n">
        <x:f>F20-'日経_D07'!F20</x:f>
        <x:v>3000</x:v>
      </x:c>
      <x:c r="I20" s="6" t="n">
        <x:v>118000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409000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505000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180000</x:v>
      </x:c>
      <x:c r="E23" s="6" t="n">
        <x:v>98000</x:v>
      </x:c>
      <x:c r="F23" s="6" t="n">
        <x:f>D23-E23</x:f>
        <x:v>82000</x:v>
      </x:c>
      <x:c r="G23" s="6" t="n">
        <x:f>G22+F23</x:f>
        <x:v>587000</x:v>
      </x:c>
      <x:c r="H23" s="6" t="n">
        <x:f>F23-'日経_D07'!F23</x:f>
        <x:v>-27000</x:v>
      </x:c>
      <x:c r="I23" s="6" t="n">
        <x:v>71000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84000</x:v>
      </x:c>
      <x:c r="E24" s="6" t="n">
        <x:v>73000</x:v>
      </x:c>
      <x:c r="F24" s="6" t="n">
        <x:f>D24-E24</x:f>
        <x:v>11000</x:v>
      </x:c>
      <x:c r="G24" s="6" t="n">
        <x:f>G23+F24</x:f>
        <x:v>598000</x:v>
      </x:c>
      <x:c r="H24" s="6" t="n">
        <x:f>F24-'日経_D07'!F24</x:f>
        <x:v>20000</x:v>
      </x:c>
      <x:c r="I24" s="6" t="n">
        <x:v>-16000</x:v>
      </x:c>
      <x:c r="J24" s="6" t="n">
        <x:v>27000</x:v>
      </x:c>
      <x:c r="K24" s="6" t="n">
        <x:v>0</x:v>
      </x:c>
      <x:c r="L24" s="6" t="n">
        <x:v>11</x:v>
      </x:c>
      <x:c r="M24" s="6" t="n">
        <x:v>19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342000</x:v>
      </x:c>
      <x:c r="E25" s="6" t="n">
        <x:v>38000</x:v>
      </x:c>
      <x:c r="F25" s="6" t="n">
        <x:f>D25-E25</x:f>
        <x:v>304000</x:v>
      </x:c>
      <x:c r="G25" s="6" t="n">
        <x:f>G24+F25</x:f>
        <x:v>902000</x:v>
      </x:c>
      <x:c r="H25" s="6" t="n">
        <x:f>F25-'日経_D07'!F25</x:f>
        <x:v>48000</x:v>
      </x:c>
      <x:c r="I25" s="6" t="n">
        <x:v>284000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66000</x:v>
      </x:c>
      <x:c r="E26" s="6" t="n">
        <x:v>156000</x:v>
      </x:c>
      <x:c r="F26" s="6" t="n">
        <x:f>D26-E26</x:f>
        <x:v>-90000</x:v>
      </x:c>
      <x:c r="G26" s="6" t="n">
        <x:f>G25+F26</x:f>
        <x:v>812000</x:v>
      </x:c>
      <x:c r="H26" s="6" t="n">
        <x:f>F26-'日経_D07'!F26</x:f>
        <x:v>18000</x:v>
      </x:c>
      <x:c r="I26" s="6" t="n">
        <x:v>-79000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117000</x:v>
      </x:c>
      <x:c r="E27" s="6" t="n">
        <x:v>64000</x:v>
      </x:c>
      <x:c r="F27" s="6" t="n">
        <x:f>D27-E27</x:f>
        <x:v>53000</x:v>
      </x:c>
      <x:c r="G27" s="6" t="n">
        <x:f>G26+F27</x:f>
        <x:v>865000</x:v>
      </x:c>
      <x:c r="H27" s="6" t="n">
        <x:f>F27-'日経_D07'!F27</x:f>
        <x:v>19000</x:v>
      </x:c>
      <x:c r="I27" s="6" t="n">
        <x:v>18000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138000</x:v>
      </x:c>
      <x:c r="E28" s="6" t="n">
        <x:v>188000</x:v>
      </x:c>
      <x:c r="F28" s="6" t="n">
        <x:f>D28-E28</x:f>
        <x:v>-50000</x:v>
      </x:c>
      <x:c r="G28" s="6" t="n">
        <x:f>G27+F28</x:f>
        <x:v>815000</x:v>
      </x:c>
      <x:c r="H28" s="6" t="n">
        <x:f>F28-'日経_D07'!F28</x:f>
        <x:v>-5000</x:v>
      </x:c>
      <x:c r="I28" s="6" t="n">
        <x:v>-41000</x:v>
      </x:c>
      <x:c r="J28" s="6" t="n">
        <x:v>-9000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17000</x:v>
      </x:c>
      <x:c r="E29" s="6" t="n">
        <x:v>43000</x:v>
      </x:c>
      <x:c r="F29" s="6" t="n">
        <x:f>D29-E29</x:f>
        <x:v>-26000</x:v>
      </x:c>
      <x:c r="G29" s="6" t="n">
        <x:f>G28+F29</x:f>
        <x:v>789000</x:v>
      </x:c>
      <x:c r="H29" s="6" t="n">
        <x:f>F29-'日経_D07'!F29</x:f>
        <x:v>-16000</x:v>
      </x:c>
      <x:c r="I29" s="6" t="n">
        <x:v>-32000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910000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867000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129000</x:v>
      </x:c>
      <x:c r="E32" s="6" t="n">
        <x:v>118000</x:v>
      </x:c>
      <x:c r="F32" s="6" t="n">
        <x:f>D32-E32</x:f>
        <x:v>11000</x:v>
      </x:c>
      <x:c r="G32" s="6" t="n">
        <x:f>G31+F32</x:f>
        <x:v>878000</x:v>
      </x:c>
      <x:c r="H32" s="6" t="n">
        <x:f>F32-'日経_D07'!F32</x:f>
        <x:v>8000</x:v>
      </x:c>
      <x:c r="I32" s="6" t="n">
        <x:v>12000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368000</x:v>
      </x:c>
      <x:c r="E33" s="6" t="n">
        <x:v>20000</x:v>
      </x:c>
      <x:c r="F33" s="6" t="n">
        <x:f>D33-E33</x:f>
        <x:v>348000</x:v>
      </x:c>
      <x:c r="G33" s="6" t="n">
        <x:f>G32+F33</x:f>
        <x:v>1226000</x:v>
      </x:c>
      <x:c r="H33" s="6" t="n">
        <x:f>F33-'日経_D07'!F33</x:f>
        <x:v>37000</x:v>
      </x:c>
      <x:c r="I33" s="6" t="n">
        <x:v>303000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1269000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1283000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1291000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1373000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1384000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1331000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1432000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1568000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333000</x:v>
      </x:c>
      <x:c r="E42" s="6" t="n">
        <x:v>198000</x:v>
      </x:c>
      <x:c r="F42" s="6" t="n">
        <x:f>D42-E42</x:f>
        <x:v>135000</x:v>
      </x:c>
      <x:c r="G42" s="6" t="n">
        <x:f>G41+F42</x:f>
        <x:v>1703000</x:v>
      </x:c>
      <x:c r="H42" s="6" t="n">
        <x:f>F42-'日経_D07'!F42</x:f>
        <x:v>-256000</x:v>
      </x:c>
      <x:c r="I42" s="6" t="n">
        <x:v>136000</x:v>
      </x:c>
      <x:c r="J42" s="6" t="n">
        <x:v>-1000</x:v>
      </x:c>
      <x:c r="K42" s="6" t="n">
        <x:v>0</x:v>
      </x:c>
      <x:c r="L42" s="6" t="n">
        <x:v>15</x:v>
      </x:c>
      <x:c r="M42" s="6" t="n">
        <x:v>29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60000</x:v>
      </x:c>
      <x:c r="E43" s="6" t="n">
        <x:v>53000</x:v>
      </x:c>
      <x:c r="F43" s="6" t="n">
        <x:f>D43-E43</x:f>
        <x:v>7000</x:v>
      </x:c>
      <x:c r="G43" s="6" t="n">
        <x:f>G42+F43</x:f>
        <x:v>1710000</x:v>
      </x:c>
      <x:c r="H43" s="6" t="n">
        <x:f>F43-'日経_D07'!F43</x:f>
        <x:v>-15000</x:v>
      </x:c>
      <x:c r="I43" s="6" t="n">
        <x:v>-4000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130000</x:v>
      </x:c>
      <x:c r="E44" s="6" t="n">
        <x:v>244000</x:v>
      </x:c>
      <x:c r="F44" s="6" t="n">
        <x:f>D44-E44</x:f>
        <x:v>-114000</x:v>
      </x:c>
      <x:c r="G44" s="6" t="n">
        <x:f>G43+F44</x:f>
        <x:v>1596000</x:v>
      </x:c>
      <x:c r="H44" s="6" t="n">
        <x:f>F44-'日経_D07'!F44</x:f>
        <x:v>7000</x:v>
      </x:c>
      <x:c r="I44" s="6" t="n">
        <x:v>-94000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142000</x:v>
      </x:c>
      <x:c r="E45" s="6" t="n">
        <x:v>126000</x:v>
      </x:c>
      <x:c r="F45" s="6" t="n">
        <x:f>D45-E45</x:f>
        <x:v>16000</x:v>
      </x:c>
      <x:c r="G45" s="6" t="n">
        <x:f>G44+F45</x:f>
        <x:v>1612000</x:v>
      </x:c>
      <x:c r="H45" s="6" t="n">
        <x:f>F45-'日経_D07'!F45</x:f>
        <x:v>-16000</x:v>
      </x:c>
      <x:c r="I45" s="6" t="n">
        <x:v>14000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327000</x:v>
      </x:c>
      <x:c r="E46" s="6" t="n">
        <x:v>42000</x:v>
      </x:c>
      <x:c r="F46" s="6" t="n">
        <x:f>D46-E46</x:f>
        <x:v>285000</x:v>
      </x:c>
      <x:c r="G46" s="6" t="n">
        <x:f>G45+F46</x:f>
        <x:v>1897000</x:v>
      </x:c>
      <x:c r="H46" s="6" t="n">
        <x:f>F46-'日経_D07'!F46</x:f>
        <x:v>-113000</x:v>
      </x:c>
      <x:c r="I46" s="6" t="n">
        <x:v>281000</x:v>
      </x:c>
      <x:c r="J46" s="6" t="n">
        <x:v>4000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1889000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234000</x:v>
      </x:c>
      <x:c r="E48" s="6" t="n">
        <x:v>232000</x:v>
      </x:c>
      <x:c r="F48" s="6" t="n">
        <x:f>D48-E48</x:f>
        <x:v>2000</x:v>
      </x:c>
      <x:c r="G48" s="6" t="n">
        <x:f>G47+F48</x:f>
        <x:v>1891000</x:v>
      </x:c>
      <x:c r="H48" s="6" t="n">
        <x:f>F48-'日経_D07'!F48</x:f>
        <x:v>26000</x:v>
      </x:c>
      <x:c r="I48" s="6" t="n">
        <x:v>-15000</x:v>
      </x:c>
      <x:c r="J48" s="6" t="n">
        <x:v>17000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112000</x:v>
      </x:c>
      <x:c r="E49" s="6" t="n">
        <x:v>24000</x:v>
      </x:c>
      <x:c r="F49" s="6" t="n">
        <x:f>D49-E49</x:f>
        <x:v>88000</x:v>
      </x:c>
      <x:c r="G49" s="6" t="n">
        <x:f>G48+F49</x:f>
        <x:v>1979000</x:v>
      </x:c>
      <x:c r="H49" s="6" t="n">
        <x:f>F49-'日経_D07'!F49</x:f>
        <x:v>-12000</x:v>
      </x:c>
      <x:c r="I49" s="6" t="n">
        <x:v>89000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78000</x:v>
      </x:c>
      <x:c r="E50" s="6" t="n">
        <x:v>193000</x:v>
      </x:c>
      <x:c r="F50" s="6" t="n">
        <x:f>D50-E50</x:f>
        <x:v>-115000</x:v>
      </x:c>
      <x:c r="G50" s="6" t="n">
        <x:f>G49+F50</x:f>
        <x:v>1864000</x:v>
      </x:c>
      <x:c r="H50" s="6" t="n">
        <x:f>F50-'日経_D07'!F50</x:f>
        <x:v>5000</x:v>
      </x:c>
      <x:c r="I50" s="6" t="n">
        <x:v>-107000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1840000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677000</x:v>
      </x:c>
      <x:c r="E52" s="6" t="n">
        <x:v>0</x:v>
      </x:c>
      <x:c r="F52" s="6" t="n">
        <x:f>D52-E52</x:f>
        <x:v>677000</x:v>
      </x:c>
      <x:c r="G52" s="6" t="n">
        <x:f>G51+F52</x:f>
        <x:v>2517000</x:v>
      </x:c>
      <x:c r="H52" s="6" t="n">
        <x:f>F52-'日経_D07'!F52</x:f>
        <x:v>-24000</x:v>
      </x:c>
      <x:c r="I52" s="6" t="n">
        <x:v>546000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150000</x:v>
      </x:c>
      <x:c r="E53" s="6" t="n">
        <x:v>0</x:v>
      </x:c>
      <x:c r="F53" s="6" t="n">
        <x:f>D53-E53</x:f>
        <x:v>150000</x:v>
      </x:c>
      <x:c r="G53" s="6" t="n">
        <x:f>G52+F53</x:f>
        <x:v>2667000</x:v>
      </x:c>
      <x:c r="H53" s="6" t="n">
        <x:f>F53-'日経_D07'!F53</x:f>
        <x:v>-6000</x:v>
      </x:c>
      <x:c r="I53" s="6" t="n">
        <x:v>133000</x:v>
      </x:c>
      <x:c r="J53" s="6" t="n">
        <x:v>17000</x:v>
      </x:c>
      <x:c r="K53" s="6" t="n">
        <x:v>0</x:v>
      </x:c>
      <x:c r="L53" s="6" t="n">
        <x:v>5</x:v>
      </x:c>
      <x:c r="M53" s="6" t="n">
        <x:v>9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252000</x:v>
      </x:c>
      <x:c r="E54" s="6" t="n">
        <x:v>89000</x:v>
      </x:c>
      <x:c r="F54" s="6" t="n">
        <x:f>D54-E54</x:f>
        <x:v>163000</x:v>
      </x:c>
      <x:c r="G54" s="6" t="n">
        <x:f>G53+F54</x:f>
        <x:v>2830000</x:v>
      </x:c>
      <x:c r="H54" s="6" t="n">
        <x:f>F54-'日経_D07'!F54</x:f>
        <x:v>33000</x:v>
      </x:c>
      <x:c r="I54" s="6" t="n">
        <x:v>204000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45000</x:v>
      </x:c>
      <x:c r="E55" s="6" t="n">
        <x:v>53000</x:v>
      </x:c>
      <x:c r="F55" s="6" t="n">
        <x:f>D55-E55</x:f>
        <x:v>-8000</x:v>
      </x:c>
      <x:c r="G55" s="6" t="n">
        <x:f>G54+F55</x:f>
        <x:v>2822000</x:v>
      </x:c>
      <x:c r="H55" s="6" t="n">
        <x:f>F55-'日経_D07'!F55</x:f>
        <x:v>5000</x:v>
      </x:c>
      <x:c r="I55" s="6" t="n">
        <x:v>25000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143000</x:v>
      </x:c>
      <x:c r="E56" s="6" t="n">
        <x:v>190000</x:v>
      </x:c>
      <x:c r="F56" s="6" t="n">
        <x:f>D56-E56</x:f>
        <x:v>-47000</x:v>
      </x:c>
      <x:c r="G56" s="6" t="n">
        <x:f>G55+F56</x:f>
        <x:v>2775000</x:v>
      </x:c>
      <x:c r="H56" s="6" t="n">
        <x:f>F56-'日経_D07'!F56</x:f>
        <x:v>-56000</x:v>
      </x:c>
      <x:c r="I56" s="6" t="n">
        <x:v>-55000</x:v>
      </x:c>
      <x:c r="J56" s="6" t="n">
        <x:v>8000</x:v>
      </x:c>
      <x:c r="K56" s="6" t="n">
        <x:v>0</x:v>
      </x:c>
      <x:c r="L56" s="6" t="n">
        <x:v>9</x:v>
      </x:c>
      <x:c r="M56" s="6" t="n">
        <x:v>24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6572000</x:v>
      </x:c>
      <x:c r="E57" s="14" t="n">
        <x:f>SUM(E6:E56)</x:f>
        <x:v>3797000</x:v>
      </x:c>
      <x:c r="F57" s="14" t="n">
        <x:f>D57-E57</x:f>
        <x:v>2775000</x:v>
      </x:c>
      <x:c r="G57" s="14" t="n">
        <x:f>G56</x:f>
        <x:v>2775000</x:v>
      </x:c>
      <x:c r="H57" s="14" t="n">
        <x:f>SUM(H6:H56)</x:f>
        <x:v>-284000</x:v>
      </x:c>
      <x:c r="I57" s="14" t="n">
        <x:f>SUM(I6:I56)</x:f>
        <x:v>2735000</x:v>
      </x:c>
      <x:c r="J57" s="14" t="n">
        <x:f>SUM(J6:J56)</x:f>
        <x:v>40000</x:v>
      </x:c>
      <x:c r="K57" s="14" t="n">
        <x:f>SUM(K6:K56)</x:f>
        <x:v>0</x:v>
      </x:c>
      <x:c r="L57" s="14" t="n">
        <x:f>SUM(L6:L56)</x:f>
        <x:v>381</x:v>
      </x:c>
      <x:c r="M57" s="14" t="n">
        <x:f>SUM(M6:M56)</x:f>
        <x:v>871</x:v>
      </x:c>
    </x:row>
  </x:sheetData>
  <x:conditionalFormatting sqref="F6:K56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ec5b5f7dd24f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E02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別入口の残1損失予算を50%に縮小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139000</x:v>
      </x:c>
      <x:c r="E12" s="6" t="n">
        <x:v>84000</x:v>
      </x:c>
      <x:c r="F12" s="6" t="n">
        <x:f>D12-E12</x:f>
        <x:v>55000</x:v>
      </x:c>
      <x:c r="G12" s="6" t="n">
        <x:f>G11+F12</x:f>
        <x:v>8000</x:v>
      </x:c>
      <x:c r="H12" s="6" t="n">
        <x:f>F12-'日経_D07'!F12</x:f>
        <x:v>-13000</x:v>
      </x:c>
      <x:c r="I12" s="6" t="n">
        <x:v>31000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28000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121000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122000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92000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72000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142000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88000</x:v>
      </x:c>
      <x:c r="E19" s="6" t="n">
        <x:v>22000</x:v>
      </x:c>
      <x:c r="F19" s="6" t="n">
        <x:f>D19-E19</x:f>
        <x:v>66000</x:v>
      </x:c>
      <x:c r="G19" s="6" t="n">
        <x:f>G18+F19</x:f>
        <x:v>208000</x:v>
      </x:c>
      <x:c r="H19" s="6" t="n">
        <x:f>F19-'日経_D07'!F19</x:f>
        <x:v>1000</x:v>
      </x:c>
      <x:c r="I19" s="6" t="n">
        <x:v>63000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318000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361000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457000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211000</x:v>
      </x:c>
      <x:c r="E23" s="6" t="n">
        <x:v>98000</x:v>
      </x:c>
      <x:c r="F23" s="6" t="n">
        <x:f>D23-E23</x:f>
        <x:v>113000</x:v>
      </x:c>
      <x:c r="G23" s="6" t="n">
        <x:f>G22+F23</x:f>
        <x:v>570000</x:v>
      </x:c>
      <x:c r="H23" s="6" t="n">
        <x:f>F23-'日経_D07'!F23</x:f>
        <x:v>4000</x:v>
      </x:c>
      <x:c r="I23" s="6" t="n">
        <x:v>102000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73000</x:v>
      </x:c>
      <x:c r="F24" s="6" t="n">
        <x:f>D24-E24</x:f>
        <x:v>-9000</x:v>
      </x:c>
      <x:c r="G24" s="6" t="n">
        <x:f>G23+F24</x:f>
        <x:v>561000</x:v>
      </x:c>
      <x:c r="H24" s="6" t="n">
        <x:f>F24-'日経_D07'!F24</x:f>
        <x:v>0</x:v>
      </x:c>
      <x:c r="I24" s="6" t="n">
        <x:v>-45000</x:v>
      </x:c>
      <x:c r="J24" s="6" t="n">
        <x:v>36000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817000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51000</x:v>
      </x:c>
      <x:c r="E26" s="6" t="n">
        <x:v>156000</x:v>
      </x:c>
      <x:c r="F26" s="6" t="n">
        <x:f>D26-E26</x:f>
        <x:v>-105000</x:v>
      </x:c>
      <x:c r="G26" s="6" t="n">
        <x:f>G25+F26</x:f>
        <x:v>712000</x:v>
      </x:c>
      <x:c r="H26" s="6" t="n">
        <x:f>F26-'日経_D07'!F26</x:f>
        <x:v>3000</x:v>
      </x:c>
      <x:c r="I26" s="6" t="n">
        <x:v>-94000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746000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121000</x:v>
      </x:c>
      <x:c r="E28" s="6" t="n">
        <x:v>188000</x:v>
      </x:c>
      <x:c r="F28" s="6" t="n">
        <x:f>D28-E28</x:f>
        <x:v>-67000</x:v>
      </x:c>
      <x:c r="G28" s="6" t="n">
        <x:f>G27+F28</x:f>
        <x:v>679000</x:v>
      </x:c>
      <x:c r="H28" s="6" t="n">
        <x:f>F28-'日経_D07'!F28</x:f>
        <x:v>-22000</x:v>
      </x:c>
      <x:c r="I28" s="6" t="n">
        <x:v>-58000</x:v>
      </x:c>
      <x:c r="J28" s="6" t="n">
        <x:v>-9000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669000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790000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747000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117000</x:v>
      </x:c>
      <x:c r="E32" s="6" t="n">
        <x:v>118000</x:v>
      </x:c>
      <x:c r="F32" s="6" t="n">
        <x:f>D32-E32</x:f>
        <x:v>-1000</x:v>
      </x:c>
      <x:c r="G32" s="6" t="n">
        <x:f>G31+F32</x:f>
        <x:v>746000</x:v>
      </x:c>
      <x:c r="H32" s="6" t="n">
        <x:f>F32-'日経_D07'!F32</x:f>
        <x:v>-4000</x:v>
      </x:c>
      <x:c r="I32" s="6" t="n">
        <x:v>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1057000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1100000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1114000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1122000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1204000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1215000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1162000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1263000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1399000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457000</x:v>
      </x:c>
      <x:c r="E42" s="6" t="n">
        <x:v>66000</x:v>
      </x:c>
      <x:c r="F42" s="6" t="n">
        <x:f>D42-E42</x:f>
        <x:v>391000</x:v>
      </x:c>
      <x:c r="G42" s="6" t="n">
        <x:f>G41+F42</x:f>
        <x:v>1790000</x:v>
      </x:c>
      <x:c r="H42" s="6" t="n">
        <x:f>F42-'日経_D07'!F42</x:f>
        <x:v>0</x:v>
      </x:c>
      <x:c r="I42" s="6" t="n">
        <x:v>370000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1812000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126000</x:v>
      </x:c>
      <x:c r="E44" s="6" t="n">
        <x:v>244000</x:v>
      </x:c>
      <x:c r="F44" s="6" t="n">
        <x:f>D44-E44</x:f>
        <x:v>-118000</x:v>
      </x:c>
      <x:c r="G44" s="6" t="n">
        <x:f>G43+F44</x:f>
        <x:v>1694000</x:v>
      </x:c>
      <x:c r="H44" s="6" t="n">
        <x:f>F44-'日経_D07'!F44</x:f>
        <x:v>3000</x:v>
      </x:c>
      <x:c r="I44" s="6" t="n">
        <x:v>-98000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1726000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2124000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2116000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195000</x:v>
      </x:c>
      <x:c r="E48" s="6" t="n">
        <x:v>206000</x:v>
      </x:c>
      <x:c r="F48" s="6" t="n">
        <x:f>D48-E48</x:f>
        <x:v>-11000</x:v>
      </x:c>
      <x:c r="G48" s="6" t="n">
        <x:f>G47+F48</x:f>
        <x:v>2105000</x:v>
      </x:c>
      <x:c r="H48" s="6" t="n">
        <x:f>F48-'日経_D07'!F48</x:f>
        <x:v>13000</x:v>
      </x:c>
      <x:c r="I48" s="6" t="n">
        <x:v>-28000</x:v>
      </x:c>
      <x:c r="J48" s="6" t="n">
        <x:v>17000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2205000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74000</x:v>
      </x:c>
      <x:c r="E50" s="6" t="n">
        <x:v>193000</x:v>
      </x:c>
      <x:c r="F50" s="6" t="n">
        <x:f>D50-E50</x:f>
        <x:v>-119000</x:v>
      </x:c>
      <x:c r="G50" s="6" t="n">
        <x:f>G49+F50</x:f>
        <x:v>2086000</x:v>
      </x:c>
      <x:c r="H50" s="6" t="n">
        <x:f>F50-'日経_D07'!F50</x:f>
        <x:v>1000</x:v>
      </x:c>
      <x:c r="I50" s="6" t="n">
        <x:v>-111000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2062000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701000</x:v>
      </x:c>
      <x:c r="E52" s="6" t="n">
        <x:v>0</x:v>
      </x:c>
      <x:c r="F52" s="6" t="n">
        <x:f>D52-E52</x:f>
        <x:v>701000</x:v>
      </x:c>
      <x:c r="G52" s="6" t="n">
        <x:f>G51+F52</x:f>
        <x:v>2763000</x:v>
      </x:c>
      <x:c r="H52" s="6" t="n">
        <x:f>F52-'日経_D07'!F52</x:f>
        <x:v>0</x:v>
      </x:c>
      <x:c r="I52" s="6" t="n">
        <x:v>570000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2919000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226000</x:v>
      </x:c>
      <x:c r="E54" s="6" t="n">
        <x:v>89000</x:v>
      </x:c>
      <x:c r="F54" s="6" t="n">
        <x:f>D54-E54</x:f>
        <x:v>137000</x:v>
      </x:c>
      <x:c r="G54" s="6" t="n">
        <x:f>G53+F54</x:f>
        <x:v>3056000</x:v>
      </x:c>
      <x:c r="H54" s="6" t="n">
        <x:f>F54-'日経_D07'!F54</x:f>
        <x:v>7000</x:v>
      </x:c>
      <x:c r="I54" s="6" t="n">
        <x:v>178000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3043000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190000</x:v>
      </x:c>
      <x:c r="F56" s="6" t="n">
        <x:f>D56-E56</x:f>
        <x:v>9000</x:v>
      </x:c>
      <x:c r="G56" s="6" t="n">
        <x:f>G55+F56</x:f>
        <x:v>3052000</x:v>
      </x:c>
      <x:c r="H56" s="6" t="n">
        <x:f>F56-'日経_D07'!F56</x:f>
        <x:v>0</x:v>
      </x:c>
      <x:c r="I56" s="6" t="n">
        <x:v>-14000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6649000</x:v>
      </x:c>
      <x:c r="E57" s="14" t="n">
        <x:f>SUM(E6:E56)</x:f>
        <x:v>3597000</x:v>
      </x:c>
      <x:c r="F57" s="14" t="n">
        <x:f>D57-E57</x:f>
        <x:v>3052000</x:v>
      </x:c>
      <x:c r="G57" s="14" t="n">
        <x:f>G56</x:f>
        <x:v>3052000</x:v>
      </x:c>
      <x:c r="H57" s="14" t="n">
        <x:f>SUM(H6:H56)</x:f>
        <x:v>-7000</x:v>
      </x:c>
      <x:c r="I57" s="14" t="n">
        <x:f>SUM(I6:I56)</x:f>
        <x:v>2974000</x:v>
      </x:c>
      <x:c r="J57" s="14" t="n">
        <x:f>SUM(J6:J56)</x:f>
        <x:v>78000</x:v>
      </x:c>
      <x:c r="K57" s="14" t="n">
        <x:f>SUM(K6:K56)</x:f>
        <x:v>0</x:v>
      </x:c>
      <x:c r="L57" s="14" t="n">
        <x:f>SUM(L6:L56)</x:f>
        <x:v>361</x:v>
      </x:c>
      <x:c r="M57" s="14" t="n">
        <x:f>SUM(M6:M56)</x:f>
        <x:v>839</x:v>
      </x:c>
    </x:row>
  </x:sheetData>
  <x:conditionalFormatting sqref="F6:K56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9f27b7375044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E03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別入口の残1追尾幅に160pt上限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175000</x:v>
      </x:c>
      <x:c r="E12" s="6" t="n">
        <x:v>84000</x:v>
      </x:c>
      <x:c r="F12" s="6" t="n">
        <x:f>D12-E12</x:f>
        <x:v>91000</x:v>
      </x:c>
      <x:c r="G12" s="6" t="n">
        <x:f>G11+F12</x:f>
        <x:v>44000</x:v>
      </x:c>
      <x:c r="H12" s="6" t="n">
        <x:f>F12-'日経_D07'!F12</x:f>
        <x:v>23000</x:v>
      </x:c>
      <x:c r="I12" s="6" t="n">
        <x:v>67000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28000</x:v>
      </x:c>
      <x:c r="E13" s="6" t="n">
        <x:v>0</x:v>
      </x:c>
      <x:c r="F13" s="6" t="n">
        <x:f>D13-E13</x:f>
        <x:v>28000</x:v>
      </x:c>
      <x:c r="G13" s="6" t="n">
        <x:f>G12+F13</x:f>
        <x:v>72000</x:v>
      </x:c>
      <x:c r="H13" s="6" t="n">
        <x:f>F13-'日経_D07'!F13</x:f>
        <x:v>8000</x:v>
      </x:c>
      <x:c r="I13" s="6" t="n">
        <x:v>24000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165000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166000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136000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116000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186000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93000</x:v>
      </x:c>
      <x:c r="E19" s="6" t="n">
        <x:v>22000</x:v>
      </x:c>
      <x:c r="F19" s="6" t="n">
        <x:f>D19-E19</x:f>
        <x:v>71000</x:v>
      </x:c>
      <x:c r="G19" s="6" t="n">
        <x:f>G18+F19</x:f>
        <x:v>257000</x:v>
      </x:c>
      <x:c r="H19" s="6" t="n">
        <x:f>F19-'日経_D07'!F19</x:f>
        <x:v>6000</x:v>
      </x:c>
      <x:c r="I19" s="6" t="n">
        <x:v>68000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367000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410000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506000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170000</x:v>
      </x:c>
      <x:c r="E23" s="6" t="n">
        <x:v>98000</x:v>
      </x:c>
      <x:c r="F23" s="6" t="n">
        <x:f>D23-E23</x:f>
        <x:v>72000</x:v>
      </x:c>
      <x:c r="G23" s="6" t="n">
        <x:f>G22+F23</x:f>
        <x:v>578000</x:v>
      </x:c>
      <x:c r="H23" s="6" t="n">
        <x:f>F23-'日経_D07'!F23</x:f>
        <x:v>-37000</x:v>
      </x:c>
      <x:c r="I23" s="6" t="n">
        <x:v>61000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69000</x:v>
      </x:c>
      <x:c r="E24" s="6" t="n">
        <x:v>73000</x:v>
      </x:c>
      <x:c r="F24" s="6" t="n">
        <x:f>D24-E24</x:f>
        <x:v>-4000</x:v>
      </x:c>
      <x:c r="G24" s="6" t="n">
        <x:f>G23+F24</x:f>
        <x:v>574000</x:v>
      </x:c>
      <x:c r="H24" s="6" t="n">
        <x:f>F24-'日経_D07'!F24</x:f>
        <x:v>5000</x:v>
      </x:c>
      <x:c r="I24" s="6" t="n">
        <x:v>-31000</x:v>
      </x:c>
      <x:c r="J24" s="6" t="n">
        <x:v>27000</x:v>
      </x:c>
      <x:c r="K24" s="6" t="n">
        <x:v>0</x:v>
      </x:c>
      <x:c r="L24" s="6" t="n">
        <x:v>11</x:v>
      </x:c>
      <x:c r="M24" s="6" t="n">
        <x:v>19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314000</x:v>
      </x:c>
      <x:c r="E25" s="6" t="n">
        <x:v>38000</x:v>
      </x:c>
      <x:c r="F25" s="6" t="n">
        <x:f>D25-E25</x:f>
        <x:v>276000</x:v>
      </x:c>
      <x:c r="G25" s="6" t="n">
        <x:f>G24+F25</x:f>
        <x:v>850000</x:v>
      </x:c>
      <x:c r="H25" s="6" t="n">
        <x:f>F25-'日経_D07'!F25</x:f>
        <x:v>20000</x:v>
      </x:c>
      <x:c r="I25" s="6" t="n">
        <x:v>256000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53000</x:v>
      </x:c>
      <x:c r="E26" s="6" t="n">
        <x:v>156000</x:v>
      </x:c>
      <x:c r="F26" s="6" t="n">
        <x:f>D26-E26</x:f>
        <x:v>-103000</x:v>
      </x:c>
      <x:c r="G26" s="6" t="n">
        <x:f>G25+F26</x:f>
        <x:v>747000</x:v>
      </x:c>
      <x:c r="H26" s="6" t="n">
        <x:f>F26-'日経_D07'!F26</x:f>
        <x:v>5000</x:v>
      </x:c>
      <x:c r="I26" s="6" t="n">
        <x:v>-92000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105000</x:v>
      </x:c>
      <x:c r="E27" s="6" t="n">
        <x:v>64000</x:v>
      </x:c>
      <x:c r="F27" s="6" t="n">
        <x:f>D27-E27</x:f>
        <x:v>41000</x:v>
      </x:c>
      <x:c r="G27" s="6" t="n">
        <x:f>G26+F27</x:f>
        <x:v>788000</x:v>
      </x:c>
      <x:c r="H27" s="6" t="n">
        <x:f>F27-'日経_D07'!F27</x:f>
        <x:v>7000</x:v>
      </x:c>
      <x:c r="I27" s="6" t="n">
        <x:v>6000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124000</x:v>
      </x:c>
      <x:c r="E28" s="6" t="n">
        <x:v>188000</x:v>
      </x:c>
      <x:c r="F28" s="6" t="n">
        <x:f>D28-E28</x:f>
        <x:v>-64000</x:v>
      </x:c>
      <x:c r="G28" s="6" t="n">
        <x:f>G27+F28</x:f>
        <x:v>724000</x:v>
      </x:c>
      <x:c r="H28" s="6" t="n">
        <x:f>F28-'日経_D07'!F28</x:f>
        <x:v>-19000</x:v>
      </x:c>
      <x:c r="I28" s="6" t="n">
        <x:v>-55000</x:v>
      </x:c>
      <x:c r="J28" s="6" t="n">
        <x:v>-9000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714000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835000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792000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118000</x:v>
      </x:c>
      <x:c r="F32" s="6" t="n">
        <x:f>D32-E32</x:f>
        <x:v>3000</x:v>
      </x:c>
      <x:c r="G32" s="6" t="n">
        <x:f>G31+F32</x:f>
        <x:v>795000</x:v>
      </x:c>
      <x:c r="H32" s="6" t="n">
        <x:f>F32-'日経_D07'!F32</x:f>
        <x:v>0</x:v>
      </x:c>
      <x:c r="I32" s="6" t="n">
        <x:v>4000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358000</x:v>
      </x:c>
      <x:c r="E33" s="6" t="n">
        <x:v>20000</x:v>
      </x:c>
      <x:c r="F33" s="6" t="n">
        <x:f>D33-E33</x:f>
        <x:v>338000</x:v>
      </x:c>
      <x:c r="G33" s="6" t="n">
        <x:f>G32+F33</x:f>
        <x:v>1133000</x:v>
      </x:c>
      <x:c r="H33" s="6" t="n">
        <x:f>F33-'日経_D07'!F33</x:f>
        <x:v>27000</x:v>
      </x:c>
      <x:c r="I33" s="6" t="n">
        <x:v>293000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1176000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1190000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1198000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1280000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1291000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1238000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1339000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1475000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343000</x:v>
      </x:c>
      <x:c r="E42" s="6" t="n">
        <x:v>160000</x:v>
      </x:c>
      <x:c r="F42" s="6" t="n">
        <x:f>D42-E42</x:f>
        <x:v>183000</x:v>
      </x:c>
      <x:c r="G42" s="6" t="n">
        <x:f>G41+F42</x:f>
        <x:v>1658000</x:v>
      </x:c>
      <x:c r="H42" s="6" t="n">
        <x:f>F42-'日経_D07'!F42</x:f>
        <x:v>-208000</x:v>
      </x:c>
      <x:c r="I42" s="6" t="n">
        <x:v>184000</x:v>
      </x:c>
      <x:c r="J42" s="6" t="n">
        <x:v>-1000</x:v>
      </x:c>
      <x:c r="K42" s="6" t="n">
        <x:v>0</x:v>
      </x:c>
      <x:c r="L42" s="6" t="n">
        <x:v>14</x:v>
      </x:c>
      <x:c r="M42" s="6" t="n">
        <x:v>27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49000</x:v>
      </x:c>
      <x:c r="E43" s="6" t="n">
        <x:v>53000</x:v>
      </x:c>
      <x:c r="F43" s="6" t="n">
        <x:f>D43-E43</x:f>
        <x:v>-4000</x:v>
      </x:c>
      <x:c r="G43" s="6" t="n">
        <x:f>G42+F43</x:f>
        <x:v>1654000</x:v>
      </x:c>
      <x:c r="H43" s="6" t="n">
        <x:f>F43-'日経_D07'!F43</x:f>
        <x:v>-26000</x:v>
      </x:c>
      <x:c r="I43" s="6" t="n">
        <x:v>-15000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137000</x:v>
      </x:c>
      <x:c r="E44" s="6" t="n">
        <x:v>244000</x:v>
      </x:c>
      <x:c r="F44" s="6" t="n">
        <x:f>D44-E44</x:f>
        <x:v>-107000</x:v>
      </x:c>
      <x:c r="G44" s="6" t="n">
        <x:f>G43+F44</x:f>
        <x:v>1547000</x:v>
      </x:c>
      <x:c r="H44" s="6" t="n">
        <x:f>F44-'日経_D07'!F44</x:f>
        <x:v>14000</x:v>
      </x:c>
      <x:c r="I44" s="6" t="n">
        <x:v>-87000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129000</x:v>
      </x:c>
      <x:c r="E45" s="6" t="n">
        <x:v>126000</x:v>
      </x:c>
      <x:c r="F45" s="6" t="n">
        <x:f>D45-E45</x:f>
        <x:v>3000</x:v>
      </x:c>
      <x:c r="G45" s="6" t="n">
        <x:f>G44+F45</x:f>
        <x:v>1550000</x:v>
      </x:c>
      <x:c r="H45" s="6" t="n">
        <x:f>F45-'日経_D07'!F45</x:f>
        <x:v>-29000</x:v>
      </x:c>
      <x:c r="I45" s="6" t="n">
        <x:v>1000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315000</x:v>
      </x:c>
      <x:c r="E46" s="6" t="n">
        <x:v>42000</x:v>
      </x:c>
      <x:c r="F46" s="6" t="n">
        <x:f>D46-E46</x:f>
        <x:v>273000</x:v>
      </x:c>
      <x:c r="G46" s="6" t="n">
        <x:f>G45+F46</x:f>
        <x:v>1823000</x:v>
      </x:c>
      <x:c r="H46" s="6" t="n">
        <x:f>F46-'日経_D07'!F46</x:f>
        <x:v>-125000</x:v>
      </x:c>
      <x:c r="I46" s="6" t="n">
        <x:v>269000</x:v>
      </x:c>
      <x:c r="J46" s="6" t="n">
        <x:v>4000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1815000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219000</x:v>
      </x:c>
      <x:c r="E48" s="6" t="n">
        <x:v>232000</x:v>
      </x:c>
      <x:c r="F48" s="6" t="n">
        <x:f>D48-E48</x:f>
        <x:v>-13000</x:v>
      </x:c>
      <x:c r="G48" s="6" t="n">
        <x:f>G47+F48</x:f>
        <x:v>1802000</x:v>
      </x:c>
      <x:c r="H48" s="6" t="n">
        <x:f>F48-'日経_D07'!F48</x:f>
        <x:v>11000</x:v>
      </x:c>
      <x:c r="I48" s="6" t="n">
        <x:v>-30000</x:v>
      </x:c>
      <x:c r="J48" s="6" t="n">
        <x:v>17000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1902000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1782000</x:v>
      </x:c>
      <x:c r="H50" s="6" t="n">
        <x:f>F50-'日経_D07'!F50</x:f>
        <x:v>0</x:v>
      </x:c>
      <x:c r="I50" s="6" t="n">
        <x:v>-112000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1758000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689000</x:v>
      </x:c>
      <x:c r="E52" s="6" t="n">
        <x:v>0</x:v>
      </x:c>
      <x:c r="F52" s="6" t="n">
        <x:f>D52-E52</x:f>
        <x:v>689000</x:v>
      </x:c>
      <x:c r="G52" s="6" t="n">
        <x:f>G51+F52</x:f>
        <x:v>2447000</x:v>
      </x:c>
      <x:c r="H52" s="6" t="n">
        <x:f>F52-'日経_D07'!F52</x:f>
        <x:v>-12000</x:v>
      </x:c>
      <x:c r="I52" s="6" t="n">
        <x:v>558000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167000</x:v>
      </x:c>
      <x:c r="E53" s="6" t="n">
        <x:v>0</x:v>
      </x:c>
      <x:c r="F53" s="6" t="n">
        <x:f>D53-E53</x:f>
        <x:v>167000</x:v>
      </x:c>
      <x:c r="G53" s="6" t="n">
        <x:f>G52+F53</x:f>
        <x:v>2614000</x:v>
      </x:c>
      <x:c r="H53" s="6" t="n">
        <x:f>F53-'日経_D07'!F53</x:f>
        <x:v>11000</x:v>
      </x:c>
      <x:c r="I53" s="6" t="n">
        <x:v>150000</x:v>
      </x:c>
      <x:c r="J53" s="6" t="n">
        <x:v>17000</x:v>
      </x:c>
      <x:c r="K53" s="6" t="n">
        <x:v>0</x:v>
      </x:c>
      <x:c r="L53" s="6" t="n">
        <x:v>5</x:v>
      </x:c>
      <x:c r="M53" s="6" t="n">
        <x:v>9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238000</x:v>
      </x:c>
      <x:c r="E54" s="6" t="n">
        <x:v>89000</x:v>
      </x:c>
      <x:c r="F54" s="6" t="n">
        <x:f>D54-E54</x:f>
        <x:v>149000</x:v>
      </x:c>
      <x:c r="G54" s="6" t="n">
        <x:f>G53+F54</x:f>
        <x:v>2763000</x:v>
      </x:c>
      <x:c r="H54" s="6" t="n">
        <x:f>F54-'日経_D07'!F54</x:f>
        <x:v>19000</x:v>
      </x:c>
      <x:c r="I54" s="6" t="n">
        <x:v>190000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39000</x:v>
      </x:c>
      <x:c r="E55" s="6" t="n">
        <x:v>53000</x:v>
      </x:c>
      <x:c r="F55" s="6" t="n">
        <x:f>D55-E55</x:f>
        <x:v>-14000</x:v>
      </x:c>
      <x:c r="G55" s="6" t="n">
        <x:f>G54+F55</x:f>
        <x:v>2749000</x:v>
      </x:c>
      <x:c r="H55" s="6" t="n">
        <x:f>F55-'日経_D07'!F55</x:f>
        <x:v>-1000</x:v>
      </x:c>
      <x:c r="I55" s="6" t="n">
        <x:v>19000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161000</x:v>
      </x:c>
      <x:c r="E56" s="6" t="n">
        <x:v>190000</x:v>
      </x:c>
      <x:c r="F56" s="6" t="n">
        <x:f>D56-E56</x:f>
        <x:v>-29000</x:v>
      </x:c>
      <x:c r="G56" s="6" t="n">
        <x:f>G55+F56</x:f>
        <x:v>2720000</x:v>
      </x:c>
      <x:c r="H56" s="6" t="n">
        <x:f>F56-'日経_D07'!F56</x:f>
        <x:v>-38000</x:v>
      </x:c>
      <x:c r="I56" s="6" t="n">
        <x:v>-52000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6479000</x:v>
      </x:c>
      <x:c r="E57" s="14" t="n">
        <x:f>SUM(E6:E56)</x:f>
        <x:v>3759000</x:v>
      </x:c>
      <x:c r="F57" s="14" t="n">
        <x:f>D57-E57</x:f>
        <x:v>2720000</x:v>
      </x:c>
      <x:c r="G57" s="14" t="n">
        <x:f>G56</x:f>
        <x:v>2720000</x:v>
      </x:c>
      <x:c r="H57" s="14" t="n">
        <x:f>SUM(H6:H56)</x:f>
        <x:v>-339000</x:v>
      </x:c>
      <x:c r="I57" s="14" t="n">
        <x:f>SUM(I6:I56)</x:f>
        <x:v>2665000</x:v>
      </x:c>
      <x:c r="J57" s="14" t="n">
        <x:f>SUM(J6:J56)</x:f>
        <x:v>55000</x:v>
      </x:c>
      <x:c r="K57" s="14" t="n">
        <x:f>SUM(K6:K56)</x:f>
        <x:v>0</x:v>
      </x:c>
      <x:c r="L57" s="14" t="n">
        <x:f>SUM(L6:L56)</x:f>
        <x:v>378</x:v>
      </x:c>
      <x:c r="M57" s="14" t="n">
        <x:f>SUM(M6:M56)</x:f>
        <x:v>866</x:v>
      </x:c>
    </x:row>
  </x:sheetData>
  <x:conditionalFormatting sqref="F6:K56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3f9977f7ee47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E04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別入口の残1追尾幅に80pt上限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183000</x:v>
      </x:c>
      <x:c r="E12" s="6" t="n">
        <x:v>84000</x:v>
      </x:c>
      <x:c r="F12" s="6" t="n">
        <x:f>D12-E12</x:f>
        <x:v>99000</x:v>
      </x:c>
      <x:c r="G12" s="6" t="n">
        <x:f>G11+F12</x:f>
        <x:v>52000</x:v>
      </x:c>
      <x:c r="H12" s="6" t="n">
        <x:f>F12-'日経_D07'!F12</x:f>
        <x:v>31000</x:v>
      </x:c>
      <x:c r="I12" s="6" t="n">
        <x:v>75000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30000</x:v>
      </x:c>
      <x:c r="E13" s="6" t="n">
        <x:v>0</x:v>
      </x:c>
      <x:c r="F13" s="6" t="n">
        <x:f>D13-E13</x:f>
        <x:v>30000</x:v>
      </x:c>
      <x:c r="G13" s="6" t="n">
        <x:f>G12+F13</x:f>
        <x:v>82000</x:v>
      </x:c>
      <x:c r="H13" s="6" t="n">
        <x:f>F13-'日経_D07'!F13</x:f>
        <x:v>10000</x:v>
      </x:c>
      <x:c r="I13" s="6" t="n">
        <x:v>26000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175000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176000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146000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126000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196000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99000</x:v>
      </x:c>
      <x:c r="E19" s="6" t="n">
        <x:v>22000</x:v>
      </x:c>
      <x:c r="F19" s="6" t="n">
        <x:f>D19-E19</x:f>
        <x:v>77000</x:v>
      </x:c>
      <x:c r="G19" s="6" t="n">
        <x:f>G18+F19</x:f>
        <x:v>273000</x:v>
      </x:c>
      <x:c r="H19" s="6" t="n">
        <x:f>F19-'日経_D07'!F19</x:f>
        <x:v>12000</x:v>
      </x:c>
      <x:c r="I19" s="6" t="n">
        <x:v>74000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383000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426000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522000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176000</x:v>
      </x:c>
      <x:c r="E23" s="6" t="n">
        <x:v>98000</x:v>
      </x:c>
      <x:c r="F23" s="6" t="n">
        <x:f>D23-E23</x:f>
        <x:v>78000</x:v>
      </x:c>
      <x:c r="G23" s="6" t="n">
        <x:f>G22+F23</x:f>
        <x:v>600000</x:v>
      </x:c>
      <x:c r="H23" s="6" t="n">
        <x:f>F23-'日経_D07'!F23</x:f>
        <x:v>-31000</x:v>
      </x:c>
      <x:c r="I23" s="6" t="n">
        <x:v>67000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77000</x:v>
      </x:c>
      <x:c r="E24" s="6" t="n">
        <x:v>73000</x:v>
      </x:c>
      <x:c r="F24" s="6" t="n">
        <x:f>D24-E24</x:f>
        <x:v>4000</x:v>
      </x:c>
      <x:c r="G24" s="6" t="n">
        <x:f>G23+F24</x:f>
        <x:v>604000</x:v>
      </x:c>
      <x:c r="H24" s="6" t="n">
        <x:f>F24-'日経_D07'!F24</x:f>
        <x:v>13000</x:v>
      </x:c>
      <x:c r="I24" s="6" t="n">
        <x:v>-23000</x:v>
      </x:c>
      <x:c r="J24" s="6" t="n">
        <x:v>27000</x:v>
      </x:c>
      <x:c r="K24" s="6" t="n">
        <x:v>0</x:v>
      </x:c>
      <x:c r="L24" s="6" t="n">
        <x:v>11</x:v>
      </x:c>
      <x:c r="M24" s="6" t="n">
        <x:v>19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331000</x:v>
      </x:c>
      <x:c r="E25" s="6" t="n">
        <x:v>38000</x:v>
      </x:c>
      <x:c r="F25" s="6" t="n">
        <x:f>D25-E25</x:f>
        <x:v>293000</x:v>
      </x:c>
      <x:c r="G25" s="6" t="n">
        <x:f>G24+F25</x:f>
        <x:v>897000</x:v>
      </x:c>
      <x:c r="H25" s="6" t="n">
        <x:f>F25-'日経_D07'!F25</x:f>
        <x:v>37000</x:v>
      </x:c>
      <x:c r="I25" s="6" t="n">
        <x:v>273000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61000</x:v>
      </x:c>
      <x:c r="E26" s="6" t="n">
        <x:v>156000</x:v>
      </x:c>
      <x:c r="F26" s="6" t="n">
        <x:f>D26-E26</x:f>
        <x:v>-95000</x:v>
      </x:c>
      <x:c r="G26" s="6" t="n">
        <x:f>G25+F26</x:f>
        <x:v>802000</x:v>
      </x:c>
      <x:c r="H26" s="6" t="n">
        <x:f>F26-'日経_D07'!F26</x:f>
        <x:v>13000</x:v>
      </x:c>
      <x:c r="I26" s="6" t="n">
        <x:v>-84000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113000</x:v>
      </x:c>
      <x:c r="E27" s="6" t="n">
        <x:v>64000</x:v>
      </x:c>
      <x:c r="F27" s="6" t="n">
        <x:f>D27-E27</x:f>
        <x:v>49000</x:v>
      </x:c>
      <x:c r="G27" s="6" t="n">
        <x:f>G26+F27</x:f>
        <x:v>851000</x:v>
      </x:c>
      <x:c r="H27" s="6" t="n">
        <x:f>F27-'日経_D07'!F27</x:f>
        <x:v>15000</x:v>
      </x:c>
      <x:c r="I27" s="6" t="n">
        <x:v>14000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133000</x:v>
      </x:c>
      <x:c r="E28" s="6" t="n">
        <x:v>188000</x:v>
      </x:c>
      <x:c r="F28" s="6" t="n">
        <x:f>D28-E28</x:f>
        <x:v>-55000</x:v>
      </x:c>
      <x:c r="G28" s="6" t="n">
        <x:f>G27+F28</x:f>
        <x:v>796000</x:v>
      </x:c>
      <x:c r="H28" s="6" t="n">
        <x:f>F28-'日経_D07'!F28</x:f>
        <x:v>-10000</x:v>
      </x:c>
      <x:c r="I28" s="6" t="n">
        <x:v>-46000</x:v>
      </x:c>
      <x:c r="J28" s="6" t="n">
        <x:v>-9000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19000</x:v>
      </x:c>
      <x:c r="E29" s="6" t="n">
        <x:v>43000</x:v>
      </x:c>
      <x:c r="F29" s="6" t="n">
        <x:f>D29-E29</x:f>
        <x:v>-24000</x:v>
      </x:c>
      <x:c r="G29" s="6" t="n">
        <x:f>G28+F29</x:f>
        <x:v>772000</x:v>
      </x:c>
      <x:c r="H29" s="6" t="n">
        <x:f>F29-'日経_D07'!F29</x:f>
        <x:v>-14000</x:v>
      </x:c>
      <x:c r="I29" s="6" t="n">
        <x:v>-30000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893000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850000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129000</x:v>
      </x:c>
      <x:c r="E32" s="6" t="n">
        <x:v>118000</x:v>
      </x:c>
      <x:c r="F32" s="6" t="n">
        <x:f>D32-E32</x:f>
        <x:v>11000</x:v>
      </x:c>
      <x:c r="G32" s="6" t="n">
        <x:f>G31+F32</x:f>
        <x:v>861000</x:v>
      </x:c>
      <x:c r="H32" s="6" t="n">
        <x:f>F32-'日経_D07'!F32</x:f>
        <x:v>8000</x:v>
      </x:c>
      <x:c r="I32" s="6" t="n">
        <x:v>12000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373000</x:v>
      </x:c>
      <x:c r="E33" s="6" t="n">
        <x:v>20000</x:v>
      </x:c>
      <x:c r="F33" s="6" t="n">
        <x:f>D33-E33</x:f>
        <x:v>353000</x:v>
      </x:c>
      <x:c r="G33" s="6" t="n">
        <x:f>G32+F33</x:f>
        <x:v>1214000</x:v>
      </x:c>
      <x:c r="H33" s="6" t="n">
        <x:f>F33-'日経_D07'!F33</x:f>
        <x:v>42000</x:v>
      </x:c>
      <x:c r="I33" s="6" t="n">
        <x:v>308000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1257000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1271000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1279000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1361000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1372000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1319000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1420000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1556000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350000</x:v>
      </x:c>
      <x:c r="E42" s="6" t="n">
        <x:v>198000</x:v>
      </x:c>
      <x:c r="F42" s="6" t="n">
        <x:f>D42-E42</x:f>
        <x:v>152000</x:v>
      </x:c>
      <x:c r="G42" s="6" t="n">
        <x:f>G41+F42</x:f>
        <x:v>1708000</x:v>
      </x:c>
      <x:c r="H42" s="6" t="n">
        <x:f>F42-'日経_D07'!F42</x:f>
        <x:v>-239000</x:v>
      </x:c>
      <x:c r="I42" s="6" t="n">
        <x:v>153000</x:v>
      </x:c>
      <x:c r="J42" s="6" t="n">
        <x:v>-1000</x:v>
      </x:c>
      <x:c r="K42" s="6" t="n">
        <x:v>0</x:v>
      </x:c>
      <x:c r="L42" s="6" t="n">
        <x:v>15</x:v>
      </x:c>
      <x:c r="M42" s="6" t="n">
        <x:v>29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57000</x:v>
      </x:c>
      <x:c r="E43" s="6" t="n">
        <x:v>53000</x:v>
      </x:c>
      <x:c r="F43" s="6" t="n">
        <x:f>D43-E43</x:f>
        <x:v>4000</x:v>
      </x:c>
      <x:c r="G43" s="6" t="n">
        <x:f>G42+F43</x:f>
        <x:v>1712000</x:v>
      </x:c>
      <x:c r="H43" s="6" t="n">
        <x:f>F43-'日経_D07'!F43</x:f>
        <x:v>-18000</x:v>
      </x:c>
      <x:c r="I43" s="6" t="n">
        <x:v>-7000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144000</x:v>
      </x:c>
      <x:c r="E44" s="6" t="n">
        <x:v>244000</x:v>
      </x:c>
      <x:c r="F44" s="6" t="n">
        <x:f>D44-E44</x:f>
        <x:v>-100000</x:v>
      </x:c>
      <x:c r="G44" s="6" t="n">
        <x:f>G43+F44</x:f>
        <x:v>1612000</x:v>
      </x:c>
      <x:c r="H44" s="6" t="n">
        <x:f>F44-'日経_D07'!F44</x:f>
        <x:v>21000</x:v>
      </x:c>
      <x:c r="I44" s="6" t="n">
        <x:v>-80000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137000</x:v>
      </x:c>
      <x:c r="E45" s="6" t="n">
        <x:v>126000</x:v>
      </x:c>
      <x:c r="F45" s="6" t="n">
        <x:f>D45-E45</x:f>
        <x:v>11000</x:v>
      </x:c>
      <x:c r="G45" s="6" t="n">
        <x:f>G44+F45</x:f>
        <x:v>1623000</x:v>
      </x:c>
      <x:c r="H45" s="6" t="n">
        <x:f>F45-'日経_D07'!F45</x:f>
        <x:v>-21000</x:v>
      </x:c>
      <x:c r="I45" s="6" t="n">
        <x:v>9000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323000</x:v>
      </x:c>
      <x:c r="E46" s="6" t="n">
        <x:v>42000</x:v>
      </x:c>
      <x:c r="F46" s="6" t="n">
        <x:f>D46-E46</x:f>
        <x:v>281000</x:v>
      </x:c>
      <x:c r="G46" s="6" t="n">
        <x:f>G45+F46</x:f>
        <x:v>1904000</x:v>
      </x:c>
      <x:c r="H46" s="6" t="n">
        <x:f>F46-'日経_D07'!F46</x:f>
        <x:v>-117000</x:v>
      </x:c>
      <x:c r="I46" s="6" t="n">
        <x:v>277000</x:v>
      </x:c>
      <x:c r="J46" s="6" t="n">
        <x:v>4000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1896000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227000</x:v>
      </x:c>
      <x:c r="E48" s="6" t="n">
        <x:v>232000</x:v>
      </x:c>
      <x:c r="F48" s="6" t="n">
        <x:f>D48-E48</x:f>
        <x:v>-5000</x:v>
      </x:c>
      <x:c r="G48" s="6" t="n">
        <x:f>G47+F48</x:f>
        <x:v>1891000</x:v>
      </x:c>
      <x:c r="H48" s="6" t="n">
        <x:f>F48-'日経_D07'!F48</x:f>
        <x:v>19000</x:v>
      </x:c>
      <x:c r="I48" s="6" t="n">
        <x:v>-22000</x:v>
      </x:c>
      <x:c r="J48" s="6" t="n">
        <x:v>17000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117000</x:v>
      </x:c>
      <x:c r="E49" s="6" t="n">
        <x:v>24000</x:v>
      </x:c>
      <x:c r="F49" s="6" t="n">
        <x:f>D49-E49</x:f>
        <x:v>93000</x:v>
      </x:c>
      <x:c r="G49" s="6" t="n">
        <x:f>G48+F49</x:f>
        <x:v>1984000</x:v>
      </x:c>
      <x:c r="H49" s="6" t="n">
        <x:f>F49-'日経_D07'!F49</x:f>
        <x:v>-7000</x:v>
      </x:c>
      <x:c r="I49" s="6" t="n">
        <x:v>94000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76000</x:v>
      </x:c>
      <x:c r="E50" s="6" t="n">
        <x:v>193000</x:v>
      </x:c>
      <x:c r="F50" s="6" t="n">
        <x:f>D50-E50</x:f>
        <x:v>-117000</x:v>
      </x:c>
      <x:c r="G50" s="6" t="n">
        <x:f>G49+F50</x:f>
        <x:v>1867000</x:v>
      </x:c>
      <x:c r="H50" s="6" t="n">
        <x:f>F50-'日経_D07'!F50</x:f>
        <x:v>3000</x:v>
      </x:c>
      <x:c r="I50" s="6" t="n">
        <x:v>-109000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1843000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672000</x:v>
      </x:c>
      <x:c r="E52" s="6" t="n">
        <x:v>0</x:v>
      </x:c>
      <x:c r="F52" s="6" t="n">
        <x:f>D52-E52</x:f>
        <x:v>672000</x:v>
      </x:c>
      <x:c r="G52" s="6" t="n">
        <x:f>G51+F52</x:f>
        <x:v>2515000</x:v>
      </x:c>
      <x:c r="H52" s="6" t="n">
        <x:f>F52-'日経_D07'!F52</x:f>
        <x:v>-29000</x:v>
      </x:c>
      <x:c r="I52" s="6" t="n">
        <x:v>541000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155000</x:v>
      </x:c>
      <x:c r="E53" s="6" t="n">
        <x:v>0</x:v>
      </x:c>
      <x:c r="F53" s="6" t="n">
        <x:f>D53-E53</x:f>
        <x:v>155000</x:v>
      </x:c>
      <x:c r="G53" s="6" t="n">
        <x:f>G52+F53</x:f>
        <x:v>2670000</x:v>
      </x:c>
      <x:c r="H53" s="6" t="n">
        <x:f>F53-'日経_D07'!F53</x:f>
        <x:v>-1000</x:v>
      </x:c>
      <x:c r="I53" s="6" t="n">
        <x:v>138000</x:v>
      </x:c>
      <x:c r="J53" s="6" t="n">
        <x:v>17000</x:v>
      </x:c>
      <x:c r="K53" s="6" t="n">
        <x:v>0</x:v>
      </x:c>
      <x:c r="L53" s="6" t="n">
        <x:v>5</x:v>
      </x:c>
      <x:c r="M53" s="6" t="n">
        <x:v>9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248000</x:v>
      </x:c>
      <x:c r="E54" s="6" t="n">
        <x:v>89000</x:v>
      </x:c>
      <x:c r="F54" s="6" t="n">
        <x:f>D54-E54</x:f>
        <x:v>159000</x:v>
      </x:c>
      <x:c r="G54" s="6" t="n">
        <x:f>G53+F54</x:f>
        <x:v>2829000</x:v>
      </x:c>
      <x:c r="H54" s="6" t="n">
        <x:f>F54-'日経_D07'!F54</x:f>
        <x:v>29000</x:v>
      </x:c>
      <x:c r="I54" s="6" t="n">
        <x:v>200000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47000</x:v>
      </x:c>
      <x:c r="E55" s="6" t="n">
        <x:v>53000</x:v>
      </x:c>
      <x:c r="F55" s="6" t="n">
        <x:f>D55-E55</x:f>
        <x:v>-6000</x:v>
      </x:c>
      <x:c r="G55" s="6" t="n">
        <x:f>G54+F55</x:f>
        <x:v>2823000</x:v>
      </x:c>
      <x:c r="H55" s="6" t="n">
        <x:f>F55-'日経_D07'!F55</x:f>
        <x:v>7000</x:v>
      </x:c>
      <x:c r="I55" s="6" t="n">
        <x:v>27000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170000</x:v>
      </x:c>
      <x:c r="E56" s="6" t="n">
        <x:v>190000</x:v>
      </x:c>
      <x:c r="F56" s="6" t="n">
        <x:f>D56-E56</x:f>
        <x:v>-20000</x:v>
      </x:c>
      <x:c r="G56" s="6" t="n">
        <x:f>G55+F56</x:f>
        <x:v>2803000</x:v>
      </x:c>
      <x:c r="H56" s="6" t="n">
        <x:f>F56-'日経_D07'!F56</x:f>
        <x:v>-29000</x:v>
      </x:c>
      <x:c r="I56" s="6" t="n">
        <x:v>-28000</x:v>
      </x:c>
      <x:c r="J56" s="6" t="n">
        <x:v>8000</x:v>
      </x:c>
      <x:c r="K56" s="6" t="n">
        <x:v>0</x:v>
      </x:c>
      <x:c r="L56" s="6" t="n">
        <x:v>9</x:v>
      </x:c>
      <x:c r="M56" s="6" t="n">
        <x:v>24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6600000</x:v>
      </x:c>
      <x:c r="E57" s="14" t="n">
        <x:f>SUM(E6:E56)</x:f>
        <x:v>3797000</x:v>
      </x:c>
      <x:c r="F57" s="14" t="n">
        <x:f>D57-E57</x:f>
        <x:v>2803000</x:v>
      </x:c>
      <x:c r="G57" s="14" t="n">
        <x:f>G56</x:f>
        <x:v>2803000</x:v>
      </x:c>
      <x:c r="H57" s="14" t="n">
        <x:f>SUM(H6:H56)</x:f>
        <x:v>-256000</x:v>
      </x:c>
      <x:c r="I57" s="14" t="n">
        <x:f>SUM(I6:I56)</x:f>
        <x:v>2763000</x:v>
      </x:c>
      <x:c r="J57" s="14" t="n">
        <x:f>SUM(J6:J56)</x:f>
        <x:v>40000</x:v>
      </x:c>
      <x:c r="K57" s="14" t="n">
        <x:f>SUM(K6:K56)</x:f>
        <x:v>0</x:v>
      </x:c>
      <x:c r="L57" s="14" t="n">
        <x:f>SUM(L6:L56)</x:f>
        <x:v>381</x:v>
      </x:c>
      <x:c r="M57" s="14" t="n">
        <x:f>SUM(M6:M56)</x:f>
        <x:v>871</x:v>
      </x:c>
    </x:row>
  </x:sheetData>
  <x:conditionalFormatting sqref="F6:K56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f047c9b1ca4e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E05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別入口の残1化時の利益50%を固定床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161000</x:v>
      </x:c>
      <x:c r="E12" s="6" t="n">
        <x:v>84000</x:v>
      </x:c>
      <x:c r="F12" s="6" t="n">
        <x:f>D12-E12</x:f>
        <x:v>77000</x:v>
      </x:c>
      <x:c r="G12" s="6" t="n">
        <x:f>G11+F12</x:f>
        <x:v>30000</x:v>
      </x:c>
      <x:c r="H12" s="6" t="n">
        <x:f>F12-'日経_D07'!F12</x:f>
        <x:v>9000</x:v>
      </x:c>
      <x:c r="I12" s="6" t="n">
        <x:v>53000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50000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143000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144000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114000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94000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164000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96000</x:v>
      </x:c>
      <x:c r="E19" s="6" t="n">
        <x:v>22000</x:v>
      </x:c>
      <x:c r="F19" s="6" t="n">
        <x:f>D19-E19</x:f>
        <x:v>74000</x:v>
      </x:c>
      <x:c r="G19" s="6" t="n">
        <x:f>G18+F19</x:f>
        <x:v>238000</x:v>
      </x:c>
      <x:c r="H19" s="6" t="n">
        <x:f>F19-'日経_D07'!F19</x:f>
        <x:v>9000</x:v>
      </x:c>
      <x:c r="I19" s="6" t="n">
        <x:v>71000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187000</x:v>
      </x:c>
      <x:c r="E20" s="6" t="n">
        <x:v>75000</x:v>
      </x:c>
      <x:c r="F20" s="6" t="n">
        <x:f>D20-E20</x:f>
        <x:v>112000</x:v>
      </x:c>
      <x:c r="G20" s="6" t="n">
        <x:f>G19+F20</x:f>
        <x:v>350000</x:v>
      </x:c>
      <x:c r="H20" s="6" t="n">
        <x:f>F20-'日経_D07'!F20</x:f>
        <x:v>2000</x:v>
      </x:c>
      <x:c r="I20" s="6" t="n">
        <x:v>117000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393000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489000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223000</x:v>
      </x:c>
      <x:c r="E23" s="6" t="n">
        <x:v>98000</x:v>
      </x:c>
      <x:c r="F23" s="6" t="n">
        <x:f>D23-E23</x:f>
        <x:v>125000</x:v>
      </x:c>
      <x:c r="G23" s="6" t="n">
        <x:f>G22+F23</x:f>
        <x:v>614000</x:v>
      </x:c>
      <x:c r="H23" s="6" t="n">
        <x:f>F23-'日経_D07'!F23</x:f>
        <x:v>16000</x:v>
      </x:c>
      <x:c r="I23" s="6" t="n">
        <x:v>114000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67000</x:v>
      </x:c>
      <x:c r="E24" s="6" t="n">
        <x:v>73000</x:v>
      </x:c>
      <x:c r="F24" s="6" t="n">
        <x:f>D24-E24</x:f>
        <x:v>-6000</x:v>
      </x:c>
      <x:c r="G24" s="6" t="n">
        <x:f>G23+F24</x:f>
        <x:v>608000</x:v>
      </x:c>
      <x:c r="H24" s="6" t="n">
        <x:f>F24-'日経_D07'!F24</x:f>
        <x:v>3000</x:v>
      </x:c>
      <x:c r="I24" s="6" t="n">
        <x:v>-33000</x:v>
      </x:c>
      <x:c r="J24" s="6" t="n">
        <x:v>27000</x:v>
      </x:c>
      <x:c r="K24" s="6" t="n">
        <x:v>0</x:v>
      </x:c>
      <x:c r="L24" s="6" t="n">
        <x:v>11</x:v>
      </x:c>
      <x:c r="M24" s="6" t="n">
        <x:v>19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311000</x:v>
      </x:c>
      <x:c r="E25" s="6" t="n">
        <x:v>38000</x:v>
      </x:c>
      <x:c r="F25" s="6" t="n">
        <x:f>D25-E25</x:f>
        <x:v>273000</x:v>
      </x:c>
      <x:c r="G25" s="6" t="n">
        <x:f>G24+F25</x:f>
        <x:v>881000</x:v>
      </x:c>
      <x:c r="H25" s="6" t="n">
        <x:f>F25-'日経_D07'!F25</x:f>
        <x:v>17000</x:v>
      </x:c>
      <x:c r="I25" s="6" t="n">
        <x:v>253000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61000</x:v>
      </x:c>
      <x:c r="E26" s="6" t="n">
        <x:v>156000</x:v>
      </x:c>
      <x:c r="F26" s="6" t="n">
        <x:f>D26-E26</x:f>
        <x:v>-95000</x:v>
      </x:c>
      <x:c r="G26" s="6" t="n">
        <x:f>G25+F26</x:f>
        <x:v>786000</x:v>
      </x:c>
      <x:c r="H26" s="6" t="n">
        <x:f>F26-'日経_D07'!F26</x:f>
        <x:v>13000</x:v>
      </x:c>
      <x:c r="I26" s="6" t="n">
        <x:v>-84000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103000</x:v>
      </x:c>
      <x:c r="E27" s="6" t="n">
        <x:v>64000</x:v>
      </x:c>
      <x:c r="F27" s="6" t="n">
        <x:f>D27-E27</x:f>
        <x:v>39000</x:v>
      </x:c>
      <x:c r="G27" s="6" t="n">
        <x:f>G26+F27</x:f>
        <x:v>825000</x:v>
      </x:c>
      <x:c r="H27" s="6" t="n">
        <x:f>F27-'日経_D07'!F27</x:f>
        <x:v>5000</x:v>
      </x:c>
      <x:c r="I27" s="6" t="n">
        <x:v>4000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133000</x:v>
      </x:c>
      <x:c r="E28" s="6" t="n">
        <x:v>188000</x:v>
      </x:c>
      <x:c r="F28" s="6" t="n">
        <x:f>D28-E28</x:f>
        <x:v>-55000</x:v>
      </x:c>
      <x:c r="G28" s="6" t="n">
        <x:f>G27+F28</x:f>
        <x:v>770000</x:v>
      </x:c>
      <x:c r="H28" s="6" t="n">
        <x:f>F28-'日経_D07'!F28</x:f>
        <x:v>-10000</x:v>
      </x:c>
      <x:c r="I28" s="6" t="n">
        <x:v>-46000</x:v>
      </x:c>
      <x:c r="J28" s="6" t="n">
        <x:v>-9000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760000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881000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838000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125000</x:v>
      </x:c>
      <x:c r="E32" s="6" t="n">
        <x:v>118000</x:v>
      </x:c>
      <x:c r="F32" s="6" t="n">
        <x:f>D32-E32</x:f>
        <x:v>7000</x:v>
      </x:c>
      <x:c r="G32" s="6" t="n">
        <x:f>G31+F32</x:f>
        <x:v>845000</x:v>
      </x:c>
      <x:c r="H32" s="6" t="n">
        <x:f>F32-'日経_D07'!F32</x:f>
        <x:v>4000</x:v>
      </x:c>
      <x:c r="I32" s="6" t="n">
        <x:v>8000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347000</x:v>
      </x:c>
      <x:c r="E33" s="6" t="n">
        <x:v>20000</x:v>
      </x:c>
      <x:c r="F33" s="6" t="n">
        <x:f>D33-E33</x:f>
        <x:v>327000</x:v>
      </x:c>
      <x:c r="G33" s="6" t="n">
        <x:f>G32+F33</x:f>
        <x:v>1172000</x:v>
      </x:c>
      <x:c r="H33" s="6" t="n">
        <x:f>F33-'日経_D07'!F33</x:f>
        <x:v>16000</x:v>
      </x:c>
      <x:c r="I33" s="6" t="n">
        <x:v>282000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1215000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1229000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1237000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1319000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1330000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1277000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1378000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1514000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457000</x:v>
      </x:c>
      <x:c r="E42" s="6" t="n">
        <x:v>66000</x:v>
      </x:c>
      <x:c r="F42" s="6" t="n">
        <x:f>D42-E42</x:f>
        <x:v>391000</x:v>
      </x:c>
      <x:c r="G42" s="6" t="n">
        <x:f>G41+F42</x:f>
        <x:v>1905000</x:v>
      </x:c>
      <x:c r="H42" s="6" t="n">
        <x:f>F42-'日経_D07'!F42</x:f>
        <x:v>0</x:v>
      </x:c>
      <x:c r="I42" s="6" t="n">
        <x:v>370000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45000</x:v>
      </x:c>
      <x:c r="E43" s="6" t="n">
        <x:v>53000</x:v>
      </x:c>
      <x:c r="F43" s="6" t="n">
        <x:f>D43-E43</x:f>
        <x:v>-8000</x:v>
      </x:c>
      <x:c r="G43" s="6" t="n">
        <x:f>G42+F43</x:f>
        <x:v>1897000</x:v>
      </x:c>
      <x:c r="H43" s="6" t="n">
        <x:f>F43-'日経_D07'!F43</x:f>
        <x:v>-30000</x:v>
      </x:c>
      <x:c r="I43" s="6" t="n">
        <x:v>-19000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129000</x:v>
      </x:c>
      <x:c r="E44" s="6" t="n">
        <x:v>244000</x:v>
      </x:c>
      <x:c r="F44" s="6" t="n">
        <x:f>D44-E44</x:f>
        <x:v>-115000</x:v>
      </x:c>
      <x:c r="G44" s="6" t="n">
        <x:f>G43+F44</x:f>
        <x:v>1782000</x:v>
      </x:c>
      <x:c r="H44" s="6" t="n">
        <x:f>F44-'日経_D07'!F44</x:f>
        <x:v>6000</x:v>
      </x:c>
      <x:c r="I44" s="6" t="n">
        <x:v>-95000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134000</x:v>
      </x:c>
      <x:c r="E45" s="6" t="n">
        <x:v>126000</x:v>
      </x:c>
      <x:c r="F45" s="6" t="n">
        <x:f>D45-E45</x:f>
        <x:v>8000</x:v>
      </x:c>
      <x:c r="G45" s="6" t="n">
        <x:f>G44+F45</x:f>
        <x:v>1790000</x:v>
      </x:c>
      <x:c r="H45" s="6" t="n">
        <x:f>F45-'日経_D07'!F45</x:f>
        <x:v>-24000</x:v>
      </x:c>
      <x:c r="I45" s="6" t="n">
        <x:v>6000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320000</x:v>
      </x:c>
      <x:c r="E46" s="6" t="n">
        <x:v>42000</x:v>
      </x:c>
      <x:c r="F46" s="6" t="n">
        <x:f>D46-E46</x:f>
        <x:v>278000</x:v>
      </x:c>
      <x:c r="G46" s="6" t="n">
        <x:f>G45+F46</x:f>
        <x:v>2068000</x:v>
      </x:c>
      <x:c r="H46" s="6" t="n">
        <x:f>F46-'日経_D07'!F46</x:f>
        <x:v>-120000</x:v>
      </x:c>
      <x:c r="I46" s="6" t="n">
        <x:v>274000</x:v>
      </x:c>
      <x:c r="J46" s="6" t="n">
        <x:v>4000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2060000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221000</x:v>
      </x:c>
      <x:c r="E48" s="6" t="n">
        <x:v>232000</x:v>
      </x:c>
      <x:c r="F48" s="6" t="n">
        <x:f>D48-E48</x:f>
        <x:v>-11000</x:v>
      </x:c>
      <x:c r="G48" s="6" t="n">
        <x:f>G47+F48</x:f>
        <x:v>2049000</x:v>
      </x:c>
      <x:c r="H48" s="6" t="n">
        <x:f>F48-'日経_D07'!F48</x:f>
        <x:v>13000</x:v>
      </x:c>
      <x:c r="I48" s="6" t="n">
        <x:v>-28000</x:v>
      </x:c>
      <x:c r="J48" s="6" t="n">
        <x:v>17000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2149000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76000</x:v>
      </x:c>
      <x:c r="E50" s="6" t="n">
        <x:v>193000</x:v>
      </x:c>
      <x:c r="F50" s="6" t="n">
        <x:f>D50-E50</x:f>
        <x:v>-117000</x:v>
      </x:c>
      <x:c r="G50" s="6" t="n">
        <x:f>G49+F50</x:f>
        <x:v>2032000</x:v>
      </x:c>
      <x:c r="H50" s="6" t="n">
        <x:f>F50-'日経_D07'!F50</x:f>
        <x:v>3000</x:v>
      </x:c>
      <x:c r="I50" s="6" t="n">
        <x:v>-109000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2008000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701000</x:v>
      </x:c>
      <x:c r="E52" s="6" t="n">
        <x:v>0</x:v>
      </x:c>
      <x:c r="F52" s="6" t="n">
        <x:f>D52-E52</x:f>
        <x:v>701000</x:v>
      </x:c>
      <x:c r="G52" s="6" t="n">
        <x:f>G51+F52</x:f>
        <x:v>2709000</x:v>
      </x:c>
      <x:c r="H52" s="6" t="n">
        <x:f>F52-'日経_D07'!F52</x:f>
        <x:v>0</x:v>
      </x:c>
      <x:c r="I52" s="6" t="n">
        <x:v>570000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2865000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243000</x:v>
      </x:c>
      <x:c r="E54" s="6" t="n">
        <x:v>89000</x:v>
      </x:c>
      <x:c r="F54" s="6" t="n">
        <x:f>D54-E54</x:f>
        <x:v>154000</x:v>
      </x:c>
      <x:c r="G54" s="6" t="n">
        <x:f>G53+F54</x:f>
        <x:v>3019000</x:v>
      </x:c>
      <x:c r="H54" s="6" t="n">
        <x:f>F54-'日経_D07'!F54</x:f>
        <x:v>24000</x:v>
      </x:c>
      <x:c r="I54" s="6" t="n">
        <x:v>195000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39000</x:v>
      </x:c>
      <x:c r="E55" s="6" t="n">
        <x:v>53000</x:v>
      </x:c>
      <x:c r="F55" s="6" t="n">
        <x:f>D55-E55</x:f>
        <x:v>-14000</x:v>
      </x:c>
      <x:c r="G55" s="6" t="n">
        <x:f>G54+F55</x:f>
        <x:v>3005000</x:v>
      </x:c>
      <x:c r="H55" s="6" t="n">
        <x:f>F55-'日経_D07'!F55</x:f>
        <x:v>-1000</x:v>
      </x:c>
      <x:c r="I55" s="6" t="n">
        <x:v>19000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190000</x:v>
      </x:c>
      <x:c r="F56" s="6" t="n">
        <x:f>D56-E56</x:f>
        <x:v>9000</x:v>
      </x:c>
      <x:c r="G56" s="6" t="n">
        <x:f>G55+F56</x:f>
        <x:v>3014000</x:v>
      </x:c>
      <x:c r="H56" s="6" t="n">
        <x:f>F56-'日経_D07'!F56</x:f>
        <x:v>0</x:v>
      </x:c>
      <x:c r="I56" s="6" t="n">
        <x:v>-14000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6679000</x:v>
      </x:c>
      <x:c r="E57" s="14" t="n">
        <x:f>SUM(E6:E56)</x:f>
        <x:v>3665000</x:v>
      </x:c>
      <x:c r="F57" s="14" t="n">
        <x:f>D57-E57</x:f>
        <x:v>3014000</x:v>
      </x:c>
      <x:c r="G57" s="14" t="n">
        <x:f>G56</x:f>
        <x:v>3014000</x:v>
      </x:c>
      <x:c r="H57" s="14" t="n">
        <x:f>SUM(H6:H56)</x:f>
        <x:v>-45000</x:v>
      </x:c>
      <x:c r="I57" s="14" t="n">
        <x:f>SUM(I6:I56)</x:f>
        <x:v>2941000</x:v>
      </x:c>
      <x:c r="J57" s="14" t="n">
        <x:f>SUM(J6:J56)</x:f>
        <x:v>73000</x:v>
      </x:c>
      <x:c r="K57" s="14" t="n">
        <x:f>SUM(K6:K56)</x:f>
        <x:v>0</x:v>
      </x:c>
      <x:c r="L57" s="14" t="n">
        <x:f>SUM(L6:L56)</x:f>
        <x:v>368</x:v>
      </x:c>
      <x:c r="M57" s="14" t="n">
        <x:f>SUM(M6:M56)</x:f>
        <x:v>850</x:v>
      </x:c>
    </x:row>
  </x:sheetData>
  <x:conditionalFormatting sqref="F6:K56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c5263d3a2340f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C01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昼主担当は120秒の逆向き・未知を拒否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4000</x:v>
      </x:c>
      <x:c r="E6" s="6" t="n">
        <x:v>0</x:v>
      </x:c>
      <x:c r="F6" s="6" t="n">
        <x:f>D6-E6</x:f>
        <x:v>4000</x:v>
      </x:c>
      <x:c r="G6" s="6" t="n">
        <x:f>F6</x:f>
        <x:v>4000</x:v>
      </x:c>
      <x:c r="H6" s="6" t="n">
        <x:f>F6-'日経_D07'!F6</x:f>
        <x:v>-26000</x:v>
      </x:c>
      <x:c r="I6" s="6" t="n">
        <x:v>4000</x:v>
      </x:c>
      <x:c r="J6" s="6" t="n">
        <x:v>0</x:v>
      </x:c>
      <x:c r="K6" s="6" t="n">
        <x:v>0</x:v>
      </x:c>
      <x:c r="L6" s="6" t="n">
        <x:v>1</x:v>
      </x:c>
      <x:c r="M6" s="6" t="n">
        <x:v>2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-41000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-41000</x:v>
      </x:c>
      <x:c r="H8" s="6" t="n">
        <x:f>F8-'日経_D07'!F8</x:f>
        <x:v>70000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-17000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33000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-3000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128000</x:v>
      </x:c>
      <x:c r="E12" s="6" t="n">
        <x:v>60000</x:v>
      </x:c>
      <x:c r="F12" s="6" t="n">
        <x:f>D12-E12</x:f>
        <x:v>68000</x:v>
      </x:c>
      <x:c r="G12" s="6" t="n">
        <x:f>G11+F12</x:f>
        <x:v>65000</x:v>
      </x:c>
      <x:c r="H12" s="6" t="n">
        <x:f>F12-'日経_D07'!F12</x:f>
        <x:v>0</x:v>
      </x:c>
      <x:c r="I12" s="6" t="n">
        <x:v>44000</x:v>
      </x:c>
      <x:c r="J12" s="6" t="n">
        <x:v>24000</x:v>
      </x:c>
      <x:c r="K12" s="6" t="n">
        <x:v>0</x:v>
      </x:c>
      <x:c r="L12" s="6" t="n">
        <x:v>9</x:v>
      </x:c>
      <x:c r="M12" s="6" t="n">
        <x:v>20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85000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178000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179000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1000</x:v>
      </x:c>
      <x:c r="E16" s="6" t="n">
        <x:v>62000</x:v>
      </x:c>
      <x:c r="F16" s="6" t="n">
        <x:f>D16-E16</x:f>
        <x:v>-61000</x:v>
      </x:c>
      <x:c r="G16" s="6" t="n">
        <x:f>G15+F16</x:f>
        <x:v>118000</x:v>
      </x:c>
      <x:c r="H16" s="6" t="n">
        <x:f>F16-'日経_D07'!F16</x:f>
        <x:v>-31000</x:v>
      </x:c>
      <x:c r="I16" s="6" t="n">
        <x:v>-45000</x:v>
      </x:c>
      <x:c r="J16" s="6" t="n">
        <x:v>-16000</x:v>
      </x:c>
      <x:c r="K16" s="6" t="n">
        <x:v>0</x:v>
      </x:c>
      <x:c r="L16" s="6" t="n">
        <x:v>7</x:v>
      </x:c>
      <x:c r="M16" s="6" t="n">
        <x:v>12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98000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168000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233000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343000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386000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482000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591000</x:v>
      </x:c>
      <x:c r="H23" s="6" t="n">
        <x:f>F23-'日経_D07'!F23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73000</x:v>
      </x:c>
      <x:c r="F24" s="6" t="n">
        <x:f>D24-E24</x:f>
        <x:v>-9000</x:v>
      </x:c>
      <x:c r="G24" s="6" t="n">
        <x:f>G23+F24</x:f>
        <x:v>582000</x:v>
      </x:c>
      <x:c r="H24" s="6" t="n">
        <x:f>F24-'日経_D07'!F24</x:f>
        <x:v>0</x:v>
      </x:c>
      <x:c r="I24" s="6" t="n">
        <x:v>-45000</x:v>
      </x:c>
      <x:c r="J24" s="6" t="n">
        <x:v>36000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838000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48000</x:v>
      </x:c>
      <x:c r="E26" s="6" t="n">
        <x:v>141000</x:v>
      </x:c>
      <x:c r="F26" s="6" t="n">
        <x:f>D26-E26</x:f>
        <x:v>-93000</x:v>
      </x:c>
      <x:c r="G26" s="6" t="n">
        <x:f>G25+F26</x:f>
        <x:v>745000</x:v>
      </x:c>
      <x:c r="H26" s="6" t="n">
        <x:f>F26-'日経_D07'!F26</x:f>
        <x:v>15000</x:v>
      </x:c>
      <x:c r="I26" s="6" t="n">
        <x:v>-82000</x:v>
      </x:c>
      <x:c r="J26" s="6" t="n">
        <x:v>-11000</x:v>
      </x:c>
      <x:c r="K26" s="6" t="n">
        <x:v>0</x:v>
      </x:c>
      <x:c r="L26" s="6" t="n">
        <x:v>11</x:v>
      </x:c>
      <x:c r="M26" s="6" t="n">
        <x:v>31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779000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115000</x:v>
      </x:c>
      <x:c r="E28" s="6" t="n">
        <x:v>160000</x:v>
      </x:c>
      <x:c r="F28" s="6" t="n">
        <x:f>D28-E28</x:f>
        <x:v>-45000</x:v>
      </x:c>
      <x:c r="G28" s="6" t="n">
        <x:f>G27+F28</x:f>
        <x:v>734000</x:v>
      </x:c>
      <x:c r="H28" s="6" t="n">
        <x:f>F28-'日経_D07'!F28</x:f>
        <x:v>0</x:v>
      </x:c>
      <x:c r="I28" s="6" t="n">
        <x:v>-36000</x:v>
      </x:c>
      <x:c r="J28" s="6" t="n">
        <x:v>-9000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724000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845000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802000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68000</x:v>
      </x:c>
      <x:c r="F32" s="6" t="n">
        <x:f>D32-E32</x:f>
        <x:v>53000</x:v>
      </x:c>
      <x:c r="G32" s="6" t="n">
        <x:f>G31+F32</x:f>
        <x:v>855000</x:v>
      </x:c>
      <x:c r="H32" s="6" t="n">
        <x:f>F32-'日経_D07'!F32</x:f>
        <x:v>50000</x:v>
      </x:c>
      <x:c r="I32" s="6" t="n">
        <x:v>54000</x:v>
      </x:c>
      <x:c r="J32" s="6" t="n">
        <x:v>-1000</x:v>
      </x:c>
      <x:c r="K32" s="6" t="n">
        <x:v>0</x:v>
      </x:c>
      <x:c r="L32" s="6" t="n">
        <x:v>7</x:v>
      </x:c>
      <x:c r="M32" s="6" t="n">
        <x:v>25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1166000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7000</x:v>
      </x:c>
      <x:c r="E34" s="6" t="n">
        <x:v>68000</x:v>
      </x:c>
      <x:c r="F34" s="6" t="n">
        <x:f>D34-E34</x:f>
        <x:v>-61000</x:v>
      </x:c>
      <x:c r="G34" s="6" t="n">
        <x:f>G33+F34</x:f>
        <x:v>1105000</x:v>
      </x:c>
      <x:c r="H34" s="6" t="n">
        <x:f>F34-'日経_D07'!F34</x:f>
        <x:v>-104000</x:v>
      </x:c>
      <x:c r="I34" s="6" t="n">
        <x:v>-46000</x:v>
      </x:c>
      <x:c r="J34" s="6" t="n">
        <x:v>-15000</x:v>
      </x:c>
      <x:c r="K34" s="6" t="n">
        <x:v>0</x:v>
      </x:c>
      <x:c r="L34" s="6" t="n">
        <x:v>8</x:v>
      </x:c>
      <x:c r="M34" s="6" t="n">
        <x:v>13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1119000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0</x:v>
      </x:c>
      <x:c r="E36" s="6" t="n">
        <x:v>53000</x:v>
      </x:c>
      <x:c r="F36" s="6" t="n">
        <x:f>D36-E36</x:f>
        <x:v>-53000</x:v>
      </x:c>
      <x:c r="G36" s="6" t="n">
        <x:f>G35+F36</x:f>
        <x:v>1066000</x:v>
      </x:c>
      <x:c r="H36" s="6" t="n">
        <x:f>F36-'日経_D07'!F36</x:f>
        <x:v>-61000</x:v>
      </x:c>
      <x:c r="I36" s="6" t="n">
        <x:v>-53000</x:v>
      </x:c>
      <x:c r="J36" s="6" t="n">
        <x:v>0</x:v>
      </x:c>
      <x:c r="K36" s="6" t="n">
        <x:v>0</x:v>
      </x:c>
      <x:c r="L36" s="6" t="n">
        <x:v>2</x:v>
      </x:c>
      <x:c r="M36" s="6" t="n">
        <x:v>7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1148000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72000</x:v>
      </x:c>
      <x:c r="E38" s="6" t="n">
        <x:v>154000</x:v>
      </x:c>
      <x:c r="F38" s="6" t="n">
        <x:f>D38-E38</x:f>
        <x:v>-82000</x:v>
      </x:c>
      <x:c r="G38" s="6" t="n">
        <x:f>G37+F38</x:f>
        <x:v>1066000</x:v>
      </x:c>
      <x:c r="H38" s="6" t="n">
        <x:f>F38-'日経_D07'!F38</x:f>
        <x:v>-93000</x:v>
      </x:c>
      <x:c r="I38" s="6" t="n">
        <x:v>-66000</x:v>
      </x:c>
      <x:c r="J38" s="6" t="n">
        <x:v>-16000</x:v>
      </x:c>
      <x:c r="K38" s="6" t="n">
        <x:v>0</x:v>
      </x:c>
      <x:c r="L38" s="6" t="n">
        <x:v>13</x:v>
      </x:c>
      <x:c r="M38" s="6" t="n">
        <x:v>26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1013000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43000</x:v>
      </x:c>
      <x:c r="F40" s="6" t="n">
        <x:f>D40-E40</x:f>
        <x:v>106000</x:v>
      </x:c>
      <x:c r="G40" s="6" t="n">
        <x:f>G39+F40</x:f>
        <x:v>1119000</x:v>
      </x:c>
      <x:c r="H40" s="6" t="n">
        <x:f>F40-'日経_D07'!F40</x:f>
        <x:v>5000</x:v>
      </x:c>
      <x:c r="I40" s="6" t="n">
        <x:v>125000</x:v>
      </x:c>
      <x:c r="J40" s="6" t="n">
        <x:v>-19000</x:v>
      </x:c>
      <x:c r="K40" s="6" t="n">
        <x:v>0</x:v>
      </x:c>
      <x:c r="L40" s="6" t="n">
        <x:v>4</x:v>
      </x:c>
      <x:c r="M40" s="6" t="n">
        <x:v>13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1255000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457000</x:v>
      </x:c>
      <x:c r="E42" s="6" t="n">
        <x:v>66000</x:v>
      </x:c>
      <x:c r="F42" s="6" t="n">
        <x:f>D42-E42</x:f>
        <x:v>391000</x:v>
      </x:c>
      <x:c r="G42" s="6" t="n">
        <x:f>G41+F42</x:f>
        <x:v>1646000</x:v>
      </x:c>
      <x:c r="H42" s="6" t="n">
        <x:f>F42-'日経_D07'!F42</x:f>
        <x:v>0</x:v>
      </x:c>
      <x:c r="I42" s="6" t="n">
        <x:v>370000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1668000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61000</x:v>
      </x:c>
      <x:c r="E44" s="6" t="n">
        <x:v>204000</x:v>
      </x:c>
      <x:c r="F44" s="6" t="n">
        <x:f>D44-E44</x:f>
        <x:v>-143000</x:v>
      </x:c>
      <x:c r="G44" s="6" t="n">
        <x:f>G43+F44</x:f>
        <x:v>1525000</x:v>
      </x:c>
      <x:c r="H44" s="6" t="n">
        <x:f>F44-'日経_D07'!F44</x:f>
        <x:v>-22000</x:v>
      </x:c>
      <x:c r="I44" s="6" t="n">
        <x:v>-123000</x:v>
      </x:c>
      <x:c r="J44" s="6" t="n">
        <x:v>-20000</x:v>
      </x:c>
      <x:c r="K44" s="6" t="n">
        <x:v>0</x:v>
      </x:c>
      <x:c r="L44" s="6" t="n">
        <x:v>12</x:v>
      </x:c>
      <x:c r="M44" s="6" t="n">
        <x:v>33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1557000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1955000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1947000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182000</x:v>
      </x:c>
      <x:c r="E48" s="6" t="n">
        <x:v>206000</x:v>
      </x:c>
      <x:c r="F48" s="6" t="n">
        <x:f>D48-E48</x:f>
        <x:v>-24000</x:v>
      </x:c>
      <x:c r="G48" s="6" t="n">
        <x:f>G47+F48</x:f>
        <x:v>1923000</x:v>
      </x:c>
      <x:c r="H48" s="6" t="n">
        <x:f>F48-'日経_D07'!F48</x:f>
        <x:v>0</x:v>
      </x:c>
      <x:c r="I48" s="6" t="n">
        <x:v>-41000</x:v>
      </x:c>
      <x:c r="J48" s="6" t="n">
        <x:v>17000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2023000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1903000</x:v>
      </x:c>
      <x:c r="H50" s="6" t="n">
        <x:f>F50-'日経_D07'!F50</x:f>
        <x:v>0</x:v>
      </x:c>
      <x:c r="I50" s="6" t="n">
        <x:v>-112000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1879000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701000</x:v>
      </x:c>
      <x:c r="E52" s="6" t="n">
        <x:v>0</x:v>
      </x:c>
      <x:c r="F52" s="6" t="n">
        <x:f>D52-E52</x:f>
        <x:v>701000</x:v>
      </x:c>
      <x:c r="G52" s="6" t="n">
        <x:f>G51+F52</x:f>
        <x:v>2580000</x:v>
      </x:c>
      <x:c r="H52" s="6" t="n">
        <x:f>F52-'日経_D07'!F52</x:f>
        <x:v>0</x:v>
      </x:c>
      <x:c r="I52" s="6" t="n">
        <x:v>570000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2736000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219000</x:v>
      </x:c>
      <x:c r="E54" s="6" t="n">
        <x:v>89000</x:v>
      </x:c>
      <x:c r="F54" s="6" t="n">
        <x:f>D54-E54</x:f>
        <x:v>130000</x:v>
      </x:c>
      <x:c r="G54" s="6" t="n">
        <x:f>G53+F54</x:f>
        <x:v>2866000</x:v>
      </x:c>
      <x:c r="H54" s="6" t="n">
        <x:f>F54-'日経_D07'!F54</x:f>
        <x:v>0</x:v>
      </x:c>
      <x:c r="I54" s="6" t="n">
        <x:v>171000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2853000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70000</x:v>
      </x:c>
      <x:c r="F56" s="6" t="n">
        <x:f>D56-E56</x:f>
        <x:v>129000</x:v>
      </x:c>
      <x:c r="G56" s="6" t="n">
        <x:f>G55+F56</x:f>
        <x:v>2982000</x:v>
      </x:c>
      <x:c r="H56" s="6" t="n">
        <x:f>F56-'日経_D07'!F56</x:f>
        <x:v>120000</x:v>
      </x:c>
      <x:c r="I56" s="6" t="n">
        <x:v>106000</x:v>
      </x:c>
      <x:c r="J56" s="6" t="n">
        <x:v>23000</x:v>
      </x:c>
      <x:c r="K56" s="6" t="n">
        <x:v>0</x:v>
      </x:c>
      <x:c r="L56" s="6" t="n">
        <x:v>5</x:v>
      </x:c>
      <x:c r="M56" s="6" t="n">
        <x:v>11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6137000</x:v>
      </x:c>
      <x:c r="E57" s="14" t="n">
        <x:f>SUM(E6:E56)</x:f>
        <x:v>3155000</x:v>
      </x:c>
      <x:c r="F57" s="14" t="n">
        <x:f>D57-E57</x:f>
        <x:v>2982000</x:v>
      </x:c>
      <x:c r="G57" s="14" t="n">
        <x:f>G56</x:f>
        <x:v>2982000</x:v>
      </x:c>
      <x:c r="H57" s="14" t="n">
        <x:f>SUM(H6:H56)</x:f>
        <x:v>-77000</x:v>
      </x:c>
      <x:c r="I57" s="14" t="n">
        <x:f>SUM(I6:I56)</x:f>
        <x:v>2904000</x:v>
      </x:c>
      <x:c r="J57" s="14" t="n">
        <x:f>SUM(J6:J56)</x:f>
        <x:v>78000</x:v>
      </x:c>
      <x:c r="K57" s="14" t="n">
        <x:f>SUM(K6:K56)</x:f>
        <x:v>0</x:v>
      </x:c>
      <x:c r="L57" s="14" t="n">
        <x:f>SUM(L6:L56)</x:f>
        <x:v>343</x:v>
      </x:c>
      <x:c r="M57" s="14" t="n">
        <x:f>SUM(M6:M56)</x:f>
        <x:v>755</x:v>
      </x:c>
    </x:row>
  </x:sheetData>
  <x:conditionalFormatting sqref="F6:K56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dc29aada9d467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C02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昼主担当は初回1枚のみ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28000</x:v>
      </x:c>
      <x:c r="E6" s="6" t="n">
        <x:v>0</x:v>
      </x:c>
      <x:c r="F6" s="6" t="n">
        <x:f>D6-E6</x:f>
        <x:v>28000</x:v>
      </x:c>
      <x:c r="G6" s="6" t="n">
        <x:f>F6</x:f>
        <x:v>28000</x:v>
      </x:c>
      <x:c r="H6" s="6" t="n">
        <x:f>F6-'日経_D07'!F6</x:f>
        <x:v>-2000</x:v>
      </x:c>
      <x:c r="I6" s="6" t="n">
        <x:v>28000</x:v>
      </x:c>
      <x:c r="J6" s="6" t="n">
        <x:v>0</x:v>
      </x:c>
      <x:c r="K6" s="6" t="n">
        <x:v>0</x:v>
      </x:c>
      <x:c r="L6" s="6" t="n">
        <x:v>2</x:v>
      </x:c>
      <x:c r="M6" s="6" t="n">
        <x:v>3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-17000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14000</x:v>
      </x:c>
      <x:c r="F8" s="6" t="n">
        <x:f>D8-E8</x:f>
        <x:v>-14000</x:v>
      </x:c>
      <x:c r="G8" s="6" t="n">
        <x:f>G7+F8</x:f>
        <x:v>-31000</x:v>
      </x:c>
      <x:c r="H8" s="6" t="n">
        <x:f>F8-'日経_D07'!F8</x:f>
        <x:v>56000</x:v>
      </x:c>
      <x:c r="I8" s="6" t="n">
        <x:v>-14000</x:v>
      </x:c>
      <x:c r="J8" s="6" t="n">
        <x:v>0</x:v>
      </x:c>
      <x:c r="K8" s="6" t="n">
        <x:v>0</x:v>
      </x:c>
      <x:c r="L8" s="6" t="n">
        <x:v>2</x:v>
      </x:c>
      <x:c r="M8" s="6" t="n">
        <x:v>2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-7000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0</x:v>
      </x:c>
      <x:c r="E10" s="6" t="n">
        <x:v>10000</x:v>
      </x:c>
      <x:c r="F10" s="6" t="n">
        <x:f>D10-E10</x:f>
        <x:v>-10000</x:v>
      </x:c>
      <x:c r="G10" s="6" t="n">
        <x:f>G9+F10</x:f>
        <x:v>-17000</x:v>
      </x:c>
      <x:c r="H10" s="6" t="n">
        <x:f>F10-'日経_D07'!F10</x:f>
        <x:v>-60000</x:v>
      </x:c>
      <x:c r="I10" s="6" t="n">
        <x:v>-10000</x:v>
      </x:c>
      <x:c r="J10" s="6" t="n">
        <x:v>0</x:v>
      </x:c>
      <x:c r="K10" s="6" t="n">
        <x:v>0</x:v>
      </x:c>
      <x:c r="L10" s="6" t="n">
        <x:v>1</x:v>
      </x:c>
      <x:c r="M10" s="6" t="n">
        <x:v>1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-53000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77000</x:v>
      </x:c>
      <x:c r="E12" s="6" t="n">
        <x:v>12000</x:v>
      </x:c>
      <x:c r="F12" s="6" t="n">
        <x:f>D12-E12</x:f>
        <x:v>65000</x:v>
      </x:c>
      <x:c r="G12" s="6" t="n">
        <x:f>G11+F12</x:f>
        <x:v>12000</x:v>
      </x:c>
      <x:c r="H12" s="6" t="n">
        <x:f>F12-'日経_D07'!F12</x:f>
        <x:v>-3000</x:v>
      </x:c>
      <x:c r="I12" s="6" t="n">
        <x:v>41000</x:v>
      </x:c>
      <x:c r="J12" s="6" t="n">
        <x:v>24000</x:v>
      </x:c>
      <x:c r="K12" s="6" t="n">
        <x:v>0</x:v>
      </x:c>
      <x:c r="L12" s="6" t="n">
        <x:v>9</x:v>
      </x:c>
      <x:c r="M12" s="6" t="n">
        <x:v>12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32000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115000</x:v>
      </x:c>
      <x:c r="E14" s="6" t="n">
        <x:v>48000</x:v>
      </x:c>
      <x:c r="F14" s="6" t="n">
        <x:f>D14-E14</x:f>
        <x:v>67000</x:v>
      </x:c>
      <x:c r="G14" s="6" t="n">
        <x:f>G13+F14</x:f>
        <x:v>99000</x:v>
      </x:c>
      <x:c r="H14" s="6" t="n">
        <x:f>F14-'日経_D07'!F14</x:f>
        <x:v>-26000</x:v>
      </x:c>
      <x:c r="I14" s="6" t="n">
        <x:v>61000</x:v>
      </x:c>
      <x:c r="J14" s="6" t="n">
        <x:v>6000</x:v>
      </x:c>
      <x:c r="K14" s="6" t="n">
        <x:v>0</x:v>
      </x:c>
      <x:c r="L14" s="6" t="n">
        <x:v>5</x:v>
      </x:c>
      <x:c r="M14" s="6" t="n">
        <x:v>8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100000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69000</x:v>
      </x:c>
      <x:c r="E16" s="6" t="n">
        <x:v>77000</x:v>
      </x:c>
      <x:c r="F16" s="6" t="n">
        <x:f>D16-E16</x:f>
        <x:v>-8000</x:v>
      </x:c>
      <x:c r="G16" s="6" t="n">
        <x:f>G15+F16</x:f>
        <x:v>92000</x:v>
      </x:c>
      <x:c r="H16" s="6" t="n">
        <x:f>F16-'日経_D07'!F16</x:f>
        <x:v>22000</x:v>
      </x:c>
      <x:c r="I16" s="6" t="n">
        <x:v>8000</x:v>
      </x:c>
      <x:c r="J16" s="6" t="n">
        <x:v>-16000</x:v>
      </x:c>
      <x:c r="K16" s="6" t="n">
        <x:v>0</x:v>
      </x:c>
      <x:c r="L16" s="6" t="n">
        <x:v>9</x:v>
      </x:c>
      <x:c r="M16" s="6" t="n">
        <x:v>14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72000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71000</x:v>
      </x:c>
      <x:c r="E18" s="6" t="n">
        <x:v>125000</x:v>
      </x:c>
      <x:c r="F18" s="6" t="n">
        <x:f>D18-E18</x:f>
        <x:v>-54000</x:v>
      </x:c>
      <x:c r="G18" s="6" t="n">
        <x:f>G17+F18</x:f>
        <x:v>18000</x:v>
      </x:c>
      <x:c r="H18" s="6" t="n">
        <x:f>F18-'日経_D07'!F18</x:f>
        <x:v>-124000</x:v>
      </x:c>
      <x:c r="I18" s="6" t="n">
        <x:v>14000</x:v>
      </x:c>
      <x:c r="J18" s="6" t="n">
        <x:v>-68000</x:v>
      </x:c>
      <x:c r="K18" s="6" t="n">
        <x:v>0</x:v>
      </x:c>
      <x:c r="L18" s="6" t="n">
        <x:v>15</x:v>
      </x:c>
      <x:c r="M18" s="6" t="n">
        <x:v>22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83000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61000</x:v>
      </x:c>
      <x:c r="E20" s="6" t="n">
        <x:v>31000</x:v>
      </x:c>
      <x:c r="F20" s="6" t="n">
        <x:f>D20-E20</x:f>
        <x:v>30000</x:v>
      </x:c>
      <x:c r="G20" s="6" t="n">
        <x:f>G19+F20</x:f>
        <x:v>113000</x:v>
      </x:c>
      <x:c r="H20" s="6" t="n">
        <x:f>F20-'日経_D07'!F20</x:f>
        <x:v>-80000</x:v>
      </x:c>
      <x:c r="I20" s="6" t="n">
        <x:v>35000</x:v>
      </x:c>
      <x:c r="J20" s="6" t="n">
        <x:v>-5000</x:v>
      </x:c>
      <x:c r="K20" s="6" t="n">
        <x:v>0</x:v>
      </x:c>
      <x:c r="L20" s="6" t="n">
        <x:v>6</x:v>
      </x:c>
      <x:c r="M20" s="6" t="n">
        <x:v>9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156000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44000</x:v>
      </x:c>
      <x:c r="E22" s="6" t="n">
        <x:v>96000</x:v>
      </x:c>
      <x:c r="F22" s="6" t="n">
        <x:f>D22-E22</x:f>
        <x:v>-52000</x:v>
      </x:c>
      <x:c r="G22" s="6" t="n">
        <x:f>G21+F22</x:f>
        <x:v>104000</x:v>
      </x:c>
      <x:c r="H22" s="6" t="n">
        <x:f>F22-'日経_D07'!F22</x:f>
        <x:v>-148000</x:v>
      </x:c>
      <x:c r="I22" s="6" t="n">
        <x:v>-52000</x:v>
      </x:c>
      <x:c r="J22" s="6" t="n">
        <x:v>0</x:v>
      </x:c>
      <x:c r="K22" s="6" t="n">
        <x:v>0</x:v>
      </x:c>
      <x:c r="L22" s="6" t="n">
        <x:v>5</x:v>
      </x:c>
      <x:c r="M22" s="6" t="n">
        <x:v>8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213000</x:v>
      </x:c>
      <x:c r="H23" s="6" t="n">
        <x:f>F23-'日経_D07'!F23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21000</x:v>
      </x:c>
      <x:c r="F24" s="6" t="n">
        <x:f>D24-E24</x:f>
        <x:v>43000</x:v>
      </x:c>
      <x:c r="G24" s="6" t="n">
        <x:f>G23+F24</x:f>
        <x:v>256000</x:v>
      </x:c>
      <x:c r="H24" s="6" t="n">
        <x:f>F24-'日経_D07'!F24</x:f>
        <x:v>52000</x:v>
      </x:c>
      <x:c r="I24" s="6" t="n">
        <x:v>7000</x:v>
      </x:c>
      <x:c r="J24" s="6" t="n">
        <x:v>36000</x:v>
      </x:c>
      <x:c r="K24" s="6" t="n">
        <x:v>0</x:v>
      </x:c>
      <x:c r="L24" s="6" t="n">
        <x:v>9</x:v>
      </x:c>
      <x:c r="M24" s="6" t="n">
        <x:v>12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512000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48000</x:v>
      </x:c>
      <x:c r="E26" s="6" t="n">
        <x:v>44000</x:v>
      </x:c>
      <x:c r="F26" s="6" t="n">
        <x:f>D26-E26</x:f>
        <x:v>4000</x:v>
      </x:c>
      <x:c r="G26" s="6" t="n">
        <x:f>G25+F26</x:f>
        <x:v>516000</x:v>
      </x:c>
      <x:c r="H26" s="6" t="n">
        <x:f>F26-'日経_D07'!F26</x:f>
        <x:v>112000</x:v>
      </x:c>
      <x:c r="I26" s="6" t="n">
        <x:v>15000</x:v>
      </x:c>
      <x:c r="J26" s="6" t="n">
        <x:v>-11000</x:v>
      </x:c>
      <x:c r="K26" s="6" t="n">
        <x:v>0</x:v>
      </x:c>
      <x:c r="L26" s="6" t="n">
        <x:v>12</x:v>
      </x:c>
      <x:c r="M26" s="6" t="n">
        <x:v>16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550000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16000</x:v>
      </x:c>
      <x:c r="E28" s="6" t="n">
        <x:v>120000</x:v>
      </x:c>
      <x:c r="F28" s="6" t="n">
        <x:f>D28-E28</x:f>
        <x:v>-104000</x:v>
      </x:c>
      <x:c r="G28" s="6" t="n">
        <x:f>G27+F28</x:f>
        <x:v>446000</x:v>
      </x:c>
      <x:c r="H28" s="6" t="n">
        <x:f>F28-'日経_D07'!F28</x:f>
        <x:v>-59000</x:v>
      </x:c>
      <x:c r="I28" s="6" t="n">
        <x:v>-95000</x:v>
      </x:c>
      <x:c r="J28" s="6" t="n">
        <x:v>-9000</x:v>
      </x:c>
      <x:c r="K28" s="6" t="n">
        <x:v>0</x:v>
      </x:c>
      <x:c r="L28" s="6" t="n">
        <x:v>10</x:v>
      </x:c>
      <x:c r="M28" s="6" t="n">
        <x:v>16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436000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139000</x:v>
      </x:c>
      <x:c r="E30" s="6" t="n">
        <x:v>30000</x:v>
      </x:c>
      <x:c r="F30" s="6" t="n">
        <x:f>D30-E30</x:f>
        <x:v>109000</x:v>
      </x:c>
      <x:c r="G30" s="6" t="n">
        <x:f>G29+F30</x:f>
        <x:v>545000</x:v>
      </x:c>
      <x:c r="H30" s="6" t="n">
        <x:f>F30-'日経_D07'!F30</x:f>
        <x:v>-12000</x:v>
      </x:c>
      <x:c r="I30" s="6" t="n">
        <x:v>101000</x:v>
      </x:c>
      <x:c r="J30" s="6" t="n">
        <x:v>8000</x:v>
      </x:c>
      <x:c r="K30" s="6" t="n">
        <x:v>0</x:v>
      </x:c>
      <x:c r="L30" s="6" t="n">
        <x:v>7</x:v>
      </x:c>
      <x:c r="M30" s="6" t="n">
        <x:v>10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502000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31000</x:v>
      </x:c>
      <x:c r="E32" s="6" t="n">
        <x:v>46000</x:v>
      </x:c>
      <x:c r="F32" s="6" t="n">
        <x:f>D32-E32</x:f>
        <x:v>-15000</x:v>
      </x:c>
      <x:c r="G32" s="6" t="n">
        <x:f>G31+F32</x:f>
        <x:v>487000</x:v>
      </x:c>
      <x:c r="H32" s="6" t="n">
        <x:f>F32-'日経_D07'!F32</x:f>
        <x:v>-18000</x:v>
      </x:c>
      <x:c r="I32" s="6" t="n">
        <x:v>-14000</x:v>
      </x:c>
      <x:c r="J32" s="6" t="n">
        <x:v>-1000</x:v>
      </x:c>
      <x:c r="K32" s="6" t="n">
        <x:v>0</x:v>
      </x:c>
      <x:c r="L32" s="6" t="n">
        <x:v>8</x:v>
      </x:c>
      <x:c r="M32" s="6" t="n">
        <x:v>10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798000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19000</x:v>
      </x:c>
      <x:c r="E34" s="6" t="n">
        <x:v>68000</x:v>
      </x:c>
      <x:c r="F34" s="6" t="n">
        <x:f>D34-E34</x:f>
        <x:v>-49000</x:v>
      </x:c>
      <x:c r="G34" s="6" t="n">
        <x:f>G33+F34</x:f>
        <x:v>749000</x:v>
      </x:c>
      <x:c r="H34" s="6" t="n">
        <x:f>F34-'日経_D07'!F34</x:f>
        <x:v>-92000</x:v>
      </x:c>
      <x:c r="I34" s="6" t="n">
        <x:v>-34000</x:v>
      </x:c>
      <x:c r="J34" s="6" t="n">
        <x:v>-15000</x:v>
      </x:c>
      <x:c r="K34" s="6" t="n">
        <x:v>0</x:v>
      </x:c>
      <x:c r="L34" s="6" t="n">
        <x:v>9</x:v>
      </x:c>
      <x:c r="M34" s="6" t="n">
        <x:v>14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763000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0</x:v>
      </x:c>
      <x:c r="E36" s="6" t="n">
        <x:v>39000</x:v>
      </x:c>
      <x:c r="F36" s="6" t="n">
        <x:f>D36-E36</x:f>
        <x:v>-39000</x:v>
      </x:c>
      <x:c r="G36" s="6" t="n">
        <x:f>G35+F36</x:f>
        <x:v>724000</x:v>
      </x:c>
      <x:c r="H36" s="6" t="n">
        <x:f>F36-'日経_D07'!F36</x:f>
        <x:v>-47000</x:v>
      </x:c>
      <x:c r="I36" s="6" t="n">
        <x:v>-39000</x:v>
      </x:c>
      <x:c r="J36" s="6" t="n">
        <x:v>0</x:v>
      </x:c>
      <x:c r="K36" s="6" t="n">
        <x:v>0</x:v>
      </x:c>
      <x:c r="L36" s="6" t="n">
        <x:v>3</x:v>
      </x:c>
      <x:c r="M36" s="6" t="n">
        <x:v>4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806000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63000</x:v>
      </x:c>
      <x:c r="E38" s="6" t="n">
        <x:v>167000</x:v>
      </x:c>
      <x:c r="F38" s="6" t="n">
        <x:f>D38-E38</x:f>
        <x:v>-104000</x:v>
      </x:c>
      <x:c r="G38" s="6" t="n">
        <x:f>G37+F38</x:f>
        <x:v>702000</x:v>
      </x:c>
      <x:c r="H38" s="6" t="n">
        <x:f>F38-'日経_D07'!F38</x:f>
        <x:v>-115000</x:v>
      </x:c>
      <x:c r="I38" s="6" t="n">
        <x:v>-88000</x:v>
      </x:c>
      <x:c r="J38" s="6" t="n">
        <x:v>-16000</x:v>
      </x:c>
      <x:c r="K38" s="6" t="n">
        <x:v>0</x:v>
      </x:c>
      <x:c r="L38" s="6" t="n">
        <x:v>15</x:v>
      </x:c>
      <x:c r="M38" s="6" t="n">
        <x:v>24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649000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45000</x:v>
      </x:c>
      <x:c r="E40" s="6" t="n">
        <x:v>44000</x:v>
      </x:c>
      <x:c r="F40" s="6" t="n">
        <x:f>D40-E40</x:f>
        <x:v>1000</x:v>
      </x:c>
      <x:c r="G40" s="6" t="n">
        <x:f>G39+F40</x:f>
        <x:v>650000</x:v>
      </x:c>
      <x:c r="H40" s="6" t="n">
        <x:f>F40-'日経_D07'!F40</x:f>
        <x:v>-100000</x:v>
      </x:c>
      <x:c r="I40" s="6" t="n">
        <x:v>20000</x:v>
      </x:c>
      <x:c r="J40" s="6" t="n">
        <x:v>-19000</x:v>
      </x:c>
      <x:c r="K40" s="6" t="n">
        <x:v>0</x:v>
      </x:c>
      <x:c r="L40" s="6" t="n">
        <x:v>5</x:v>
      </x:c>
      <x:c r="M40" s="6" t="n">
        <x:v>6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786000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265000</x:v>
      </x:c>
      <x:c r="E42" s="6" t="n">
        <x:v>66000</x:v>
      </x:c>
      <x:c r="F42" s="6" t="n">
        <x:f>D42-E42</x:f>
        <x:v>199000</x:v>
      </x:c>
      <x:c r="G42" s="6" t="n">
        <x:f>G41+F42</x:f>
        <x:v>985000</x:v>
      </x:c>
      <x:c r="H42" s="6" t="n">
        <x:f>F42-'日経_D07'!F42</x:f>
        <x:v>-192000</x:v>
      </x:c>
      <x:c r="I42" s="6" t="n">
        <x:v>178000</x:v>
      </x:c>
      <x:c r="J42" s="6" t="n">
        <x:v>21000</x:v>
      </x:c>
      <x:c r="K42" s="6" t="n">
        <x:v>0</x:v>
      </x:c>
      <x:c r="L42" s="6" t="n">
        <x:v>6</x:v>
      </x:c>
      <x:c r="M42" s="6" t="n">
        <x:v>9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1007000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0</x:v>
      </x:c>
      <x:c r="E44" s="6" t="n">
        <x:v>135000</x:v>
      </x:c>
      <x:c r="F44" s="6" t="n">
        <x:f>D44-E44</x:f>
        <x:v>-135000</x:v>
      </x:c>
      <x:c r="G44" s="6" t="n">
        <x:f>G43+F44</x:f>
        <x:v>872000</x:v>
      </x:c>
      <x:c r="H44" s="6" t="n">
        <x:f>F44-'日経_D07'!F44</x:f>
        <x:v>-14000</x:v>
      </x:c>
      <x:c r="I44" s="6" t="n">
        <x:v>-115000</x:v>
      </x:c>
      <x:c r="J44" s="6" t="n">
        <x:v>-20000</x:v>
      </x:c>
      <x:c r="K44" s="6" t="n">
        <x:v>0</x:v>
      </x:c>
      <x:c r="L44" s="6" t="n">
        <x:v>14</x:v>
      </x:c>
      <x:c r="M44" s="6" t="n">
        <x:v>19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904000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250000</x:v>
      </x:c>
      <x:c r="E46" s="6" t="n">
        <x:v>0</x:v>
      </x:c>
      <x:c r="F46" s="6" t="n">
        <x:f>D46-E46</x:f>
        <x:v>250000</x:v>
      </x:c>
      <x:c r="G46" s="6" t="n">
        <x:f>G45+F46</x:f>
        <x:v>1154000</x:v>
      </x:c>
      <x:c r="H46" s="6" t="n">
        <x:f>F46-'日経_D07'!F46</x:f>
        <x:v>-148000</x:v>
      </x:c>
      <x:c r="I46" s="6" t="n">
        <x:v>246000</x:v>
      </x:c>
      <x:c r="J46" s="6" t="n">
        <x:v>4000</x:v>
      </x:c>
      <x:c r="K46" s="6" t="n">
        <x:v>0</x:v>
      </x:c>
      <x:c r="L46" s="6" t="n">
        <x:v>4</x:v>
      </x:c>
      <x:c r="M46" s="6" t="n">
        <x:v>6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1146000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45000</x:v>
      </x:c>
      <x:c r="E48" s="6" t="n">
        <x:v>157000</x:v>
      </x:c>
      <x:c r="F48" s="6" t="n">
        <x:f>D48-E48</x:f>
        <x:v>-112000</x:v>
      </x:c>
      <x:c r="G48" s="6" t="n">
        <x:f>G47+F48</x:f>
        <x:v>1034000</x:v>
      </x:c>
      <x:c r="H48" s="6" t="n">
        <x:f>F48-'日経_D07'!F48</x:f>
        <x:v>-88000</x:v>
      </x:c>
      <x:c r="I48" s="6" t="n">
        <x:v>-129000</x:v>
      </x:c>
      <x:c r="J48" s="6" t="n">
        <x:v>17000</x:v>
      </x:c>
      <x:c r="K48" s="6" t="n">
        <x:v>0</x:v>
      </x:c>
      <x:c r="L48" s="6" t="n">
        <x:v>14</x:v>
      </x:c>
      <x:c r="M48" s="6" t="n">
        <x:v>21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1134000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37000</x:v>
      </x:c>
      <x:c r="E50" s="6" t="n">
        <x:v>93000</x:v>
      </x:c>
      <x:c r="F50" s="6" t="n">
        <x:f>D50-E50</x:f>
        <x:v>-56000</x:v>
      </x:c>
      <x:c r="G50" s="6" t="n">
        <x:f>G49+F50</x:f>
        <x:v>1078000</x:v>
      </x:c>
      <x:c r="H50" s="6" t="n">
        <x:f>F50-'日経_D07'!F50</x:f>
        <x:v>64000</x:v>
      </x:c>
      <x:c r="I50" s="6" t="n">
        <x:v>-48000</x:v>
      </x:c>
      <x:c r="J50" s="6" t="n">
        <x:v>-8000</x:v>
      </x:c>
      <x:c r="K50" s="6" t="n">
        <x:v>0</x:v>
      </x:c>
      <x:c r="L50" s="6" t="n">
        <x:v>13</x:v>
      </x:c>
      <x:c r="M50" s="6" t="n">
        <x:v>19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1054000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428000</x:v>
      </x:c>
      <x:c r="E52" s="6" t="n">
        <x:v>0</x:v>
      </x:c>
      <x:c r="F52" s="6" t="n">
        <x:f>D52-E52</x:f>
        <x:v>428000</x:v>
      </x:c>
      <x:c r="G52" s="6" t="n">
        <x:f>G51+F52</x:f>
        <x:v>1482000</x:v>
      </x:c>
      <x:c r="H52" s="6" t="n">
        <x:f>F52-'日経_D07'!F52</x:f>
        <x:v>-273000</x:v>
      </x:c>
      <x:c r="I52" s="6" t="n">
        <x:v>297000</x:v>
      </x:c>
      <x:c r="J52" s="6" t="n">
        <x:v>131000</x:v>
      </x:c>
      <x:c r="K52" s="6" t="n">
        <x:v>0</x:v>
      </x:c>
      <x:c r="L52" s="6" t="n">
        <x:v>3</x:v>
      </x:c>
      <x:c r="M52" s="6" t="n">
        <x:v>4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1638000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135000</x:v>
      </x:c>
      <x:c r="E54" s="6" t="n">
        <x:v>89000</x:v>
      </x:c>
      <x:c r="F54" s="6" t="n">
        <x:f>D54-E54</x:f>
        <x:v>46000</x:v>
      </x:c>
      <x:c r="G54" s="6" t="n">
        <x:f>G53+F54</x:f>
        <x:v>1684000</x:v>
      </x:c>
      <x:c r="H54" s="6" t="n">
        <x:f>F54-'日経_D07'!F54</x:f>
        <x:v>-84000</x:v>
      </x:c>
      <x:c r="I54" s="6" t="n">
        <x:v>87000</x:v>
      </x:c>
      <x:c r="J54" s="6" t="n">
        <x:v>-41000</x:v>
      </x:c>
      <x:c r="K54" s="6" t="n">
        <x:v>0</x:v>
      </x:c>
      <x:c r="L54" s="6" t="n">
        <x:v>16</x:v>
      </x:c>
      <x:c r="M54" s="6" t="n">
        <x:v>26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1671000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38000</x:v>
      </x:c>
      <x:c r="F56" s="6" t="n">
        <x:f>D56-E56</x:f>
        <x:v>161000</x:v>
      </x:c>
      <x:c r="G56" s="6" t="n">
        <x:f>G55+F56</x:f>
        <x:v>1832000</x:v>
      </x:c>
      <x:c r="H56" s="6" t="n">
        <x:f>F56-'日経_D07'!F56</x:f>
        <x:v>152000</x:v>
      </x:c>
      <x:c r="I56" s="6" t="n">
        <x:v>138000</x:v>
      </x:c>
      <x:c r="J56" s="6" t="n">
        <x:v>23000</x:v>
      </x:c>
      <x:c r="K56" s="6" t="n">
        <x:v>0</x:v>
      </x:c>
      <x:c r="L56" s="6" t="n">
        <x:v>7</x:v>
      </x:c>
      <x:c r="M56" s="6" t="n">
        <x:v>9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4409000</x:v>
      </x:c>
      <x:c r="E57" s="14" t="n">
        <x:f>SUM(E6:E56)</x:f>
        <x:v>2577000</x:v>
      </x:c>
      <x:c r="F57" s="14" t="n">
        <x:f>D57-E57</x:f>
        <x:v>1832000</x:v>
      </x:c>
      <x:c r="G57" s="14" t="n">
        <x:f>G56</x:f>
        <x:v>1832000</x:v>
      </x:c>
      <x:c r="H57" s="14" t="n">
        <x:f>SUM(H6:H56)</x:f>
        <x:v>-1227000</x:v>
      </x:c>
      <x:c r="I57" s="14" t="n">
        <x:f>SUM(I6:I56)</x:f>
        <x:v>1754000</x:v>
      </x:c>
      <x:c r="J57" s="14" t="n">
        <x:f>SUM(J6:J56)</x:f>
        <x:v>78000</x:v>
      </x:c>
      <x:c r="K57" s="14" t="n">
        <x:f>SUM(K6:K56)</x:f>
        <x:v>0</x:v>
      </x:c>
      <x:c r="L57" s="14" t="n">
        <x:f>SUM(L6:L56)</x:f>
        <x:v>359</x:v>
      </x:c>
      <x:c r="M57" s="14" t="n">
        <x:f>SUM(M6:M56)</x:f>
        <x:v>595</x:v>
      </x:c>
    </x:row>
  </x:sheetData>
  <x:conditionalFormatting sqref="F6:K56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c0d08c4d9f4c6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C03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昼主担当は初回1枚、0.5R順行ごと1枚追加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28000</x:v>
      </x:c>
      <x:c r="E6" s="6" t="n">
        <x:v>0</x:v>
      </x:c>
      <x:c r="F6" s="6" t="n">
        <x:f>D6-E6</x:f>
        <x:v>28000</x:v>
      </x:c>
      <x:c r="G6" s="6" t="n">
        <x:f>F6</x:f>
        <x:v>28000</x:v>
      </x:c>
      <x:c r="H6" s="6" t="n">
        <x:f>F6-'日経_D07'!F6</x:f>
        <x:v>-2000</x:v>
      </x:c>
      <x:c r="I6" s="6" t="n">
        <x:v>28000</x:v>
      </x:c>
      <x:c r="J6" s="6" t="n">
        <x:v>0</x:v>
      </x:c>
      <x:c r="K6" s="6" t="n">
        <x:v>0</x:v>
      </x:c>
      <x:c r="L6" s="6" t="n">
        <x:v>2</x:v>
      </x:c>
      <x:c r="M6" s="6" t="n">
        <x:v>3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-17000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14000</x:v>
      </x:c>
      <x:c r="F8" s="6" t="n">
        <x:f>D8-E8</x:f>
        <x:v>-14000</x:v>
      </x:c>
      <x:c r="G8" s="6" t="n">
        <x:f>G7+F8</x:f>
        <x:v>-31000</x:v>
      </x:c>
      <x:c r="H8" s="6" t="n">
        <x:f>F8-'日経_D07'!F8</x:f>
        <x:v>56000</x:v>
      </x:c>
      <x:c r="I8" s="6" t="n">
        <x:v>-14000</x:v>
      </x:c>
      <x:c r="J8" s="6" t="n">
        <x:v>0</x:v>
      </x:c>
      <x:c r="K8" s="6" t="n">
        <x:v>0</x:v>
      </x:c>
      <x:c r="L8" s="6" t="n">
        <x:v>2</x:v>
      </x:c>
      <x:c r="M8" s="6" t="n">
        <x:v>2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-7000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17000</x:v>
      </x:c>
      <x:c r="E10" s="6" t="n">
        <x:v>0</x:v>
      </x:c>
      <x:c r="F10" s="6" t="n">
        <x:f>D10-E10</x:f>
        <x:v>17000</x:v>
      </x:c>
      <x:c r="G10" s="6" t="n">
        <x:f>G9+F10</x:f>
        <x:v>10000</x:v>
      </x:c>
      <x:c r="H10" s="6" t="n">
        <x:f>F10-'日経_D07'!F10</x:f>
        <x:v>-33000</x:v>
      </x:c>
      <x:c r="I10" s="6" t="n">
        <x:v>13000</x:v>
      </x:c>
      <x:c r="J10" s="6" t="n">
        <x:v>4000</x:v>
      </x:c>
      <x:c r="K10" s="6" t="n">
        <x:v>0</x:v>
      </x:c>
      <x:c r="L10" s="6" t="n">
        <x:v>3</x:v>
      </x:c>
      <x:c r="M10" s="6" t="n">
        <x:v>3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-26000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85000</x:v>
      </x:c>
      <x:c r="E12" s="6" t="n">
        <x:v>12000</x:v>
      </x:c>
      <x:c r="F12" s="6" t="n">
        <x:f>D12-E12</x:f>
        <x:v>73000</x:v>
      </x:c>
      <x:c r="G12" s="6" t="n">
        <x:f>G11+F12</x:f>
        <x:v>47000</x:v>
      </x:c>
      <x:c r="H12" s="6" t="n">
        <x:f>F12-'日経_D07'!F12</x:f>
        <x:v>5000</x:v>
      </x:c>
      <x:c r="I12" s="6" t="n">
        <x:v>39000</x:v>
      </x:c>
      <x:c r="J12" s="6" t="n">
        <x:v>34000</x:v>
      </x:c>
      <x:c r="K12" s="6" t="n">
        <x:v>0</x:v>
      </x:c>
      <x:c r="L12" s="6" t="n">
        <x:v>11</x:v>
      </x:c>
      <x:c r="M12" s="6" t="n">
        <x:v>14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67000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94000</x:v>
      </x:c>
      <x:c r="E14" s="6" t="n">
        <x:v>48000</x:v>
      </x:c>
      <x:c r="F14" s="6" t="n">
        <x:f>D14-E14</x:f>
        <x:v>46000</x:v>
      </x:c>
      <x:c r="G14" s="6" t="n">
        <x:f>G13+F14</x:f>
        <x:v>113000</x:v>
      </x:c>
      <x:c r="H14" s="6" t="n">
        <x:f>F14-'日経_D07'!F14</x:f>
        <x:v>-47000</x:v>
      </x:c>
      <x:c r="I14" s="6" t="n">
        <x:v>35000</x:v>
      </x:c>
      <x:c r="J14" s="6" t="n">
        <x:v>11000</x:v>
      </x:c>
      <x:c r="K14" s="6" t="n">
        <x:v>0</x:v>
      </x:c>
      <x:c r="L14" s="6" t="n">
        <x:v>8</x:v>
      </x:c>
      <x:c r="M14" s="6" t="n">
        <x:v>11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114000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56000</x:v>
      </x:c>
      <x:c r="E16" s="6" t="n">
        <x:v>77000</x:v>
      </x:c>
      <x:c r="F16" s="6" t="n">
        <x:f>D16-E16</x:f>
        <x:v>-21000</x:v>
      </x:c>
      <x:c r="G16" s="6" t="n">
        <x:f>G15+F16</x:f>
        <x:v>93000</x:v>
      </x:c>
      <x:c r="H16" s="6" t="n">
        <x:f>F16-'日経_D07'!F16</x:f>
        <x:v>9000</x:v>
      </x:c>
      <x:c r="I16" s="6" t="n">
        <x:v>-31000</x:v>
      </x:c>
      <x:c r="J16" s="6" t="n">
        <x:v>10000</x:v>
      </x:c>
      <x:c r="K16" s="6" t="n">
        <x:v>0</x:v>
      </x:c>
      <x:c r="L16" s="6" t="n">
        <x:v>12</x:v>
      </x:c>
      <x:c r="M16" s="6" t="n">
        <x:v>17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73000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93000</x:v>
      </x:c>
      <x:c r="E18" s="6" t="n">
        <x:v>125000</x:v>
      </x:c>
      <x:c r="F18" s="6" t="n">
        <x:f>D18-E18</x:f>
        <x:v>-32000</x:v>
      </x:c>
      <x:c r="G18" s="6" t="n">
        <x:f>G17+F18</x:f>
        <x:v>41000</x:v>
      </x:c>
      <x:c r="H18" s="6" t="n">
        <x:f>F18-'日経_D07'!F18</x:f>
        <x:v>-102000</x:v>
      </x:c>
      <x:c r="I18" s="6" t="n">
        <x:v>-12000</x:v>
      </x:c>
      <x:c r="J18" s="6" t="n">
        <x:v>-20000</x:v>
      </x:c>
      <x:c r="K18" s="6" t="n">
        <x:v>0</x:v>
      </x:c>
      <x:c r="L18" s="6" t="n">
        <x:v>21</x:v>
      </x:c>
      <x:c r="M18" s="6" t="n">
        <x:v>28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106000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31000</x:v>
      </x:c>
      <x:c r="E20" s="6" t="n">
        <x:v>31000</x:v>
      </x:c>
      <x:c r="F20" s="6" t="n">
        <x:f>D20-E20</x:f>
        <x:v>0</x:v>
      </x:c>
      <x:c r="G20" s="6" t="n">
        <x:f>G19+F20</x:f>
        <x:v>106000</x:v>
      </x:c>
      <x:c r="H20" s="6" t="n">
        <x:f>F20-'日経_D07'!F20</x:f>
        <x:v>-110000</x:v>
      </x:c>
      <x:c r="I20" s="6" t="n">
        <x:v>-7000</x:v>
      </x:c>
      <x:c r="J20" s="6" t="n">
        <x:v>7000</x:v>
      </x:c>
      <x:c r="K20" s="6" t="n">
        <x:v>0</x:v>
      </x:c>
      <x:c r="L20" s="6" t="n">
        <x:v>9</x:v>
      </x:c>
      <x:c r="M20" s="6" t="n">
        <x:v>12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149000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68000</x:v>
      </x:c>
      <x:c r="E22" s="6" t="n">
        <x:v>96000</x:v>
      </x:c>
      <x:c r="F22" s="6" t="n">
        <x:f>D22-E22</x:f>
        <x:v>-28000</x:v>
      </x:c>
      <x:c r="G22" s="6" t="n">
        <x:f>G21+F22</x:f>
        <x:v>121000</x:v>
      </x:c>
      <x:c r="H22" s="6" t="n">
        <x:f>F22-'日経_D07'!F22</x:f>
        <x:v>-124000</x:v>
      </x:c>
      <x:c r="I22" s="6" t="n">
        <x:v>-65000</x:v>
      </x:c>
      <x:c r="J22" s="6" t="n">
        <x:v>37000</x:v>
      </x:c>
      <x:c r="K22" s="6" t="n">
        <x:v>0</x:v>
      </x:c>
      <x:c r="L22" s="6" t="n">
        <x:v>8</x:v>
      </x:c>
      <x:c r="M22" s="6" t="n">
        <x:v>11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230000</x:v>
      </x:c>
      <x:c r="H23" s="6" t="n">
        <x:f>F23-'日経_D07'!F23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43000</x:v>
      </x:c>
      <x:c r="F24" s="6" t="n">
        <x:f>D24-E24</x:f>
        <x:v>21000</x:v>
      </x:c>
      <x:c r="G24" s="6" t="n">
        <x:f>G23+F24</x:f>
        <x:v>251000</x:v>
      </x:c>
      <x:c r="H24" s="6" t="n">
        <x:f>F24-'日経_D07'!F24</x:f>
        <x:v>30000</x:v>
      </x:c>
      <x:c r="I24" s="6" t="n">
        <x:v>7000</x:v>
      </x:c>
      <x:c r="J24" s="6" t="n">
        <x:v>14000</x:v>
      </x:c>
      <x:c r="K24" s="6" t="n">
        <x:v>0</x:v>
      </x:c>
      <x:c r="L24" s="6" t="n">
        <x:v>10</x:v>
      </x:c>
      <x:c r="M24" s="6" t="n">
        <x:v>13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507000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48000</x:v>
      </x:c>
      <x:c r="E26" s="6" t="n">
        <x:v>80000</x:v>
      </x:c>
      <x:c r="F26" s="6" t="n">
        <x:f>D26-E26</x:f>
        <x:v>-32000</x:v>
      </x:c>
      <x:c r="G26" s="6" t="n">
        <x:f>G25+F26</x:f>
        <x:v>475000</x:v>
      </x:c>
      <x:c r="H26" s="6" t="n">
        <x:f>F26-'日経_D07'!F26</x:f>
        <x:v>76000</x:v>
      </x:c>
      <x:c r="I26" s="6" t="n">
        <x:v>15000</x:v>
      </x:c>
      <x:c r="J26" s="6" t="n">
        <x:v>-47000</x:v>
      </x:c>
      <x:c r="K26" s="6" t="n">
        <x:v>0</x:v>
      </x:c>
      <x:c r="L26" s="6" t="n">
        <x:v>15</x:v>
      </x:c>
      <x:c r="M26" s="6" t="n">
        <x:v>19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509000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22000</x:v>
      </x:c>
      <x:c r="E28" s="6" t="n">
        <x:v>138000</x:v>
      </x:c>
      <x:c r="F28" s="6" t="n">
        <x:f>D28-E28</x:f>
        <x:v>-116000</x:v>
      </x:c>
      <x:c r="G28" s="6" t="n">
        <x:f>G27+F28</x:f>
        <x:v>393000</x:v>
      </x:c>
      <x:c r="H28" s="6" t="n">
        <x:f>F28-'日経_D07'!F28</x:f>
        <x:v>-71000</x:v>
      </x:c>
      <x:c r="I28" s="6" t="n">
        <x:v>-98000</x:v>
      </x:c>
      <x:c r="J28" s="6" t="n">
        <x:v>-18000</x:v>
      </x:c>
      <x:c r="K28" s="6" t="n">
        <x:v>0</x:v>
      </x:c>
      <x:c r="L28" s="6" t="n">
        <x:v>14</x:v>
      </x:c>
      <x:c r="M28" s="6" t="n">
        <x:v>20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383000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134000</x:v>
      </x:c>
      <x:c r="E30" s="6" t="n">
        <x:v>30000</x:v>
      </x:c>
      <x:c r="F30" s="6" t="n">
        <x:f>D30-E30</x:f>
        <x:v>104000</x:v>
      </x:c>
      <x:c r="G30" s="6" t="n">
        <x:f>G29+F30</x:f>
        <x:v>487000</x:v>
      </x:c>
      <x:c r="H30" s="6" t="n">
        <x:f>F30-'日経_D07'!F30</x:f>
        <x:v>-17000</x:v>
      </x:c>
      <x:c r="I30" s="6" t="n">
        <x:v>94000</x:v>
      </x:c>
      <x:c r="J30" s="6" t="n">
        <x:v>10000</x:v>
      </x:c>
      <x:c r="K30" s="6" t="n">
        <x:v>0</x:v>
      </x:c>
      <x:c r="L30" s="6" t="n">
        <x:v>9</x:v>
      </x:c>
      <x:c r="M30" s="6" t="n">
        <x:v>12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444000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37000</x:v>
      </x:c>
      <x:c r="E32" s="6" t="n">
        <x:v>48000</x:v>
      </x:c>
      <x:c r="F32" s="6" t="n">
        <x:f>D32-E32</x:f>
        <x:v>-11000</x:v>
      </x:c>
      <x:c r="G32" s="6" t="n">
        <x:f>G31+F32</x:f>
        <x:v>433000</x:v>
      </x:c>
      <x:c r="H32" s="6" t="n">
        <x:f>F32-'日経_D07'!F32</x:f>
        <x:v>-14000</x:v>
      </x:c>
      <x:c r="I32" s="6" t="n">
        <x:v>-19000</x:v>
      </x:c>
      <x:c r="J32" s="6" t="n">
        <x:v>8000</x:v>
      </x:c>
      <x:c r="K32" s="6" t="n">
        <x:v>0</x:v>
      </x:c>
      <x:c r="L32" s="6" t="n">
        <x:v>12</x:v>
      </x:c>
      <x:c r="M32" s="6" t="n">
        <x:v>14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744000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68000</x:v>
      </x:c>
      <x:c r="E34" s="6" t="n">
        <x:v>68000</x:v>
      </x:c>
      <x:c r="F34" s="6" t="n">
        <x:f>D34-E34</x:f>
        <x:v>0</x:v>
      </x:c>
      <x:c r="G34" s="6" t="n">
        <x:f>G33+F34</x:f>
        <x:v>744000</x:v>
      </x:c>
      <x:c r="H34" s="6" t="n">
        <x:f>F34-'日経_D07'!F34</x:f>
        <x:v>-43000</x:v>
      </x:c>
      <x:c r="I34" s="6" t="n">
        <x:v>10000</x:v>
      </x:c>
      <x:c r="J34" s="6" t="n">
        <x:v>-10000</x:v>
      </x:c>
      <x:c r="K34" s="6" t="n">
        <x:v>0</x:v>
      </x:c>
      <x:c r="L34" s="6" t="n">
        <x:v>12</x:v>
      </x:c>
      <x:c r="M34" s="6" t="n">
        <x:v>17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758000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0</x:v>
      </x:c>
      <x:c r="E36" s="6" t="n">
        <x:v>39000</x:v>
      </x:c>
      <x:c r="F36" s="6" t="n">
        <x:f>D36-E36</x:f>
        <x:v>-39000</x:v>
      </x:c>
      <x:c r="G36" s="6" t="n">
        <x:f>G35+F36</x:f>
        <x:v>719000</x:v>
      </x:c>
      <x:c r="H36" s="6" t="n">
        <x:f>F36-'日経_D07'!F36</x:f>
        <x:v>-47000</x:v>
      </x:c>
      <x:c r="I36" s="6" t="n">
        <x:v>-39000</x:v>
      </x:c>
      <x:c r="J36" s="6" t="n">
        <x:v>0</x:v>
      </x:c>
      <x:c r="K36" s="6" t="n">
        <x:v>0</x:v>
      </x:c>
      <x:c r="L36" s="6" t="n">
        <x:v>3</x:v>
      </x:c>
      <x:c r="M36" s="6" t="n">
        <x:v>4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801000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82000</x:v>
      </x:c>
      <x:c r="E38" s="6" t="n">
        <x:v>157000</x:v>
      </x:c>
      <x:c r="F38" s="6" t="n">
        <x:f>D38-E38</x:f>
        <x:v>-75000</x:v>
      </x:c>
      <x:c r="G38" s="6" t="n">
        <x:f>G37+F38</x:f>
        <x:v>726000</x:v>
      </x:c>
      <x:c r="H38" s="6" t="n">
        <x:f>F38-'日経_D07'!F38</x:f>
        <x:v>-86000</x:v>
      </x:c>
      <x:c r="I38" s="6" t="n">
        <x:v>-68000</x:v>
      </x:c>
      <x:c r="J38" s="6" t="n">
        <x:v>-7000</x:v>
      </x:c>
      <x:c r="K38" s="6" t="n">
        <x:v>0</x:v>
      </x:c>
      <x:c r="L38" s="6" t="n">
        <x:v>21</x:v>
      </x:c>
      <x:c r="M38" s="6" t="n">
        <x:v>30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673000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74000</x:v>
      </x:c>
      <x:c r="E40" s="6" t="n">
        <x:v>55000</x:v>
      </x:c>
      <x:c r="F40" s="6" t="n">
        <x:f>D40-E40</x:f>
        <x:v>19000</x:v>
      </x:c>
      <x:c r="G40" s="6" t="n">
        <x:f>G39+F40</x:f>
        <x:v>692000</x:v>
      </x:c>
      <x:c r="H40" s="6" t="n">
        <x:f>F40-'日経_D07'!F40</x:f>
        <x:v>-82000</x:v>
      </x:c>
      <x:c r="I40" s="6" t="n">
        <x:v>-6000</x:v>
      </x:c>
      <x:c r="J40" s="6" t="n">
        <x:v>25000</x:v>
      </x:c>
      <x:c r="K40" s="6" t="n">
        <x:v>0</x:v>
      </x:c>
      <x:c r="L40" s="6" t="n">
        <x:v>11</x:v>
      </x:c>
      <x:c r="M40" s="6" t="n">
        <x:v>12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828000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218000</x:v>
      </x:c>
      <x:c r="E42" s="6" t="n">
        <x:v>66000</x:v>
      </x:c>
      <x:c r="F42" s="6" t="n">
        <x:f>D42-E42</x:f>
        <x:v>152000</x:v>
      </x:c>
      <x:c r="G42" s="6" t="n">
        <x:f>G41+F42</x:f>
        <x:v>980000</x:v>
      </x:c>
      <x:c r="H42" s="6" t="n">
        <x:f>F42-'日経_D07'!F42</x:f>
        <x:v>-239000</x:v>
      </x:c>
      <x:c r="I42" s="6" t="n">
        <x:v>120000</x:v>
      </x:c>
      <x:c r="J42" s="6" t="n">
        <x:v>32000</x:v>
      </x:c>
      <x:c r="K42" s="6" t="n">
        <x:v>0</x:v>
      </x:c>
      <x:c r="L42" s="6" t="n">
        <x:v>8</x:v>
      </x:c>
      <x:c r="M42" s="6" t="n">
        <x:v>11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1002000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56000</x:v>
      </x:c>
      <x:c r="E44" s="6" t="n">
        <x:v>124000</x:v>
      </x:c>
      <x:c r="F44" s="6" t="n">
        <x:f>D44-E44</x:f>
        <x:v>-68000</x:v>
      </x:c>
      <x:c r="G44" s="6" t="n">
        <x:f>G43+F44</x:f>
        <x:v>934000</x:v>
      </x:c>
      <x:c r="H44" s="6" t="n">
        <x:f>F44-'日経_D07'!F44</x:f>
        <x:v>53000</x:v>
      </x:c>
      <x:c r="I44" s="6" t="n">
        <x:v>-71000</x:v>
      </x:c>
      <x:c r="J44" s="6" t="n">
        <x:v>3000</x:v>
      </x:c>
      <x:c r="K44" s="6" t="n">
        <x:v>0</x:v>
      </x:c>
      <x:c r="L44" s="6" t="n">
        <x:v>19</x:v>
      </x:c>
      <x:c r="M44" s="6" t="n">
        <x:v>24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966000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278000</x:v>
      </x:c>
      <x:c r="E46" s="6" t="n">
        <x:v>0</x:v>
      </x:c>
      <x:c r="F46" s="6" t="n">
        <x:f>D46-E46</x:f>
        <x:v>278000</x:v>
      </x:c>
      <x:c r="G46" s="6" t="n">
        <x:f>G45+F46</x:f>
        <x:v>1244000</x:v>
      </x:c>
      <x:c r="H46" s="6" t="n">
        <x:f>F46-'日経_D07'!F46</x:f>
        <x:v>-120000</x:v>
      </x:c>
      <x:c r="I46" s="6" t="n">
        <x:v>250000</x:v>
      </x:c>
      <x:c r="J46" s="6" t="n">
        <x:v>28000</x:v>
      </x:c>
      <x:c r="K46" s="6" t="n">
        <x:v>0</x:v>
      </x:c>
      <x:c r="L46" s="6" t="n">
        <x:v>7</x:v>
      </x:c>
      <x:c r="M46" s="6" t="n">
        <x:v>9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1236000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70000</x:v>
      </x:c>
      <x:c r="E48" s="6" t="n">
        <x:v>155000</x:v>
      </x:c>
      <x:c r="F48" s="6" t="n">
        <x:f>D48-E48</x:f>
        <x:v>-85000</x:v>
      </x:c>
      <x:c r="G48" s="6" t="n">
        <x:f>G47+F48</x:f>
        <x:v>1151000</x:v>
      </x:c>
      <x:c r="H48" s="6" t="n">
        <x:f>F48-'日経_D07'!F48</x:f>
        <x:v>-61000</x:v>
      </x:c>
      <x:c r="I48" s="6" t="n">
        <x:v>-104000</x:v>
      </x:c>
      <x:c r="J48" s="6" t="n">
        <x:v>19000</x:v>
      </x:c>
      <x:c r="K48" s="6" t="n">
        <x:v>0</x:v>
      </x:c>
      <x:c r="L48" s="6" t="n">
        <x:v>21</x:v>
      </x:c>
      <x:c r="M48" s="6" t="n">
        <x:v>28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1251000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39000</x:v>
      </x:c>
      <x:c r="E50" s="6" t="n">
        <x:v>93000</x:v>
      </x:c>
      <x:c r="F50" s="6" t="n">
        <x:f>D50-E50</x:f>
        <x:v>-54000</x:v>
      </x:c>
      <x:c r="G50" s="6" t="n">
        <x:f>G49+F50</x:f>
        <x:v>1197000</x:v>
      </x:c>
      <x:c r="H50" s="6" t="n">
        <x:f>F50-'日経_D07'!F50</x:f>
        <x:v>66000</x:v>
      </x:c>
      <x:c r="I50" s="6" t="n">
        <x:v>-56000</x:v>
      </x:c>
      <x:c r="J50" s="6" t="n">
        <x:v>2000</x:v>
      </x:c>
      <x:c r="K50" s="6" t="n">
        <x:v>0</x:v>
      </x:c>
      <x:c r="L50" s="6" t="n">
        <x:v>16</x:v>
      </x:c>
      <x:c r="M50" s="6" t="n">
        <x:v>22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1173000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394000</x:v>
      </x:c>
      <x:c r="E52" s="6" t="n">
        <x:v>0</x:v>
      </x:c>
      <x:c r="F52" s="6" t="n">
        <x:f>D52-E52</x:f>
        <x:v>394000</x:v>
      </x:c>
      <x:c r="G52" s="6" t="n">
        <x:f>G51+F52</x:f>
        <x:v>1567000</x:v>
      </x:c>
      <x:c r="H52" s="6" t="n">
        <x:f>F52-'日経_D07'!F52</x:f>
        <x:v>-307000</x:v>
      </x:c>
      <x:c r="I52" s="6" t="n">
        <x:v>239000</x:v>
      </x:c>
      <x:c r="J52" s="6" t="n">
        <x:v>155000</x:v>
      </x:c>
      <x:c r="K52" s="6" t="n">
        <x:v>0</x:v>
      </x:c>
      <x:c r="L52" s="6" t="n">
        <x:v>6</x:v>
      </x:c>
      <x:c r="M52" s="6" t="n">
        <x:v>7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1723000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128000</x:v>
      </x:c>
      <x:c r="E54" s="6" t="n">
        <x:v>89000</x:v>
      </x:c>
      <x:c r="F54" s="6" t="n">
        <x:f>D54-E54</x:f>
        <x:v>39000</x:v>
      </x:c>
      <x:c r="G54" s="6" t="n">
        <x:f>G53+F54</x:f>
        <x:v>1762000</x:v>
      </x:c>
      <x:c r="H54" s="6" t="n">
        <x:f>F54-'日経_D07'!F54</x:f>
        <x:v>-91000</x:v>
      </x:c>
      <x:c r="I54" s="6" t="n">
        <x:v>87000</x:v>
      </x:c>
      <x:c r="J54" s="6" t="n">
        <x:v>-48000</x:v>
      </x:c>
      <x:c r="K54" s="6" t="n">
        <x:v>0</x:v>
      </x:c>
      <x:c r="L54" s="6" t="n">
        <x:v>18</x:v>
      </x:c>
      <x:c r="M54" s="6" t="n">
        <x:v>28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1749000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38000</x:v>
      </x:c>
      <x:c r="F56" s="6" t="n">
        <x:f>D56-E56</x:f>
        <x:v>161000</x:v>
      </x:c>
      <x:c r="G56" s="6" t="n">
        <x:f>G55+F56</x:f>
        <x:v>1910000</x:v>
      </x:c>
      <x:c r="H56" s="6" t="n">
        <x:f>F56-'日経_D07'!F56</x:f>
        <x:v>152000</x:v>
      </x:c>
      <x:c r="I56" s="6" t="n">
        <x:v>138000</x:v>
      </x:c>
      <x:c r="J56" s="6" t="n">
        <x:v>23000</x:v>
      </x:c>
      <x:c r="K56" s="6" t="n">
        <x:v>0</x:v>
      </x:c>
      <x:c r="L56" s="6" t="n">
        <x:v>7</x:v>
      </x:c>
      <x:c r="M56" s="6" t="n">
        <x:v>9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4543000</x:v>
      </x:c>
      <x:c r="E57" s="14" t="n">
        <x:f>SUM(E6:E56)</x:f>
        <x:v>2633000</x:v>
      </x:c>
      <x:c r="F57" s="14" t="n">
        <x:f>D57-E57</x:f>
        <x:v>1910000</x:v>
      </x:c>
      <x:c r="G57" s="14" t="n">
        <x:f>G56</x:f>
        <x:v>1910000</x:v>
      </x:c>
      <x:c r="H57" s="14" t="n">
        <x:f>SUM(H6:H56)</x:f>
        <x:v>-1149000</x:v>
      </x:c>
      <x:c r="I57" s="14" t="n">
        <x:f>SUM(I6:I56)</x:f>
        <x:v>1601000</x:v>
      </x:c>
      <x:c r="J57" s="14" t="n">
        <x:f>SUM(J6:J56)</x:f>
        <x:v>309000</x:v>
      </x:c>
      <x:c r="K57" s="14" t="n">
        <x:f>SUM(K6:K56)</x:f>
        <x:v>0</x:v>
      </x:c>
      <x:c r="L57" s="14" t="n">
        <x:f>SUM(L6:L56)</x:f>
        <x:v>435</x:v>
      </x:c>
      <x:c r="M57" s="14" t="n">
        <x:f>SUM(M6:M56)</x:f>
        <x:v>671</x:v>
      </x:c>
    </x:row>
  </x:sheetData>
  <x:conditionalFormatting sqref="F6:K56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7b161600624db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A01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追加担当の通常追撃だけを停止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118000</x:v>
      </x:c>
      <x:c r="E12" s="6" t="n">
        <x:v>60000</x:v>
      </x:c>
      <x:c r="F12" s="6" t="n">
        <x:f>D12-E12</x:f>
        <x:v>58000</x:v>
      </x:c>
      <x:c r="G12" s="6" t="n">
        <x:f>G11+F12</x:f>
        <x:v>11000</x:v>
      </x:c>
      <x:c r="H12" s="6" t="n">
        <x:f>F12-'日経_D07'!F12</x:f>
        <x:v>-10000</x:v>
      </x:c>
      <x:c r="I12" s="6" t="n">
        <x:v>40000</x:v>
      </x:c>
      <x:c r="J12" s="6" t="n">
        <x:v>18000</x:v>
      </x:c>
      <x:c r="K12" s="6" t="n">
        <x:v>0</x:v>
      </x:c>
      <x:c r="L12" s="6" t="n">
        <x:v>8</x:v>
      </x:c>
      <x:c r="M12" s="6" t="n">
        <x:v>19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31000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114000</x:v>
      </x:c>
      <x:c r="E14" s="6" t="n">
        <x:v>48000</x:v>
      </x:c>
      <x:c r="F14" s="6" t="n">
        <x:f>D14-E14</x:f>
        <x:v>66000</x:v>
      </x:c>
      <x:c r="G14" s="6" t="n">
        <x:f>G13+F14</x:f>
        <x:v>97000</x:v>
      </x:c>
      <x:c r="H14" s="6" t="n">
        <x:f>F14-'日経_D07'!F14</x:f>
        <x:v>-27000</x:v>
      </x:c>
      <x:c r="I14" s="6" t="n">
        <x:v>66000</x:v>
      </x:c>
      <x:c r="J14" s="6" t="n">
        <x:v>0</x:v>
      </x:c>
      <x:c r="K14" s="6" t="n">
        <x:v>0</x:v>
      </x:c>
      <x:c r="L14" s="6" t="n">
        <x:v>4</x:v>
      </x:c>
      <x:c r="M14" s="6" t="n">
        <x:v>11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98000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110000</x:v>
      </x:c>
      <x:c r="E16" s="6" t="n">
        <x:v>131000</x:v>
      </x:c>
      <x:c r="F16" s="6" t="n">
        <x:f>D16-E16</x:f>
        <x:v>-21000</x:v>
      </x:c>
      <x:c r="G16" s="6" t="n">
        <x:f>G15+F16</x:f>
        <x:v>77000</x:v>
      </x:c>
      <x:c r="H16" s="6" t="n">
        <x:f>F16-'日経_D07'!F16</x:f>
        <x:v>9000</x:v>
      </x:c>
      <x:c r="I16" s="6" t="n">
        <x:v>-3000</x:v>
      </x:c>
      <x:c r="J16" s="6" t="n">
        <x:v>-18000</x:v>
      </x:c>
      <x:c r="K16" s="6" t="n">
        <x:v>0</x:v>
      </x:c>
      <x:c r="L16" s="6" t="n">
        <x:v>8</x:v>
      </x:c>
      <x:c r="M16" s="6" t="n">
        <x:v>21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19000</x:v>
      </x:c>
      <x:c r="E17" s="6" t="n">
        <x:v>30000</x:v>
      </x:c>
      <x:c r="F17" s="6" t="n">
        <x:f>D17-E17</x:f>
        <x:v>-11000</x:v>
      </x:c>
      <x:c r="G17" s="6" t="n">
        <x:f>G16+F17</x:f>
        <x:v>66000</x:v>
      </x:c>
      <x:c r="H17" s="6" t="n">
        <x:f>F17-'日経_D07'!F17</x:f>
        <x:v>9000</x:v>
      </x:c>
      <x:c r="I17" s="6" t="n">
        <x:v>-11000</x:v>
      </x:c>
      <x:c r="J17" s="6" t="n">
        <x:v>0</x:v>
      </x:c>
      <x:c r="K17" s="6" t="n">
        <x:v>0</x:v>
      </x:c>
      <x:c r="L17" s="6" t="n">
        <x:v>4</x:v>
      </x:c>
      <x:c r="M17" s="6" t="n">
        <x:v>6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88000</x:v>
      </x:c>
      <x:c r="F18" s="6" t="n">
        <x:f>D18-E18</x:f>
        <x:v>107000</x:v>
      </x:c>
      <x:c r="G18" s="6" t="n">
        <x:f>G17+F18</x:f>
        <x:v>173000</x:v>
      </x:c>
      <x:c r="H18" s="6" t="n">
        <x:f>F18-'日経_D07'!F18</x:f>
        <x:v>37000</x:v>
      </x:c>
      <x:c r="I18" s="6" t="n">
        <x:v>138000</x:v>
      </x:c>
      <x:c r="J18" s="6" t="n">
        <x:v>-31000</x:v>
      </x:c>
      <x:c r="K18" s="6" t="n">
        <x:v>0</x:v>
      </x:c>
      <x:c r="L18" s="6" t="n">
        <x:v>13</x:v>
      </x:c>
      <x:c r="M18" s="6" t="n">
        <x:v>28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238000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348000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391000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487000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208000</x:v>
      </x:c>
      <x:c r="E23" s="6" t="n">
        <x:v>98000</x:v>
      </x:c>
      <x:c r="F23" s="6" t="n">
        <x:f>D23-E23</x:f>
        <x:v>110000</x:v>
      </x:c>
      <x:c r="G23" s="6" t="n">
        <x:f>G22+F23</x:f>
        <x:v>597000</x:v>
      </x:c>
      <x:c r="H23" s="6" t="n">
        <x:f>F23-'日経_D07'!F23</x:f>
        <x:v>1000</x:v>
      </x:c>
      <x:c r="I23" s="6" t="n">
        <x:v>98000</x:v>
      </x:c>
      <x:c r="J23" s="6" t="n">
        <x:v>12000</x:v>
      </x:c>
      <x:c r="K23" s="6" t="n">
        <x:v>0</x:v>
      </x:c>
      <x:c r="L23" s="6" t="n">
        <x:v>12</x:v>
      </x:c>
      <x:c r="M23" s="6" t="n">
        <x:v>20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72000</x:v>
      </x:c>
      <x:c r="E24" s="6" t="n">
        <x:v>65000</x:v>
      </x:c>
      <x:c r="F24" s="6" t="n">
        <x:f>D24-E24</x:f>
        <x:v>7000</x:v>
      </x:c>
      <x:c r="G24" s="6" t="n">
        <x:f>G23+F24</x:f>
        <x:v>604000</x:v>
      </x:c>
      <x:c r="H24" s="6" t="n">
        <x:f>F24-'日経_D07'!F24</x:f>
        <x:v>16000</x:v>
      </x:c>
      <x:c r="I24" s="6" t="n">
        <x:v>-22000</x:v>
      </x:c>
      <x:c r="J24" s="6" t="n">
        <x:v>29000</x:v>
      </x:c>
      <x:c r="K24" s="6" t="n">
        <x:v>0</x:v>
      </x:c>
      <x:c r="L24" s="6" t="n">
        <x:v>7</x:v>
      </x:c>
      <x:c r="M24" s="6" t="n">
        <x:v>14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296000</x:v>
      </x:c>
      <x:c r="E25" s="6" t="n">
        <x:v>38000</x:v>
      </x:c>
      <x:c r="F25" s="6" t="n">
        <x:f>D25-E25</x:f>
        <x:v>258000</x:v>
      </x:c>
      <x:c r="G25" s="6" t="n">
        <x:f>G24+F25</x:f>
        <x:v>862000</x:v>
      </x:c>
      <x:c r="H25" s="6" t="n">
        <x:f>F25-'日経_D07'!F25</x:f>
        <x:v>2000</x:v>
      </x:c>
      <x:c r="I25" s="6" t="n">
        <x:v>240000</x:v>
      </x:c>
      <x:c r="J25" s="6" t="n">
        <x:v>18000</x:v>
      </x:c>
      <x:c r="K25" s="6" t="n">
        <x:v>0</x:v>
      </x:c>
      <x:c r="L25" s="6" t="n">
        <x:v>11</x:v>
      </x:c>
      <x:c r="M25" s="6" t="n">
        <x:v>24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33000</x:v>
      </x:c>
      <x:c r="E26" s="6" t="n">
        <x:v>156000</x:v>
      </x:c>
      <x:c r="F26" s="6" t="n">
        <x:f>D26-E26</x:f>
        <x:v>-123000</x:v>
      </x:c>
      <x:c r="G26" s="6" t="n">
        <x:f>G25+F26</x:f>
        <x:v>739000</x:v>
      </x:c>
      <x:c r="H26" s="6" t="n">
        <x:f>F26-'日経_D07'!F26</x:f>
        <x:v>-15000</x:v>
      </x:c>
      <x:c r="I26" s="6" t="n">
        <x:v>-106000</x:v>
      </x:c>
      <x:c r="J26" s="6" t="n">
        <x:v>-17000</x:v>
      </x:c>
      <x:c r="K26" s="6" t="n">
        <x:v>0</x:v>
      </x:c>
      <x:c r="L26" s="6" t="n">
        <x:v>11</x:v>
      </x:c>
      <x:c r="M26" s="6" t="n">
        <x:v>35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83000</x:v>
      </x:c>
      <x:c r="E27" s="6" t="n">
        <x:v>64000</x:v>
      </x:c>
      <x:c r="F27" s="6" t="n">
        <x:f>D27-E27</x:f>
        <x:v>19000</x:v>
      </x:c>
      <x:c r="G27" s="6" t="n">
        <x:f>G26+F27</x:f>
        <x:v>758000</x:v>
      </x:c>
      <x:c r="H27" s="6" t="n">
        <x:f>F27-'日経_D07'!F27</x:f>
        <x:v>-15000</x:v>
      </x:c>
      <x:c r="I27" s="6" t="n">
        <x:v>-1000</x:v>
      </x:c>
      <x:c r="J27" s="6" t="n">
        <x:v>20000</x:v>
      </x:c>
      <x:c r="K27" s="6" t="n">
        <x:v>0</x:v>
      </x:c>
      <x:c r="L27" s="6" t="n">
        <x:v>6</x:v>
      </x:c>
      <x:c r="M27" s="6" t="n">
        <x:v>13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115000</x:v>
      </x:c>
      <x:c r="E28" s="6" t="n">
        <x:v>160000</x:v>
      </x:c>
      <x:c r="F28" s="6" t="n">
        <x:f>D28-E28</x:f>
        <x:v>-45000</x:v>
      </x:c>
      <x:c r="G28" s="6" t="n">
        <x:f>G27+F28</x:f>
        <x:v>713000</x:v>
      </x:c>
      <x:c r="H28" s="6" t="n">
        <x:f>F28-'日経_D07'!F28</x:f>
        <x:v>0</x:v>
      </x:c>
      <x:c r="I28" s="6" t="n">
        <x:v>-36000</x:v>
      </x:c>
      <x:c r="J28" s="6" t="n">
        <x:v>-9000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703000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119000</x:v>
      </x:c>
      <x:c r="E30" s="6" t="n">
        <x:v>46000</x:v>
      </x:c>
      <x:c r="F30" s="6" t="n">
        <x:f>D30-E30</x:f>
        <x:v>73000</x:v>
      </x:c>
      <x:c r="G30" s="6" t="n">
        <x:f>G29+F30</x:f>
        <x:v>776000</x:v>
      </x:c>
      <x:c r="H30" s="6" t="n">
        <x:f>F30-'日経_D07'!F30</x:f>
        <x:v>-48000</x:v>
      </x:c>
      <x:c r="I30" s="6" t="n">
        <x:v>73000</x:v>
      </x:c>
      <x:c r="J30" s="6" t="n">
        <x:v>0</x:v>
      </x:c>
      <x:c r="K30" s="6" t="n">
        <x:v>0</x:v>
      </x:c>
      <x:c r="L30" s="6" t="n">
        <x:v>5</x:v>
      </x:c>
      <x:c r="M30" s="6" t="n">
        <x:v>16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733000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118000</x:v>
      </x:c>
      <x:c r="F32" s="6" t="n">
        <x:f>D32-E32</x:f>
        <x:v>3000</x:v>
      </x:c>
      <x:c r="G32" s="6" t="n">
        <x:f>G31+F32</x:f>
        <x:v>736000</x:v>
      </x:c>
      <x:c r="H32" s="6" t="n">
        <x:f>F32-'日経_D07'!F32</x:f>
        <x:v>0</x:v>
      </x:c>
      <x:c r="I32" s="6" t="n">
        <x:v>4000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305000</x:v>
      </x:c>
      <x:c r="E33" s="6" t="n">
        <x:v>16000</x:v>
      </x:c>
      <x:c r="F33" s="6" t="n">
        <x:f>D33-E33</x:f>
        <x:v>289000</x:v>
      </x:c>
      <x:c r="G33" s="6" t="n">
        <x:f>G32+F33</x:f>
        <x:v>1025000</x:v>
      </x:c>
      <x:c r="H33" s="6" t="n">
        <x:f>F33-'日経_D07'!F33</x:f>
        <x:v>-22000</x:v>
      </x:c>
      <x:c r="I33" s="6" t="n">
        <x:v>266000</x:v>
      </x:c>
      <x:c r="J33" s="6" t="n">
        <x:v>23000</x:v>
      </x:c>
      <x:c r="K33" s="6" t="n">
        <x:v>0</x:v>
      </x:c>
      <x:c r="L33" s="6" t="n">
        <x:v>12</x:v>
      </x:c>
      <x:c r="M33" s="6" t="n">
        <x:v>25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124000</x:v>
      </x:c>
      <x:c r="E34" s="6" t="n">
        <x:v>57000</x:v>
      </x:c>
      <x:c r="F34" s="6" t="n">
        <x:f>D34-E34</x:f>
        <x:v>67000</x:v>
      </x:c>
      <x:c r="G34" s="6" t="n">
        <x:f>G33+F34</x:f>
        <x:v>1092000</x:v>
      </x:c>
      <x:c r="H34" s="6" t="n">
        <x:f>F34-'日経_D07'!F34</x:f>
        <x:v>24000</x:v>
      </x:c>
      <x:c r="I34" s="6" t="n">
        <x:v>80000</x:v>
      </x:c>
      <x:c r="J34" s="6" t="n">
        <x:v>-13000</x:v>
      </x:c>
      <x:c r="K34" s="6" t="n">
        <x:v>0</x:v>
      </x:c>
      <x:c r="L34" s="6" t="n">
        <x:v>7</x:v>
      </x:c>
      <x:c r="M34" s="6" t="n">
        <x:v>16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1106000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1114000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1196000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166000</x:v>
      </x:c>
      <x:c r="E38" s="6" t="n">
        <x:v>169000</x:v>
      </x:c>
      <x:c r="F38" s="6" t="n">
        <x:f>D38-E38</x:f>
        <x:v>-3000</x:v>
      </x:c>
      <x:c r="G38" s="6" t="n">
        <x:f>G37+F38</x:f>
        <x:v>1193000</x:v>
      </x:c>
      <x:c r="H38" s="6" t="n">
        <x:f>F38-'日経_D07'!F38</x:f>
        <x:v>-14000</x:v>
      </x:c>
      <x:c r="I38" s="6" t="n">
        <x:v>17000</x:v>
      </x:c>
      <x:c r="J38" s="6" t="n">
        <x:v>-20000</x:v>
      </x:c>
      <x:c r="K38" s="6" t="n">
        <x:v>0</x:v>
      </x:c>
      <x:c r="L38" s="6" t="n">
        <x:v>14</x:v>
      </x:c>
      <x:c r="M38" s="6" t="n">
        <x:v>35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1140000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29000</x:v>
      </x:c>
      <x:c r="F40" s="6" t="n">
        <x:f>D40-E40</x:f>
        <x:v>120000</x:v>
      </x:c>
      <x:c r="G40" s="6" t="n">
        <x:f>G39+F40</x:f>
        <x:v>1260000</x:v>
      </x:c>
      <x:c r="H40" s="6" t="n">
        <x:f>F40-'日経_D07'!F40</x:f>
        <x:v>19000</x:v>
      </x:c>
      <x:c r="I40" s="6" t="n">
        <x:v>120000</x:v>
      </x:c>
      <x:c r="J40" s="6" t="n">
        <x:v>0</x:v>
      </x:c>
      <x:c r="K40" s="6" t="n">
        <x:v>0</x:v>
      </x:c>
      <x:c r="L40" s="6" t="n">
        <x:v>4</x:v>
      </x:c>
      <x:c r="M40" s="6" t="n">
        <x:v>17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1396000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467000</x:v>
      </x:c>
      <x:c r="E42" s="6" t="n">
        <x:v>66000</x:v>
      </x:c>
      <x:c r="F42" s="6" t="n">
        <x:f>D42-E42</x:f>
        <x:v>401000</x:v>
      </x:c>
      <x:c r="G42" s="6" t="n">
        <x:f>G41+F42</x:f>
        <x:v>1797000</x:v>
      </x:c>
      <x:c r="H42" s="6" t="n">
        <x:f>F42-'日経_D07'!F42</x:f>
        <x:v>10000</x:v>
      </x:c>
      <x:c r="I42" s="6" t="n">
        <x:v>386000</x:v>
      </x:c>
      <x:c r="J42" s="6" t="n">
        <x:v>15000</x:v>
      </x:c>
      <x:c r="K42" s="6" t="n">
        <x:v>0</x:v>
      </x:c>
      <x:c r="L42" s="6" t="n">
        <x:v>5</x:v>
      </x:c>
      <x:c r="M42" s="6" t="n">
        <x:v>12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1819000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123000</x:v>
      </x:c>
      <x:c r="E44" s="6" t="n">
        <x:v>214000</x:v>
      </x:c>
      <x:c r="F44" s="6" t="n">
        <x:f>D44-E44</x:f>
        <x:v>-91000</x:v>
      </x:c>
      <x:c r="G44" s="6" t="n">
        <x:f>G43+F44</x:f>
        <x:v>1728000</x:v>
      </x:c>
      <x:c r="H44" s="6" t="n">
        <x:f>F44-'日経_D07'!F44</x:f>
        <x:v>30000</x:v>
      </x:c>
      <x:c r="I44" s="6" t="n">
        <x:v>-79000</x:v>
      </x:c>
      <x:c r="J44" s="6" t="n">
        <x:v>-12000</x:v>
      </x:c>
      <x:c r="K44" s="6" t="n">
        <x:v>0</x:v>
      </x:c>
      <x:c r="L44" s="6" t="n">
        <x:v>12</x:v>
      </x:c>
      <x:c r="M44" s="6" t="n">
        <x:v>41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163000</x:v>
      </x:c>
      <x:c r="E45" s="6" t="n">
        <x:v>126000</x:v>
      </x:c>
      <x:c r="F45" s="6" t="n">
        <x:f>D45-E45</x:f>
        <x:v>37000</x:v>
      </x:c>
      <x:c r="G45" s="6" t="n">
        <x:f>G44+F45</x:f>
        <x:v>1765000</x:v>
      </x:c>
      <x:c r="H45" s="6" t="n">
        <x:f>F45-'日経_D07'!F45</x:f>
        <x:v>5000</x:v>
      </x:c>
      <x:c r="I45" s="6" t="n">
        <x:v>30000</x:v>
      </x:c>
      <x:c r="J45" s="6" t="n">
        <x:v>7000</x:v>
      </x:c>
      <x:c r="K45" s="6" t="n">
        <x:v>0</x:v>
      </x:c>
      <x:c r="L45" s="6" t="n">
        <x:v>12</x:v>
      </x:c>
      <x:c r="M45" s="6" t="n">
        <x:v>26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2163000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91000</x:v>
      </x:c>
      <x:c r="E47" s="6" t="n">
        <x:v>86000</x:v>
      </x:c>
      <x:c r="F47" s="6" t="n">
        <x:f>D47-E47</x:f>
        <x:v>5000</x:v>
      </x:c>
      <x:c r="G47" s="6" t="n">
        <x:f>G46+F47</x:f>
        <x:v>2168000</x:v>
      </x:c>
      <x:c r="H47" s="6" t="n">
        <x:f>F47-'日経_D07'!F47</x:f>
        <x:v>13000</x:v>
      </x:c>
      <x:c r="I47" s="6" t="n">
        <x:v>20000</x:v>
      </x:c>
      <x:c r="J47" s="6" t="n">
        <x:v>-15000</x:v>
      </x:c>
      <x:c r="K47" s="6" t="n">
        <x:v>0</x:v>
      </x:c>
      <x:c r="L47" s="6" t="n">
        <x:v>9</x:v>
      </x:c>
      <x:c r="M47" s="6" t="n">
        <x:v>18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186000</x:v>
      </x:c>
      <x:c r="E48" s="6" t="n">
        <x:v>206000</x:v>
      </x:c>
      <x:c r="F48" s="6" t="n">
        <x:f>D48-E48</x:f>
        <x:v>-20000</x:v>
      </x:c>
      <x:c r="G48" s="6" t="n">
        <x:f>G47+F48</x:f>
        <x:v>2148000</x:v>
      </x:c>
      <x:c r="H48" s="6" t="n">
        <x:f>F48-'日経_D07'!F48</x:f>
        <x:v>4000</x:v>
      </x:c>
      <x:c r="I48" s="6" t="n">
        <x:v>-29000</x:v>
      </x:c>
      <x:c r="J48" s="6" t="n">
        <x:v>9000</x:v>
      </x:c>
      <x:c r="K48" s="6" t="n">
        <x:v>0</x:v>
      </x:c>
      <x:c r="L48" s="6" t="n">
        <x:v>13</x:v>
      </x:c>
      <x:c r="M48" s="6" t="n">
        <x:v>36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129000</x:v>
      </x:c>
      <x:c r="E49" s="6" t="n">
        <x:v>24000</x:v>
      </x:c>
      <x:c r="F49" s="6" t="n">
        <x:f>D49-E49</x:f>
        <x:v>105000</x:v>
      </x:c>
      <x:c r="G49" s="6" t="n">
        <x:f>G48+F49</x:f>
        <x:v>2253000</x:v>
      </x:c>
      <x:c r="H49" s="6" t="n">
        <x:f>F49-'日経_D07'!F49</x:f>
        <x:v>5000</x:v>
      </x:c>
      <x:c r="I49" s="6" t="n">
        <x:v>101000</x:v>
      </x:c>
      <x:c r="J49" s="6" t="n">
        <x:v>4000</x:v>
      </x:c>
      <x:c r="K49" s="6" t="n">
        <x:v>0</x:v>
      </x:c>
      <x:c r="L49" s="6" t="n">
        <x:v>8</x:v>
      </x:c>
      <x:c r="M49" s="6" t="n">
        <x:v>11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2133000</x:v>
      </x:c>
      <x:c r="H50" s="6" t="n">
        <x:f>F50-'日経_D07'!F50</x:f>
        <x:v>0</x:v>
      </x:c>
      <x:c r="I50" s="6" t="n">
        <x:v>-109000</x:v>
      </x:c>
      <x:c r="J50" s="6" t="n">
        <x:v>-11000</x:v>
      </x:c>
      <x:c r="K50" s="6" t="n">
        <x:v>0</x:v>
      </x:c>
      <x:c r="L50" s="6" t="n">
        <x:v>12</x:v>
      </x:c>
      <x:c r="M50" s="6" t="n">
        <x:v>34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2109000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701000</x:v>
      </x:c>
      <x:c r="E52" s="6" t="n">
        <x:v>0</x:v>
      </x:c>
      <x:c r="F52" s="6" t="n">
        <x:f>D52-E52</x:f>
        <x:v>701000</x:v>
      </x:c>
      <x:c r="G52" s="6" t="n">
        <x:f>G51+F52</x:f>
        <x:v>2810000</x:v>
      </x:c>
      <x:c r="H52" s="6" t="n">
        <x:f>F52-'日経_D07'!F52</x:f>
        <x:v>0</x:v>
      </x:c>
      <x:c r="I52" s="6" t="n">
        <x:v>570000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2966000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219000</x:v>
      </x:c>
      <x:c r="E54" s="6" t="n">
        <x:v>89000</x:v>
      </x:c>
      <x:c r="F54" s="6" t="n">
        <x:f>D54-E54</x:f>
        <x:v>130000</x:v>
      </x:c>
      <x:c r="G54" s="6" t="n">
        <x:f>G53+F54</x:f>
        <x:v>3096000</x:v>
      </x:c>
      <x:c r="H54" s="6" t="n">
        <x:f>F54-'日経_D07'!F54</x:f>
        <x:v>0</x:v>
      </x:c>
      <x:c r="I54" s="6" t="n">
        <x:v>171000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3083000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190000</x:v>
      </x:c>
      <x:c r="F56" s="6" t="n">
        <x:f>D56-E56</x:f>
        <x:v>9000</x:v>
      </x:c>
      <x:c r="G56" s="6" t="n">
        <x:f>G55+F56</x:f>
        <x:v>3092000</x:v>
      </x:c>
      <x:c r="H56" s="6" t="n">
        <x:f>F56-'日経_D07'!F56</x:f>
        <x:v>0</x:v>
      </x:c>
      <x:c r="I56" s="6" t="n">
        <x:v>-14000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6515000</x:v>
      </x:c>
      <x:c r="E57" s="14" t="n">
        <x:f>SUM(E6:E56)</x:f>
        <x:v>3423000</x:v>
      </x:c>
      <x:c r="F57" s="14" t="n">
        <x:f>D57-E57</x:f>
        <x:v>3092000</x:v>
      </x:c>
      <x:c r="G57" s="14" t="n">
        <x:f>G56</x:f>
        <x:v>3092000</x:v>
      </x:c>
      <x:c r="H57" s="14" t="n">
        <x:f>SUM(H6:H56)</x:f>
        <x:v>33000</x:v>
      </x:c>
      <x:c r="I57" s="14" t="n">
        <x:f>SUM(I6:I56)</x:f>
        <x:v>3006000</x:v>
      </x:c>
      <x:c r="J57" s="14" t="n">
        <x:f>SUM(J6:J56)</x:f>
        <x:v>86000</x:v>
      </x:c>
      <x:c r="K57" s="14" t="n">
        <x:f>SUM(K6:K56)</x:f>
        <x:v>0</x:v>
      </x:c>
      <x:c r="L57" s="14" t="n">
        <x:f>SUM(L6:L56)</x:f>
        <x:v>323</x:v>
      </x:c>
      <x:c r="M57" s="14" t="n">
        <x:f>SUM(M6:M56)</x:f>
        <x:v>799</x:v>
      </x:c>
    </x:row>
  </x:sheetData>
  <x:conditionalFormatting sqref="F6:K56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a0379812e0427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X01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残1の160pt上限と昼120秒逆向き拒否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4000</x:v>
      </x:c>
      <x:c r="E6" s="6" t="n">
        <x:v>0</x:v>
      </x:c>
      <x:c r="F6" s="6" t="n">
        <x:f>D6-E6</x:f>
        <x:v>4000</x:v>
      </x:c>
      <x:c r="G6" s="6" t="n">
        <x:f>F6</x:f>
        <x:v>4000</x:v>
      </x:c>
      <x:c r="H6" s="6" t="n">
        <x:f>F6-'日経_D07'!F6</x:f>
        <x:v>-26000</x:v>
      </x:c>
      <x:c r="I6" s="6" t="n">
        <x:v>4000</x:v>
      </x:c>
      <x:c r="J6" s="6" t="n">
        <x:v>0</x:v>
      </x:c>
      <x:c r="K6" s="6" t="n">
        <x:v>0</x:v>
      </x:c>
      <x:c r="L6" s="6" t="n">
        <x:v>1</x:v>
      </x:c>
      <x:c r="M6" s="6" t="n">
        <x:v>2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-41000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-41000</x:v>
      </x:c>
      <x:c r="H8" s="6" t="n">
        <x:f>F8-'日経_D07'!F8</x:f>
        <x:v>70000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-17000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33000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-3000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175000</x:v>
      </x:c>
      <x:c r="E12" s="6" t="n">
        <x:v>84000</x:v>
      </x:c>
      <x:c r="F12" s="6" t="n">
        <x:f>D12-E12</x:f>
        <x:v>91000</x:v>
      </x:c>
      <x:c r="G12" s="6" t="n">
        <x:f>G11+F12</x:f>
        <x:v>88000</x:v>
      </x:c>
      <x:c r="H12" s="6" t="n">
        <x:f>F12-'日経_D07'!F12</x:f>
        <x:v>23000</x:v>
      </x:c>
      <x:c r="I12" s="6" t="n">
        <x:v>67000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28000</x:v>
      </x:c>
      <x:c r="E13" s="6" t="n">
        <x:v>0</x:v>
      </x:c>
      <x:c r="F13" s="6" t="n">
        <x:f>D13-E13</x:f>
        <x:v>28000</x:v>
      </x:c>
      <x:c r="G13" s="6" t="n">
        <x:f>G12+F13</x:f>
        <x:v>116000</x:v>
      </x:c>
      <x:c r="H13" s="6" t="n">
        <x:f>F13-'日経_D07'!F13</x:f>
        <x:v>8000</x:v>
      </x:c>
      <x:c r="I13" s="6" t="n">
        <x:v>24000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209000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210000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1000</x:v>
      </x:c>
      <x:c r="E16" s="6" t="n">
        <x:v>62000</x:v>
      </x:c>
      <x:c r="F16" s="6" t="n">
        <x:f>D16-E16</x:f>
        <x:v>-61000</x:v>
      </x:c>
      <x:c r="G16" s="6" t="n">
        <x:f>G15+F16</x:f>
        <x:v>149000</x:v>
      </x:c>
      <x:c r="H16" s="6" t="n">
        <x:f>F16-'日経_D07'!F16</x:f>
        <x:v>-31000</x:v>
      </x:c>
      <x:c r="I16" s="6" t="n">
        <x:v>-45000</x:v>
      </x:c>
      <x:c r="J16" s="6" t="n">
        <x:v>-16000</x:v>
      </x:c>
      <x:c r="K16" s="6" t="n">
        <x:v>0</x:v>
      </x:c>
      <x:c r="L16" s="6" t="n">
        <x:v>7</x:v>
      </x:c>
      <x:c r="M16" s="6" t="n">
        <x:v>12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129000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199000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93000</x:v>
      </x:c>
      <x:c r="E19" s="6" t="n">
        <x:v>22000</x:v>
      </x:c>
      <x:c r="F19" s="6" t="n">
        <x:f>D19-E19</x:f>
        <x:v>71000</x:v>
      </x:c>
      <x:c r="G19" s="6" t="n">
        <x:f>G18+F19</x:f>
        <x:v>270000</x:v>
      </x:c>
      <x:c r="H19" s="6" t="n">
        <x:f>F19-'日経_D07'!F19</x:f>
        <x:v>6000</x:v>
      </x:c>
      <x:c r="I19" s="6" t="n">
        <x:v>68000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380000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423000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519000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170000</x:v>
      </x:c>
      <x:c r="E23" s="6" t="n">
        <x:v>98000</x:v>
      </x:c>
      <x:c r="F23" s="6" t="n">
        <x:f>D23-E23</x:f>
        <x:v>72000</x:v>
      </x:c>
      <x:c r="G23" s="6" t="n">
        <x:f>G22+F23</x:f>
        <x:v>591000</x:v>
      </x:c>
      <x:c r="H23" s="6" t="n">
        <x:f>F23-'日経_D07'!F23</x:f>
        <x:v>-37000</x:v>
      </x:c>
      <x:c r="I23" s="6" t="n">
        <x:v>61000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69000</x:v>
      </x:c>
      <x:c r="E24" s="6" t="n">
        <x:v>73000</x:v>
      </x:c>
      <x:c r="F24" s="6" t="n">
        <x:f>D24-E24</x:f>
        <x:v>-4000</x:v>
      </x:c>
      <x:c r="G24" s="6" t="n">
        <x:f>G23+F24</x:f>
        <x:v>587000</x:v>
      </x:c>
      <x:c r="H24" s="6" t="n">
        <x:f>F24-'日経_D07'!F24</x:f>
        <x:v>5000</x:v>
      </x:c>
      <x:c r="I24" s="6" t="n">
        <x:v>-31000</x:v>
      </x:c>
      <x:c r="J24" s="6" t="n">
        <x:v>27000</x:v>
      </x:c>
      <x:c r="K24" s="6" t="n">
        <x:v>0</x:v>
      </x:c>
      <x:c r="L24" s="6" t="n">
        <x:v>11</x:v>
      </x:c>
      <x:c r="M24" s="6" t="n">
        <x:v>19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314000</x:v>
      </x:c>
      <x:c r="E25" s="6" t="n">
        <x:v>38000</x:v>
      </x:c>
      <x:c r="F25" s="6" t="n">
        <x:f>D25-E25</x:f>
        <x:v>276000</x:v>
      </x:c>
      <x:c r="G25" s="6" t="n">
        <x:f>G24+F25</x:f>
        <x:v>863000</x:v>
      </x:c>
      <x:c r="H25" s="6" t="n">
        <x:f>F25-'日経_D07'!F25</x:f>
        <x:v>20000</x:v>
      </x:c>
      <x:c r="I25" s="6" t="n">
        <x:v>256000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53000</x:v>
      </x:c>
      <x:c r="E26" s="6" t="n">
        <x:v>141000</x:v>
      </x:c>
      <x:c r="F26" s="6" t="n">
        <x:f>D26-E26</x:f>
        <x:v>-88000</x:v>
      </x:c>
      <x:c r="G26" s="6" t="n">
        <x:f>G25+F26</x:f>
        <x:v>775000</x:v>
      </x:c>
      <x:c r="H26" s="6" t="n">
        <x:f>F26-'日経_D07'!F26</x:f>
        <x:v>20000</x:v>
      </x:c>
      <x:c r="I26" s="6" t="n">
        <x:v>-77000</x:v>
      </x:c>
      <x:c r="J26" s="6" t="n">
        <x:v>-11000</x:v>
      </x:c>
      <x:c r="K26" s="6" t="n">
        <x:v>0</x:v>
      </x:c>
      <x:c r="L26" s="6" t="n">
        <x:v>11</x:v>
      </x:c>
      <x:c r="M26" s="6" t="n">
        <x:v>31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105000</x:v>
      </x:c>
      <x:c r="E27" s="6" t="n">
        <x:v>64000</x:v>
      </x:c>
      <x:c r="F27" s="6" t="n">
        <x:f>D27-E27</x:f>
        <x:v>41000</x:v>
      </x:c>
      <x:c r="G27" s="6" t="n">
        <x:f>G26+F27</x:f>
        <x:v>816000</x:v>
      </x:c>
      <x:c r="H27" s="6" t="n">
        <x:f>F27-'日経_D07'!F27</x:f>
        <x:v>7000</x:v>
      </x:c>
      <x:c r="I27" s="6" t="n">
        <x:v>6000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124000</x:v>
      </x:c>
      <x:c r="E28" s="6" t="n">
        <x:v>188000</x:v>
      </x:c>
      <x:c r="F28" s="6" t="n">
        <x:f>D28-E28</x:f>
        <x:v>-64000</x:v>
      </x:c>
      <x:c r="G28" s="6" t="n">
        <x:f>G27+F28</x:f>
        <x:v>752000</x:v>
      </x:c>
      <x:c r="H28" s="6" t="n">
        <x:f>F28-'日経_D07'!F28</x:f>
        <x:v>-19000</x:v>
      </x:c>
      <x:c r="I28" s="6" t="n">
        <x:v>-55000</x:v>
      </x:c>
      <x:c r="J28" s="6" t="n">
        <x:v>-9000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742000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863000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820000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68000</x:v>
      </x:c>
      <x:c r="F32" s="6" t="n">
        <x:f>D32-E32</x:f>
        <x:v>53000</x:v>
      </x:c>
      <x:c r="G32" s="6" t="n">
        <x:f>G31+F32</x:f>
        <x:v>873000</x:v>
      </x:c>
      <x:c r="H32" s="6" t="n">
        <x:f>F32-'日経_D07'!F32</x:f>
        <x:v>50000</x:v>
      </x:c>
      <x:c r="I32" s="6" t="n">
        <x:v>54000</x:v>
      </x:c>
      <x:c r="J32" s="6" t="n">
        <x:v>-1000</x:v>
      </x:c>
      <x:c r="K32" s="6" t="n">
        <x:v>0</x:v>
      </x:c>
      <x:c r="L32" s="6" t="n">
        <x:v>7</x:v>
      </x:c>
      <x:c r="M32" s="6" t="n">
        <x:v>25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358000</x:v>
      </x:c>
      <x:c r="E33" s="6" t="n">
        <x:v>20000</x:v>
      </x:c>
      <x:c r="F33" s="6" t="n">
        <x:f>D33-E33</x:f>
        <x:v>338000</x:v>
      </x:c>
      <x:c r="G33" s="6" t="n">
        <x:f>G32+F33</x:f>
        <x:v>1211000</x:v>
      </x:c>
      <x:c r="H33" s="6" t="n">
        <x:f>F33-'日経_D07'!F33</x:f>
        <x:v>27000</x:v>
      </x:c>
      <x:c r="I33" s="6" t="n">
        <x:v>293000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7000</x:v>
      </x:c>
      <x:c r="E34" s="6" t="n">
        <x:v>68000</x:v>
      </x:c>
      <x:c r="F34" s="6" t="n">
        <x:f>D34-E34</x:f>
        <x:v>-61000</x:v>
      </x:c>
      <x:c r="G34" s="6" t="n">
        <x:f>G33+F34</x:f>
        <x:v>1150000</x:v>
      </x:c>
      <x:c r="H34" s="6" t="n">
        <x:f>F34-'日経_D07'!F34</x:f>
        <x:v>-104000</x:v>
      </x:c>
      <x:c r="I34" s="6" t="n">
        <x:v>-46000</x:v>
      </x:c>
      <x:c r="J34" s="6" t="n">
        <x:v>-15000</x:v>
      </x:c>
      <x:c r="K34" s="6" t="n">
        <x:v>0</x:v>
      </x:c>
      <x:c r="L34" s="6" t="n">
        <x:v>8</x:v>
      </x:c>
      <x:c r="M34" s="6" t="n">
        <x:v>13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1164000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0</x:v>
      </x:c>
      <x:c r="E36" s="6" t="n">
        <x:v>53000</x:v>
      </x:c>
      <x:c r="F36" s="6" t="n">
        <x:f>D36-E36</x:f>
        <x:v>-53000</x:v>
      </x:c>
      <x:c r="G36" s="6" t="n">
        <x:f>G35+F36</x:f>
        <x:v>1111000</x:v>
      </x:c>
      <x:c r="H36" s="6" t="n">
        <x:f>F36-'日経_D07'!F36</x:f>
        <x:v>-61000</x:v>
      </x:c>
      <x:c r="I36" s="6" t="n">
        <x:v>-53000</x:v>
      </x:c>
      <x:c r="J36" s="6" t="n">
        <x:v>0</x:v>
      </x:c>
      <x:c r="K36" s="6" t="n">
        <x:v>0</x:v>
      </x:c>
      <x:c r="L36" s="6" t="n">
        <x:v>2</x:v>
      </x:c>
      <x:c r="M36" s="6" t="n">
        <x:v>7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1193000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72000</x:v>
      </x:c>
      <x:c r="E38" s="6" t="n">
        <x:v>154000</x:v>
      </x:c>
      <x:c r="F38" s="6" t="n">
        <x:f>D38-E38</x:f>
        <x:v>-82000</x:v>
      </x:c>
      <x:c r="G38" s="6" t="n">
        <x:f>G37+F38</x:f>
        <x:v>1111000</x:v>
      </x:c>
      <x:c r="H38" s="6" t="n">
        <x:f>F38-'日経_D07'!F38</x:f>
        <x:v>-93000</x:v>
      </x:c>
      <x:c r="I38" s="6" t="n">
        <x:v>-66000</x:v>
      </x:c>
      <x:c r="J38" s="6" t="n">
        <x:v>-16000</x:v>
      </x:c>
      <x:c r="K38" s="6" t="n">
        <x:v>0</x:v>
      </x:c>
      <x:c r="L38" s="6" t="n">
        <x:v>13</x:v>
      </x:c>
      <x:c r="M38" s="6" t="n">
        <x:v>26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1058000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43000</x:v>
      </x:c>
      <x:c r="F40" s="6" t="n">
        <x:f>D40-E40</x:f>
        <x:v>106000</x:v>
      </x:c>
      <x:c r="G40" s="6" t="n">
        <x:f>G39+F40</x:f>
        <x:v>1164000</x:v>
      </x:c>
      <x:c r="H40" s="6" t="n">
        <x:f>F40-'日経_D07'!F40</x:f>
        <x:v>5000</x:v>
      </x:c>
      <x:c r="I40" s="6" t="n">
        <x:v>125000</x:v>
      </x:c>
      <x:c r="J40" s="6" t="n">
        <x:v>-19000</x:v>
      </x:c>
      <x:c r="K40" s="6" t="n">
        <x:v>0</x:v>
      </x:c>
      <x:c r="L40" s="6" t="n">
        <x:v>4</x:v>
      </x:c>
      <x:c r="M40" s="6" t="n">
        <x:v>13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1300000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343000</x:v>
      </x:c>
      <x:c r="E42" s="6" t="n">
        <x:v>160000</x:v>
      </x:c>
      <x:c r="F42" s="6" t="n">
        <x:f>D42-E42</x:f>
        <x:v>183000</x:v>
      </x:c>
      <x:c r="G42" s="6" t="n">
        <x:f>G41+F42</x:f>
        <x:v>1483000</x:v>
      </x:c>
      <x:c r="H42" s="6" t="n">
        <x:f>F42-'日経_D07'!F42</x:f>
        <x:v>-208000</x:v>
      </x:c>
      <x:c r="I42" s="6" t="n">
        <x:v>184000</x:v>
      </x:c>
      <x:c r="J42" s="6" t="n">
        <x:v>-1000</x:v>
      </x:c>
      <x:c r="K42" s="6" t="n">
        <x:v>0</x:v>
      </x:c>
      <x:c r="L42" s="6" t="n">
        <x:v>14</x:v>
      </x:c>
      <x:c r="M42" s="6" t="n">
        <x:v>27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49000</x:v>
      </x:c>
      <x:c r="E43" s="6" t="n">
        <x:v>53000</x:v>
      </x:c>
      <x:c r="F43" s="6" t="n">
        <x:f>D43-E43</x:f>
        <x:v>-4000</x:v>
      </x:c>
      <x:c r="G43" s="6" t="n">
        <x:f>G42+F43</x:f>
        <x:v>1479000</x:v>
      </x:c>
      <x:c r="H43" s="6" t="n">
        <x:f>F43-'日経_D07'!F43</x:f>
        <x:v>-26000</x:v>
      </x:c>
      <x:c r="I43" s="6" t="n">
        <x:v>-15000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75000</x:v>
      </x:c>
      <x:c r="E44" s="6" t="n">
        <x:v>204000</x:v>
      </x:c>
      <x:c r="F44" s="6" t="n">
        <x:f>D44-E44</x:f>
        <x:v>-129000</x:v>
      </x:c>
      <x:c r="G44" s="6" t="n">
        <x:f>G43+F44</x:f>
        <x:v>1350000</x:v>
      </x:c>
      <x:c r="H44" s="6" t="n">
        <x:f>F44-'日経_D07'!F44</x:f>
        <x:v>-8000</x:v>
      </x:c>
      <x:c r="I44" s="6" t="n">
        <x:v>-109000</x:v>
      </x:c>
      <x:c r="J44" s="6" t="n">
        <x:v>-20000</x:v>
      </x:c>
      <x:c r="K44" s="6" t="n">
        <x:v>0</x:v>
      </x:c>
      <x:c r="L44" s="6" t="n">
        <x:v>12</x:v>
      </x:c>
      <x:c r="M44" s="6" t="n">
        <x:v>33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129000</x:v>
      </x:c>
      <x:c r="E45" s="6" t="n">
        <x:v>126000</x:v>
      </x:c>
      <x:c r="F45" s="6" t="n">
        <x:f>D45-E45</x:f>
        <x:v>3000</x:v>
      </x:c>
      <x:c r="G45" s="6" t="n">
        <x:f>G44+F45</x:f>
        <x:v>1353000</x:v>
      </x:c>
      <x:c r="H45" s="6" t="n">
        <x:f>F45-'日経_D07'!F45</x:f>
        <x:v>-29000</x:v>
      </x:c>
      <x:c r="I45" s="6" t="n">
        <x:v>1000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315000</x:v>
      </x:c>
      <x:c r="E46" s="6" t="n">
        <x:v>42000</x:v>
      </x:c>
      <x:c r="F46" s="6" t="n">
        <x:f>D46-E46</x:f>
        <x:v>273000</x:v>
      </x:c>
      <x:c r="G46" s="6" t="n">
        <x:f>G45+F46</x:f>
        <x:v>1626000</x:v>
      </x:c>
      <x:c r="H46" s="6" t="n">
        <x:f>F46-'日経_D07'!F46</x:f>
        <x:v>-125000</x:v>
      </x:c>
      <x:c r="I46" s="6" t="n">
        <x:v>269000</x:v>
      </x:c>
      <x:c r="J46" s="6" t="n">
        <x:v>4000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1618000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219000</x:v>
      </x:c>
      <x:c r="E48" s="6" t="n">
        <x:v>232000</x:v>
      </x:c>
      <x:c r="F48" s="6" t="n">
        <x:f>D48-E48</x:f>
        <x:v>-13000</x:v>
      </x:c>
      <x:c r="G48" s="6" t="n">
        <x:f>G47+F48</x:f>
        <x:v>1605000</x:v>
      </x:c>
      <x:c r="H48" s="6" t="n">
        <x:f>F48-'日経_D07'!F48</x:f>
        <x:v>11000</x:v>
      </x:c>
      <x:c r="I48" s="6" t="n">
        <x:v>-30000</x:v>
      </x:c>
      <x:c r="J48" s="6" t="n">
        <x:v>17000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1705000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1585000</x:v>
      </x:c>
      <x:c r="H50" s="6" t="n">
        <x:f>F50-'日経_D07'!F50</x:f>
        <x:v>0</x:v>
      </x:c>
      <x:c r="I50" s="6" t="n">
        <x:v>-112000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1561000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689000</x:v>
      </x:c>
      <x:c r="E52" s="6" t="n">
        <x:v>0</x:v>
      </x:c>
      <x:c r="F52" s="6" t="n">
        <x:f>D52-E52</x:f>
        <x:v>689000</x:v>
      </x:c>
      <x:c r="G52" s="6" t="n">
        <x:f>G51+F52</x:f>
        <x:v>2250000</x:v>
      </x:c>
      <x:c r="H52" s="6" t="n">
        <x:f>F52-'日経_D07'!F52</x:f>
        <x:v>-12000</x:v>
      </x:c>
      <x:c r="I52" s="6" t="n">
        <x:v>558000</x:v>
      </x:c>
      <x:c r="J52" s="6" t="n">
        <x:v>131000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167000</x:v>
      </x:c>
      <x:c r="E53" s="6" t="n">
        <x:v>0</x:v>
      </x:c>
      <x:c r="F53" s="6" t="n">
        <x:f>D53-E53</x:f>
        <x:v>167000</x:v>
      </x:c>
      <x:c r="G53" s="6" t="n">
        <x:f>G52+F53</x:f>
        <x:v>2417000</x:v>
      </x:c>
      <x:c r="H53" s="6" t="n">
        <x:f>F53-'日経_D07'!F53</x:f>
        <x:v>11000</x:v>
      </x:c>
      <x:c r="I53" s="6" t="n">
        <x:v>150000</x:v>
      </x:c>
      <x:c r="J53" s="6" t="n">
        <x:v>17000</x:v>
      </x:c>
      <x:c r="K53" s="6" t="n">
        <x:v>0</x:v>
      </x:c>
      <x:c r="L53" s="6" t="n">
        <x:v>5</x:v>
      </x:c>
      <x:c r="M53" s="6" t="n">
        <x:v>9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238000</x:v>
      </x:c>
      <x:c r="E54" s="6" t="n">
        <x:v>89000</x:v>
      </x:c>
      <x:c r="F54" s="6" t="n">
        <x:f>D54-E54</x:f>
        <x:v>149000</x:v>
      </x:c>
      <x:c r="G54" s="6" t="n">
        <x:f>G53+F54</x:f>
        <x:v>2566000</x:v>
      </x:c>
      <x:c r="H54" s="6" t="n">
        <x:f>F54-'日経_D07'!F54</x:f>
        <x:v>19000</x:v>
      </x:c>
      <x:c r="I54" s="6" t="n">
        <x:v>190000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39000</x:v>
      </x:c>
      <x:c r="E55" s="6" t="n">
        <x:v>53000</x:v>
      </x:c>
      <x:c r="F55" s="6" t="n">
        <x:f>D55-E55</x:f>
        <x:v>-14000</x:v>
      </x:c>
      <x:c r="G55" s="6" t="n">
        <x:f>G54+F55</x:f>
        <x:v>2552000</x:v>
      </x:c>
      <x:c r="H55" s="6" t="n">
        <x:f>F55-'日経_D07'!F55</x:f>
        <x:v>-1000</x:v>
      </x:c>
      <x:c r="I55" s="6" t="n">
        <x:v>19000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161000</x:v>
      </x:c>
      <x:c r="E56" s="6" t="n">
        <x:v>70000</x:v>
      </x:c>
      <x:c r="F56" s="6" t="n">
        <x:f>D56-E56</x:f>
        <x:v>91000</x:v>
      </x:c>
      <x:c r="G56" s="6" t="n">
        <x:f>G55+F56</x:f>
        <x:v>2643000</x:v>
      </x:c>
      <x:c r="H56" s="6" t="n">
        <x:f>F56-'日経_D07'!F56</x:f>
        <x:v>82000</x:v>
      </x:c>
      <x:c r="I56" s="6" t="n">
        <x:v>68000</x:v>
      </x:c>
      <x:c r="J56" s="6" t="n">
        <x:v>23000</x:v>
      </x:c>
      <x:c r="K56" s="6" t="n">
        <x:v>0</x:v>
      </x:c>
      <x:c r="L56" s="6" t="n">
        <x:v>5</x:v>
      </x:c>
      <x:c r="M56" s="6" t="n">
        <x:v>11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6012000</x:v>
      </x:c>
      <x:c r="E57" s="14" t="n">
        <x:f>SUM(E6:E56)</x:f>
        <x:v>3369000</x:v>
      </x:c>
      <x:c r="F57" s="14" t="n">
        <x:f>D57-E57</x:f>
        <x:v>2643000</x:v>
      </x:c>
      <x:c r="G57" s="14" t="n">
        <x:f>G56</x:f>
        <x:v>2643000</x:v>
      </x:c>
      <x:c r="H57" s="14" t="n">
        <x:f>SUM(H6:H56)</x:f>
        <x:v>-416000</x:v>
      </x:c>
      <x:c r="I57" s="14" t="n">
        <x:f>SUM(I6:I56)</x:f>
        <x:v>2588000</x:v>
      </x:c>
      <x:c r="J57" s="14" t="n">
        <x:f>SUM(J6:J56)</x:f>
        <x:v>55000</x:v>
      </x:c>
      <x:c r="K57" s="14" t="n">
        <x:f>SUM(K6:K56)</x:f>
        <x:v>0</x:v>
      </x:c>
      <x:c r="L57" s="14" t="n">
        <x:f>SUM(L6:L56)</x:f>
        <x:v>362</x:v>
      </x:c>
      <x:c r="M57" s="14" t="n">
        <x:f>SUM(M6:M56)</x:f>
        <x:v>786</x:v>
      </x:c>
    </x:row>
  </x:sheetData>
  <x:conditionalFormatting sqref="F6:K56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0acb96e52e4bc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X02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残1の160pt上限と昼1枚からの確認追加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28000</x:v>
      </x:c>
      <x:c r="E6" s="6" t="n">
        <x:v>0</x:v>
      </x:c>
      <x:c r="F6" s="6" t="n">
        <x:f>D6-E6</x:f>
        <x:v>28000</x:v>
      </x:c>
      <x:c r="G6" s="6" t="n">
        <x:f>F6</x:f>
        <x:v>28000</x:v>
      </x:c>
      <x:c r="H6" s="6" t="n">
        <x:f>F6-'日経_D07'!F6</x:f>
        <x:v>-2000</x:v>
      </x:c>
      <x:c r="I6" s="6" t="n">
        <x:v>28000</x:v>
      </x:c>
      <x:c r="J6" s="6" t="n">
        <x:v>0</x:v>
      </x:c>
      <x:c r="K6" s="6" t="n">
        <x:v>0</x:v>
      </x:c>
      <x:c r="L6" s="6" t="n">
        <x:v>2</x:v>
      </x:c>
      <x:c r="M6" s="6" t="n">
        <x:v>3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-17000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14000</x:v>
      </x:c>
      <x:c r="F8" s="6" t="n">
        <x:f>D8-E8</x:f>
        <x:v>-14000</x:v>
      </x:c>
      <x:c r="G8" s="6" t="n">
        <x:f>G7+F8</x:f>
        <x:v>-31000</x:v>
      </x:c>
      <x:c r="H8" s="6" t="n">
        <x:f>F8-'日経_D07'!F8</x:f>
        <x:v>56000</x:v>
      </x:c>
      <x:c r="I8" s="6" t="n">
        <x:v>-14000</x:v>
      </x:c>
      <x:c r="J8" s="6" t="n">
        <x:v>0</x:v>
      </x:c>
      <x:c r="K8" s="6" t="n">
        <x:v>0</x:v>
      </x:c>
      <x:c r="L8" s="6" t="n">
        <x:v>2</x:v>
      </x:c>
      <x:c r="M8" s="6" t="n">
        <x:v>2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-7000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17000</x:v>
      </x:c>
      <x:c r="E10" s="6" t="n">
        <x:v>0</x:v>
      </x:c>
      <x:c r="F10" s="6" t="n">
        <x:f>D10-E10</x:f>
        <x:v>17000</x:v>
      </x:c>
      <x:c r="G10" s="6" t="n">
        <x:f>G9+F10</x:f>
        <x:v>10000</x:v>
      </x:c>
      <x:c r="H10" s="6" t="n">
        <x:f>F10-'日経_D07'!F10</x:f>
        <x:v>-33000</x:v>
      </x:c>
      <x:c r="I10" s="6" t="n">
        <x:v>13000</x:v>
      </x:c>
      <x:c r="J10" s="6" t="n">
        <x:v>4000</x:v>
      </x:c>
      <x:c r="K10" s="6" t="n">
        <x:v>0</x:v>
      </x:c>
      <x:c r="L10" s="6" t="n">
        <x:v>3</x:v>
      </x:c>
      <x:c r="M10" s="6" t="n">
        <x:v>3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-26000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132000</x:v>
      </x:c>
      <x:c r="E12" s="6" t="n">
        <x:v>36000</x:v>
      </x:c>
      <x:c r="F12" s="6" t="n">
        <x:f>D12-E12</x:f>
        <x:v>96000</x:v>
      </x:c>
      <x:c r="G12" s="6" t="n">
        <x:f>G11+F12</x:f>
        <x:v>70000</x:v>
      </x:c>
      <x:c r="H12" s="6" t="n">
        <x:f>F12-'日経_D07'!F12</x:f>
        <x:v>28000</x:v>
      </x:c>
      <x:c r="I12" s="6" t="n">
        <x:v>62000</x:v>
      </x:c>
      <x:c r="J12" s="6" t="n">
        <x:v>34000</x:v>
      </x:c>
      <x:c r="K12" s="6" t="n">
        <x:v>0</x:v>
      </x:c>
      <x:c r="L12" s="6" t="n">
        <x:v>12</x:v>
      </x:c>
      <x:c r="M12" s="6" t="n">
        <x:v>16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28000</x:v>
      </x:c>
      <x:c r="E13" s="6" t="n">
        <x:v>0</x:v>
      </x:c>
      <x:c r="F13" s="6" t="n">
        <x:f>D13-E13</x:f>
        <x:v>28000</x:v>
      </x:c>
      <x:c r="G13" s="6" t="n">
        <x:f>G12+F13</x:f>
        <x:v>98000</x:v>
      </x:c>
      <x:c r="H13" s="6" t="n">
        <x:f>F13-'日経_D07'!F13</x:f>
        <x:v>8000</x:v>
      </x:c>
      <x:c r="I13" s="6" t="n">
        <x:v>24000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94000</x:v>
      </x:c>
      <x:c r="E14" s="6" t="n">
        <x:v>48000</x:v>
      </x:c>
      <x:c r="F14" s="6" t="n">
        <x:f>D14-E14</x:f>
        <x:v>46000</x:v>
      </x:c>
      <x:c r="G14" s="6" t="n">
        <x:f>G13+F14</x:f>
        <x:v>144000</x:v>
      </x:c>
      <x:c r="H14" s="6" t="n">
        <x:f>F14-'日経_D07'!F14</x:f>
        <x:v>-47000</x:v>
      </x:c>
      <x:c r="I14" s="6" t="n">
        <x:v>35000</x:v>
      </x:c>
      <x:c r="J14" s="6" t="n">
        <x:v>11000</x:v>
      </x:c>
      <x:c r="K14" s="6" t="n">
        <x:v>0</x:v>
      </x:c>
      <x:c r="L14" s="6" t="n">
        <x:v>8</x:v>
      </x:c>
      <x:c r="M14" s="6" t="n">
        <x:v>11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145000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56000</x:v>
      </x:c>
      <x:c r="E16" s="6" t="n">
        <x:v>77000</x:v>
      </x:c>
      <x:c r="F16" s="6" t="n">
        <x:f>D16-E16</x:f>
        <x:v>-21000</x:v>
      </x:c>
      <x:c r="G16" s="6" t="n">
        <x:f>G15+F16</x:f>
        <x:v>124000</x:v>
      </x:c>
      <x:c r="H16" s="6" t="n">
        <x:f>F16-'日経_D07'!F16</x:f>
        <x:v>9000</x:v>
      </x:c>
      <x:c r="I16" s="6" t="n">
        <x:v>-31000</x:v>
      </x:c>
      <x:c r="J16" s="6" t="n">
        <x:v>10000</x:v>
      </x:c>
      <x:c r="K16" s="6" t="n">
        <x:v>0</x:v>
      </x:c>
      <x:c r="L16" s="6" t="n">
        <x:v>12</x:v>
      </x:c>
      <x:c r="M16" s="6" t="n">
        <x:v>17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104000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93000</x:v>
      </x:c>
      <x:c r="E18" s="6" t="n">
        <x:v>125000</x:v>
      </x:c>
      <x:c r="F18" s="6" t="n">
        <x:f>D18-E18</x:f>
        <x:v>-32000</x:v>
      </x:c>
      <x:c r="G18" s="6" t="n">
        <x:f>G17+F18</x:f>
        <x:v>72000</x:v>
      </x:c>
      <x:c r="H18" s="6" t="n">
        <x:f>F18-'日経_D07'!F18</x:f>
        <x:v>-102000</x:v>
      </x:c>
      <x:c r="I18" s="6" t="n">
        <x:v>-12000</x:v>
      </x:c>
      <x:c r="J18" s="6" t="n">
        <x:v>-20000</x:v>
      </x:c>
      <x:c r="K18" s="6" t="n">
        <x:v>0</x:v>
      </x:c>
      <x:c r="L18" s="6" t="n">
        <x:v>21</x:v>
      </x:c>
      <x:c r="M18" s="6" t="n">
        <x:v>28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93000</x:v>
      </x:c>
      <x:c r="E19" s="6" t="n">
        <x:v>22000</x:v>
      </x:c>
      <x:c r="F19" s="6" t="n">
        <x:f>D19-E19</x:f>
        <x:v>71000</x:v>
      </x:c>
      <x:c r="G19" s="6" t="n">
        <x:f>G18+F19</x:f>
        <x:v>143000</x:v>
      </x:c>
      <x:c r="H19" s="6" t="n">
        <x:f>F19-'日経_D07'!F19</x:f>
        <x:v>6000</x:v>
      </x:c>
      <x:c r="I19" s="6" t="n">
        <x:v>68000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31000</x:v>
      </x:c>
      <x:c r="E20" s="6" t="n">
        <x:v>31000</x:v>
      </x:c>
      <x:c r="F20" s="6" t="n">
        <x:f>D20-E20</x:f>
        <x:v>0</x:v>
      </x:c>
      <x:c r="G20" s="6" t="n">
        <x:f>G19+F20</x:f>
        <x:v>143000</x:v>
      </x:c>
      <x:c r="H20" s="6" t="n">
        <x:f>F20-'日経_D07'!F20</x:f>
        <x:v>-110000</x:v>
      </x:c>
      <x:c r="I20" s="6" t="n">
        <x:v>-7000</x:v>
      </x:c>
      <x:c r="J20" s="6" t="n">
        <x:v>7000</x:v>
      </x:c>
      <x:c r="K20" s="6" t="n">
        <x:v>0</x:v>
      </x:c>
      <x:c r="L20" s="6" t="n">
        <x:v>9</x:v>
      </x:c>
      <x:c r="M20" s="6" t="n">
        <x:v>12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186000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68000</x:v>
      </x:c>
      <x:c r="E22" s="6" t="n">
        <x:v>96000</x:v>
      </x:c>
      <x:c r="F22" s="6" t="n">
        <x:f>D22-E22</x:f>
        <x:v>-28000</x:v>
      </x:c>
      <x:c r="G22" s="6" t="n">
        <x:f>G21+F22</x:f>
        <x:v>158000</x:v>
      </x:c>
      <x:c r="H22" s="6" t="n">
        <x:f>F22-'日経_D07'!F22</x:f>
        <x:v>-124000</x:v>
      </x:c>
      <x:c r="I22" s="6" t="n">
        <x:v>-65000</x:v>
      </x:c>
      <x:c r="J22" s="6" t="n">
        <x:v>37000</x:v>
      </x:c>
      <x:c r="K22" s="6" t="n">
        <x:v>0</x:v>
      </x:c>
      <x:c r="L22" s="6" t="n">
        <x:v>8</x:v>
      </x:c>
      <x:c r="M22" s="6" t="n">
        <x:v>11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170000</x:v>
      </x:c>
      <x:c r="E23" s="6" t="n">
        <x:v>98000</x:v>
      </x:c>
      <x:c r="F23" s="6" t="n">
        <x:f>D23-E23</x:f>
        <x:v>72000</x:v>
      </x:c>
      <x:c r="G23" s="6" t="n">
        <x:f>G22+F23</x:f>
        <x:v>230000</x:v>
      </x:c>
      <x:c r="H23" s="6" t="n">
        <x:f>F23-'日経_D07'!F23</x:f>
        <x:v>-37000</x:v>
      </x:c>
      <x:c r="I23" s="6" t="n">
        <x:v>61000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69000</x:v>
      </x:c>
      <x:c r="E24" s="6" t="n">
        <x:v>43000</x:v>
      </x:c>
      <x:c r="F24" s="6" t="n">
        <x:f>D24-E24</x:f>
        <x:v>26000</x:v>
      </x:c>
      <x:c r="G24" s="6" t="n">
        <x:f>G23+F24</x:f>
        <x:v>256000</x:v>
      </x:c>
      <x:c r="H24" s="6" t="n">
        <x:f>F24-'日経_D07'!F24</x:f>
        <x:v>35000</x:v>
      </x:c>
      <x:c r="I24" s="6" t="n">
        <x:v>21000</x:v>
      </x:c>
      <x:c r="J24" s="6" t="n">
        <x:v>5000</x:v>
      </x:c>
      <x:c r="K24" s="6" t="n">
        <x:v>0</x:v>
      </x:c>
      <x:c r="L24" s="6" t="n">
        <x:v>12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314000</x:v>
      </x:c>
      <x:c r="E25" s="6" t="n">
        <x:v>38000</x:v>
      </x:c>
      <x:c r="F25" s="6" t="n">
        <x:f>D25-E25</x:f>
        <x:v>276000</x:v>
      </x:c>
      <x:c r="G25" s="6" t="n">
        <x:f>G24+F25</x:f>
        <x:v>532000</x:v>
      </x:c>
      <x:c r="H25" s="6" t="n">
        <x:f>F25-'日経_D07'!F25</x:f>
        <x:v>20000</x:v>
      </x:c>
      <x:c r="I25" s="6" t="n">
        <x:v>256000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53000</x:v>
      </x:c>
      <x:c r="E26" s="6" t="n">
        <x:v>80000</x:v>
      </x:c>
      <x:c r="F26" s="6" t="n">
        <x:f>D26-E26</x:f>
        <x:v>-27000</x:v>
      </x:c>
      <x:c r="G26" s="6" t="n">
        <x:f>G25+F26</x:f>
        <x:v>505000</x:v>
      </x:c>
      <x:c r="H26" s="6" t="n">
        <x:f>F26-'日経_D07'!F26</x:f>
        <x:v>81000</x:v>
      </x:c>
      <x:c r="I26" s="6" t="n">
        <x:v>20000</x:v>
      </x:c>
      <x:c r="J26" s="6" t="n">
        <x:v>-47000</x:v>
      </x:c>
      <x:c r="K26" s="6" t="n">
        <x:v>0</x:v>
      </x:c>
      <x:c r="L26" s="6" t="n">
        <x:v>15</x:v>
      </x:c>
      <x:c r="M26" s="6" t="n">
        <x:v>19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105000</x:v>
      </x:c>
      <x:c r="E27" s="6" t="n">
        <x:v>64000</x:v>
      </x:c>
      <x:c r="F27" s="6" t="n">
        <x:f>D27-E27</x:f>
        <x:v>41000</x:v>
      </x:c>
      <x:c r="G27" s="6" t="n">
        <x:f>G26+F27</x:f>
        <x:v>546000</x:v>
      </x:c>
      <x:c r="H27" s="6" t="n">
        <x:f>F27-'日経_D07'!F27</x:f>
        <x:v>7000</x:v>
      </x:c>
      <x:c r="I27" s="6" t="n">
        <x:v>6000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31000</x:v>
      </x:c>
      <x:c r="E28" s="6" t="n">
        <x:v>166000</x:v>
      </x:c>
      <x:c r="F28" s="6" t="n">
        <x:f>D28-E28</x:f>
        <x:v>-135000</x:v>
      </x:c>
      <x:c r="G28" s="6" t="n">
        <x:f>G27+F28</x:f>
        <x:v>411000</x:v>
      </x:c>
      <x:c r="H28" s="6" t="n">
        <x:f>F28-'日経_D07'!F28</x:f>
        <x:v>-90000</x:v>
      </x:c>
      <x:c r="I28" s="6" t="n">
        <x:v>-117000</x:v>
      </x:c>
      <x:c r="J28" s="6" t="n">
        <x:v>-18000</x:v>
      </x:c>
      <x:c r="K28" s="6" t="n">
        <x:v>0</x:v>
      </x:c>
      <x:c r="L28" s="6" t="n">
        <x:v>15</x:v>
      </x:c>
      <x:c r="M28" s="6" t="n">
        <x:v>22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401000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134000</x:v>
      </x:c>
      <x:c r="E30" s="6" t="n">
        <x:v>30000</x:v>
      </x:c>
      <x:c r="F30" s="6" t="n">
        <x:f>D30-E30</x:f>
        <x:v>104000</x:v>
      </x:c>
      <x:c r="G30" s="6" t="n">
        <x:f>G29+F30</x:f>
        <x:v>505000</x:v>
      </x:c>
      <x:c r="H30" s="6" t="n">
        <x:f>F30-'日経_D07'!F30</x:f>
        <x:v>-17000</x:v>
      </x:c>
      <x:c r="I30" s="6" t="n">
        <x:v>94000</x:v>
      </x:c>
      <x:c r="J30" s="6" t="n">
        <x:v>10000</x:v>
      </x:c>
      <x:c r="K30" s="6" t="n">
        <x:v>0</x:v>
      </x:c>
      <x:c r="L30" s="6" t="n">
        <x:v>9</x:v>
      </x:c>
      <x:c r="M30" s="6" t="n">
        <x:v>12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462000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37000</x:v>
      </x:c>
      <x:c r="E32" s="6" t="n">
        <x:v>48000</x:v>
      </x:c>
      <x:c r="F32" s="6" t="n">
        <x:f>D32-E32</x:f>
        <x:v>-11000</x:v>
      </x:c>
      <x:c r="G32" s="6" t="n">
        <x:f>G31+F32</x:f>
        <x:v>451000</x:v>
      </x:c>
      <x:c r="H32" s="6" t="n">
        <x:f>F32-'日経_D07'!F32</x:f>
        <x:v>-14000</x:v>
      </x:c>
      <x:c r="I32" s="6" t="n">
        <x:v>-19000</x:v>
      </x:c>
      <x:c r="J32" s="6" t="n">
        <x:v>8000</x:v>
      </x:c>
      <x:c r="K32" s="6" t="n">
        <x:v>0</x:v>
      </x:c>
      <x:c r="L32" s="6" t="n">
        <x:v>12</x:v>
      </x:c>
      <x:c r="M32" s="6" t="n">
        <x:v>14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358000</x:v>
      </x:c>
      <x:c r="E33" s="6" t="n">
        <x:v>20000</x:v>
      </x:c>
      <x:c r="F33" s="6" t="n">
        <x:f>D33-E33</x:f>
        <x:v>338000</x:v>
      </x:c>
      <x:c r="G33" s="6" t="n">
        <x:f>G32+F33</x:f>
        <x:v>789000</x:v>
      </x:c>
      <x:c r="H33" s="6" t="n">
        <x:f>F33-'日経_D07'!F33</x:f>
        <x:v>27000</x:v>
      </x:c>
      <x:c r="I33" s="6" t="n">
        <x:v>293000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68000</x:v>
      </x:c>
      <x:c r="E34" s="6" t="n">
        <x:v>68000</x:v>
      </x:c>
      <x:c r="F34" s="6" t="n">
        <x:f>D34-E34</x:f>
        <x:v>0</x:v>
      </x:c>
      <x:c r="G34" s="6" t="n">
        <x:f>G33+F34</x:f>
        <x:v>789000</x:v>
      </x:c>
      <x:c r="H34" s="6" t="n">
        <x:f>F34-'日経_D07'!F34</x:f>
        <x:v>-43000</x:v>
      </x:c>
      <x:c r="I34" s="6" t="n">
        <x:v>10000</x:v>
      </x:c>
      <x:c r="J34" s="6" t="n">
        <x:v>-10000</x:v>
      </x:c>
      <x:c r="K34" s="6" t="n">
        <x:v>0</x:v>
      </x:c>
      <x:c r="L34" s="6" t="n">
        <x:v>12</x:v>
      </x:c>
      <x:c r="M34" s="6" t="n">
        <x:v>17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803000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0</x:v>
      </x:c>
      <x:c r="E36" s="6" t="n">
        <x:v>39000</x:v>
      </x:c>
      <x:c r="F36" s="6" t="n">
        <x:f>D36-E36</x:f>
        <x:v>-39000</x:v>
      </x:c>
      <x:c r="G36" s="6" t="n">
        <x:f>G35+F36</x:f>
        <x:v>764000</x:v>
      </x:c>
      <x:c r="H36" s="6" t="n">
        <x:f>F36-'日経_D07'!F36</x:f>
        <x:v>-47000</x:v>
      </x:c>
      <x:c r="I36" s="6" t="n">
        <x:v>-39000</x:v>
      </x:c>
      <x:c r="J36" s="6" t="n">
        <x:v>0</x:v>
      </x:c>
      <x:c r="K36" s="6" t="n">
        <x:v>0</x:v>
      </x:c>
      <x:c r="L36" s="6" t="n">
        <x:v>3</x:v>
      </x:c>
      <x:c r="M36" s="6" t="n">
        <x:v>4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846000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82000</x:v>
      </x:c>
      <x:c r="E38" s="6" t="n">
        <x:v>157000</x:v>
      </x:c>
      <x:c r="F38" s="6" t="n">
        <x:f>D38-E38</x:f>
        <x:v>-75000</x:v>
      </x:c>
      <x:c r="G38" s="6" t="n">
        <x:f>G37+F38</x:f>
        <x:v>771000</x:v>
      </x:c>
      <x:c r="H38" s="6" t="n">
        <x:f>F38-'日経_D07'!F38</x:f>
        <x:v>-86000</x:v>
      </x:c>
      <x:c r="I38" s="6" t="n">
        <x:v>-68000</x:v>
      </x:c>
      <x:c r="J38" s="6" t="n">
        <x:v>-7000</x:v>
      </x:c>
      <x:c r="K38" s="6" t="n">
        <x:v>0</x:v>
      </x:c>
      <x:c r="L38" s="6" t="n">
        <x:v>21</x:v>
      </x:c>
      <x:c r="M38" s="6" t="n">
        <x:v>30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718000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74000</x:v>
      </x:c>
      <x:c r="E40" s="6" t="n">
        <x:v>55000</x:v>
      </x:c>
      <x:c r="F40" s="6" t="n">
        <x:f>D40-E40</x:f>
        <x:v>19000</x:v>
      </x:c>
      <x:c r="G40" s="6" t="n">
        <x:f>G39+F40</x:f>
        <x:v>737000</x:v>
      </x:c>
      <x:c r="H40" s="6" t="n">
        <x:f>F40-'日経_D07'!F40</x:f>
        <x:v>-82000</x:v>
      </x:c>
      <x:c r="I40" s="6" t="n">
        <x:v>-6000</x:v>
      </x:c>
      <x:c r="J40" s="6" t="n">
        <x:v>25000</x:v>
      </x:c>
      <x:c r="K40" s="6" t="n">
        <x:v>0</x:v>
      </x:c>
      <x:c r="L40" s="6" t="n">
        <x:v>11</x:v>
      </x:c>
      <x:c r="M40" s="6" t="n">
        <x:v>12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873000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104000</x:v>
      </x:c>
      <x:c r="E42" s="6" t="n">
        <x:v>160000</x:v>
      </x:c>
      <x:c r="F42" s="6" t="n">
        <x:f>D42-E42</x:f>
        <x:v>-56000</x:v>
      </x:c>
      <x:c r="G42" s="6" t="n">
        <x:f>G41+F42</x:f>
        <x:v>817000</x:v>
      </x:c>
      <x:c r="H42" s="6" t="n">
        <x:f>F42-'日経_D07'!F42</x:f>
        <x:v>-447000</x:v>
      </x:c>
      <x:c r="I42" s="6" t="n">
        <x:v>-66000</x:v>
      </x:c>
      <x:c r="J42" s="6" t="n">
        <x:v>10000</x:v>
      </x:c>
      <x:c r="K42" s="6" t="n">
        <x:v>0</x:v>
      </x:c>
      <x:c r="L42" s="6" t="n">
        <x:v>16</x:v>
      </x:c>
      <x:c r="M42" s="6" t="n">
        <x:v>25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49000</x:v>
      </x:c>
      <x:c r="E43" s="6" t="n">
        <x:v>53000</x:v>
      </x:c>
      <x:c r="F43" s="6" t="n">
        <x:f>D43-E43</x:f>
        <x:v>-4000</x:v>
      </x:c>
      <x:c r="G43" s="6" t="n">
        <x:f>G42+F43</x:f>
        <x:v>813000</x:v>
      </x:c>
      <x:c r="H43" s="6" t="n">
        <x:f>F43-'日経_D07'!F43</x:f>
        <x:v>-26000</x:v>
      </x:c>
      <x:c r="I43" s="6" t="n">
        <x:v>-15000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70000</x:v>
      </x:c>
      <x:c r="E44" s="6" t="n">
        <x:v>124000</x:v>
      </x:c>
      <x:c r="F44" s="6" t="n">
        <x:f>D44-E44</x:f>
        <x:v>-54000</x:v>
      </x:c>
      <x:c r="G44" s="6" t="n">
        <x:f>G43+F44</x:f>
        <x:v>759000</x:v>
      </x:c>
      <x:c r="H44" s="6" t="n">
        <x:f>F44-'日経_D07'!F44</x:f>
        <x:v>67000</x:v>
      </x:c>
      <x:c r="I44" s="6" t="n">
        <x:v>-57000</x:v>
      </x:c>
      <x:c r="J44" s="6" t="n">
        <x:v>3000</x:v>
      </x:c>
      <x:c r="K44" s="6" t="n">
        <x:v>0</x:v>
      </x:c>
      <x:c r="L44" s="6" t="n">
        <x:v>19</x:v>
      </x:c>
      <x:c r="M44" s="6" t="n">
        <x:v>24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129000</x:v>
      </x:c>
      <x:c r="E45" s="6" t="n">
        <x:v>126000</x:v>
      </x:c>
      <x:c r="F45" s="6" t="n">
        <x:f>D45-E45</x:f>
        <x:v>3000</x:v>
      </x:c>
      <x:c r="G45" s="6" t="n">
        <x:f>G44+F45</x:f>
        <x:v>762000</x:v>
      </x:c>
      <x:c r="H45" s="6" t="n">
        <x:f>F45-'日経_D07'!F45</x:f>
        <x:v>-29000</x:v>
      </x:c>
      <x:c r="I45" s="6" t="n">
        <x:v>1000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195000</x:v>
      </x:c>
      <x:c r="E46" s="6" t="n">
        <x:v>42000</x:v>
      </x:c>
      <x:c r="F46" s="6" t="n">
        <x:f>D46-E46</x:f>
        <x:v>153000</x:v>
      </x:c>
      <x:c r="G46" s="6" t="n">
        <x:f>G45+F46</x:f>
        <x:v>915000</x:v>
      </x:c>
      <x:c r="H46" s="6" t="n">
        <x:f>F46-'日経_D07'!F46</x:f>
        <x:v>-245000</x:v>
      </x:c>
      <x:c r="I46" s="6" t="n">
        <x:v>125000</x:v>
      </x:c>
      <x:c r="J46" s="6" t="n">
        <x:v>28000</x:v>
      </x:c>
      <x:c r="K46" s="6" t="n">
        <x:v>0</x:v>
      </x:c>
      <x:c r="L46" s="6" t="n">
        <x:v>9</x:v>
      </x:c>
      <x:c r="M46" s="6" t="n">
        <x:v>13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907000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107000</x:v>
      </x:c>
      <x:c r="E48" s="6" t="n">
        <x:v>181000</x:v>
      </x:c>
      <x:c r="F48" s="6" t="n">
        <x:f>D48-E48</x:f>
        <x:v>-74000</x:v>
      </x:c>
      <x:c r="G48" s="6" t="n">
        <x:f>G47+F48</x:f>
        <x:v>833000</x:v>
      </x:c>
      <x:c r="H48" s="6" t="n">
        <x:f>F48-'日経_D07'!F48</x:f>
        <x:v>-50000</x:v>
      </x:c>
      <x:c r="I48" s="6" t="n">
        <x:v>-93000</x:v>
      </x:c>
      <x:c r="J48" s="6" t="n">
        <x:v>19000</x:v>
      </x:c>
      <x:c r="K48" s="6" t="n">
        <x:v>0</x:v>
      </x:c>
      <x:c r="L48" s="6" t="n">
        <x:v>22</x:v>
      </x:c>
      <x:c r="M48" s="6" t="n">
        <x:v>30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933000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39000</x:v>
      </x:c>
      <x:c r="E50" s="6" t="n">
        <x:v>93000</x:v>
      </x:c>
      <x:c r="F50" s="6" t="n">
        <x:f>D50-E50</x:f>
        <x:v>-54000</x:v>
      </x:c>
      <x:c r="G50" s="6" t="n">
        <x:f>G49+F50</x:f>
        <x:v>879000</x:v>
      </x:c>
      <x:c r="H50" s="6" t="n">
        <x:f>F50-'日経_D07'!F50</x:f>
        <x:v>66000</x:v>
      </x:c>
      <x:c r="I50" s="6" t="n">
        <x:v>-56000</x:v>
      </x:c>
      <x:c r="J50" s="6" t="n">
        <x:v>2000</x:v>
      </x:c>
      <x:c r="K50" s="6" t="n">
        <x:v>0</x:v>
      </x:c>
      <x:c r="L50" s="6" t="n">
        <x:v>16</x:v>
      </x:c>
      <x:c r="M50" s="6" t="n">
        <x:v>22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855000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382000</x:v>
      </x:c>
      <x:c r="E52" s="6" t="n">
        <x:v>0</x:v>
      </x:c>
      <x:c r="F52" s="6" t="n">
        <x:f>D52-E52</x:f>
        <x:v>382000</x:v>
      </x:c>
      <x:c r="G52" s="6" t="n">
        <x:f>G51+F52</x:f>
        <x:v>1237000</x:v>
      </x:c>
      <x:c r="H52" s="6" t="n">
        <x:f>F52-'日経_D07'!F52</x:f>
        <x:v>-319000</x:v>
      </x:c>
      <x:c r="I52" s="6" t="n">
        <x:v>227000</x:v>
      </x:c>
      <x:c r="J52" s="6" t="n">
        <x:v>155000</x:v>
      </x:c>
      <x:c r="K52" s="6" t="n">
        <x:v>0</x:v>
      </x:c>
      <x:c r="L52" s="6" t="n">
        <x:v>6</x:v>
      </x:c>
      <x:c r="M52" s="6" t="n">
        <x:v>7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167000</x:v>
      </x:c>
      <x:c r="E53" s="6" t="n">
        <x:v>0</x:v>
      </x:c>
      <x:c r="F53" s="6" t="n">
        <x:f>D53-E53</x:f>
        <x:v>167000</x:v>
      </x:c>
      <x:c r="G53" s="6" t="n">
        <x:f>G52+F53</x:f>
        <x:v>1404000</x:v>
      </x:c>
      <x:c r="H53" s="6" t="n">
        <x:f>F53-'日経_D07'!F53</x:f>
        <x:v>11000</x:v>
      </x:c>
      <x:c r="I53" s="6" t="n">
        <x:v>150000</x:v>
      </x:c>
      <x:c r="J53" s="6" t="n">
        <x:v>17000</x:v>
      </x:c>
      <x:c r="K53" s="6" t="n">
        <x:v>0</x:v>
      </x:c>
      <x:c r="L53" s="6" t="n">
        <x:v>5</x:v>
      </x:c>
      <x:c r="M53" s="6" t="n">
        <x:v>9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147000</x:v>
      </x:c>
      <x:c r="E54" s="6" t="n">
        <x:v>89000</x:v>
      </x:c>
      <x:c r="F54" s="6" t="n">
        <x:f>D54-E54</x:f>
        <x:v>58000</x:v>
      </x:c>
      <x:c r="G54" s="6" t="n">
        <x:f>G53+F54</x:f>
        <x:v>1462000</x:v>
      </x:c>
      <x:c r="H54" s="6" t="n">
        <x:f>F54-'日経_D07'!F54</x:f>
        <x:v>-72000</x:v>
      </x:c>
      <x:c r="I54" s="6" t="n">
        <x:v>106000</x:v>
      </x:c>
      <x:c r="J54" s="6" t="n">
        <x:v>-48000</x:v>
      </x:c>
      <x:c r="K54" s="6" t="n">
        <x:v>0</x:v>
      </x:c>
      <x:c r="L54" s="6" t="n">
        <x:v>18</x:v>
      </x:c>
      <x:c r="M54" s="6" t="n">
        <x:v>28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39000</x:v>
      </x:c>
      <x:c r="E55" s="6" t="n">
        <x:v>53000</x:v>
      </x:c>
      <x:c r="F55" s="6" t="n">
        <x:f>D55-E55</x:f>
        <x:v>-14000</x:v>
      </x:c>
      <x:c r="G55" s="6" t="n">
        <x:f>G54+F55</x:f>
        <x:v>1448000</x:v>
      </x:c>
      <x:c r="H55" s="6" t="n">
        <x:f>F55-'日経_D07'!F55</x:f>
        <x:v>-1000</x:v>
      </x:c>
      <x:c r="I55" s="6" t="n">
        <x:v>19000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161000</x:v>
      </x:c>
      <x:c r="E56" s="6" t="n">
        <x:v>38000</x:v>
      </x:c>
      <x:c r="F56" s="6" t="n">
        <x:f>D56-E56</x:f>
        <x:v>123000</x:v>
      </x:c>
      <x:c r="G56" s="6" t="n">
        <x:f>G55+F56</x:f>
        <x:v>1571000</x:v>
      </x:c>
      <x:c r="H56" s="6" t="n">
        <x:f>F56-'日経_D07'!F56</x:f>
        <x:v>114000</x:v>
      </x:c>
      <x:c r="I56" s="6" t="n">
        <x:v>100000</x:v>
      </x:c>
      <x:c r="J56" s="6" t="n">
        <x:v>23000</x:v>
      </x:c>
      <x:c r="K56" s="6" t="n">
        <x:v>0</x:v>
      </x:c>
      <x:c r="L56" s="6" t="n">
        <x:v>7</x:v>
      </x:c>
      <x:c r="M56" s="6" t="n">
        <x:v>9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4418000</x:v>
      </x:c>
      <x:c r="E57" s="14" t="n">
        <x:f>SUM(E6:E56)</x:f>
        <x:v>2847000</x:v>
      </x:c>
      <x:c r="F57" s="14" t="n">
        <x:f>D57-E57</x:f>
        <x:v>1571000</x:v>
      </x:c>
      <x:c r="G57" s="14" t="n">
        <x:f>G56</x:f>
        <x:v>1571000</x:v>
      </x:c>
      <x:c r="H57" s="14" t="n">
        <x:f>SUM(H6:H56)</x:f>
        <x:v>-1488000</x:v>
      </x:c>
      <x:c r="I57" s="14" t="n">
        <x:f>SUM(I6:I56)</x:f>
        <x:v>1285000</x:v>
      </x:c>
      <x:c r="J57" s="14" t="n">
        <x:f>SUM(J6:J56)</x:f>
        <x:v>286000</x:v>
      </x:c>
      <x:c r="K57" s="14" t="n">
        <x:f>SUM(K6:K56)</x:f>
        <x:v>0</x:v>
      </x:c>
      <x:c r="L57" s="14" t="n">
        <x:f>SUM(L6:L56)</x:f>
        <x:v>454</x:v>
      </x:c>
      <x:c r="M57" s="14" t="n">
        <x:f>SUM(M6:M56)</x:f>
        <x:v>702</x:v>
      </x:c>
    </x:row>
  </x:sheetData>
  <x:conditionalFormatting sqref="F6:K56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dc9d2e643c4a0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X03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残1化時50%床と昼1枚からの確認追加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28000</x:v>
      </x:c>
      <x:c r="E6" s="6" t="n">
        <x:v>0</x:v>
      </x:c>
      <x:c r="F6" s="6" t="n">
        <x:f>D6-E6</x:f>
        <x:v>28000</x:v>
      </x:c>
      <x:c r="G6" s="6" t="n">
        <x:f>F6</x:f>
        <x:v>28000</x:v>
      </x:c>
      <x:c r="H6" s="6" t="n">
        <x:f>F6-'日経_D07'!F6</x:f>
        <x:v>-2000</x:v>
      </x:c>
      <x:c r="I6" s="6" t="n">
        <x:v>28000</x:v>
      </x:c>
      <x:c r="J6" s="6" t="n">
        <x:v>0</x:v>
      </x:c>
      <x:c r="K6" s="6" t="n">
        <x:v>0</x:v>
      </x:c>
      <x:c r="L6" s="6" t="n">
        <x:v>2</x:v>
      </x:c>
      <x:c r="M6" s="6" t="n">
        <x:v>3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-17000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14000</x:v>
      </x:c>
      <x:c r="F8" s="6" t="n">
        <x:f>D8-E8</x:f>
        <x:v>-14000</x:v>
      </x:c>
      <x:c r="G8" s="6" t="n">
        <x:f>G7+F8</x:f>
        <x:v>-31000</x:v>
      </x:c>
      <x:c r="H8" s="6" t="n">
        <x:f>F8-'日経_D07'!F8</x:f>
        <x:v>56000</x:v>
      </x:c>
      <x:c r="I8" s="6" t="n">
        <x:v>-14000</x:v>
      </x:c>
      <x:c r="J8" s="6" t="n">
        <x:v>0</x:v>
      </x:c>
      <x:c r="K8" s="6" t="n">
        <x:v>0</x:v>
      </x:c>
      <x:c r="L8" s="6" t="n">
        <x:v>2</x:v>
      </x:c>
      <x:c r="M8" s="6" t="n">
        <x:v>2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-7000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17000</x:v>
      </x:c>
      <x:c r="E10" s="6" t="n">
        <x:v>0</x:v>
      </x:c>
      <x:c r="F10" s="6" t="n">
        <x:f>D10-E10</x:f>
        <x:v>17000</x:v>
      </x:c>
      <x:c r="G10" s="6" t="n">
        <x:f>G9+F10</x:f>
        <x:v>10000</x:v>
      </x:c>
      <x:c r="H10" s="6" t="n">
        <x:f>F10-'日経_D07'!F10</x:f>
        <x:v>-33000</x:v>
      </x:c>
      <x:c r="I10" s="6" t="n">
        <x:v>13000</x:v>
      </x:c>
      <x:c r="J10" s="6" t="n">
        <x:v>4000</x:v>
      </x:c>
      <x:c r="K10" s="6" t="n">
        <x:v>0</x:v>
      </x:c>
      <x:c r="L10" s="6" t="n">
        <x:v>3</x:v>
      </x:c>
      <x:c r="M10" s="6" t="n">
        <x:v>3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-26000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118000</x:v>
      </x:c>
      <x:c r="E12" s="6" t="n">
        <x:v>36000</x:v>
      </x:c>
      <x:c r="F12" s="6" t="n">
        <x:f>D12-E12</x:f>
        <x:v>82000</x:v>
      </x:c>
      <x:c r="G12" s="6" t="n">
        <x:f>G11+F12</x:f>
        <x:v>56000</x:v>
      </x:c>
      <x:c r="H12" s="6" t="n">
        <x:f>F12-'日経_D07'!F12</x:f>
        <x:v>14000</x:v>
      </x:c>
      <x:c r="I12" s="6" t="n">
        <x:v>48000</x:v>
      </x:c>
      <x:c r="J12" s="6" t="n">
        <x:v>34000</x:v>
      </x:c>
      <x:c r="K12" s="6" t="n">
        <x:v>0</x:v>
      </x:c>
      <x:c r="L12" s="6" t="n">
        <x:v>12</x:v>
      </x:c>
      <x:c r="M12" s="6" t="n">
        <x:v>16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76000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94000</x:v>
      </x:c>
      <x:c r="E14" s="6" t="n">
        <x:v>48000</x:v>
      </x:c>
      <x:c r="F14" s="6" t="n">
        <x:f>D14-E14</x:f>
        <x:v>46000</x:v>
      </x:c>
      <x:c r="G14" s="6" t="n">
        <x:f>G13+F14</x:f>
        <x:v>122000</x:v>
      </x:c>
      <x:c r="H14" s="6" t="n">
        <x:f>F14-'日経_D07'!F14</x:f>
        <x:v>-47000</x:v>
      </x:c>
      <x:c r="I14" s="6" t="n">
        <x:v>35000</x:v>
      </x:c>
      <x:c r="J14" s="6" t="n">
        <x:v>11000</x:v>
      </x:c>
      <x:c r="K14" s="6" t="n">
        <x:v>0</x:v>
      </x:c>
      <x:c r="L14" s="6" t="n">
        <x:v>8</x:v>
      </x:c>
      <x:c r="M14" s="6" t="n">
        <x:v>11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123000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56000</x:v>
      </x:c>
      <x:c r="E16" s="6" t="n">
        <x:v>77000</x:v>
      </x:c>
      <x:c r="F16" s="6" t="n">
        <x:f>D16-E16</x:f>
        <x:v>-21000</x:v>
      </x:c>
      <x:c r="G16" s="6" t="n">
        <x:f>G15+F16</x:f>
        <x:v>102000</x:v>
      </x:c>
      <x:c r="H16" s="6" t="n">
        <x:f>F16-'日経_D07'!F16</x:f>
        <x:v>9000</x:v>
      </x:c>
      <x:c r="I16" s="6" t="n">
        <x:v>-31000</x:v>
      </x:c>
      <x:c r="J16" s="6" t="n">
        <x:v>10000</x:v>
      </x:c>
      <x:c r="K16" s="6" t="n">
        <x:v>0</x:v>
      </x:c>
      <x:c r="L16" s="6" t="n">
        <x:v>12</x:v>
      </x:c>
      <x:c r="M16" s="6" t="n">
        <x:v>17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82000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93000</x:v>
      </x:c>
      <x:c r="E18" s="6" t="n">
        <x:v>125000</x:v>
      </x:c>
      <x:c r="F18" s="6" t="n">
        <x:f>D18-E18</x:f>
        <x:v>-32000</x:v>
      </x:c>
      <x:c r="G18" s="6" t="n">
        <x:f>G17+F18</x:f>
        <x:v>50000</x:v>
      </x:c>
      <x:c r="H18" s="6" t="n">
        <x:f>F18-'日経_D07'!F18</x:f>
        <x:v>-102000</x:v>
      </x:c>
      <x:c r="I18" s="6" t="n">
        <x:v>-12000</x:v>
      </x:c>
      <x:c r="J18" s="6" t="n">
        <x:v>-20000</x:v>
      </x:c>
      <x:c r="K18" s="6" t="n">
        <x:v>0</x:v>
      </x:c>
      <x:c r="L18" s="6" t="n">
        <x:v>21</x:v>
      </x:c>
      <x:c r="M18" s="6" t="n">
        <x:v>28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96000</x:v>
      </x:c>
      <x:c r="E19" s="6" t="n">
        <x:v>22000</x:v>
      </x:c>
      <x:c r="F19" s="6" t="n">
        <x:f>D19-E19</x:f>
        <x:v>74000</x:v>
      </x:c>
      <x:c r="G19" s="6" t="n">
        <x:f>G18+F19</x:f>
        <x:v>124000</x:v>
      </x:c>
      <x:c r="H19" s="6" t="n">
        <x:f>F19-'日経_D07'!F19</x:f>
        <x:v>9000</x:v>
      </x:c>
      <x:c r="I19" s="6" t="n">
        <x:v>71000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33000</x:v>
      </x:c>
      <x:c r="E20" s="6" t="n">
        <x:v>31000</x:v>
      </x:c>
      <x:c r="F20" s="6" t="n">
        <x:f>D20-E20</x:f>
        <x:v>2000</x:v>
      </x:c>
      <x:c r="G20" s="6" t="n">
        <x:f>G19+F20</x:f>
        <x:v>126000</x:v>
      </x:c>
      <x:c r="H20" s="6" t="n">
        <x:f>F20-'日経_D07'!F20</x:f>
        <x:v>-108000</x:v>
      </x:c>
      <x:c r="I20" s="6" t="n">
        <x:v>-5000</x:v>
      </x:c>
      <x:c r="J20" s="6" t="n">
        <x:v>7000</x:v>
      </x:c>
      <x:c r="K20" s="6" t="n">
        <x:v>0</x:v>
      </x:c>
      <x:c r="L20" s="6" t="n">
        <x:v>9</x:v>
      </x:c>
      <x:c r="M20" s="6" t="n">
        <x:v>12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169000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68000</x:v>
      </x:c>
      <x:c r="E22" s="6" t="n">
        <x:v>96000</x:v>
      </x:c>
      <x:c r="F22" s="6" t="n">
        <x:f>D22-E22</x:f>
        <x:v>-28000</x:v>
      </x:c>
      <x:c r="G22" s="6" t="n">
        <x:f>G21+F22</x:f>
        <x:v>141000</x:v>
      </x:c>
      <x:c r="H22" s="6" t="n">
        <x:f>F22-'日経_D07'!F22</x:f>
        <x:v>-124000</x:v>
      </x:c>
      <x:c r="I22" s="6" t="n">
        <x:v>-65000</x:v>
      </x:c>
      <x:c r="J22" s="6" t="n">
        <x:v>37000</x:v>
      </x:c>
      <x:c r="K22" s="6" t="n">
        <x:v>0</x:v>
      </x:c>
      <x:c r="L22" s="6" t="n">
        <x:v>8</x:v>
      </x:c>
      <x:c r="M22" s="6" t="n">
        <x:v>11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223000</x:v>
      </x:c>
      <x:c r="E23" s="6" t="n">
        <x:v>98000</x:v>
      </x:c>
      <x:c r="F23" s="6" t="n">
        <x:f>D23-E23</x:f>
        <x:v>125000</x:v>
      </x:c>
      <x:c r="G23" s="6" t="n">
        <x:f>G22+F23</x:f>
        <x:v>266000</x:v>
      </x:c>
      <x:c r="H23" s="6" t="n">
        <x:f>F23-'日経_D07'!F23</x:f>
        <x:v>16000</x:v>
      </x:c>
      <x:c r="I23" s="6" t="n">
        <x:v>114000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67000</x:v>
      </x:c>
      <x:c r="E24" s="6" t="n">
        <x:v>43000</x:v>
      </x:c>
      <x:c r="F24" s="6" t="n">
        <x:f>D24-E24</x:f>
        <x:v>24000</x:v>
      </x:c>
      <x:c r="G24" s="6" t="n">
        <x:f>G23+F24</x:f>
        <x:v>290000</x:v>
      </x:c>
      <x:c r="H24" s="6" t="n">
        <x:f>F24-'日経_D07'!F24</x:f>
        <x:v>33000</x:v>
      </x:c>
      <x:c r="I24" s="6" t="n">
        <x:v>19000</x:v>
      </x:c>
      <x:c r="J24" s="6" t="n">
        <x:v>5000</x:v>
      </x:c>
      <x:c r="K24" s="6" t="n">
        <x:v>0</x:v>
      </x:c>
      <x:c r="L24" s="6" t="n">
        <x:v>12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311000</x:v>
      </x:c>
      <x:c r="E25" s="6" t="n">
        <x:v>38000</x:v>
      </x:c>
      <x:c r="F25" s="6" t="n">
        <x:f>D25-E25</x:f>
        <x:v>273000</x:v>
      </x:c>
      <x:c r="G25" s="6" t="n">
        <x:f>G24+F25</x:f>
        <x:v>563000</x:v>
      </x:c>
      <x:c r="H25" s="6" t="n">
        <x:f>F25-'日経_D07'!F25</x:f>
        <x:v>17000</x:v>
      </x:c>
      <x:c r="I25" s="6" t="n">
        <x:v>253000</x:v>
      </x:c>
      <x:c r="J25" s="6" t="n">
        <x:v>20000</x:v>
      </x:c>
      <x:c r="K25" s="6" t="n">
        <x:v>0</x:v>
      </x:c>
      <x:c r="L25" s="6" t="n">
        <x:v>17</x:v>
      </x:c>
      <x:c r="M25" s="6" t="n">
        <x:v>30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61000</x:v>
      </x:c>
      <x:c r="E26" s="6" t="n">
        <x:v>80000</x:v>
      </x:c>
      <x:c r="F26" s="6" t="n">
        <x:f>D26-E26</x:f>
        <x:v>-19000</x:v>
      </x:c>
      <x:c r="G26" s="6" t="n">
        <x:f>G25+F26</x:f>
        <x:v>544000</x:v>
      </x:c>
      <x:c r="H26" s="6" t="n">
        <x:f>F26-'日経_D07'!F26</x:f>
        <x:v>89000</x:v>
      </x:c>
      <x:c r="I26" s="6" t="n">
        <x:v>28000</x:v>
      </x:c>
      <x:c r="J26" s="6" t="n">
        <x:v>-47000</x:v>
      </x:c>
      <x:c r="K26" s="6" t="n">
        <x:v>0</x:v>
      </x:c>
      <x:c r="L26" s="6" t="n">
        <x:v>15</x:v>
      </x:c>
      <x:c r="M26" s="6" t="n">
        <x:v>19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103000</x:v>
      </x:c>
      <x:c r="E27" s="6" t="n">
        <x:v>64000</x:v>
      </x:c>
      <x:c r="F27" s="6" t="n">
        <x:f>D27-E27</x:f>
        <x:v>39000</x:v>
      </x:c>
      <x:c r="G27" s="6" t="n">
        <x:f>G26+F27</x:f>
        <x:v>583000</x:v>
      </x:c>
      <x:c r="H27" s="6" t="n">
        <x:f>F27-'日経_D07'!F27</x:f>
        <x:v>5000</x:v>
      </x:c>
      <x:c r="I27" s="6" t="n">
        <x:v>4000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40000</x:v>
      </x:c>
      <x:c r="E28" s="6" t="n">
        <x:v>166000</x:v>
      </x:c>
      <x:c r="F28" s="6" t="n">
        <x:f>D28-E28</x:f>
        <x:v>-126000</x:v>
      </x:c>
      <x:c r="G28" s="6" t="n">
        <x:f>G27+F28</x:f>
        <x:v>457000</x:v>
      </x:c>
      <x:c r="H28" s="6" t="n">
        <x:f>F28-'日経_D07'!F28</x:f>
        <x:v>-81000</x:v>
      </x:c>
      <x:c r="I28" s="6" t="n">
        <x:v>-108000</x:v>
      </x:c>
      <x:c r="J28" s="6" t="n">
        <x:v>-18000</x:v>
      </x:c>
      <x:c r="K28" s="6" t="n">
        <x:v>0</x:v>
      </x:c>
      <x:c r="L28" s="6" t="n">
        <x:v>15</x:v>
      </x:c>
      <x:c r="M28" s="6" t="n">
        <x:v>22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447000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134000</x:v>
      </x:c>
      <x:c r="E30" s="6" t="n">
        <x:v>30000</x:v>
      </x:c>
      <x:c r="F30" s="6" t="n">
        <x:f>D30-E30</x:f>
        <x:v>104000</x:v>
      </x:c>
      <x:c r="G30" s="6" t="n">
        <x:f>G29+F30</x:f>
        <x:v>551000</x:v>
      </x:c>
      <x:c r="H30" s="6" t="n">
        <x:f>F30-'日経_D07'!F30</x:f>
        <x:v>-17000</x:v>
      </x:c>
      <x:c r="I30" s="6" t="n">
        <x:v>94000</x:v>
      </x:c>
      <x:c r="J30" s="6" t="n">
        <x:v>10000</x:v>
      </x:c>
      <x:c r="K30" s="6" t="n">
        <x:v>0</x:v>
      </x:c>
      <x:c r="L30" s="6" t="n">
        <x:v>9</x:v>
      </x:c>
      <x:c r="M30" s="6" t="n">
        <x:v>12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508000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41000</x:v>
      </x:c>
      <x:c r="E32" s="6" t="n">
        <x:v>48000</x:v>
      </x:c>
      <x:c r="F32" s="6" t="n">
        <x:f>D32-E32</x:f>
        <x:v>-7000</x:v>
      </x:c>
      <x:c r="G32" s="6" t="n">
        <x:f>G31+F32</x:f>
        <x:v>501000</x:v>
      </x:c>
      <x:c r="H32" s="6" t="n">
        <x:f>F32-'日経_D07'!F32</x:f>
        <x:v>-10000</x:v>
      </x:c>
      <x:c r="I32" s="6" t="n">
        <x:v>-15000</x:v>
      </x:c>
      <x:c r="J32" s="6" t="n">
        <x:v>8000</x:v>
      </x:c>
      <x:c r="K32" s="6" t="n">
        <x:v>0</x:v>
      </x:c>
      <x:c r="L32" s="6" t="n">
        <x:v>12</x:v>
      </x:c>
      <x:c r="M32" s="6" t="n">
        <x:v>14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347000</x:v>
      </x:c>
      <x:c r="E33" s="6" t="n">
        <x:v>20000</x:v>
      </x:c>
      <x:c r="F33" s="6" t="n">
        <x:f>D33-E33</x:f>
        <x:v>327000</x:v>
      </x:c>
      <x:c r="G33" s="6" t="n">
        <x:f>G32+F33</x:f>
        <x:v>828000</x:v>
      </x:c>
      <x:c r="H33" s="6" t="n">
        <x:f>F33-'日経_D07'!F33</x:f>
        <x:v>16000</x:v>
      </x:c>
      <x:c r="I33" s="6" t="n">
        <x:v>282000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68000</x:v>
      </x:c>
      <x:c r="E34" s="6" t="n">
        <x:v>68000</x:v>
      </x:c>
      <x:c r="F34" s="6" t="n">
        <x:f>D34-E34</x:f>
        <x:v>0</x:v>
      </x:c>
      <x:c r="G34" s="6" t="n">
        <x:f>G33+F34</x:f>
        <x:v>828000</x:v>
      </x:c>
      <x:c r="H34" s="6" t="n">
        <x:f>F34-'日経_D07'!F34</x:f>
        <x:v>-43000</x:v>
      </x:c>
      <x:c r="I34" s="6" t="n">
        <x:v>10000</x:v>
      </x:c>
      <x:c r="J34" s="6" t="n">
        <x:v>-10000</x:v>
      </x:c>
      <x:c r="K34" s="6" t="n">
        <x:v>0</x:v>
      </x:c>
      <x:c r="L34" s="6" t="n">
        <x:v>12</x:v>
      </x:c>
      <x:c r="M34" s="6" t="n">
        <x:v>17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842000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0</x:v>
      </x:c>
      <x:c r="E36" s="6" t="n">
        <x:v>39000</x:v>
      </x:c>
      <x:c r="F36" s="6" t="n">
        <x:f>D36-E36</x:f>
        <x:v>-39000</x:v>
      </x:c>
      <x:c r="G36" s="6" t="n">
        <x:f>G35+F36</x:f>
        <x:v>803000</x:v>
      </x:c>
      <x:c r="H36" s="6" t="n">
        <x:f>F36-'日経_D07'!F36</x:f>
        <x:v>-47000</x:v>
      </x:c>
      <x:c r="I36" s="6" t="n">
        <x:v>-39000</x:v>
      </x:c>
      <x:c r="J36" s="6" t="n">
        <x:v>0</x:v>
      </x:c>
      <x:c r="K36" s="6" t="n">
        <x:v>0</x:v>
      </x:c>
      <x:c r="L36" s="6" t="n">
        <x:v>3</x:v>
      </x:c>
      <x:c r="M36" s="6" t="n">
        <x:v>4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885000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82000</x:v>
      </x:c>
      <x:c r="E38" s="6" t="n">
        <x:v>157000</x:v>
      </x:c>
      <x:c r="F38" s="6" t="n">
        <x:f>D38-E38</x:f>
        <x:v>-75000</x:v>
      </x:c>
      <x:c r="G38" s="6" t="n">
        <x:f>G37+F38</x:f>
        <x:v>810000</x:v>
      </x:c>
      <x:c r="H38" s="6" t="n">
        <x:f>F38-'日経_D07'!F38</x:f>
        <x:v>-86000</x:v>
      </x:c>
      <x:c r="I38" s="6" t="n">
        <x:v>-68000</x:v>
      </x:c>
      <x:c r="J38" s="6" t="n">
        <x:v>-7000</x:v>
      </x:c>
      <x:c r="K38" s="6" t="n">
        <x:v>0</x:v>
      </x:c>
      <x:c r="L38" s="6" t="n">
        <x:v>21</x:v>
      </x:c>
      <x:c r="M38" s="6" t="n">
        <x:v>30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757000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74000</x:v>
      </x:c>
      <x:c r="E40" s="6" t="n">
        <x:v>55000</x:v>
      </x:c>
      <x:c r="F40" s="6" t="n">
        <x:f>D40-E40</x:f>
        <x:v>19000</x:v>
      </x:c>
      <x:c r="G40" s="6" t="n">
        <x:f>G39+F40</x:f>
        <x:v>776000</x:v>
      </x:c>
      <x:c r="H40" s="6" t="n">
        <x:f>F40-'日経_D07'!F40</x:f>
        <x:v>-82000</x:v>
      </x:c>
      <x:c r="I40" s="6" t="n">
        <x:v>-6000</x:v>
      </x:c>
      <x:c r="J40" s="6" t="n">
        <x:v>25000</x:v>
      </x:c>
      <x:c r="K40" s="6" t="n">
        <x:v>0</x:v>
      </x:c>
      <x:c r="L40" s="6" t="n">
        <x:v>11</x:v>
      </x:c>
      <x:c r="M40" s="6" t="n">
        <x:v>12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912000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218000</x:v>
      </x:c>
      <x:c r="E42" s="6" t="n">
        <x:v>66000</x:v>
      </x:c>
      <x:c r="F42" s="6" t="n">
        <x:f>D42-E42</x:f>
        <x:v>152000</x:v>
      </x:c>
      <x:c r="G42" s="6" t="n">
        <x:f>G41+F42</x:f>
        <x:v>1064000</x:v>
      </x:c>
      <x:c r="H42" s="6" t="n">
        <x:f>F42-'日経_D07'!F42</x:f>
        <x:v>-239000</x:v>
      </x:c>
      <x:c r="I42" s="6" t="n">
        <x:v>120000</x:v>
      </x:c>
      <x:c r="J42" s="6" t="n">
        <x:v>32000</x:v>
      </x:c>
      <x:c r="K42" s="6" t="n">
        <x:v>0</x:v>
      </x:c>
      <x:c r="L42" s="6" t="n">
        <x:v>8</x:v>
      </x:c>
      <x:c r="M42" s="6" t="n">
        <x:v>11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45000</x:v>
      </x:c>
      <x:c r="E43" s="6" t="n">
        <x:v>53000</x:v>
      </x:c>
      <x:c r="F43" s="6" t="n">
        <x:f>D43-E43</x:f>
        <x:v>-8000</x:v>
      </x:c>
      <x:c r="G43" s="6" t="n">
        <x:f>G42+F43</x:f>
        <x:v>1056000</x:v>
      </x:c>
      <x:c r="H43" s="6" t="n">
        <x:f>F43-'日経_D07'!F43</x:f>
        <x:v>-30000</x:v>
      </x:c>
      <x:c r="I43" s="6" t="n">
        <x:v>-19000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62000</x:v>
      </x:c>
      <x:c r="E44" s="6" t="n">
        <x:v>124000</x:v>
      </x:c>
      <x:c r="F44" s="6" t="n">
        <x:f>D44-E44</x:f>
        <x:v>-62000</x:v>
      </x:c>
      <x:c r="G44" s="6" t="n">
        <x:f>G43+F44</x:f>
        <x:v>994000</x:v>
      </x:c>
      <x:c r="H44" s="6" t="n">
        <x:f>F44-'日経_D07'!F44</x:f>
        <x:v>59000</x:v>
      </x:c>
      <x:c r="I44" s="6" t="n">
        <x:v>-65000</x:v>
      </x:c>
      <x:c r="J44" s="6" t="n">
        <x:v>3000</x:v>
      </x:c>
      <x:c r="K44" s="6" t="n">
        <x:v>0</x:v>
      </x:c>
      <x:c r="L44" s="6" t="n">
        <x:v>19</x:v>
      </x:c>
      <x:c r="M44" s="6" t="n">
        <x:v>24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134000</x:v>
      </x:c>
      <x:c r="E45" s="6" t="n">
        <x:v>126000</x:v>
      </x:c>
      <x:c r="F45" s="6" t="n">
        <x:f>D45-E45</x:f>
        <x:v>8000</x:v>
      </x:c>
      <x:c r="G45" s="6" t="n">
        <x:f>G44+F45</x:f>
        <x:v>1002000</x:v>
      </x:c>
      <x:c r="H45" s="6" t="n">
        <x:f>F45-'日経_D07'!F45</x:f>
        <x:v>-24000</x:v>
      </x:c>
      <x:c r="I45" s="6" t="n">
        <x:v>6000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200000</x:v>
      </x:c>
      <x:c r="E46" s="6" t="n">
        <x:v>42000</x:v>
      </x:c>
      <x:c r="F46" s="6" t="n">
        <x:f>D46-E46</x:f>
        <x:v>158000</x:v>
      </x:c>
      <x:c r="G46" s="6" t="n">
        <x:f>G45+F46</x:f>
        <x:v>1160000</x:v>
      </x:c>
      <x:c r="H46" s="6" t="n">
        <x:f>F46-'日経_D07'!F46</x:f>
        <x:v>-240000</x:v>
      </x:c>
      <x:c r="I46" s="6" t="n">
        <x:v>130000</x:v>
      </x:c>
      <x:c r="J46" s="6" t="n">
        <x:v>28000</x:v>
      </x:c>
      <x:c r="K46" s="6" t="n">
        <x:v>0</x:v>
      </x:c>
      <x:c r="L46" s="6" t="n">
        <x:v>9</x:v>
      </x:c>
      <x:c r="M46" s="6" t="n">
        <x:v>13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1152000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109000</x:v>
      </x:c>
      <x:c r="E48" s="6" t="n">
        <x:v>181000</x:v>
      </x:c>
      <x:c r="F48" s="6" t="n">
        <x:f>D48-E48</x:f>
        <x:v>-72000</x:v>
      </x:c>
      <x:c r="G48" s="6" t="n">
        <x:f>G47+F48</x:f>
        <x:v>1080000</x:v>
      </x:c>
      <x:c r="H48" s="6" t="n">
        <x:f>F48-'日経_D07'!F48</x:f>
        <x:v>-48000</x:v>
      </x:c>
      <x:c r="I48" s="6" t="n">
        <x:v>-91000</x:v>
      </x:c>
      <x:c r="J48" s="6" t="n">
        <x:v>19000</x:v>
      </x:c>
      <x:c r="K48" s="6" t="n">
        <x:v>0</x:v>
      </x:c>
      <x:c r="L48" s="6" t="n">
        <x:v>22</x:v>
      </x:c>
      <x:c r="M48" s="6" t="n">
        <x:v>30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1180000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42000</x:v>
      </x:c>
      <x:c r="E50" s="6" t="n">
        <x:v>93000</x:v>
      </x:c>
      <x:c r="F50" s="6" t="n">
        <x:f>D50-E50</x:f>
        <x:v>-51000</x:v>
      </x:c>
      <x:c r="G50" s="6" t="n">
        <x:f>G49+F50</x:f>
        <x:v>1129000</x:v>
      </x:c>
      <x:c r="H50" s="6" t="n">
        <x:f>F50-'日経_D07'!F50</x:f>
        <x:v>69000</x:v>
      </x:c>
      <x:c r="I50" s="6" t="n">
        <x:v>-53000</x:v>
      </x:c>
      <x:c r="J50" s="6" t="n">
        <x:v>2000</x:v>
      </x:c>
      <x:c r="K50" s="6" t="n">
        <x:v>0</x:v>
      </x:c>
      <x:c r="L50" s="6" t="n">
        <x:v>16</x:v>
      </x:c>
      <x:c r="M50" s="6" t="n">
        <x:v>22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1105000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394000</x:v>
      </x:c>
      <x:c r="E52" s="6" t="n">
        <x:v>0</x:v>
      </x:c>
      <x:c r="F52" s="6" t="n">
        <x:f>D52-E52</x:f>
        <x:v>394000</x:v>
      </x:c>
      <x:c r="G52" s="6" t="n">
        <x:f>G51+F52</x:f>
        <x:v>1499000</x:v>
      </x:c>
      <x:c r="H52" s="6" t="n">
        <x:f>F52-'日経_D07'!F52</x:f>
        <x:v>-307000</x:v>
      </x:c>
      <x:c r="I52" s="6" t="n">
        <x:v>239000</x:v>
      </x:c>
      <x:c r="J52" s="6" t="n">
        <x:v>155000</x:v>
      </x:c>
      <x:c r="K52" s="6" t="n">
        <x:v>0</x:v>
      </x:c>
      <x:c r="L52" s="6" t="n">
        <x:v>6</x:v>
      </x:c>
      <x:c r="M52" s="6" t="n">
        <x:v>7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1655000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152000</x:v>
      </x:c>
      <x:c r="E54" s="6" t="n">
        <x:v>89000</x:v>
      </x:c>
      <x:c r="F54" s="6" t="n">
        <x:f>D54-E54</x:f>
        <x:v>63000</x:v>
      </x:c>
      <x:c r="G54" s="6" t="n">
        <x:f>G53+F54</x:f>
        <x:v>1718000</x:v>
      </x:c>
      <x:c r="H54" s="6" t="n">
        <x:f>F54-'日経_D07'!F54</x:f>
        <x:v>-67000</x:v>
      </x:c>
      <x:c r="I54" s="6" t="n">
        <x:v>111000</x:v>
      </x:c>
      <x:c r="J54" s="6" t="n">
        <x:v>-48000</x:v>
      </x:c>
      <x:c r="K54" s="6" t="n">
        <x:v>0</x:v>
      </x:c>
      <x:c r="L54" s="6" t="n">
        <x:v>18</x:v>
      </x:c>
      <x:c r="M54" s="6" t="n">
        <x:v>28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39000</x:v>
      </x:c>
      <x:c r="E55" s="6" t="n">
        <x:v>53000</x:v>
      </x:c>
      <x:c r="F55" s="6" t="n">
        <x:f>D55-E55</x:f>
        <x:v>-14000</x:v>
      </x:c>
      <x:c r="G55" s="6" t="n">
        <x:f>G54+F55</x:f>
        <x:v>1704000</x:v>
      </x:c>
      <x:c r="H55" s="6" t="n">
        <x:f>F55-'日経_D07'!F55</x:f>
        <x:v>-1000</x:v>
      </x:c>
      <x:c r="I55" s="6" t="n">
        <x:v>19000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38000</x:v>
      </x:c>
      <x:c r="F56" s="6" t="n">
        <x:f>D56-E56</x:f>
        <x:v>161000</x:v>
      </x:c>
      <x:c r="G56" s="6" t="n">
        <x:f>G55+F56</x:f>
        <x:v>1865000</x:v>
      </x:c>
      <x:c r="H56" s="6" t="n">
        <x:f>F56-'日経_D07'!F56</x:f>
        <x:v>152000</x:v>
      </x:c>
      <x:c r="I56" s="6" t="n">
        <x:v>138000</x:v>
      </x:c>
      <x:c r="J56" s="6" t="n">
        <x:v>23000</x:v>
      </x:c>
      <x:c r="K56" s="6" t="n">
        <x:v>0</x:v>
      </x:c>
      <x:c r="L56" s="6" t="n">
        <x:v>7</x:v>
      </x:c>
      <x:c r="M56" s="6" t="n">
        <x:v>9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4618000</x:v>
      </x:c>
      <x:c r="E57" s="14" t="n">
        <x:f>SUM(E6:E56)</x:f>
        <x:v>2753000</x:v>
      </x:c>
      <x:c r="F57" s="14" t="n">
        <x:f>D57-E57</x:f>
        <x:v>1865000</x:v>
      </x:c>
      <x:c r="G57" s="14" t="n">
        <x:f>G56</x:f>
        <x:v>1865000</x:v>
      </x:c>
      <x:c r="H57" s="14" t="n">
        <x:f>SUM(H6:H56)</x:f>
        <x:v>-1194000</x:v>
      </x:c>
      <x:c r="I57" s="14" t="n">
        <x:f>SUM(I6:I56)</x:f>
        <x:v>1561000</x:v>
      </x:c>
      <x:c r="J57" s="14" t="n">
        <x:f>SUM(J6:J56)</x:f>
        <x:v>304000</x:v>
      </x:c>
      <x:c r="K57" s="14" t="n">
        <x:f>SUM(K6:K56)</x:f>
        <x:v>0</x:v>
      </x:c>
      <x:c r="L57" s="14" t="n">
        <x:f>SUM(L6:L56)</x:f>
        <x:v>444</x:v>
      </x:c>
      <x:c r="M57" s="14" t="n">
        <x:f>SUM(M6:M56)</x:f>
        <x:v>686</x:v>
      </x:c>
    </x:row>
  </x:sheetData>
  <x:conditionalFormatting sqref="F6:K56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960db7e0b54ff1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G01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全担当の親総時価が初回0.5R相当へ到達後、最高益の50%を保護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24000</x:v>
      </x:c>
      <x:c r="E6" s="6" t="n">
        <x:v>0</x:v>
      </x:c>
      <x:c r="F6" s="6" t="n">
        <x:f>D6-E6</x:f>
        <x:v>24000</x:v>
      </x:c>
      <x:c r="G6" s="6" t="n">
        <x:f>F6</x:f>
        <x:v>24000</x:v>
      </x:c>
      <x:c r="H6" s="6" t="n">
        <x:f>F6-'日経_D07'!F6</x:f>
        <x:v>-6000</x:v>
      </x:c>
      <x:c r="I6" s="6" t="n">
        <x:v>24000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10000</x:v>
      </x:c>
      <x:c r="E7" s="6" t="n">
        <x:v>0</x:v>
      </x:c>
      <x:c r="F7" s="6" t="n">
        <x:f>D7-E7</x:f>
        <x:v>10000</x:v>
      </x:c>
      <x:c r="G7" s="6" t="n">
        <x:f>G6+F7</x:f>
        <x:v>34000</x:v>
      </x:c>
      <x:c r="H7" s="6" t="n">
        <x:f>F7-'日経_D07'!F7</x:f>
        <x:v>55000</x:v>
      </x:c>
      <x:c r="I7" s="6" t="n">
        <x:v>10000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-36000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10000</x:v>
      </x:c>
      <x:c r="E9" s="6" t="n">
        <x:v>0</x:v>
      </x:c>
      <x:c r="F9" s="6" t="n">
        <x:f>D9-E9</x:f>
        <x:v>10000</x:v>
      </x:c>
      <x:c r="G9" s="6" t="n">
        <x:f>G8+F9</x:f>
        <x:v>-26000</x:v>
      </x:c>
      <x:c r="H9" s="6" t="n">
        <x:f>F9-'日経_D07'!F9</x:f>
        <x:v>-14000</x:v>
      </x:c>
      <x:c r="I9" s="6" t="n">
        <x:v>10000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15000</x:v>
      </x:c>
      <x:c r="E10" s="6" t="n">
        <x:v>0</x:v>
      </x:c>
      <x:c r="F10" s="6" t="n">
        <x:f>D10-E10</x:f>
        <x:v>15000</x:v>
      </x:c>
      <x:c r="G10" s="6" t="n">
        <x:f>G9+F10</x:f>
        <x:v>-11000</x:v>
      </x:c>
      <x:c r="H10" s="6" t="n">
        <x:f>F10-'日経_D07'!F10</x:f>
        <x:v>-35000</x:v>
      </x:c>
      <x:c r="I10" s="6" t="n">
        <x:v>15000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2000</x:v>
      </x:c>
      <x:c r="E11" s="6" t="n">
        <x:v>40000</x:v>
      </x:c>
      <x:c r="F11" s="6" t="n">
        <x:f>D11-E11</x:f>
        <x:v>-38000</x:v>
      </x:c>
      <x:c r="G11" s="6" t="n">
        <x:f>G10+F11</x:f>
        <x:v>-49000</x:v>
      </x:c>
      <x:c r="H11" s="6" t="n">
        <x:f>F11-'日経_D07'!F11</x:f>
        <x:v>-2000</x:v>
      </x:c>
      <x:c r="I11" s="6" t="n">
        <x:v>-36000</x:v>
      </x:c>
      <x:c r="J11" s="6" t="n">
        <x:v>-2000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120000</x:v>
      </x:c>
      <x:c r="E12" s="6" t="n">
        <x:v>84000</x:v>
      </x:c>
      <x:c r="F12" s="6" t="n">
        <x:f>D12-E12</x:f>
        <x:v>36000</x:v>
      </x:c>
      <x:c r="G12" s="6" t="n">
        <x:f>G11+F12</x:f>
        <x:v>-13000</x:v>
      </x:c>
      <x:c r="H12" s="6" t="n">
        <x:f>F12-'日経_D07'!F12</x:f>
        <x:v>-32000</x:v>
      </x:c>
      <x:c r="I12" s="6" t="n">
        <x:v>33000</x:v>
      </x:c>
      <x:c r="J12" s="6" t="n">
        <x:v>3000</x:v>
      </x:c>
      <x:c r="K12" s="6" t="n">
        <x:v>0</x:v>
      </x:c>
      <x:c r="L12" s="6" t="n">
        <x:v>8</x:v>
      </x:c>
      <x:c r="M12" s="6" t="n">
        <x:v>20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</x:v>
      </x:c>
      <x:c r="E13" s="6" t="n">
        <x:v>0</x:v>
      </x:c>
      <x:c r="F13" s="6" t="n">
        <x:f>D13-E13</x:f>
        <x:v>2000</x:v>
      </x:c>
      <x:c r="G13" s="6" t="n">
        <x:f>G12+F13</x:f>
        <x:v>-11000</x:v>
      </x:c>
      <x:c r="H13" s="6" t="n">
        <x:f>F13-'日経_D07'!F13</x:f>
        <x:v>-18000</x:v>
      </x:c>
      <x:c r="I13" s="6" t="n">
        <x:v>2000</x:v>
      </x:c>
      <x:c r="J13" s="6" t="n">
        <x:v>0</x:v>
      </x:c>
      <x:c r="K13" s="6" t="n">
        <x:v>0</x:v>
      </x:c>
      <x:c r="L13" s="6" t="n">
        <x:v>1</x:v>
      </x:c>
      <x:c r="M13" s="6" t="n">
        <x:v>1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151000</x:v>
      </x:c>
      <x:c r="E14" s="6" t="n">
        <x:v>16000</x:v>
      </x:c>
      <x:c r="F14" s="6" t="n">
        <x:f>D14-E14</x:f>
        <x:v>135000</x:v>
      </x:c>
      <x:c r="G14" s="6" t="n">
        <x:f>G13+F14</x:f>
        <x:v>124000</x:v>
      </x:c>
      <x:c r="H14" s="6" t="n">
        <x:f>F14-'日経_D07'!F14</x:f>
        <x:v>42000</x:v>
      </x:c>
      <x:c r="I14" s="6" t="n">
        <x:v>129000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19000</x:v>
      </x:c>
      <x:c r="E15" s="6" t="n">
        <x:v>0</x:v>
      </x:c>
      <x:c r="F15" s="6" t="n">
        <x:f>D15-E15</x:f>
        <x:v>19000</x:v>
      </x:c>
      <x:c r="G15" s="6" t="n">
        <x:f>G14+F15</x:f>
        <x:v>143000</x:v>
      </x:c>
      <x:c r="H15" s="6" t="n">
        <x:f>F15-'日経_D07'!F15</x:f>
        <x:v>18000</x:v>
      </x:c>
      <x:c r="I15" s="6" t="n">
        <x:v>19000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66000</x:v>
      </x:c>
      <x:c r="E16" s="6" t="n">
        <x:v>115000</x:v>
      </x:c>
      <x:c r="F16" s="6" t="n">
        <x:f>D16-E16</x:f>
        <x:v>-49000</x:v>
      </x:c>
      <x:c r="G16" s="6" t="n">
        <x:f>G15+F16</x:f>
        <x:v>94000</x:v>
      </x:c>
      <x:c r="H16" s="6" t="n">
        <x:f>F16-'日経_D07'!F16</x:f>
        <x:v>-19000</x:v>
      </x:c>
      <x:c r="I16" s="6" t="n">
        <x:v>-42000</x:v>
      </x:c>
      <x:c r="J16" s="6" t="n">
        <x:v>-7000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15000</x:v>
      </x:c>
      <x:c r="E17" s="6" t="n">
        <x:v>30000</x:v>
      </x:c>
      <x:c r="F17" s="6" t="n">
        <x:f>D17-E17</x:f>
        <x:v>-15000</x:v>
      </x:c>
      <x:c r="G17" s="6" t="n">
        <x:f>G16+F17</x:f>
        <x:v>79000</x:v>
      </x:c>
      <x:c r="H17" s="6" t="n">
        <x:f>F17-'日経_D07'!F17</x:f>
        <x:v>5000</x:v>
      </x:c>
      <x:c r="I17" s="6" t="n">
        <x:v>-10000</x:v>
      </x:c>
      <x:c r="J17" s="6" t="n">
        <x:v>-5000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71000</x:v>
      </x:c>
      <x:c r="E18" s="6" t="n">
        <x:v>42000</x:v>
      </x:c>
      <x:c r="F18" s="6" t="n">
        <x:f>D18-E18</x:f>
        <x:v>29000</x:v>
      </x:c>
      <x:c r="G18" s="6" t="n">
        <x:f>G17+F18</x:f>
        <x:v>108000</x:v>
      </x:c>
      <x:c r="H18" s="6" t="n">
        <x:f>F18-'日経_D07'!F18</x:f>
        <x:v>-41000</x:v>
      </x:c>
      <x:c r="I18" s="6" t="n">
        <x:v>52000</x:v>
      </x:c>
      <x:c r="J18" s="6" t="n">
        <x:v>-23000</x:v>
      </x:c>
      <x:c r="K18" s="6" t="n">
        <x:v>0</x:v>
      </x:c>
      <x:c r="L18" s="6" t="n">
        <x:v>14</x:v>
      </x:c>
      <x:c r="M18" s="6" t="n">
        <x:v>29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28000</x:v>
      </x:c>
      <x:c r="E19" s="6" t="n">
        <x:v>72000</x:v>
      </x:c>
      <x:c r="F19" s="6" t="n">
        <x:f>D19-E19</x:f>
        <x:v>-44000</x:v>
      </x:c>
      <x:c r="G19" s="6" t="n">
        <x:f>G18+F19</x:f>
        <x:v>64000</x:v>
      </x:c>
      <x:c r="H19" s="6" t="n">
        <x:f>F19-'日経_D07'!F19</x:f>
        <x:v>-109000</x:v>
      </x:c>
      <x:c r="I19" s="6" t="n">
        <x:v>-41000</x:v>
      </x:c>
      <x:c r="J19" s="6" t="n">
        <x:v>-3000</x:v>
      </x:c>
      <x:c r="K19" s="6" t="n">
        <x:v>0</x:v>
      </x:c>
      <x:c r="L19" s="6" t="n">
        <x:v>7</x:v>
      </x:c>
      <x:c r="M19" s="6" t="n">
        <x:v>19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38000</x:v>
      </x:c>
      <x:c r="E20" s="6" t="n">
        <x:v>75000</x:v>
      </x:c>
      <x:c r="F20" s="6" t="n">
        <x:f>D20-E20</x:f>
        <x:v>-37000</x:v>
      </x:c>
      <x:c r="G20" s="6" t="n">
        <x:f>G19+F20</x:f>
        <x:v>27000</x:v>
      </x:c>
      <x:c r="H20" s="6" t="n">
        <x:f>F20-'日経_D07'!F20</x:f>
        <x:v>-147000</x:v>
      </x:c>
      <x:c r="I20" s="6" t="n">
        <x:v>-35000</x:v>
      </x:c>
      <x:c r="J20" s="6" t="n">
        <x:v>-2000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36000</x:v>
      </x:c>
      <x:c r="E21" s="6" t="n">
        <x:v>0</x:v>
      </x:c>
      <x:c r="F21" s="6" t="n">
        <x:f>D21-E21</x:f>
        <x:v>36000</x:v>
      </x:c>
      <x:c r="G21" s="6" t="n">
        <x:f>G20+F21</x:f>
        <x:v>63000</x:v>
      </x:c>
      <x:c r="H21" s="6" t="n">
        <x:f>F21-'日経_D07'!F21</x:f>
        <x:v>-7000</x:v>
      </x:c>
      <x:c r="I21" s="6" t="n">
        <x:v>36000</x:v>
      </x:c>
      <x:c r="J21" s="6" t="n">
        <x:v>0</x:v>
      </x:c>
      <x:c r="K21" s="6" t="n">
        <x:v>0</x:v>
      </x:c>
      <x:c r="L21" s="6" t="n">
        <x:v>2</x:v>
      </x:c>
      <x:c r="M21" s="6" t="n">
        <x:v>6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48000</x:v>
      </x:c>
      <x:c r="E22" s="6" t="n">
        <x:v>110000</x:v>
      </x:c>
      <x:c r="F22" s="6" t="n">
        <x:f>D22-E22</x:f>
        <x:v>-62000</x:v>
      </x:c>
      <x:c r="G22" s="6" t="n">
        <x:f>G21+F22</x:f>
        <x:v>1000</x:v>
      </x:c>
      <x:c r="H22" s="6" t="n">
        <x:f>F22-'日経_D07'!F22</x:f>
        <x:v>-158000</x:v>
      </x:c>
      <x:c r="I22" s="6" t="n">
        <x:v>-62000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90000</x:v>
      </x:c>
      <x:c r="E23" s="6" t="n">
        <x:v>39000</x:v>
      </x:c>
      <x:c r="F23" s="6" t="n">
        <x:f>D23-E23</x:f>
        <x:v>51000</x:v>
      </x:c>
      <x:c r="G23" s="6" t="n">
        <x:f>G22+F23</x:f>
        <x:v>52000</x:v>
      </x:c>
      <x:c r="H23" s="6" t="n">
        <x:f>F23-'日経_D07'!F23</x:f>
        <x:v>-58000</x:v>
      </x:c>
      <x:c r="I23" s="6" t="n">
        <x:v>55000</x:v>
      </x:c>
      <x:c r="J23" s="6" t="n">
        <x:v>-4000</x:v>
      </x:c>
      <x:c r="K23" s="6" t="n">
        <x:v>0</x:v>
      </x:c>
      <x:c r="L23" s="6" t="n">
        <x:v>12</x:v>
      </x:c>
      <x:c r="M23" s="6" t="n">
        <x:v>20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59000</x:v>
      </x:c>
      <x:c r="E24" s="6" t="n">
        <x:v>0</x:v>
      </x:c>
      <x:c r="F24" s="6" t="n">
        <x:f>D24-E24</x:f>
        <x:v>59000</x:v>
      </x:c>
      <x:c r="G24" s="6" t="n">
        <x:f>G23+F24</x:f>
        <x:v>111000</x:v>
      </x:c>
      <x:c r="H24" s="6" t="n">
        <x:f>F24-'日経_D07'!F24</x:f>
        <x:v>68000</x:v>
      </x:c>
      <x:c r="I24" s="6" t="n">
        <x:v>68000</x:v>
      </x:c>
      <x:c r="J24" s="6" t="n">
        <x:v>-9000</x:v>
      </x:c>
      <x:c r="K24" s="6" t="n">
        <x:v>0</x:v>
      </x:c>
      <x:c r="L24" s="6" t="n">
        <x:v>8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192000</x:v>
      </x:c>
      <x:c r="E25" s="6" t="n">
        <x:v>38000</x:v>
      </x:c>
      <x:c r="F25" s="6" t="n">
        <x:f>D25-E25</x:f>
        <x:v>154000</x:v>
      </x:c>
      <x:c r="G25" s="6" t="n">
        <x:f>G24+F25</x:f>
        <x:v>265000</x:v>
      </x:c>
      <x:c r="H25" s="6" t="n">
        <x:f>F25-'日経_D07'!F25</x:f>
        <x:v>-102000</x:v>
      </x:c>
      <x:c r="I25" s="6" t="n">
        <x:v>160000</x:v>
      </x:c>
      <x:c r="J25" s="6" t="n">
        <x:v>-6000</x:v>
      </x:c>
      <x:c r="K25" s="6" t="n">
        <x:v>0</x:v>
      </x:c>
      <x:c r="L25" s="6" t="n">
        <x:v>12</x:v>
      </x:c>
      <x:c r="M25" s="6" t="n">
        <x:v>25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84000</x:v>
      </x:c>
      <x:c r="E26" s="6" t="n">
        <x:v>66000</x:v>
      </x:c>
      <x:c r="F26" s="6" t="n">
        <x:f>D26-E26</x:f>
        <x:v>18000</x:v>
      </x:c>
      <x:c r="G26" s="6" t="n">
        <x:f>G25+F26</x:f>
        <x:v>283000</x:v>
      </x:c>
      <x:c r="H26" s="6" t="n">
        <x:f>F26-'日経_D07'!F26</x:f>
        <x:v>126000</x:v>
      </x:c>
      <x:c r="I26" s="6" t="n">
        <x:v>27000</x:v>
      </x:c>
      <x:c r="J26" s="6" t="n">
        <x:v>-9000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7000</x:v>
      </x:c>
      <x:c r="E27" s="6" t="n">
        <x:v>64000</x:v>
      </x:c>
      <x:c r="F27" s="6" t="n">
        <x:f>D27-E27</x:f>
        <x:v>-57000</x:v>
      </x:c>
      <x:c r="G27" s="6" t="n">
        <x:f>G26+F27</x:f>
        <x:v>226000</x:v>
      </x:c>
      <x:c r="H27" s="6" t="n">
        <x:f>F27-'日経_D07'!F27</x:f>
        <x:v>-91000</x:v>
      </x:c>
      <x:c r="I27" s="6" t="n">
        <x:v>-57000</x:v>
      </x:c>
      <x:c r="J27" s="6" t="n">
        <x:v>0</x:v>
      </x:c>
      <x:c r="K27" s="6" t="n">
        <x:v>0</x:v>
      </x:c>
      <x:c r="L27" s="6" t="n">
        <x:v>5</x:v>
      </x:c>
      <x:c r="M27" s="6" t="n">
        <x:v>12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79000</x:v>
      </x:c>
      <x:c r="E28" s="6" t="n">
        <x:v>90000</x:v>
      </x:c>
      <x:c r="F28" s="6" t="n">
        <x:f>D28-E28</x:f>
        <x:v>-11000</x:v>
      </x:c>
      <x:c r="G28" s="6" t="n">
        <x:f>G27+F28</x:f>
        <x:v>215000</x:v>
      </x:c>
      <x:c r="H28" s="6" t="n">
        <x:f>F28-'日経_D07'!F28</x:f>
        <x:v>34000</x:v>
      </x:c>
      <x:c r="I28" s="6" t="n">
        <x:v>-4000</x:v>
      </x:c>
      <x:c r="J28" s="6" t="n">
        <x:v>-7000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2000</x:v>
      </x:c>
      <x:c r="E29" s="6" t="n">
        <x:v>43000</x:v>
      </x:c>
      <x:c r="F29" s="6" t="n">
        <x:f>D29-E29</x:f>
        <x:v>-41000</x:v>
      </x:c>
      <x:c r="G29" s="6" t="n">
        <x:f>G28+F29</x:f>
        <x:v>174000</x:v>
      </x:c>
      <x:c r="H29" s="6" t="n">
        <x:f>F29-'日経_D07'!F29</x:f>
        <x:v>-31000</x:v>
      </x:c>
      <x:c r="I29" s="6" t="n">
        <x:v>-41000</x:v>
      </x:c>
      <x:c r="J29" s="6" t="n">
        <x:v>0</x:v>
      </x:c>
      <x:c r="K29" s="6" t="n">
        <x:v>0</x:v>
      </x:c>
      <x:c r="L29" s="6" t="n">
        <x:v>3</x:v>
      </x:c>
      <x:c r="M29" s="6" t="n">
        <x:v>7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31000</x:v>
      </x:c>
      <x:c r="E30" s="6" t="n">
        <x:v>46000</x:v>
      </x:c>
      <x:c r="F30" s="6" t="n">
        <x:f>D30-E30</x:f>
        <x:v>-15000</x:v>
      </x:c>
      <x:c r="G30" s="6" t="n">
        <x:f>G29+F30</x:f>
        <x:v>159000</x:v>
      </x:c>
      <x:c r="H30" s="6" t="n">
        <x:f>F30-'日経_D07'!F30</x:f>
        <x:v>-136000</x:v>
      </x:c>
      <x:c r="I30" s="6" t="n">
        <x:v>-16000</x:v>
      </x:c>
      <x:c r="J30" s="6" t="n">
        <x:v>1000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3000</x:v>
      </x:c>
      <x:c r="E31" s="6" t="n">
        <x:v>0</x:v>
      </x:c>
      <x:c r="F31" s="6" t="n">
        <x:f>D31-E31</x:f>
        <x:v>3000</x:v>
      </x:c>
      <x:c r="G31" s="6" t="n">
        <x:f>G30+F31</x:f>
        <x:v>162000</x:v>
      </x:c>
      <x:c r="H31" s="6" t="n">
        <x:f>F31-'日経_D07'!F31</x:f>
        <x:v>46000</x:v>
      </x:c>
      <x:c r="I31" s="6" t="n">
        <x:v>7000</x:v>
      </x:c>
      <x:c r="J31" s="6" t="n">
        <x:v>-4000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42000</x:v>
      </x:c>
      <x:c r="E32" s="6" t="n">
        <x:v>90000</x:v>
      </x:c>
      <x:c r="F32" s="6" t="n">
        <x:f>D32-E32</x:f>
        <x:v>-48000</x:v>
      </x:c>
      <x:c r="G32" s="6" t="n">
        <x:f>G31+F32</x:f>
        <x:v>114000</x:v>
      </x:c>
      <x:c r="H32" s="6" t="n">
        <x:f>F32-'日経_D07'!F32</x:f>
        <x:v>-51000</x:v>
      </x:c>
      <x:c r="I32" s="6" t="n">
        <x:v>-48000</x:v>
      </x:c>
      <x:c r="J32" s="6" t="n">
        <x:v>0</x:v>
      </x:c>
      <x:c r="K32" s="6" t="n">
        <x:v>0</x:v>
      </x:c>
      <x:c r="L32" s="6" t="n">
        <x:v>7</x:v>
      </x:c>
      <x:c r="M32" s="6" t="n">
        <x:v>29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108000</x:v>
      </x:c>
      <x:c r="E33" s="6" t="n">
        <x:v>16000</x:v>
      </x:c>
      <x:c r="F33" s="6" t="n">
        <x:f>D33-E33</x:f>
        <x:v>92000</x:v>
      </x:c>
      <x:c r="G33" s="6" t="n">
        <x:f>G32+F33</x:f>
        <x:v>206000</x:v>
      </x:c>
      <x:c r="H33" s="6" t="n">
        <x:f>F33-'日経_D07'!F33</x:f>
        <x:v>-219000</x:v>
      </x:c>
      <x:c r="I33" s="6" t="n">
        <x:v>96000</x:v>
      </x:c>
      <x:c r="J33" s="6" t="n">
        <x:v>-4000</x:v>
      </x:c>
      <x:c r="K33" s="6" t="n">
        <x:v>0</x:v>
      </x:c>
      <x:c r="L33" s="6" t="n">
        <x:v>11</x:v>
      </x:c>
      <x:c r="M33" s="6" t="n">
        <x:v>24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50000</x:v>
      </x:c>
      <x:c r="E34" s="6" t="n">
        <x:v>38000</x:v>
      </x:c>
      <x:c r="F34" s="6" t="n">
        <x:f>D34-E34</x:f>
        <x:v>12000</x:v>
      </x:c>
      <x:c r="G34" s="6" t="n">
        <x:f>G33+F34</x:f>
        <x:v>218000</x:v>
      </x:c>
      <x:c r="H34" s="6" t="n">
        <x:f>F34-'日経_D07'!F34</x:f>
        <x:v>-31000</x:v>
      </x:c>
      <x:c r="I34" s="6" t="n">
        <x:v>19000</x:v>
      </x:c>
      <x:c r="J34" s="6" t="n">
        <x:v>-7000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15000</x:v>
      </x:c>
      <x:c r="E35" s="6" t="n">
        <x:v>0</x:v>
      </x:c>
      <x:c r="F35" s="6" t="n">
        <x:f>D35-E35</x:f>
        <x:v>15000</x:v>
      </x:c>
      <x:c r="G35" s="6" t="n">
        <x:f>G34+F35</x:f>
        <x:v>233000</x:v>
      </x:c>
      <x:c r="H35" s="6" t="n">
        <x:f>F35-'日経_D07'!F35</x:f>
        <x:v>1000</x:v>
      </x:c>
      <x:c r="I35" s="6" t="n">
        <x:v>15000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19000</x:v>
      </x:c>
      <x:c r="E36" s="6" t="n">
        <x:v>25000</x:v>
      </x:c>
      <x:c r="F36" s="6" t="n">
        <x:f>D36-E36</x:f>
        <x:v>-6000</x:v>
      </x:c>
      <x:c r="G36" s="6" t="n">
        <x:f>G35+F36</x:f>
        <x:v>227000</x:v>
      </x:c>
      <x:c r="H36" s="6" t="n">
        <x:f>F36-'日経_D07'!F36</x:f>
        <x:v>-14000</x:v>
      </x:c>
      <x:c r="I36" s="6" t="n">
        <x:v>-6000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15000</x:v>
      </x:c>
      <x:c r="E37" s="6" t="n">
        <x:v>0</x:v>
      </x:c>
      <x:c r="F37" s="6" t="n">
        <x:f>D37-E37</x:f>
        <x:v>15000</x:v>
      </x:c>
      <x:c r="G37" s="6" t="n">
        <x:f>G36+F37</x:f>
        <x:v>242000</x:v>
      </x:c>
      <x:c r="H37" s="6" t="n">
        <x:f>F37-'日経_D07'!F37</x:f>
        <x:v>-67000</x:v>
      </x:c>
      <x:c r="I37" s="6" t="n">
        <x:v>15000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82000</x:v>
      </x:c>
      <x:c r="E38" s="6" t="n">
        <x:v>151000</x:v>
      </x:c>
      <x:c r="F38" s="6" t="n">
        <x:f>D38-E38</x:f>
        <x:v>-69000</x:v>
      </x:c>
      <x:c r="G38" s="6" t="n">
        <x:f>G37+F38</x:f>
        <x:v>173000</x:v>
      </x:c>
      <x:c r="H38" s="6" t="n">
        <x:f>F38-'日経_D07'!F38</x:f>
        <x:v>-80000</x:v>
      </x:c>
      <x:c r="I38" s="6" t="n">
        <x:v>-64000</x:v>
      </x:c>
      <x:c r="J38" s="6" t="n">
        <x:v>-5000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120000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58000</x:v>
      </x:c>
      <x:c r="E40" s="6" t="n">
        <x:v>0</x:v>
      </x:c>
      <x:c r="F40" s="6" t="n">
        <x:f>D40-E40</x:f>
        <x:v>58000</x:v>
      </x:c>
      <x:c r="G40" s="6" t="n">
        <x:f>G39+F40</x:f>
        <x:v>178000</x:v>
      </x:c>
      <x:c r="H40" s="6" t="n">
        <x:f>F40-'日経_D07'!F40</x:f>
        <x:v>-43000</x:v>
      </x:c>
      <x:c r="I40" s="6" t="n">
        <x:v>60000</x:v>
      </x:c>
      <x:c r="J40" s="6" t="n">
        <x:v>-2000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343000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74000</x:v>
      </x:c>
      <x:c r="E42" s="6" t="n">
        <x:v>198000</x:v>
      </x:c>
      <x:c r="F42" s="6" t="n">
        <x:f>D42-E42</x:f>
        <x:v>-124000</x:v>
      </x:c>
      <x:c r="G42" s="6" t="n">
        <x:f>G41+F42</x:f>
        <x:v>219000</x:v>
      </x:c>
      <x:c r="H42" s="6" t="n">
        <x:f>F42-'日経_D07'!F42</x:f>
        <x:v>-515000</x:v>
      </x:c>
      <x:c r="I42" s="6" t="n">
        <x:v>-103000</x:v>
      </x:c>
      <x:c r="J42" s="6" t="n">
        <x:v>-21000</x:v>
      </x:c>
      <x:c r="K42" s="6" t="n">
        <x:v>0</x:v>
      </x:c>
      <x:c r="L42" s="6" t="n">
        <x:v>15</x:v>
      </x:c>
      <x:c r="M42" s="6" t="n">
        <x:v>29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22000</x:v>
      </x:c>
      <x:c r="E43" s="6" t="n">
        <x:v>47000</x:v>
      </x:c>
      <x:c r="F43" s="6" t="n">
        <x:f>D43-E43</x:f>
        <x:v>-25000</x:v>
      </x:c>
      <x:c r="G43" s="6" t="n">
        <x:f>G42+F43</x:f>
        <x:v>194000</x:v>
      </x:c>
      <x:c r="H43" s="6" t="n">
        <x:f>F43-'日経_D07'!F43</x:f>
        <x:v>-47000</x:v>
      </x:c>
      <x:c r="I43" s="6" t="n">
        <x:v>-15000</x:v>
      </x:c>
      <x:c r="J43" s="6" t="n">
        <x:v>-10000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67000</x:v>
      </x:c>
      <x:c r="E44" s="6" t="n">
        <x:v>168000</x:v>
      </x:c>
      <x:c r="F44" s="6" t="n">
        <x:f>D44-E44</x:f>
        <x:v>-101000</x:v>
      </x:c>
      <x:c r="G44" s="6" t="n">
        <x:f>G43+F44</x:f>
        <x:v>93000</x:v>
      </x:c>
      <x:c r="H44" s="6" t="n">
        <x:f>F44-'日経_D07'!F44</x:f>
        <x:v>20000</x:v>
      </x:c>
      <x:c r="I44" s="6" t="n">
        <x:v>-96000</x:v>
      </x:c>
      <x:c r="J44" s="6" t="n">
        <x:v>-5000</x:v>
      </x:c>
      <x:c r="K44" s="6" t="n">
        <x:v>0</x:v>
      </x:c>
      <x:c r="L44" s="6" t="n">
        <x:v>13</x:v>
      </x:c>
      <x:c r="M44" s="6" t="n">
        <x:v>42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132000</x:v>
      </x:c>
      <x:c r="E45" s="6" t="n">
        <x:v>80000</x:v>
      </x:c>
      <x:c r="F45" s="6" t="n">
        <x:f>D45-E45</x:f>
        <x:v>52000</x:v>
      </x:c>
      <x:c r="G45" s="6" t="n">
        <x:f>G44+F45</x:f>
        <x:v>145000</x:v>
      </x:c>
      <x:c r="H45" s="6" t="n">
        <x:f>F45-'日経_D07'!F45</x:f>
        <x:v>20000</x:v>
      </x:c>
      <x:c r="I45" s="6" t="n">
        <x:v>56000</x:v>
      </x:c>
      <x:c r="J45" s="6" t="n">
        <x:v>-4000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99000</x:v>
      </x:c>
      <x:c r="E46" s="6" t="n">
        <x:v>42000</x:v>
      </x:c>
      <x:c r="F46" s="6" t="n">
        <x:f>D46-E46</x:f>
        <x:v>57000</x:v>
      </x:c>
      <x:c r="G46" s="6" t="n">
        <x:f>G45+F46</x:f>
        <x:v>202000</x:v>
      </x:c>
      <x:c r="H46" s="6" t="n">
        <x:f>F46-'日経_D07'!F46</x:f>
        <x:v>-341000</x:v>
      </x:c>
      <x:c r="I46" s="6" t="n">
        <x:v>52000</x:v>
      </x:c>
      <x:c r="J46" s="6" t="n">
        <x:v>5000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80000</x:v>
      </x:c>
      <x:c r="E47" s="6" t="n">
        <x:v>30000</x:v>
      </x:c>
      <x:c r="F47" s="6" t="n">
        <x:f>D47-E47</x:f>
        <x:v>50000</x:v>
      </x:c>
      <x:c r="G47" s="6" t="n">
        <x:f>G46+F47</x:f>
        <x:v>252000</x:v>
      </x:c>
      <x:c r="H47" s="6" t="n">
        <x:f>F47-'日経_D07'!F47</x:f>
        <x:v>58000</x:v>
      </x:c>
      <x:c r="I47" s="6" t="n">
        <x:v>46000</x:v>
      </x:c>
      <x:c r="J47" s="6" t="n">
        <x:v>4000</x:v>
      </x:c>
      <x:c r="K47" s="6" t="n">
        <x:v>0</x:v>
      </x:c>
      <x:c r="L47" s="6" t="n">
        <x:v>10</x:v>
      </x:c>
      <x:c r="M47" s="6" t="n">
        <x:v>19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87000</x:v>
      </x:c>
      <x:c r="E48" s="6" t="n">
        <x:v>169000</x:v>
      </x:c>
      <x:c r="F48" s="6" t="n">
        <x:f>D48-E48</x:f>
        <x:v>-82000</x:v>
      </x:c>
      <x:c r="G48" s="6" t="n">
        <x:f>G47+F48</x:f>
        <x:v>170000</x:v>
      </x:c>
      <x:c r="H48" s="6" t="n">
        <x:f>F48-'日経_D07'!F48</x:f>
        <x:v>-58000</x:v>
      </x:c>
      <x:c r="I48" s="6" t="n">
        <x:v>-73000</x:v>
      </x:c>
      <x:c r="J48" s="6" t="n">
        <x:v>-9000</x:v>
      </x:c>
      <x:c r="K48" s="6" t="n">
        <x:v>0</x:v>
      </x:c>
      <x:c r="L48" s="6" t="n">
        <x:v>14</x:v>
      </x:c>
      <x:c r="M48" s="6" t="n">
        <x:v>38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39000</x:v>
      </x:c>
      <x:c r="E49" s="6" t="n">
        <x:v>0</x:v>
      </x:c>
      <x:c r="F49" s="6" t="n">
        <x:f>D49-E49</x:f>
        <x:v>39000</x:v>
      </x:c>
      <x:c r="G49" s="6" t="n">
        <x:f>G48+F49</x:f>
        <x:v>209000</x:v>
      </x:c>
      <x:c r="H49" s="6" t="n">
        <x:f>F49-'日経_D07'!F49</x:f>
        <x:v>-61000</x:v>
      </x:c>
      <x:c r="I49" s="6" t="n">
        <x:v>45000</x:v>
      </x:c>
      <x:c r="J49" s="6" t="n">
        <x:v>-6000</x:v>
      </x:c>
      <x:c r="K49" s="6" t="n">
        <x:v>0</x:v>
      </x:c>
      <x:c r="L49" s="6" t="n">
        <x:v>8</x:v>
      </x:c>
      <x:c r="M49" s="6" t="n">
        <x:v>11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25000</x:v>
      </x:c>
      <x:c r="E50" s="6" t="n">
        <x:v>193000</x:v>
      </x:c>
      <x:c r="F50" s="6" t="n">
        <x:f>D50-E50</x:f>
        <x:v>-168000</x:v>
      </x:c>
      <x:c r="G50" s="6" t="n">
        <x:f>G49+F50</x:f>
        <x:v>41000</x:v>
      </x:c>
      <x:c r="H50" s="6" t="n">
        <x:f>F50-'日経_D07'!F50</x:f>
        <x:v>-48000</x:v>
      </x:c>
      <x:c r="I50" s="6" t="n">
        <x:v>-155000</x:v>
      </x:c>
      <x:c r="J50" s="6" t="n">
        <x:v>-13000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84000</x:v>
      </x:c>
      <x:c r="E51" s="6" t="n">
        <x:v>0</x:v>
      </x:c>
      <x:c r="F51" s="6" t="n">
        <x:f>D51-E51</x:f>
        <x:v>84000</x:v>
      </x:c>
      <x:c r="G51" s="6" t="n">
        <x:f>G50+F51</x:f>
        <x:v>125000</x:v>
      </x:c>
      <x:c r="H51" s="6" t="n">
        <x:f>F51-'日経_D07'!F51</x:f>
        <x:v>108000</x:v>
      </x:c>
      <x:c r="I51" s="6" t="n">
        <x:v>84000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68000</x:v>
      </x:c>
      <x:c r="E52" s="6" t="n">
        <x:v>0</x:v>
      </x:c>
      <x:c r="F52" s="6" t="n">
        <x:f>D52-E52</x:f>
        <x:v>68000</x:v>
      </x:c>
      <x:c r="G52" s="6" t="n">
        <x:f>G51+F52</x:f>
        <x:v>193000</x:v>
      </x:c>
      <x:c r="H52" s="6" t="n">
        <x:f>F52-'日経_D07'!F52</x:f>
        <x:v>-633000</x:v>
      </x:c>
      <x:c r="I52" s="6" t="n">
        <x:v>76000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76000</x:v>
      </x:c>
      <x:c r="E53" s="6" t="n">
        <x:v>0</x:v>
      </x:c>
      <x:c r="F53" s="6" t="n">
        <x:f>D53-E53</x:f>
        <x:v>76000</x:v>
      </x:c>
      <x:c r="G53" s="6" t="n">
        <x:f>G52+F53</x:f>
        <x:v>269000</x:v>
      </x:c>
      <x:c r="H53" s="6" t="n">
        <x:f>F53-'日経_D07'!F53</x:f>
        <x:v>-80000</x:v>
      </x:c>
      <x:c r="I53" s="6" t="n">
        <x:v>63000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175000</x:v>
      </x:c>
      <x:c r="E54" s="6" t="n">
        <x:v>44000</x:v>
      </x:c>
      <x:c r="F54" s="6" t="n">
        <x:f>D54-E54</x:f>
        <x:v>131000</x:v>
      </x:c>
      <x:c r="G54" s="6" t="n">
        <x:f>G53+F54</x:f>
        <x:v>400000</x:v>
      </x:c>
      <x:c r="H54" s="6" t="n">
        <x:f>F54-'日経_D07'!F54</x:f>
        <x:v>1000</x:v>
      </x:c>
      <x:c r="I54" s="6" t="n">
        <x:v>138000</x:v>
      </x:c>
      <x:c r="J54" s="6" t="n">
        <x:v>-7000</x:v>
      </x:c>
      <x:c r="K54" s="6" t="n">
        <x:v>0</x:v>
      </x:c>
      <x:c r="L54" s="6" t="n">
        <x:v>15</x:v>
      </x:c>
      <x:c r="M54" s="6" t="n">
        <x:v>29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50000</x:v>
      </x:c>
      <x:c r="E55" s="6" t="n">
        <x:v>0</x:v>
      </x:c>
      <x:c r="F55" s="6" t="n">
        <x:f>D55-E55</x:f>
        <x:v>50000</x:v>
      </x:c>
      <x:c r="G55" s="6" t="n">
        <x:f>G54+F55</x:f>
        <x:v>450000</x:v>
      </x:c>
      <x:c r="H55" s="6" t="n">
        <x:f>F55-'日経_D07'!F55</x:f>
        <x:v>63000</x:v>
      </x:c>
      <x:c r="I55" s="6" t="n">
        <x:v>54000</x:v>
      </x:c>
      <x:c r="J55" s="6" t="n">
        <x:v>-4000</x:v>
      </x:c>
      <x:c r="K55" s="6" t="n">
        <x:v>0</x:v>
      </x:c>
      <x:c r="L55" s="6" t="n">
        <x:v>8</x:v>
      </x:c>
      <x:c r="M55" s="6" t="n">
        <x:v>13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67000</x:v>
      </x:c>
      <x:c r="E56" s="6" t="n">
        <x:v>190000</x:v>
      </x:c>
      <x:c r="F56" s="6" t="n">
        <x:f>D56-E56</x:f>
        <x:v>-123000</x:v>
      </x:c>
      <x:c r="G56" s="6" t="n">
        <x:f>G55+F56</x:f>
        <x:v>327000</x:v>
      </x:c>
      <x:c r="H56" s="6" t="n">
        <x:f>F56-'日経_D07'!F56</x:f>
        <x:v>-132000</x:v>
      </x:c>
      <x:c r="I56" s="6" t="n">
        <x:v>-109000</x:v>
      </x:c>
      <x:c r="J56" s="6" t="n">
        <x:v>-14000</x:v>
      </x:c>
      <x:c r="K56" s="6" t="n">
        <x:v>0</x:v>
      </x:c>
      <x:c r="L56" s="6" t="n">
        <x:v>8</x:v>
      </x:c>
      <x:c r="M56" s="6" t="n">
        <x:v>23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2941000</x:v>
      </x:c>
      <x:c r="E57" s="14" t="n">
        <x:f>SUM(E6:E56)</x:f>
        <x:v>2614000</x:v>
      </x:c>
      <x:c r="F57" s="14" t="n">
        <x:f>D57-E57</x:f>
        <x:v>327000</x:v>
      </x:c>
      <x:c r="G57" s="14" t="n">
        <x:f>G56</x:f>
        <x:v>327000</x:v>
      </x:c>
      <x:c r="H57" s="14" t="n">
        <x:f>SUM(H6:H56)</x:f>
        <x:v>-2732000</x:v>
      </x:c>
      <x:c r="I57" s="14" t="n">
        <x:f>SUM(I6:I56)</x:f>
        <x:v>495000</x:v>
      </x:c>
      <x:c r="J57" s="14" t="n">
        <x:f>SUM(J6:J56)</x:f>
        <x:v>-168000</x:v>
      </x:c>
      <x:c r="K57" s="14" t="n">
        <x:f>SUM(K6:K56)</x:f>
        <x:v>0</x:v>
      </x:c>
      <x:c r="L57" s="14" t="n">
        <x:f>SUM(L6:L56)</x:f>
        <x:v>346</x:v>
      </x:c>
      <x:c r="M57" s="14" t="n">
        <x:f>SUM(M6:M56)</x:f>
        <x:v>840</x:v>
      </x:c>
    </x:row>
  </x:sheetData>
  <x:conditionalFormatting sqref="F6:K56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e85b147afc4d6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G02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全担当の親総時価が初回1R相当へ到達後、最高益の50%を保護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24000</x:v>
      </x:c>
      <x:c r="E6" s="6" t="n">
        <x:v>0</x:v>
      </x:c>
      <x:c r="F6" s="6" t="n">
        <x:f>D6-E6</x:f>
        <x:v>24000</x:v>
      </x:c>
      <x:c r="G6" s="6" t="n">
        <x:f>F6</x:f>
        <x:v>24000</x:v>
      </x:c>
      <x:c r="H6" s="6" t="n">
        <x:f>F6-'日経_D07'!F6</x:f>
        <x:v>-6000</x:v>
      </x:c>
      <x:c r="I6" s="6" t="n">
        <x:v>24000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-21000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-91000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32000</x:v>
      </x:c>
      <x:c r="E9" s="6" t="n">
        <x:v>0</x:v>
      </x:c>
      <x:c r="F9" s="6" t="n">
        <x:f>D9-E9</x:f>
        <x:v>32000</x:v>
      </x:c>
      <x:c r="G9" s="6" t="n">
        <x:f>G8+F9</x:f>
        <x:v>-59000</x:v>
      </x:c>
      <x:c r="H9" s="6" t="n">
        <x:f>F9-'日経_D07'!F9</x:f>
        <x:v>8000</x:v>
      </x:c>
      <x:c r="I9" s="6" t="n">
        <x:v>32000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-9000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8000</x:v>
      </x:c>
      <x:c r="E11" s="6" t="n">
        <x:v>40000</x:v>
      </x:c>
      <x:c r="F11" s="6" t="n">
        <x:f>D11-E11</x:f>
        <x:v>-32000</x:v>
      </x:c>
      <x:c r="G11" s="6" t="n">
        <x:f>G10+F11</x:f>
        <x:v>-41000</x:v>
      </x:c>
      <x:c r="H11" s="6" t="n">
        <x:f>F11-'日経_D07'!F11</x:f>
        <x:v>4000</x:v>
      </x:c>
      <x:c r="I11" s="6" t="n">
        <x:v>-33000</x:v>
      </x:c>
      <x:c r="J11" s="6" t="n">
        <x:v>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133000</x:v>
      </x:c>
      <x:c r="E12" s="6" t="n">
        <x:v>84000</x:v>
      </x:c>
      <x:c r="F12" s="6" t="n">
        <x:f>D12-E12</x:f>
        <x:v>49000</x:v>
      </x:c>
      <x:c r="G12" s="6" t="n">
        <x:f>G11+F12</x:f>
        <x:v>8000</x:v>
      </x:c>
      <x:c r="H12" s="6" t="n">
        <x:f>F12-'日経_D07'!F12</x:f>
        <x:v>-19000</x:v>
      </x:c>
      <x:c r="I12" s="6" t="n">
        <x:v>42000</x:v>
      </x:c>
      <x:c r="J12" s="6" t="n">
        <x:v>7000</x:v>
      </x:c>
      <x:c r="K12" s="6" t="n">
        <x:v>0</x:v>
      </x:c>
      <x:c r="L12" s="6" t="n">
        <x:v>9</x:v>
      </x:c>
      <x:c r="M12" s="6" t="n">
        <x:v>21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5000</x:v>
      </x:c>
      <x:c r="E13" s="6" t="n">
        <x:v>0</x:v>
      </x:c>
      <x:c r="F13" s="6" t="n">
        <x:f>D13-E13</x:f>
        <x:v>5000</x:v>
      </x:c>
      <x:c r="G13" s="6" t="n">
        <x:f>G12+F13</x:f>
        <x:v>13000</x:v>
      </x:c>
      <x:c r="H13" s="6" t="n">
        <x:f>F13-'日経_D07'!F13</x:f>
        <x:v>-15000</x:v>
      </x:c>
      <x:c r="I13" s="6" t="n">
        <x:v>7000</x:v>
      </x:c>
      <x:c r="J13" s="6" t="n">
        <x:v>-2000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106000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107000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59000</x:v>
      </x:c>
      <x:c r="E16" s="6" t="n">
        <x:v>131000</x:v>
      </x:c>
      <x:c r="F16" s="6" t="n">
        <x:f>D16-E16</x:f>
        <x:v>-72000</x:v>
      </x:c>
      <x:c r="G16" s="6" t="n">
        <x:f>G15+F16</x:f>
        <x:v>35000</x:v>
      </x:c>
      <x:c r="H16" s="6" t="n">
        <x:f>F16-'日経_D07'!F16</x:f>
        <x:v>-42000</x:v>
      </x:c>
      <x:c r="I16" s="6" t="n">
        <x:v>-56000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22000</x:v>
      </x:c>
      <x:c r="E17" s="6" t="n">
        <x:v>30000</x:v>
      </x:c>
      <x:c r="F17" s="6" t="n">
        <x:f>D17-E17</x:f>
        <x:v>-8000</x:v>
      </x:c>
      <x:c r="G17" s="6" t="n">
        <x:f>G16+F17</x:f>
        <x:v>27000</x:v>
      </x:c>
      <x:c r="H17" s="6" t="n">
        <x:f>F17-'日経_D07'!F17</x:f>
        <x:v>12000</x:v>
      </x:c>
      <x:c r="I17" s="6" t="n">
        <x:v>-3000</x:v>
      </x:c>
      <x:c r="J17" s="6" t="n">
        <x:v>-5000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188000</x:v>
      </x:c>
      <x:c r="E18" s="6" t="n">
        <x:v>96000</x:v>
      </x:c>
      <x:c r="F18" s="6" t="n">
        <x:f>D18-E18</x:f>
        <x:v>92000</x:v>
      </x:c>
      <x:c r="G18" s="6" t="n">
        <x:f>G17+F18</x:f>
        <x:v>119000</x:v>
      </x:c>
      <x:c r="H18" s="6" t="n">
        <x:f>F18-'日経_D07'!F18</x:f>
        <x:v>22000</x:v>
      </x:c>
      <x:c r="I18" s="6" t="n">
        <x:v>143000</x:v>
      </x:c>
      <x:c r="J18" s="6" t="n">
        <x:v>-51000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89000</x:v>
      </x:c>
      <x:c r="E19" s="6" t="n">
        <x:v>72000</x:v>
      </x:c>
      <x:c r="F19" s="6" t="n">
        <x:f>D19-E19</x:f>
        <x:v>17000</x:v>
      </x:c>
      <x:c r="G19" s="6" t="n">
        <x:f>G18+F19</x:f>
        <x:v>136000</x:v>
      </x:c>
      <x:c r="H19" s="6" t="n">
        <x:f>F19-'日経_D07'!F19</x:f>
        <x:v>-48000</x:v>
      </x:c>
      <x:c r="I19" s="6" t="n">
        <x:v>19000</x:v>
      </x:c>
      <x:c r="J19" s="6" t="n">
        <x:v>-2000</x:v>
      </x:c>
      <x:c r="K19" s="6" t="n">
        <x:v>0</x:v>
      </x:c>
      <x:c r="L19" s="6" t="n">
        <x:v>7</x:v>
      </x:c>
      <x:c r="M19" s="6" t="n">
        <x:v>19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184000</x:v>
      </x:c>
      <x:c r="E20" s="6" t="n">
        <x:v>75000</x:v>
      </x:c>
      <x:c r="F20" s="6" t="n">
        <x:f>D20-E20</x:f>
        <x:v>109000</x:v>
      </x:c>
      <x:c r="G20" s="6" t="n">
        <x:f>G19+F20</x:f>
        <x:v>245000</x:v>
      </x:c>
      <x:c r="H20" s="6" t="n">
        <x:f>F20-'日経_D07'!F20</x:f>
        <x:v>-1000</x:v>
      </x:c>
      <x:c r="I20" s="6" t="n">
        <x:v>114000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47000</x:v>
      </x:c>
      <x:c r="E21" s="6" t="n">
        <x:v>0</x:v>
      </x:c>
      <x:c r="F21" s="6" t="n">
        <x:f>D21-E21</x:f>
        <x:v>47000</x:v>
      </x:c>
      <x:c r="G21" s="6" t="n">
        <x:f>G20+F21</x:f>
        <x:v>292000</x:v>
      </x:c>
      <x:c r="H21" s="6" t="n">
        <x:f>F21-'日経_D07'!F21</x:f>
        <x:v>4000</x:v>
      </x:c>
      <x:c r="I21" s="6" t="n">
        <x:v>52000</x:v>
      </x:c>
      <x:c r="J21" s="6" t="n">
        <x:v>-5000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40000</x:v>
      </x:c>
      <x:c r="E22" s="6" t="n">
        <x:v>144000</x:v>
      </x:c>
      <x:c r="F22" s="6" t="n">
        <x:f>D22-E22</x:f>
        <x:v>-104000</x:v>
      </x:c>
      <x:c r="G22" s="6" t="n">
        <x:f>G21+F22</x:f>
        <x:v>188000</x:v>
      </x:c>
      <x:c r="H22" s="6" t="n">
        <x:f>F22-'日経_D07'!F22</x:f>
        <x:v>-200000</x:v>
      </x:c>
      <x:c r="I22" s="6" t="n">
        <x:v>-104000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158000</x:v>
      </x:c>
      <x:c r="E23" s="6" t="n">
        <x:v>98000</x:v>
      </x:c>
      <x:c r="F23" s="6" t="n">
        <x:f>D23-E23</x:f>
        <x:v>60000</x:v>
      </x:c>
      <x:c r="G23" s="6" t="n">
        <x:f>G22+F23</x:f>
        <x:v>248000</x:v>
      </x:c>
      <x:c r="H23" s="6" t="n">
        <x:f>F23-'日経_D07'!F23</x:f>
        <x:v>-49000</x:v>
      </x:c>
      <x:c r="I23" s="6" t="n">
        <x:v>60000</x:v>
      </x:c>
      <x:c r="J23" s="6" t="n">
        <x:v>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84000</x:v>
      </x:c>
      <x:c r="E24" s="6" t="n">
        <x:v>65000</x:v>
      </x:c>
      <x:c r="F24" s="6" t="n">
        <x:f>D24-E24</x:f>
        <x:v>19000</x:v>
      </x:c>
      <x:c r="G24" s="6" t="n">
        <x:f>G23+F24</x:f>
        <x:v>267000</x:v>
      </x:c>
      <x:c r="H24" s="6" t="n">
        <x:f>F24-'日経_D07'!F24</x:f>
        <x:v>28000</x:v>
      </x:c>
      <x:c r="I24" s="6" t="n">
        <x:v>-6000</x:v>
      </x:c>
      <x:c r="J24" s="6" t="n">
        <x:v>25000</x:v>
      </x:c>
      <x:c r="K24" s="6" t="n">
        <x:v>0</x:v>
      </x:c>
      <x:c r="L24" s="6" t="n">
        <x:v>9</x:v>
      </x:c>
      <x:c r="M24" s="6" t="n">
        <x:v>17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270000</x:v>
      </x:c>
      <x:c r="E25" s="6" t="n">
        <x:v>38000</x:v>
      </x:c>
      <x:c r="F25" s="6" t="n">
        <x:f>D25-E25</x:f>
        <x:v>232000</x:v>
      </x:c>
      <x:c r="G25" s="6" t="n">
        <x:f>G24+F25</x:f>
        <x:v>499000</x:v>
      </x:c>
      <x:c r="H25" s="6" t="n">
        <x:f>F25-'日経_D07'!F25</x:f>
        <x:v>-24000</x:v>
      </x:c>
      <x:c r="I25" s="6" t="n">
        <x:v>221000</x:v>
      </x:c>
      <x:c r="J25" s="6" t="n">
        <x:v>11000</x:v>
      </x:c>
      <x:c r="K25" s="6" t="n">
        <x:v>0</x:v>
      </x:c>
      <x:c r="L25" s="6" t="n">
        <x:v>14</x:v>
      </x:c>
      <x:c r="M25" s="6" t="n">
        <x:v>27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86000</x:v>
      </x:c>
      <x:c r="E26" s="6" t="n">
        <x:v>156000</x:v>
      </x:c>
      <x:c r="F26" s="6" t="n">
        <x:f>D26-E26</x:f>
        <x:v>-70000</x:v>
      </x:c>
      <x:c r="G26" s="6" t="n">
        <x:f>G25+F26</x:f>
        <x:v>429000</x:v>
      </x:c>
      <x:c r="H26" s="6" t="n">
        <x:f>F26-'日経_D07'!F26</x:f>
        <x:v>38000</x:v>
      </x:c>
      <x:c r="I26" s="6" t="n">
        <x:v>-69000</x:v>
      </x:c>
      <x:c r="J26" s="6" t="n">
        <x:v>-1000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14000</x:v>
      </x:c>
      <x:c r="E27" s="6" t="n">
        <x:v>64000</x:v>
      </x:c>
      <x:c r="F27" s="6" t="n">
        <x:f>D27-E27</x:f>
        <x:v>-50000</x:v>
      </x:c>
      <x:c r="G27" s="6" t="n">
        <x:f>G26+F27</x:f>
        <x:v>379000</x:v>
      </x:c>
      <x:c r="H27" s="6" t="n">
        <x:f>F27-'日経_D07'!F27</x:f>
        <x:v>-84000</x:v>
      </x:c>
      <x:c r="I27" s="6" t="n">
        <x:v>-48000</x:v>
      </x:c>
      <x:c r="J27" s="6" t="n">
        <x:v>-2000</x:v>
      </x:c>
      <x:c r="K27" s="6" t="n">
        <x:v>0</x:v>
      </x:c>
      <x:c r="L27" s="6" t="n">
        <x:v>6</x:v>
      </x:c>
      <x:c r="M27" s="6" t="n">
        <x:v>13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63000</x:v>
      </x:c>
      <x:c r="E28" s="6" t="n">
        <x:v>140000</x:v>
      </x:c>
      <x:c r="F28" s="6" t="n">
        <x:f>D28-E28</x:f>
        <x:v>-77000</x:v>
      </x:c>
      <x:c r="G28" s="6" t="n">
        <x:f>G27+F28</x:f>
        <x:v>302000</x:v>
      </x:c>
      <x:c r="H28" s="6" t="n">
        <x:f>F28-'日経_D07'!F28</x:f>
        <x:v>-32000</x:v>
      </x:c>
      <x:c r="I28" s="6" t="n">
        <x:v>-70000</x:v>
      </x:c>
      <x:c r="J28" s="6" t="n">
        <x:v>-7000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7000</x:v>
      </x:c>
      <x:c r="E29" s="6" t="n">
        <x:v>43000</x:v>
      </x:c>
      <x:c r="F29" s="6" t="n">
        <x:f>D29-E29</x:f>
        <x:v>-36000</x:v>
      </x:c>
      <x:c r="G29" s="6" t="n">
        <x:f>G28+F29</x:f>
        <x:v>266000</x:v>
      </x:c>
      <x:c r="H29" s="6" t="n">
        <x:f>F29-'日経_D07'!F29</x:f>
        <x:v>-26000</x:v>
      </x:c>
      <x:c r="I29" s="6" t="n">
        <x:v>-37000</x:v>
      </x:c>
      <x:c r="J29" s="6" t="n">
        <x:v>1000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138000</x:v>
      </x:c>
      <x:c r="E30" s="6" t="n">
        <x:v>46000</x:v>
      </x:c>
      <x:c r="F30" s="6" t="n">
        <x:f>D30-E30</x:f>
        <x:v>92000</x:v>
      </x:c>
      <x:c r="G30" s="6" t="n">
        <x:f>G29+F30</x:f>
        <x:v>358000</x:v>
      </x:c>
      <x:c r="H30" s="6" t="n">
        <x:f>F30-'日経_D07'!F30</x:f>
        <x:v>-29000</x:v>
      </x:c>
      <x:c r="I30" s="6" t="n">
        <x:v>84000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315000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133000</x:v>
      </x:c>
      <x:c r="E32" s="6" t="n">
        <x:v>118000</x:v>
      </x:c>
      <x:c r="F32" s="6" t="n">
        <x:f>D32-E32</x:f>
        <x:v>15000</x:v>
      </x:c>
      <x:c r="G32" s="6" t="n">
        <x:f>G31+F32</x:f>
        <x:v>330000</x:v>
      </x:c>
      <x:c r="H32" s="6" t="n">
        <x:f>F32-'日経_D07'!F32</x:f>
        <x:v>12000</x:v>
      </x:c>
      <x:c r="I32" s="6" t="n">
        <x:v>14000</x:v>
      </x:c>
      <x:c r="J32" s="6" t="n">
        <x:v>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172000</x:v>
      </x:c>
      <x:c r="E33" s="6" t="n">
        <x:v>16000</x:v>
      </x:c>
      <x:c r="F33" s="6" t="n">
        <x:f>D33-E33</x:f>
        <x:v>156000</x:v>
      </x:c>
      <x:c r="G33" s="6" t="n">
        <x:f>G32+F33</x:f>
        <x:v>486000</x:v>
      </x:c>
      <x:c r="H33" s="6" t="n">
        <x:f>F33-'日経_D07'!F33</x:f>
        <x:v>-155000</x:v>
      </x:c>
      <x:c r="I33" s="6" t="n">
        <x:v>175000</x:v>
      </x:c>
      <x:c r="J33" s="6" t="n">
        <x:v>-19000</x:v>
      </x:c>
      <x:c r="K33" s="6" t="n">
        <x:v>0</x:v>
      </x:c>
      <x:c r="L33" s="6" t="n">
        <x:v>16</x:v>
      </x:c>
      <x:c r="M33" s="6" t="n">
        <x:v>29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160000</x:v>
      </x:c>
      <x:c r="E34" s="6" t="n">
        <x:v>38000</x:v>
      </x:c>
      <x:c r="F34" s="6" t="n">
        <x:f>D34-E34</x:f>
        <x:v>122000</x:v>
      </x:c>
      <x:c r="G34" s="6" t="n">
        <x:f>G33+F34</x:f>
        <x:v>608000</x:v>
      </x:c>
      <x:c r="H34" s="6" t="n">
        <x:f>F34-'日経_D07'!F34</x:f>
        <x:v>79000</x:v>
      </x:c>
      <x:c r="I34" s="6" t="n">
        <x:v>121000</x:v>
      </x:c>
      <x:c r="J34" s="6" t="n">
        <x:v>1000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622000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35000</x:v>
      </x:c>
      <x:c r="E36" s="6" t="n">
        <x:v>53000</x:v>
      </x:c>
      <x:c r="F36" s="6" t="n">
        <x:f>D36-E36</x:f>
        <x:v>-18000</x:v>
      </x:c>
      <x:c r="G36" s="6" t="n">
        <x:f>G35+F36</x:f>
        <x:v>604000</x:v>
      </x:c>
      <x:c r="H36" s="6" t="n">
        <x:f>F36-'日経_D07'!F36</x:f>
        <x:v>-26000</x:v>
      </x:c>
      <x:c r="I36" s="6" t="n">
        <x:v>-18000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686000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157000</x:v>
      </x:c>
      <x:c r="E38" s="6" t="n">
        <x:v>169000</x:v>
      </x:c>
      <x:c r="F38" s="6" t="n">
        <x:f>D38-E38</x:f>
        <x:v>-12000</x:v>
      </x:c>
      <x:c r="G38" s="6" t="n">
        <x:f>G37+F38</x:f>
        <x:v>674000</x:v>
      </x:c>
      <x:c r="H38" s="6" t="n">
        <x:f>F38-'日経_D07'!F38</x:f>
        <x:v>-23000</x:v>
      </x:c>
      <x:c r="I38" s="6" t="n">
        <x:v>4000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621000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165000</x:v>
      </x:c>
      <x:c r="E40" s="6" t="n">
        <x:v>48000</x:v>
      </x:c>
      <x:c r="F40" s="6" t="n">
        <x:f>D40-E40</x:f>
        <x:v>117000</x:v>
      </x:c>
      <x:c r="G40" s="6" t="n">
        <x:f>G39+F40</x:f>
        <x:v>738000</x:v>
      </x:c>
      <x:c r="H40" s="6" t="n">
        <x:f>F40-'日経_D07'!F40</x:f>
        <x:v>16000</x:v>
      </x:c>
      <x:c r="I40" s="6" t="n">
        <x:v>136000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903000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477000</x:v>
      </x:c>
      <x:c r="E42" s="6" t="n">
        <x:v>66000</x:v>
      </x:c>
      <x:c r="F42" s="6" t="n">
        <x:f>D42-E42</x:f>
        <x:v>411000</x:v>
      </x:c>
      <x:c r="G42" s="6" t="n">
        <x:f>G41+F42</x:f>
        <x:v>1314000</x:v>
      </x:c>
      <x:c r="H42" s="6" t="n">
        <x:f>F42-'日経_D07'!F42</x:f>
        <x:v>20000</x:v>
      </x:c>
      <x:c r="I42" s="6" t="n">
        <x:v>390000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52000</x:v>
      </x:c>
      <x:c r="E43" s="6" t="n">
        <x:v>53000</x:v>
      </x:c>
      <x:c r="F43" s="6" t="n">
        <x:f>D43-E43</x:f>
        <x:v>-1000</x:v>
      </x:c>
      <x:c r="G43" s="6" t="n">
        <x:f>G42+F43</x:f>
        <x:v>1313000</x:v>
      </x:c>
      <x:c r="H43" s="6" t="n">
        <x:f>F43-'日経_D07'!F43</x:f>
        <x:v>-23000</x:v>
      </x:c>
      <x:c r="I43" s="6" t="n">
        <x:v>-16000</x:v>
      </x:c>
      <x:c r="J43" s="6" t="n">
        <x:v>15000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149000</x:v>
      </x:c>
      <x:c r="E44" s="6" t="n">
        <x:v>227000</x:v>
      </x:c>
      <x:c r="F44" s="6" t="n">
        <x:f>D44-E44</x:f>
        <x:v>-78000</x:v>
      </x:c>
      <x:c r="G44" s="6" t="n">
        <x:f>G43+F44</x:f>
        <x:v>1235000</x:v>
      </x:c>
      <x:c r="H44" s="6" t="n">
        <x:f>F44-'日経_D07'!F44</x:f>
        <x:v>43000</x:v>
      </x:c>
      <x:c r="I44" s="6" t="n">
        <x:v>-61000</x:v>
      </x:c>
      <x:c r="J44" s="6" t="n">
        <x:v>-17000</x:v>
      </x:c>
      <x:c r="K44" s="6" t="n">
        <x:v>0</x:v>
      </x:c>
      <x:c r="L44" s="6" t="n">
        <x:v>13</x:v>
      </x:c>
      <x:c r="M44" s="6" t="n">
        <x:v>42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130000</x:v>
      </x:c>
      <x:c r="E45" s="6" t="n">
        <x:v>102000</x:v>
      </x:c>
      <x:c r="F45" s="6" t="n">
        <x:f>D45-E45</x:f>
        <x:v>28000</x:v>
      </x:c>
      <x:c r="G45" s="6" t="n">
        <x:f>G44+F45</x:f>
        <x:v>1263000</x:v>
      </x:c>
      <x:c r="H45" s="6" t="n">
        <x:f>F45-'日経_D07'!F45</x:f>
        <x:v>-4000</x:v>
      </x:c>
      <x:c r="I45" s="6" t="n">
        <x:v>32000</x:v>
      </x:c>
      <x:c r="J45" s="6" t="n">
        <x:v>-4000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1661000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90000</x:v>
      </x:c>
      <x:c r="E47" s="6" t="n">
        <x:v>86000</x:v>
      </x:c>
      <x:c r="F47" s="6" t="n">
        <x:f>D47-E47</x:f>
        <x:v>4000</x:v>
      </x:c>
      <x:c r="G47" s="6" t="n">
        <x:f>G46+F47</x:f>
        <x:v>1665000</x:v>
      </x:c>
      <x:c r="H47" s="6" t="n">
        <x:f>F47-'日経_D07'!F47</x:f>
        <x:v>12000</x:v>
      </x:c>
      <x:c r="I47" s="6" t="n">
        <x:v>23000</x:v>
      </x:c>
      <x:c r="J47" s="6" t="n">
        <x:v>-19000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245000</x:v>
      </x:c>
      <x:c r="E48" s="6" t="n">
        <x:v>232000</x:v>
      </x:c>
      <x:c r="F48" s="6" t="n">
        <x:f>D48-E48</x:f>
        <x:v>13000</x:v>
      </x:c>
      <x:c r="G48" s="6" t="n">
        <x:f>G47+F48</x:f>
        <x:v>1678000</x:v>
      </x:c>
      <x:c r="H48" s="6" t="n">
        <x:f>F48-'日経_D07'!F48</x:f>
        <x:v>37000</x:v>
      </x:c>
      <x:c r="I48" s="6" t="n">
        <x:v>-8000</x:v>
      </x:c>
      <x:c r="J48" s="6" t="n">
        <x:v>21000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70000</x:v>
      </x:c>
      <x:c r="E49" s="6" t="n">
        <x:v>0</x:v>
      </x:c>
      <x:c r="F49" s="6" t="n">
        <x:f>D49-E49</x:f>
        <x:v>70000</x:v>
      </x:c>
      <x:c r="G49" s="6" t="n">
        <x:f>G48+F49</x:f>
        <x:v>1748000</x:v>
      </x:c>
      <x:c r="H49" s="6" t="n">
        <x:f>F49-'日経_D07'!F49</x:f>
        <x:v>-30000</x:v>
      </x:c>
      <x:c r="I49" s="6" t="n">
        <x:v>71000</x:v>
      </x:c>
      <x:c r="J49" s="6" t="n">
        <x:v>-1000</x:v>
      </x:c>
      <x:c r="K49" s="6" t="n">
        <x:v>0</x:v>
      </x:c>
      <x:c r="L49" s="6" t="n">
        <x:v>8</x:v>
      </x:c>
      <x:c r="M49" s="6" t="n">
        <x:v>11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40000</x:v>
      </x:c>
      <x:c r="E50" s="6" t="n">
        <x:v>193000</x:v>
      </x:c>
      <x:c r="F50" s="6" t="n">
        <x:f>D50-E50</x:f>
        <x:v>-153000</x:v>
      </x:c>
      <x:c r="G50" s="6" t="n">
        <x:f>G49+F50</x:f>
        <x:v>1595000</x:v>
      </x:c>
      <x:c r="H50" s="6" t="n">
        <x:f>F50-'日経_D07'!F50</x:f>
        <x:v>-33000</x:v>
      </x:c>
      <x:c r="I50" s="6" t="n">
        <x:v>-144000</x:v>
      </x:c>
      <x:c r="J50" s="6" t="n">
        <x:v>-9000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45000</x:v>
      </x:c>
      <x:c r="E51" s="6" t="n">
        <x:v>85000</x:v>
      </x:c>
      <x:c r="F51" s="6" t="n">
        <x:f>D51-E51</x:f>
        <x:v>-40000</x:v>
      </x:c>
      <x:c r="G51" s="6" t="n">
        <x:f>G50+F51</x:f>
        <x:v>1555000</x:v>
      </x:c>
      <x:c r="H51" s="6" t="n">
        <x:f>F51-'日経_D07'!F51</x:f>
        <x:v>-16000</x:v>
      </x:c>
      <x:c r="I51" s="6" t="n">
        <x:v>-40000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98000</x:v>
      </x:c>
      <x:c r="E52" s="6" t="n">
        <x:v>0</x:v>
      </x:c>
      <x:c r="F52" s="6" t="n">
        <x:f>D52-E52</x:f>
        <x:v>98000</x:v>
      </x:c>
      <x:c r="G52" s="6" t="n">
        <x:f>G51+F52</x:f>
        <x:v>1653000</x:v>
      </x:c>
      <x:c r="H52" s="6" t="n">
        <x:f>F52-'日経_D07'!F52</x:f>
        <x:v>-603000</x:v>
      </x:c>
      <x:c r="I52" s="6" t="n">
        <x:v>106000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1809000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101000</x:v>
      </x:c>
      <x:c r="E54" s="6" t="n">
        <x:v>89000</x:v>
      </x:c>
      <x:c r="F54" s="6" t="n">
        <x:f>D54-E54</x:f>
        <x:v>12000</x:v>
      </x:c>
      <x:c r="G54" s="6" t="n">
        <x:f>G53+F54</x:f>
        <x:v>1821000</x:v>
      </x:c>
      <x:c r="H54" s="6" t="n">
        <x:f>F54-'日経_D07'!F54</x:f>
        <x:v>-118000</x:v>
      </x:c>
      <x:c r="I54" s="6" t="n">
        <x:v>51000</x:v>
      </x:c>
      <x:c r="J54" s="6" t="n">
        <x:v>-39000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56000</x:v>
      </x:c>
      <x:c r="E55" s="6" t="n">
        <x:v>46000</x:v>
      </x:c>
      <x:c r="F55" s="6" t="n">
        <x:f>D55-E55</x:f>
        <x:v>10000</x:v>
      </x:c>
      <x:c r="G55" s="6" t="n">
        <x:f>G54+F55</x:f>
        <x:v>1831000</x:v>
      </x:c>
      <x:c r="H55" s="6" t="n">
        <x:f>F55-'日経_D07'!F55</x:f>
        <x:v>23000</x:v>
      </x:c>
      <x:c r="I55" s="6" t="n">
        <x:v>28000</x:v>
      </x:c>
      <x:c r="J55" s="6" t="n">
        <x:v>-18000</x:v>
      </x:c>
      <x:c r="K55" s="6" t="n">
        <x:v>0</x:v>
      </x:c>
      <x:c r="L55" s="6" t="n">
        <x:v>9</x:v>
      </x:c>
      <x:c r="M55" s="6" t="n">
        <x:v>14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65000</x:v>
      </x:c>
      <x:c r="E56" s="6" t="n">
        <x:v>190000</x:v>
      </x:c>
      <x:c r="F56" s="6" t="n">
        <x:f>D56-E56</x:f>
        <x:v>-125000</x:v>
      </x:c>
      <x:c r="G56" s="6" t="n">
        <x:f>G55+F56</x:f>
        <x:v>1706000</x:v>
      </x:c>
      <x:c r="H56" s="6" t="n">
        <x:f>F56-'日経_D07'!F56</x:f>
        <x:v>-134000</x:v>
      </x:c>
      <x:c r="I56" s="6" t="n">
        <x:v>-110000</x:v>
      </x:c>
      <x:c r="J56" s="6" t="n">
        <x:v>-15000</x:v>
      </x:c>
      <x:c r="K56" s="6" t="n">
        <x:v>0</x:v>
      </x:c>
      <x:c r="L56" s="6" t="n">
        <x:v>6</x:v>
      </x:c>
      <x:c r="M56" s="6" t="n">
        <x:v>20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5154000</x:v>
      </x:c>
      <x:c r="E57" s="14" t="n">
        <x:f>SUM(E6:E56)</x:f>
        <x:v>3448000</x:v>
      </x:c>
      <x:c r="F57" s="14" t="n">
        <x:f>D57-E57</x:f>
        <x:v>1706000</x:v>
      </x:c>
      <x:c r="G57" s="14" t="n">
        <x:f>G56</x:f>
        <x:v>1706000</x:v>
      </x:c>
      <x:c r="H57" s="14" t="n">
        <x:f>SUM(H6:H56)</x:f>
        <x:v>-1353000</x:v>
      </x:c>
      <x:c r="I57" s="14" t="n">
        <x:f>SUM(I6:I56)</x:f>
        <x:v>1878000</x:v>
      </x:c>
      <x:c r="J57" s="14" t="n">
        <x:f>SUM(J6:J56)</x:f>
        <x:v>-172000</x:v>
      </x:c>
      <x:c r="K57" s="14" t="n">
        <x:f>SUM(K6:K56)</x:f>
        <x:v>0</x:v>
      </x:c>
      <x:c r="L57" s="14" t="n">
        <x:f>SUM(L6:L56)</x:f>
        <x:v>354</x:v>
      </x:c>
      <x:c r="M57" s="14" t="n">
        <x:f>SUM(M6:M56)</x:f>
        <x:v>838</x:v>
      </x:c>
    </x:row>
  </x:sheetData>
  <x:conditionalFormatting sqref="F6:K56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0f9f453872409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S00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別入口だけ0.5R相当から親利益の半分を保護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2000</x:v>
      </x:c>
      <x:c r="E11" s="6" t="n">
        <x:v>40000</x:v>
      </x:c>
      <x:c r="F11" s="6" t="n">
        <x:f>D11-E11</x:f>
        <x:v>-38000</x:v>
      </x:c>
      <x:c r="G11" s="6" t="n">
        <x:f>G10+F11</x:f>
        <x:v>-49000</x:v>
      </x:c>
      <x:c r="H11" s="6" t="n">
        <x:f>F11-'日経_D07'!F11</x:f>
        <x:v>-2000</x:v>
      </x:c>
      <x:c r="I11" s="6" t="n">
        <x:v>-36000</x:v>
      </x:c>
      <x:c r="J11" s="6" t="n">
        <x:v>-2000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175000</x:v>
      </x:c>
      <x:c r="E12" s="6" t="n">
        <x:v>84000</x:v>
      </x:c>
      <x:c r="F12" s="6" t="n">
        <x:f>D12-E12</x:f>
        <x:v>91000</x:v>
      </x:c>
      <x:c r="G12" s="6" t="n">
        <x:f>G11+F12</x:f>
        <x:v>42000</x:v>
      </x:c>
      <x:c r="H12" s="6" t="n">
        <x:f>F12-'日経_D07'!F12</x:f>
        <x:v>23000</x:v>
      </x:c>
      <x:c r="I12" s="6" t="n">
        <x:v>61000</x:v>
      </x:c>
      <x:c r="J12" s="6" t="n">
        <x:v>30000</x:v>
      </x:c>
      <x:c r="K12" s="6" t="n">
        <x:v>0</x:v>
      </x:c>
      <x:c r="L12" s="6" t="n">
        <x:v>9</x:v>
      </x:c>
      <x:c r="M12" s="6" t="n">
        <x:v>21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</x:v>
      </x:c>
      <x:c r="E13" s="6" t="n">
        <x:v>0</x:v>
      </x:c>
      <x:c r="F13" s="6" t="n">
        <x:f>D13-E13</x:f>
        <x:v>2000</x:v>
      </x:c>
      <x:c r="G13" s="6" t="n">
        <x:f>G12+F13</x:f>
        <x:v>44000</x:v>
      </x:c>
      <x:c r="H13" s="6" t="n">
        <x:f>F13-'日経_D07'!F13</x:f>
        <x:v>-18000</x:v>
      </x:c>
      <x:c r="I13" s="6" t="n">
        <x:v>2000</x:v>
      </x:c>
      <x:c r="J13" s="6" t="n">
        <x:v>0</x:v>
      </x:c>
      <x:c r="K13" s="6" t="n">
        <x:v>0</x:v>
      </x:c>
      <x:c r="L13" s="6" t="n">
        <x:v>1</x:v>
      </x:c>
      <x:c r="M13" s="6" t="n">
        <x:v>1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151000</x:v>
      </x:c>
      <x:c r="E14" s="6" t="n">
        <x:v>16000</x:v>
      </x:c>
      <x:c r="F14" s="6" t="n">
        <x:f>D14-E14</x:f>
        <x:v>135000</x:v>
      </x:c>
      <x:c r="G14" s="6" t="n">
        <x:f>G13+F14</x:f>
        <x:v>179000</x:v>
      </x:c>
      <x:c r="H14" s="6" t="n">
        <x:f>F14-'日経_D07'!F14</x:f>
        <x:v>42000</x:v>
      </x:c>
      <x:c r="I14" s="6" t="n">
        <x:v>129000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21000</x:v>
      </x:c>
      <x:c r="E15" s="6" t="n">
        <x:v>0</x:v>
      </x:c>
      <x:c r="F15" s="6" t="n">
        <x:f>D15-E15</x:f>
        <x:v>21000</x:v>
      </x:c>
      <x:c r="G15" s="6" t="n">
        <x:f>G14+F15</x:f>
        <x:v>200000</x:v>
      </x:c>
      <x:c r="H15" s="6" t="n">
        <x:f>F15-'日経_D07'!F15</x:f>
        <x:v>20000</x:v>
      </x:c>
      <x:c r="I15" s="6" t="n">
        <x:v>21000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125000</x:v>
      </x:c>
      <x:c r="E16" s="6" t="n">
        <x:v>137000</x:v>
      </x:c>
      <x:c r="F16" s="6" t="n">
        <x:f>D16-E16</x:f>
        <x:v>-12000</x:v>
      </x:c>
      <x:c r="G16" s="6" t="n">
        <x:f>G15+F16</x:f>
        <x:v>188000</x:v>
      </x:c>
      <x:c r="H16" s="6" t="n">
        <x:f>F16-'日経_D07'!F16</x:f>
        <x:v>18000</x:v>
      </x:c>
      <x:c r="I16" s="6" t="n">
        <x:v>-5000</x:v>
      </x:c>
      <x:c r="J16" s="6" t="n">
        <x:v>-7000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3000</x:v>
      </x:c>
      <x:c r="E17" s="6" t="n">
        <x:v>30000</x:v>
      </x:c>
      <x:c r="F17" s="6" t="n">
        <x:f>D17-E17</x:f>
        <x:v>-27000</x:v>
      </x:c>
      <x:c r="G17" s="6" t="n">
        <x:f>G16+F17</x:f>
        <x:v>161000</x:v>
      </x:c>
      <x:c r="H17" s="6" t="n">
        <x:f>F17-'日経_D07'!F17</x:f>
        <x:v>-7000</x:v>
      </x:c>
      <x:c r="I17" s="6" t="n">
        <x:v>-18000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206000</x:v>
      </x:c>
      <x:c r="E18" s="6" t="n">
        <x:v>125000</x:v>
      </x:c>
      <x:c r="F18" s="6" t="n">
        <x:f>D18-E18</x:f>
        <x:v>81000</x:v>
      </x:c>
      <x:c r="G18" s="6" t="n">
        <x:f>G17+F18</x:f>
        <x:v>242000</x:v>
      </x:c>
      <x:c r="H18" s="6" t="n">
        <x:f>F18-'日経_D07'!F18</x:f>
        <x:v>11000</x:v>
      </x:c>
      <x:c r="I18" s="6" t="n">
        <x:v>137000</x:v>
      </x:c>
      <x:c r="J18" s="6" t="n">
        <x:v>-56000</x:v>
      </x:c>
      <x:c r="K18" s="6" t="n">
        <x:v>0</x:v>
      </x:c>
      <x:c r="L18" s="6" t="n">
        <x:v>14</x:v>
      </x:c>
      <x:c r="M18" s="6" t="n">
        <x:v>29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90000</x:v>
      </x:c>
      <x:c r="E19" s="6" t="n">
        <x:v>22000</x:v>
      </x:c>
      <x:c r="F19" s="6" t="n">
        <x:f>D19-E19</x:f>
        <x:v>68000</x:v>
      </x:c>
      <x:c r="G19" s="6" t="n">
        <x:f>G18+F19</x:f>
        <x:v>310000</x:v>
      </x:c>
      <x:c r="H19" s="6" t="n">
        <x:f>F19-'日経_D07'!F19</x:f>
        <x:v>3000</x:v>
      </x:c>
      <x:c r="I19" s="6" t="n">
        <x:v>71000</x:v>
      </x:c>
      <x:c r="J19" s="6" t="n">
        <x:v>-3000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194000</x:v>
      </x:c>
      <x:c r="E20" s="6" t="n">
        <x:v>75000</x:v>
      </x:c>
      <x:c r="F20" s="6" t="n">
        <x:f>D20-E20</x:f>
        <x:v>119000</x:v>
      </x:c>
      <x:c r="G20" s="6" t="n">
        <x:f>G19+F20</x:f>
        <x:v>429000</x:v>
      </x:c>
      <x:c r="H20" s="6" t="n">
        <x:f>F20-'日経_D07'!F20</x:f>
        <x:v>9000</x:v>
      </x:c>
      <x:c r="I20" s="6" t="n">
        <x:v>121000</x:v>
      </x:c>
      <x:c r="J20" s="6" t="n">
        <x:v>-2000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34000</x:v>
      </x:c>
      <x:c r="E21" s="6" t="n">
        <x:v>0</x:v>
      </x:c>
      <x:c r="F21" s="6" t="n">
        <x:f>D21-E21</x:f>
        <x:v>34000</x:v>
      </x:c>
      <x:c r="G21" s="6" t="n">
        <x:f>G20+F21</x:f>
        <x:v>463000</x:v>
      </x:c>
      <x:c r="H21" s="6" t="n">
        <x:f>F21-'日経_D07'!F21</x:f>
        <x:v>-9000</x:v>
      </x:c>
      <x:c r="I21" s="6" t="n">
        <x:v>34000</x:v>
      </x:c>
      <x:c r="J21" s="6" t="n">
        <x:v>0</x:v>
      </x:c>
      <x:c r="K21" s="6" t="n">
        <x:v>0</x:v>
      </x:c>
      <x:c r="L21" s="6" t="n">
        <x:v>2</x:v>
      </x:c>
      <x:c r="M21" s="6" t="n">
        <x:v>6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248000</x:v>
      </x:c>
      <x:c r="E22" s="6" t="n">
        <x:v>110000</x:v>
      </x:c>
      <x:c r="F22" s="6" t="n">
        <x:f>D22-E22</x:f>
        <x:v>138000</x:v>
      </x:c>
      <x:c r="G22" s="6" t="n">
        <x:f>G21+F22</x:f>
        <x:v>601000</x:v>
      </x:c>
      <x:c r="H22" s="6" t="n">
        <x:f>F22-'日経_D07'!F22</x:f>
        <x:v>42000</x:v>
      </x:c>
      <x:c r="I22" s="6" t="n">
        <x:v>138000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151000</x:v>
      </x:c>
      <x:c r="E23" s="6" t="n">
        <x:v>81000</x:v>
      </x:c>
      <x:c r="F23" s="6" t="n">
        <x:f>D23-E23</x:f>
        <x:v>70000</x:v>
      </x:c>
      <x:c r="G23" s="6" t="n">
        <x:f>G22+F23</x:f>
        <x:v>671000</x:v>
      </x:c>
      <x:c r="H23" s="6" t="n">
        <x:f>F23-'日経_D07'!F23</x:f>
        <x:v>-39000</x:v>
      </x:c>
      <x:c r="I23" s="6" t="n">
        <x:v>75000</x:v>
      </x:c>
      <x:c r="J23" s="6" t="n">
        <x:v>-5000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37000</x:v>
      </x:c>
      <x:c r="E24" s="6" t="n">
        <x:v>73000</x:v>
      </x:c>
      <x:c r="F24" s="6" t="n">
        <x:f>D24-E24</x:f>
        <x:v>-36000</x:v>
      </x:c>
      <x:c r="G24" s="6" t="n">
        <x:f>G23+F24</x:f>
        <x:v>635000</x:v>
      </x:c>
      <x:c r="H24" s="6" t="n">
        <x:f>F24-'日経_D07'!F24</x:f>
        <x:v>-27000</x:v>
      </x:c>
      <x:c r="I24" s="6" t="n">
        <x:v>-47000</x:v>
      </x:c>
      <x:c r="J24" s="6" t="n">
        <x:v>11000</x:v>
      </x:c>
      <x:c r="K24" s="6" t="n">
        <x:v>0</x:v>
      </x:c>
      <x:c r="L24" s="6" t="n">
        <x:v>10</x:v>
      </x:c>
      <x:c r="M24" s="6" t="n">
        <x:v>18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262000</x:v>
      </x:c>
      <x:c r="E25" s="6" t="n">
        <x:v>38000</x:v>
      </x:c>
      <x:c r="F25" s="6" t="n">
        <x:f>D25-E25</x:f>
        <x:v>224000</x:v>
      </x:c>
      <x:c r="G25" s="6" t="n">
        <x:f>G24+F25</x:f>
        <x:v>859000</x:v>
      </x:c>
      <x:c r="H25" s="6" t="n">
        <x:f>F25-'日経_D07'!F25</x:f>
        <x:v>-32000</x:v>
      </x:c>
      <x:c r="I25" s="6" t="n">
        <x:v>228000</x:v>
      </x:c>
      <x:c r="J25" s="6" t="n">
        <x:v>-4000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86000</x:v>
      </x:c>
      <x:c r="E26" s="6" t="n">
        <x:v>156000</x:v>
      </x:c>
      <x:c r="F26" s="6" t="n">
        <x:f>D26-E26</x:f>
        <x:v>-70000</x:v>
      </x:c>
      <x:c r="G26" s="6" t="n">
        <x:f>G25+F26</x:f>
        <x:v>789000</x:v>
      </x:c>
      <x:c r="H26" s="6" t="n">
        <x:f>F26-'日経_D07'!F26</x:f>
        <x:v>38000</x:v>
      </x:c>
      <x:c r="I26" s="6" t="n">
        <x:v>-69000</x:v>
      </x:c>
      <x:c r="J26" s="6" t="n">
        <x:v>-1000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72000</x:v>
      </x:c>
      <x:c r="E27" s="6" t="n">
        <x:v>64000</x:v>
      </x:c>
      <x:c r="F27" s="6" t="n">
        <x:f>D27-E27</x:f>
        <x:v>8000</x:v>
      </x:c>
      <x:c r="G27" s="6" t="n">
        <x:f>G26+F27</x:f>
        <x:v>797000</x:v>
      </x:c>
      <x:c r="H27" s="6" t="n">
        <x:f>F27-'日経_D07'!F27</x:f>
        <x:v>-26000</x:v>
      </x:c>
      <x:c r="I27" s="6" t="n">
        <x:v>-7000</x:v>
      </x:c>
      <x:c r="J27" s="6" t="n">
        <x:v>15000</x:v>
      </x:c>
      <x:c r="K27" s="6" t="n">
        <x:v>0</x:v>
      </x:c>
      <x:c r="L27" s="6" t="n">
        <x:v>6</x:v>
      </x:c>
      <x:c r="M27" s="6" t="n">
        <x:v>13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142000</x:v>
      </x:c>
      <x:c r="E28" s="6" t="n">
        <x:v>188000</x:v>
      </x:c>
      <x:c r="F28" s="6" t="n">
        <x:f>D28-E28</x:f>
        <x:v>-46000</x:v>
      </x:c>
      <x:c r="G28" s="6" t="n">
        <x:f>G27+F28</x:f>
        <x:v>751000</x:v>
      </x:c>
      <x:c r="H28" s="6" t="n">
        <x:f>F28-'日経_D07'!F28</x:f>
        <x:v>-1000</x:v>
      </x:c>
      <x:c r="I28" s="6" t="n">
        <x:v>-39000</x:v>
      </x:c>
      <x:c r="J28" s="6" t="n">
        <x:v>-7000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2000</x:v>
      </x:c>
      <x:c r="E29" s="6" t="n">
        <x:v>43000</x:v>
      </x:c>
      <x:c r="F29" s="6" t="n">
        <x:f>D29-E29</x:f>
        <x:v>-41000</x:v>
      </x:c>
      <x:c r="G29" s="6" t="n">
        <x:f>G28+F29</x:f>
        <x:v>710000</x:v>
      </x:c>
      <x:c r="H29" s="6" t="n">
        <x:f>F29-'日経_D07'!F29</x:f>
        <x:v>-31000</x:v>
      </x:c>
      <x:c r="I29" s="6" t="n">
        <x:v>-41000</x:v>
      </x:c>
      <x:c r="J29" s="6" t="n">
        <x:v>0</x:v>
      </x:c>
      <x:c r="K29" s="6" t="n">
        <x:v>0</x:v>
      </x:c>
      <x:c r="L29" s="6" t="n">
        <x:v>3</x:v>
      </x:c>
      <x:c r="M29" s="6" t="n">
        <x:v>7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831000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3000</x:v>
      </x:c>
      <x:c r="E31" s="6" t="n">
        <x:v>0</x:v>
      </x:c>
      <x:c r="F31" s="6" t="n">
        <x:f>D31-E31</x:f>
        <x:v>3000</x:v>
      </x:c>
      <x:c r="G31" s="6" t="n">
        <x:f>G30+F31</x:f>
        <x:v>834000</x:v>
      </x:c>
      <x:c r="H31" s="6" t="n">
        <x:f>F31-'日経_D07'!F31</x:f>
        <x:v>46000</x:v>
      </x:c>
      <x:c r="I31" s="6" t="n">
        <x:v>7000</x:v>
      </x:c>
      <x:c r="J31" s="6" t="n">
        <x:v>-4000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126000</x:v>
      </x:c>
      <x:c r="E32" s="6" t="n">
        <x:v>90000</x:v>
      </x:c>
      <x:c r="F32" s="6" t="n">
        <x:f>D32-E32</x:f>
        <x:v>36000</x:v>
      </x:c>
      <x:c r="G32" s="6" t="n">
        <x:f>G31+F32</x:f>
        <x:v>870000</x:v>
      </x:c>
      <x:c r="H32" s="6" t="n">
        <x:f>F32-'日経_D07'!F32</x:f>
        <x:v>33000</x:v>
      </x:c>
      <x:c r="I32" s="6" t="n">
        <x:v>36000</x:v>
      </x:c>
      <x:c r="J32" s="6" t="n">
        <x:v>0</x:v>
      </x:c>
      <x:c r="K32" s="6" t="n">
        <x:v>0</x:v>
      </x:c>
      <x:c r="L32" s="6" t="n">
        <x:v>7</x:v>
      </x:c>
      <x:c r="M32" s="6" t="n">
        <x:v>29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312000</x:v>
      </x:c>
      <x:c r="E33" s="6" t="n">
        <x:v>20000</x:v>
      </x:c>
      <x:c r="F33" s="6" t="n">
        <x:f>D33-E33</x:f>
        <x:v>292000</x:v>
      </x:c>
      <x:c r="G33" s="6" t="n">
        <x:f>G32+F33</x:f>
        <x:v>1162000</x:v>
      </x:c>
      <x:c r="H33" s="6" t="n">
        <x:f>F33-'日経_D07'!F33</x:f>
        <x:v>-19000</x:v>
      </x:c>
      <x:c r="I33" s="6" t="n">
        <x:v>270000</x:v>
      </x:c>
      <x:c r="J33" s="6" t="n">
        <x:v>22000</x:v>
      </x:c>
      <x:c r="K33" s="6" t="n">
        <x:v>0</x:v>
      </x:c>
      <x:c r="L33" s="6" t="n">
        <x:v>15</x:v>
      </x:c>
      <x:c r="M33" s="6" t="n">
        <x:v>28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128000</x:v>
      </x:c>
      <x:c r="E34" s="6" t="n">
        <x:v>65000</x:v>
      </x:c>
      <x:c r="F34" s="6" t="n">
        <x:f>D34-E34</x:f>
        <x:v>63000</x:v>
      </x:c>
      <x:c r="G34" s="6" t="n">
        <x:f>G33+F34</x:f>
        <x:v>1225000</x:v>
      </x:c>
      <x:c r="H34" s="6" t="n">
        <x:f>F34-'日経_D07'!F34</x:f>
        <x:v>20000</x:v>
      </x:c>
      <x:c r="I34" s="6" t="n">
        <x:v>68000</x:v>
      </x:c>
      <x:c r="J34" s="6" t="n">
        <x:v>-5000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1239000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65000</x:v>
      </x:c>
      <x:c r="E36" s="6" t="n">
        <x:v>25000</x:v>
      </x:c>
      <x:c r="F36" s="6" t="n">
        <x:f>D36-E36</x:f>
        <x:v>40000</x:v>
      </x:c>
      <x:c r="G36" s="6" t="n">
        <x:f>G35+F36</x:f>
        <x:v>1279000</x:v>
      </x:c>
      <x:c r="H36" s="6" t="n">
        <x:f>F36-'日経_D07'!F36</x:f>
        <x:v>32000</x:v>
      </x:c>
      <x:c r="I36" s="6" t="n">
        <x:v>40000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1361000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208000</x:v>
      </x:c>
      <x:c r="E38" s="6" t="n">
        <x:v>151000</x:v>
      </x:c>
      <x:c r="F38" s="6" t="n">
        <x:f>D38-E38</x:f>
        <x:v>57000</x:v>
      </x:c>
      <x:c r="G38" s="6" t="n">
        <x:f>G37+F38</x:f>
        <x:v>1418000</x:v>
      </x:c>
      <x:c r="H38" s="6" t="n">
        <x:f>F38-'日経_D07'!F38</x:f>
        <x:v>46000</x:v>
      </x:c>
      <x:c r="I38" s="6" t="n">
        <x:v>62000</x:v>
      </x:c>
      <x:c r="J38" s="6" t="n">
        <x:v>-5000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1365000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1466000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1631000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311000</x:v>
      </x:c>
      <x:c r="E42" s="6" t="n">
        <x:v>198000</x:v>
      </x:c>
      <x:c r="F42" s="6" t="n">
        <x:f>D42-E42</x:f>
        <x:v>113000</x:v>
      </x:c>
      <x:c r="G42" s="6" t="n">
        <x:f>G41+F42</x:f>
        <x:v>1744000</x:v>
      </x:c>
      <x:c r="H42" s="6" t="n">
        <x:f>F42-'日経_D07'!F42</x:f>
        <x:v>-278000</x:v>
      </x:c>
      <x:c r="I42" s="6" t="n">
        <x:v>125000</x:v>
      </x:c>
      <x:c r="J42" s="6" t="n">
        <x:v>-12000</x:v>
      </x:c>
      <x:c r="K42" s="6" t="n">
        <x:v>0</x:v>
      </x:c>
      <x:c r="L42" s="6" t="n">
        <x:v>15</x:v>
      </x:c>
      <x:c r="M42" s="6" t="n">
        <x:v>29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18000</x:v>
      </x:c>
      <x:c r="E43" s="6" t="n">
        <x:v>53000</x:v>
      </x:c>
      <x:c r="F43" s="6" t="n">
        <x:f>D43-E43</x:f>
        <x:v>-35000</x:v>
      </x:c>
      <x:c r="G43" s="6" t="n">
        <x:f>G42+F43</x:f>
        <x:v>1709000</x:v>
      </x:c>
      <x:c r="H43" s="6" t="n">
        <x:f>F43-'日経_D07'!F43</x:f>
        <x:v>-57000</x:v>
      </x:c>
      <x:c r="I43" s="6" t="n">
        <x:v>-25000</x:v>
      </x:c>
      <x:c r="J43" s="6" t="n">
        <x:v>-10000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145000</x:v>
      </x:c>
      <x:c r="E44" s="6" t="n">
        <x:v>218000</x:v>
      </x:c>
      <x:c r="F44" s="6" t="n">
        <x:f>D44-E44</x:f>
        <x:v>-73000</x:v>
      </x:c>
      <x:c r="G44" s="6" t="n">
        <x:f>G43+F44</x:f>
        <x:v>1636000</x:v>
      </x:c>
      <x:c r="H44" s="6" t="n">
        <x:f>F44-'日経_D07'!F44</x:f>
        <x:v>48000</x:v>
      </x:c>
      <x:c r="I44" s="6" t="n">
        <x:v>-53000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133000</x:v>
      </x:c>
      <x:c r="E45" s="6" t="n">
        <x:v>102000</x:v>
      </x:c>
      <x:c r="F45" s="6" t="n">
        <x:f>D45-E45</x:f>
        <x:v>31000</x:v>
      </x:c>
      <x:c r="G45" s="6" t="n">
        <x:f>G44+F45</x:f>
        <x:v>1667000</x:v>
      </x:c>
      <x:c r="H45" s="6" t="n">
        <x:f>F45-'日経_D07'!F45</x:f>
        <x:v>-1000</x:v>
      </x:c>
      <x:c r="I45" s="6" t="n">
        <x:v>37000</x:v>
      </x:c>
      <x:c r="J45" s="6" t="n">
        <x:v>-6000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329000</x:v>
      </x:c>
      <x:c r="E46" s="6" t="n">
        <x:v>42000</x:v>
      </x:c>
      <x:c r="F46" s="6" t="n">
        <x:f>D46-E46</x:f>
        <x:v>287000</x:v>
      </x:c>
      <x:c r="G46" s="6" t="n">
        <x:f>G45+F46</x:f>
        <x:v>1954000</x:v>
      </x:c>
      <x:c r="H46" s="6" t="n">
        <x:f>F46-'日経_D07'!F46</x:f>
        <x:v>-111000</x:v>
      </x:c>
      <x:c r="I46" s="6" t="n">
        <x:v>282000</x:v>
      </x:c>
      <x:c r="J46" s="6" t="n">
        <x:v>5000</x:v>
      </x:c>
      <x:c r="K46" s="6" t="n">
        <x:v>0</x:v>
      </x:c>
      <x:c r="L46" s="6" t="n">
        <x:v>6</x:v>
      </x:c>
      <x:c r="M46" s="6" t="n">
        <x:v>14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87000</x:v>
      </x:c>
      <x:c r="E47" s="6" t="n">
        <x:v>69000</x:v>
      </x:c>
      <x:c r="F47" s="6" t="n">
        <x:f>D47-E47</x:f>
        <x:v>18000</x:v>
      </x:c>
      <x:c r="G47" s="6" t="n">
        <x:f>G46+F47</x:f>
        <x:v>1972000</x:v>
      </x:c>
      <x:c r="H47" s="6" t="n">
        <x:f>F47-'日経_D07'!F47</x:f>
        <x:v>26000</x:v>
      </x:c>
      <x:c r="I47" s="6" t="n">
        <x:v>33000</x:v>
      </x:c>
      <x:c r="J47" s="6" t="n">
        <x:v>-15000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203000</x:v>
      </x:c>
      <x:c r="E48" s="6" t="n">
        <x:v>204000</x:v>
      </x:c>
      <x:c r="F48" s="6" t="n">
        <x:f>D48-E48</x:f>
        <x:v>-1000</x:v>
      </x:c>
      <x:c r="G48" s="6" t="n">
        <x:f>G47+F48</x:f>
        <x:v>1971000</x:v>
      </x:c>
      <x:c r="H48" s="6" t="n">
        <x:f>F48-'日経_D07'!F48</x:f>
        <x:v>23000</x:v>
      </x:c>
      <x:c r="I48" s="6" t="n">
        <x:v>-4000</x:v>
      </x:c>
      <x:c r="J48" s="6" t="n">
        <x:v>3000</x:v>
      </x:c>
      <x:c r="K48" s="6" t="n">
        <x:v>0</x:v>
      </x:c>
      <x:c r="L48" s="6" t="n">
        <x:v>14</x:v>
      </x:c>
      <x:c r="M48" s="6" t="n">
        <x:v>38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78000</x:v>
      </x:c>
      <x:c r="E49" s="6" t="n">
        <x:v>24000</x:v>
      </x:c>
      <x:c r="F49" s="6" t="n">
        <x:f>D49-E49</x:f>
        <x:v>54000</x:v>
      </x:c>
      <x:c r="G49" s="6" t="n">
        <x:f>G48+F49</x:f>
        <x:v>2025000</x:v>
      </x:c>
      <x:c r="H49" s="6" t="n">
        <x:f>F49-'日経_D07'!F49</x:f>
        <x:v>-46000</x:v>
      </x:c>
      <x:c r="I49" s="6" t="n">
        <x:v>65000</x:v>
      </x:c>
      <x:c r="J49" s="6" t="n">
        <x:v>-11000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80000</x:v>
      </x:c>
      <x:c r="E50" s="6" t="n">
        <x:v>193000</x:v>
      </x:c>
      <x:c r="F50" s="6" t="n">
        <x:f>D50-E50</x:f>
        <x:v>-113000</x:v>
      </x:c>
      <x:c r="G50" s="6" t="n">
        <x:f>G49+F50</x:f>
        <x:v>1912000</x:v>
      </x:c>
      <x:c r="H50" s="6" t="n">
        <x:f>F50-'日経_D07'!F50</x:f>
        <x:v>7000</x:v>
      </x:c>
      <x:c r="I50" s="6" t="n">
        <x:v>-106000</x:v>
      </x:c>
      <x:c r="J50" s="6" t="n">
        <x:v>-7000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44000</x:v>
      </x:c>
      <x:c r="E51" s="6" t="n">
        <x:v>85000</x:v>
      </x:c>
      <x:c r="F51" s="6" t="n">
        <x:f>D51-E51</x:f>
        <x:v>-41000</x:v>
      </x:c>
      <x:c r="G51" s="6" t="n">
        <x:f>G50+F51</x:f>
        <x:v>1871000</x:v>
      </x:c>
      <x:c r="H51" s="6" t="n">
        <x:f>F51-'日経_D07'!F51</x:f>
        <x:v>-17000</x:v>
      </x:c>
      <x:c r="I51" s="6" t="n">
        <x:v>-41000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399000</x:v>
      </x:c>
      <x:c r="E52" s="6" t="n">
        <x:v>0</x:v>
      </x:c>
      <x:c r="F52" s="6" t="n">
        <x:f>D52-E52</x:f>
        <x:v>399000</x:v>
      </x:c>
      <x:c r="G52" s="6" t="n">
        <x:f>G51+F52</x:f>
        <x:v>2270000</x:v>
      </x:c>
      <x:c r="H52" s="6" t="n">
        <x:f>F52-'日経_D07'!F52</x:f>
        <x:v>-302000</x:v>
      </x:c>
      <x:c r="I52" s="6" t="n">
        <x:v>407000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2426000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332000</x:v>
      </x:c>
      <x:c r="E54" s="6" t="n">
        <x:v>44000</x:v>
      </x:c>
      <x:c r="F54" s="6" t="n">
        <x:f>D54-E54</x:f>
        <x:v>288000</x:v>
      </x:c>
      <x:c r="G54" s="6" t="n">
        <x:f>G53+F54</x:f>
        <x:v>2714000</x:v>
      </x:c>
      <x:c r="H54" s="6" t="n">
        <x:f>F54-'日経_D07'!F54</x:f>
        <x:v>158000</x:v>
      </x:c>
      <x:c r="I54" s="6" t="n">
        <x:v>295000</x:v>
      </x:c>
      <x:c r="J54" s="6" t="n">
        <x:v>-7000</x:v>
      </x:c>
      <x:c r="K54" s="6" t="n">
        <x:v>0</x:v>
      </x:c>
      <x:c r="L54" s="6" t="n">
        <x:v>15</x:v>
      </x:c>
      <x:c r="M54" s="6" t="n">
        <x:v>29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36000</x:v>
      </x:c>
      <x:c r="E55" s="6" t="n">
        <x:v>15000</x:v>
      </x:c>
      <x:c r="F55" s="6" t="n">
        <x:f>D55-E55</x:f>
        <x:v>21000</x:v>
      </x:c>
      <x:c r="G55" s="6" t="n">
        <x:f>G54+F55</x:f>
        <x:v>2735000</x:v>
      </x:c>
      <x:c r="H55" s="6" t="n">
        <x:f>F55-'日経_D07'!F55</x:f>
        <x:v>34000</x:v>
      </x:c>
      <x:c r="I55" s="6" t="n">
        <x:v>25000</x:v>
      </x:c>
      <x:c r="J55" s="6" t="n">
        <x:v>-4000</x:v>
      </x:c>
      <x:c r="K55" s="6" t="n">
        <x:v>0</x:v>
      </x:c>
      <x:c r="L55" s="6" t="n">
        <x:v>8</x:v>
      </x:c>
      <x:c r="M55" s="6" t="n">
        <x:v>13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175000</x:v>
      </x:c>
      <x:c r="E56" s="6" t="n">
        <x:v>190000</x:v>
      </x:c>
      <x:c r="F56" s="6" t="n">
        <x:f>D56-E56</x:f>
        <x:v>-15000</x:v>
      </x:c>
      <x:c r="G56" s="6" t="n">
        <x:f>G55+F56</x:f>
        <x:v>2720000</x:v>
      </x:c>
      <x:c r="H56" s="6" t="n">
        <x:f>F56-'日経_D07'!F56</x:f>
        <x:v>-24000</x:v>
      </x:c>
      <x:c r="I56" s="6" t="n">
        <x:v>-39000</x:v>
      </x:c>
      <x:c r="J56" s="6" t="n">
        <x:v>24000</x:v>
      </x:c>
      <x:c r="K56" s="6" t="n">
        <x:v>0</x:v>
      </x:c>
      <x:c r="L56" s="6" t="n">
        <x:v>9</x:v>
      </x:c>
      <x:c r="M56" s="6" t="n">
        <x:v>24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6092000</x:v>
      </x:c>
      <x:c r="E57" s="14" t="n">
        <x:f>SUM(E6:E56)</x:f>
        <x:v>3372000</x:v>
      </x:c>
      <x:c r="F57" s="14" t="n">
        <x:f>D57-E57</x:f>
        <x:v>2720000</x:v>
      </x:c>
      <x:c r="G57" s="14" t="n">
        <x:f>G56</x:f>
        <x:v>2720000</x:v>
      </x:c>
      <x:c r="H57" s="14" t="n">
        <x:f>SUM(H6:H56)</x:f>
        <x:v>-339000</x:v>
      </x:c>
      <x:c r="I57" s="14" t="n">
        <x:f>SUM(I6:I56)</x:f>
        <x:v>2812000</x:v>
      </x:c>
      <x:c r="J57" s="14" t="n">
        <x:f>SUM(J6:J56)</x:f>
        <x:v>-92000</x:v>
      </x:c>
      <x:c r="K57" s="14" t="n">
        <x:f>SUM(K6:K56)</x:f>
        <x:v>0</x:v>
      </x:c>
      <x:c r="L57" s="14" t="n">
        <x:f>SUM(L6:L56)</x:f>
        <x:v>362</x:v>
      </x:c>
      <x:c r="M57" s="14" t="n">
        <x:f>SUM(M6:M56)</x:f>
        <x:v>852</x:v>
      </x:c>
    </x:row>
  </x:sheetData>
  <x:conditionalFormatting sqref="F6:K56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1f6e4590f142be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S01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S00と基準D07旧親占有中の別入口再参加抑止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2000</x:v>
      </x:c>
      <x:c r="E11" s="6" t="n">
        <x:v>40000</x:v>
      </x:c>
      <x:c r="F11" s="6" t="n">
        <x:f>D11-E11</x:f>
        <x:v>-38000</x:v>
      </x:c>
      <x:c r="G11" s="6" t="n">
        <x:f>G10+F11</x:f>
        <x:v>-49000</x:v>
      </x:c>
      <x:c r="H11" s="6" t="n">
        <x:f>F11-'日経_D07'!F11</x:f>
        <x:v>-2000</x:v>
      </x:c>
      <x:c r="I11" s="6" t="n">
        <x:v>-36000</x:v>
      </x:c>
      <x:c r="J11" s="6" t="n">
        <x:v>-2000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175000</x:v>
      </x:c>
      <x:c r="E12" s="6" t="n">
        <x:v>60000</x:v>
      </x:c>
      <x:c r="F12" s="6" t="n">
        <x:f>D12-E12</x:f>
        <x:v>115000</x:v>
      </x:c>
      <x:c r="G12" s="6" t="n">
        <x:f>G11+F12</x:f>
        <x:v>66000</x:v>
      </x:c>
      <x:c r="H12" s="6" t="n">
        <x:f>F12-'日経_D07'!F12</x:f>
        <x:v>47000</x:v>
      </x:c>
      <x:c r="I12" s="6" t="n">
        <x:v>85000</x:v>
      </x:c>
      <x:c r="J12" s="6" t="n">
        <x:v>30000</x:v>
      </x:c>
      <x:c r="K12" s="6" t="n">
        <x:v>0</x:v>
      </x:c>
      <x:c r="L12" s="6" t="n">
        <x:v>8</x:v>
      </x:c>
      <x:c r="M12" s="6" t="n">
        <x:v>19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</x:v>
      </x:c>
      <x:c r="E13" s="6" t="n">
        <x:v>0</x:v>
      </x:c>
      <x:c r="F13" s="6" t="n">
        <x:f>D13-E13</x:f>
        <x:v>2000</x:v>
      </x:c>
      <x:c r="G13" s="6" t="n">
        <x:f>G12+F13</x:f>
        <x:v>68000</x:v>
      </x:c>
      <x:c r="H13" s="6" t="n">
        <x:f>F13-'日経_D07'!F13</x:f>
        <x:v>-18000</x:v>
      </x:c>
      <x:c r="I13" s="6" t="n">
        <x:v>2000</x:v>
      </x:c>
      <x:c r="J13" s="6" t="n">
        <x:v>0</x:v>
      </x:c>
      <x:c r="K13" s="6" t="n">
        <x:v>0</x:v>
      </x:c>
      <x:c r="L13" s="6" t="n">
        <x:v>1</x:v>
      </x:c>
      <x:c r="M13" s="6" t="n">
        <x:v>1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151000</x:v>
      </x:c>
      <x:c r="E14" s="6" t="n">
        <x:v>16000</x:v>
      </x:c>
      <x:c r="F14" s="6" t="n">
        <x:f>D14-E14</x:f>
        <x:v>135000</x:v>
      </x:c>
      <x:c r="G14" s="6" t="n">
        <x:f>G13+F14</x:f>
        <x:v>203000</x:v>
      </x:c>
      <x:c r="H14" s="6" t="n">
        <x:f>F14-'日経_D07'!F14</x:f>
        <x:v>42000</x:v>
      </x:c>
      <x:c r="I14" s="6" t="n">
        <x:v>129000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21000</x:v>
      </x:c>
      <x:c r="E15" s="6" t="n">
        <x:v>0</x:v>
      </x:c>
      <x:c r="F15" s="6" t="n">
        <x:f>D15-E15</x:f>
        <x:v>21000</x:v>
      </x:c>
      <x:c r="G15" s="6" t="n">
        <x:f>G14+F15</x:f>
        <x:v>224000</x:v>
      </x:c>
      <x:c r="H15" s="6" t="n">
        <x:f>F15-'日経_D07'!F15</x:f>
        <x:v>20000</x:v>
      </x:c>
      <x:c r="I15" s="6" t="n">
        <x:v>21000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125000</x:v>
      </x:c>
      <x:c r="E16" s="6" t="n">
        <x:v>137000</x:v>
      </x:c>
      <x:c r="F16" s="6" t="n">
        <x:f>D16-E16</x:f>
        <x:v>-12000</x:v>
      </x:c>
      <x:c r="G16" s="6" t="n">
        <x:f>G15+F16</x:f>
        <x:v>212000</x:v>
      </x:c>
      <x:c r="H16" s="6" t="n">
        <x:f>F16-'日経_D07'!F16</x:f>
        <x:v>18000</x:v>
      </x:c>
      <x:c r="I16" s="6" t="n">
        <x:v>-5000</x:v>
      </x:c>
      <x:c r="J16" s="6" t="n">
        <x:v>-7000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3000</x:v>
      </x:c>
      <x:c r="E17" s="6" t="n">
        <x:v>30000</x:v>
      </x:c>
      <x:c r="F17" s="6" t="n">
        <x:f>D17-E17</x:f>
        <x:v>-27000</x:v>
      </x:c>
      <x:c r="G17" s="6" t="n">
        <x:f>G16+F17</x:f>
        <x:v>185000</x:v>
      </x:c>
      <x:c r="H17" s="6" t="n">
        <x:f>F17-'日経_D07'!F17</x:f>
        <x:v>-7000</x:v>
      </x:c>
      <x:c r="I17" s="6" t="n">
        <x:v>-18000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206000</x:v>
      </x:c>
      <x:c r="E18" s="6" t="n">
        <x:v>125000</x:v>
      </x:c>
      <x:c r="F18" s="6" t="n">
        <x:f>D18-E18</x:f>
        <x:v>81000</x:v>
      </x:c>
      <x:c r="G18" s="6" t="n">
        <x:f>G17+F18</x:f>
        <x:v>266000</x:v>
      </x:c>
      <x:c r="H18" s="6" t="n">
        <x:f>F18-'日経_D07'!F18</x:f>
        <x:v>11000</x:v>
      </x:c>
      <x:c r="I18" s="6" t="n">
        <x:v>137000</x:v>
      </x:c>
      <x:c r="J18" s="6" t="n">
        <x:v>-56000</x:v>
      </x:c>
      <x:c r="K18" s="6" t="n">
        <x:v>0</x:v>
      </x:c>
      <x:c r="L18" s="6" t="n">
        <x:v>14</x:v>
      </x:c>
      <x:c r="M18" s="6" t="n">
        <x:v>29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90000</x:v>
      </x:c>
      <x:c r="E19" s="6" t="n">
        <x:v>22000</x:v>
      </x:c>
      <x:c r="F19" s="6" t="n">
        <x:f>D19-E19</x:f>
        <x:v>68000</x:v>
      </x:c>
      <x:c r="G19" s="6" t="n">
        <x:f>G18+F19</x:f>
        <x:v>334000</x:v>
      </x:c>
      <x:c r="H19" s="6" t="n">
        <x:f>F19-'日経_D07'!F19</x:f>
        <x:v>3000</x:v>
      </x:c>
      <x:c r="I19" s="6" t="n">
        <x:v>71000</x:v>
      </x:c>
      <x:c r="J19" s="6" t="n">
        <x:v>-3000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194000</x:v>
      </x:c>
      <x:c r="E20" s="6" t="n">
        <x:v>75000</x:v>
      </x:c>
      <x:c r="F20" s="6" t="n">
        <x:f>D20-E20</x:f>
        <x:v>119000</x:v>
      </x:c>
      <x:c r="G20" s="6" t="n">
        <x:f>G19+F20</x:f>
        <x:v>453000</x:v>
      </x:c>
      <x:c r="H20" s="6" t="n">
        <x:f>F20-'日経_D07'!F20</x:f>
        <x:v>9000</x:v>
      </x:c>
      <x:c r="I20" s="6" t="n">
        <x:v>121000</x:v>
      </x:c>
      <x:c r="J20" s="6" t="n">
        <x:v>-2000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34000</x:v>
      </x:c>
      <x:c r="E21" s="6" t="n">
        <x:v>0</x:v>
      </x:c>
      <x:c r="F21" s="6" t="n">
        <x:f>D21-E21</x:f>
        <x:v>34000</x:v>
      </x:c>
      <x:c r="G21" s="6" t="n">
        <x:f>G20+F21</x:f>
        <x:v>487000</x:v>
      </x:c>
      <x:c r="H21" s="6" t="n">
        <x:f>F21-'日経_D07'!F21</x:f>
        <x:v>-9000</x:v>
      </x:c>
      <x:c r="I21" s="6" t="n">
        <x:v>34000</x:v>
      </x:c>
      <x:c r="J21" s="6" t="n">
        <x:v>0</x:v>
      </x:c>
      <x:c r="K21" s="6" t="n">
        <x:v>0</x:v>
      </x:c>
      <x:c r="L21" s="6" t="n">
        <x:v>2</x:v>
      </x:c>
      <x:c r="M21" s="6" t="n">
        <x:v>6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248000</x:v>
      </x:c>
      <x:c r="E22" s="6" t="n">
        <x:v>110000</x:v>
      </x:c>
      <x:c r="F22" s="6" t="n">
        <x:f>D22-E22</x:f>
        <x:v>138000</x:v>
      </x:c>
      <x:c r="G22" s="6" t="n">
        <x:f>G21+F22</x:f>
        <x:v>625000</x:v>
      </x:c>
      <x:c r="H22" s="6" t="n">
        <x:f>F22-'日経_D07'!F22</x:f>
        <x:v>42000</x:v>
      </x:c>
      <x:c r="I22" s="6" t="n">
        <x:v>138000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151000</x:v>
      </x:c>
      <x:c r="E23" s="6" t="n">
        <x:v>81000</x:v>
      </x:c>
      <x:c r="F23" s="6" t="n">
        <x:f>D23-E23</x:f>
        <x:v>70000</x:v>
      </x:c>
      <x:c r="G23" s="6" t="n">
        <x:f>G22+F23</x:f>
        <x:v>695000</x:v>
      </x:c>
      <x:c r="H23" s="6" t="n">
        <x:f>F23-'日経_D07'!F23</x:f>
        <x:v>-39000</x:v>
      </x:c>
      <x:c r="I23" s="6" t="n">
        <x:v>75000</x:v>
      </x:c>
      <x:c r="J23" s="6" t="n">
        <x:v>-5000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31000</x:v>
      </x:c>
      <x:c r="E24" s="6" t="n">
        <x:v>73000</x:v>
      </x:c>
      <x:c r="F24" s="6" t="n">
        <x:f>D24-E24</x:f>
        <x:v>-42000</x:v>
      </x:c>
      <x:c r="G24" s="6" t="n">
        <x:f>G23+F24</x:f>
        <x:v>653000</x:v>
      </x:c>
      <x:c r="H24" s="6" t="n">
        <x:f>F24-'日経_D07'!F24</x:f>
        <x:v>-33000</x:v>
      </x:c>
      <x:c r="I24" s="6" t="n">
        <x:v>-53000</x:v>
      </x:c>
      <x:c r="J24" s="6" t="n">
        <x:v>11000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260000</x:v>
      </x:c>
      <x:c r="E25" s="6" t="n">
        <x:v>38000</x:v>
      </x:c>
      <x:c r="F25" s="6" t="n">
        <x:f>D25-E25</x:f>
        <x:v>222000</x:v>
      </x:c>
      <x:c r="G25" s="6" t="n">
        <x:f>G24+F25</x:f>
        <x:v>875000</x:v>
      </x:c>
      <x:c r="H25" s="6" t="n">
        <x:f>F25-'日経_D07'!F25</x:f>
        <x:v>-34000</x:v>
      </x:c>
      <x:c r="I25" s="6" t="n">
        <x:v>226000</x:v>
      </x:c>
      <x:c r="J25" s="6" t="n">
        <x:v>-4000</x:v>
      </x:c>
      <x:c r="K25" s="6" t="n">
        <x:v>0</x:v>
      </x:c>
      <x:c r="L25" s="6" t="n">
        <x:v>14</x:v>
      </x:c>
      <x:c r="M25" s="6" t="n">
        <x:v>27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86000</x:v>
      </x:c>
      <x:c r="E26" s="6" t="n">
        <x:v>156000</x:v>
      </x:c>
      <x:c r="F26" s="6" t="n">
        <x:f>D26-E26</x:f>
        <x:v>-70000</x:v>
      </x:c>
      <x:c r="G26" s="6" t="n">
        <x:f>G25+F26</x:f>
        <x:v>805000</x:v>
      </x:c>
      <x:c r="H26" s="6" t="n">
        <x:f>F26-'日経_D07'!F26</x:f>
        <x:v>38000</x:v>
      </x:c>
      <x:c r="I26" s="6" t="n">
        <x:v>-69000</x:v>
      </x:c>
      <x:c r="J26" s="6" t="n">
        <x:v>-1000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72000</x:v>
      </x:c>
      <x:c r="E27" s="6" t="n">
        <x:v>64000</x:v>
      </x:c>
      <x:c r="F27" s="6" t="n">
        <x:f>D27-E27</x:f>
        <x:v>8000</x:v>
      </x:c>
      <x:c r="G27" s="6" t="n">
        <x:f>G26+F27</x:f>
        <x:v>813000</x:v>
      </x:c>
      <x:c r="H27" s="6" t="n">
        <x:f>F27-'日経_D07'!F27</x:f>
        <x:v>-26000</x:v>
      </x:c>
      <x:c r="I27" s="6" t="n">
        <x:v>-7000</x:v>
      </x:c>
      <x:c r="J27" s="6" t="n">
        <x:v>15000</x:v>
      </x:c>
      <x:c r="K27" s="6" t="n">
        <x:v>0</x:v>
      </x:c>
      <x:c r="L27" s="6" t="n">
        <x:v>6</x:v>
      </x:c>
      <x:c r="M27" s="6" t="n">
        <x:v>13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142000</x:v>
      </x:c>
      <x:c r="E28" s="6" t="n">
        <x:v>160000</x:v>
      </x:c>
      <x:c r="F28" s="6" t="n">
        <x:f>D28-E28</x:f>
        <x:v>-18000</x:v>
      </x:c>
      <x:c r="G28" s="6" t="n">
        <x:f>G27+F28</x:f>
        <x:v>795000</x:v>
      </x:c>
      <x:c r="H28" s="6" t="n">
        <x:f>F28-'日経_D07'!F28</x:f>
        <x:v>27000</x:v>
      </x:c>
      <x:c r="I28" s="6" t="n">
        <x:v>-11000</x:v>
      </x:c>
      <x:c r="J28" s="6" t="n">
        <x:v>-7000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2000</x:v>
      </x:c>
      <x:c r="E29" s="6" t="n">
        <x:v>43000</x:v>
      </x:c>
      <x:c r="F29" s="6" t="n">
        <x:f>D29-E29</x:f>
        <x:v>-41000</x:v>
      </x:c>
      <x:c r="G29" s="6" t="n">
        <x:f>G28+F29</x:f>
        <x:v>754000</x:v>
      </x:c>
      <x:c r="H29" s="6" t="n">
        <x:f>F29-'日経_D07'!F29</x:f>
        <x:v>-31000</x:v>
      </x:c>
      <x:c r="I29" s="6" t="n">
        <x:v>-41000</x:v>
      </x:c>
      <x:c r="J29" s="6" t="n">
        <x:v>0</x:v>
      </x:c>
      <x:c r="K29" s="6" t="n">
        <x:v>0</x:v>
      </x:c>
      <x:c r="L29" s="6" t="n">
        <x:v>3</x:v>
      </x:c>
      <x:c r="M29" s="6" t="n">
        <x:v>7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875000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3000</x:v>
      </x:c>
      <x:c r="E31" s="6" t="n">
        <x:v>0</x:v>
      </x:c>
      <x:c r="F31" s="6" t="n">
        <x:f>D31-E31</x:f>
        <x:v>3000</x:v>
      </x:c>
      <x:c r="G31" s="6" t="n">
        <x:f>G30+F31</x:f>
        <x:v>878000</x:v>
      </x:c>
      <x:c r="H31" s="6" t="n">
        <x:f>F31-'日経_D07'!F31</x:f>
        <x:v>46000</x:v>
      </x:c>
      <x:c r="I31" s="6" t="n">
        <x:v>7000</x:v>
      </x:c>
      <x:c r="J31" s="6" t="n">
        <x:v>-4000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126000</x:v>
      </x:c>
      <x:c r="E32" s="6" t="n">
        <x:v>90000</x:v>
      </x:c>
      <x:c r="F32" s="6" t="n">
        <x:f>D32-E32</x:f>
        <x:v>36000</x:v>
      </x:c>
      <x:c r="G32" s="6" t="n">
        <x:f>G31+F32</x:f>
        <x:v>914000</x:v>
      </x:c>
      <x:c r="H32" s="6" t="n">
        <x:f>F32-'日経_D07'!F32</x:f>
        <x:v>33000</x:v>
      </x:c>
      <x:c r="I32" s="6" t="n">
        <x:v>36000</x:v>
      </x:c>
      <x:c r="J32" s="6" t="n">
        <x:v>0</x:v>
      </x:c>
      <x:c r="K32" s="6" t="n">
        <x:v>0</x:v>
      </x:c>
      <x:c r="L32" s="6" t="n">
        <x:v>7</x:v>
      </x:c>
      <x:c r="M32" s="6" t="n">
        <x:v>29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312000</x:v>
      </x:c>
      <x:c r="E33" s="6" t="n">
        <x:v>20000</x:v>
      </x:c>
      <x:c r="F33" s="6" t="n">
        <x:f>D33-E33</x:f>
        <x:v>292000</x:v>
      </x:c>
      <x:c r="G33" s="6" t="n">
        <x:f>G32+F33</x:f>
        <x:v>1206000</x:v>
      </x:c>
      <x:c r="H33" s="6" t="n">
        <x:f>F33-'日経_D07'!F33</x:f>
        <x:v>-19000</x:v>
      </x:c>
      <x:c r="I33" s="6" t="n">
        <x:v>270000</x:v>
      </x:c>
      <x:c r="J33" s="6" t="n">
        <x:v>22000</x:v>
      </x:c>
      <x:c r="K33" s="6" t="n">
        <x:v>0</x:v>
      </x:c>
      <x:c r="L33" s="6" t="n">
        <x:v>15</x:v>
      </x:c>
      <x:c r="M33" s="6" t="n">
        <x:v>28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128000</x:v>
      </x:c>
      <x:c r="E34" s="6" t="n">
        <x:v>65000</x:v>
      </x:c>
      <x:c r="F34" s="6" t="n">
        <x:f>D34-E34</x:f>
        <x:v>63000</x:v>
      </x:c>
      <x:c r="G34" s="6" t="n">
        <x:f>G33+F34</x:f>
        <x:v>1269000</x:v>
      </x:c>
      <x:c r="H34" s="6" t="n">
        <x:f>F34-'日経_D07'!F34</x:f>
        <x:v>20000</x:v>
      </x:c>
      <x:c r="I34" s="6" t="n">
        <x:v>68000</x:v>
      </x:c>
      <x:c r="J34" s="6" t="n">
        <x:v>-5000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1283000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65000</x:v>
      </x:c>
      <x:c r="E36" s="6" t="n">
        <x:v>25000</x:v>
      </x:c>
      <x:c r="F36" s="6" t="n">
        <x:f>D36-E36</x:f>
        <x:v>40000</x:v>
      </x:c>
      <x:c r="G36" s="6" t="n">
        <x:f>G35+F36</x:f>
        <x:v>1323000</x:v>
      </x:c>
      <x:c r="H36" s="6" t="n">
        <x:f>F36-'日経_D07'!F36</x:f>
        <x:v>32000</x:v>
      </x:c>
      <x:c r="I36" s="6" t="n">
        <x:v>40000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1405000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208000</x:v>
      </x:c>
      <x:c r="E38" s="6" t="n">
        <x:v>151000</x:v>
      </x:c>
      <x:c r="F38" s="6" t="n">
        <x:f>D38-E38</x:f>
        <x:v>57000</x:v>
      </x:c>
      <x:c r="G38" s="6" t="n">
        <x:f>G37+F38</x:f>
        <x:v>1462000</x:v>
      </x:c>
      <x:c r="H38" s="6" t="n">
        <x:f>F38-'日経_D07'!F38</x:f>
        <x:v>46000</x:v>
      </x:c>
      <x:c r="I38" s="6" t="n">
        <x:v>62000</x:v>
      </x:c>
      <x:c r="J38" s="6" t="n">
        <x:v>-5000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1409000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1510000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1675000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302000</x:v>
      </x:c>
      <x:c r="E42" s="6" t="n">
        <x:v>66000</x:v>
      </x:c>
      <x:c r="F42" s="6" t="n">
        <x:f>D42-E42</x:f>
        <x:v>236000</x:v>
      </x:c>
      <x:c r="G42" s="6" t="n">
        <x:f>G41+F42</x:f>
        <x:v>1911000</x:v>
      </x:c>
      <x:c r="H42" s="6" t="n">
        <x:f>F42-'日経_D07'!F42</x:f>
        <x:v>-155000</x:v>
      </x:c>
      <x:c r="I42" s="6" t="n">
        <x:v>230000</x:v>
      </x:c>
      <x:c r="J42" s="6" t="n">
        <x:v>6000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18000</x:v>
      </x:c>
      <x:c r="E43" s="6" t="n">
        <x:v>53000</x:v>
      </x:c>
      <x:c r="F43" s="6" t="n">
        <x:f>D43-E43</x:f>
        <x:v>-35000</x:v>
      </x:c>
      <x:c r="G43" s="6" t="n">
        <x:f>G42+F43</x:f>
        <x:v>1876000</x:v>
      </x:c>
      <x:c r="H43" s="6" t="n">
        <x:f>F43-'日経_D07'!F43</x:f>
        <x:v>-57000</x:v>
      </x:c>
      <x:c r="I43" s="6" t="n">
        <x:v>-25000</x:v>
      </x:c>
      <x:c r="J43" s="6" t="n">
        <x:v>-10000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145000</x:v>
      </x:c>
      <x:c r="E44" s="6" t="n">
        <x:v>218000</x:v>
      </x:c>
      <x:c r="F44" s="6" t="n">
        <x:f>D44-E44</x:f>
        <x:v>-73000</x:v>
      </x:c>
      <x:c r="G44" s="6" t="n">
        <x:f>G43+F44</x:f>
        <x:v>1803000</x:v>
      </x:c>
      <x:c r="H44" s="6" t="n">
        <x:f>F44-'日経_D07'!F44</x:f>
        <x:v>48000</x:v>
      </x:c>
      <x:c r="I44" s="6" t="n">
        <x:v>-53000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133000</x:v>
      </x:c>
      <x:c r="E45" s="6" t="n">
        <x:v>102000</x:v>
      </x:c>
      <x:c r="F45" s="6" t="n">
        <x:f>D45-E45</x:f>
        <x:v>31000</x:v>
      </x:c>
      <x:c r="G45" s="6" t="n">
        <x:f>G44+F45</x:f>
        <x:v>1834000</x:v>
      </x:c>
      <x:c r="H45" s="6" t="n">
        <x:f>F45-'日経_D07'!F45</x:f>
        <x:v>-1000</x:v>
      </x:c>
      <x:c r="I45" s="6" t="n">
        <x:v>37000</x:v>
      </x:c>
      <x:c r="J45" s="6" t="n">
        <x:v>-6000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329000</x:v>
      </x:c>
      <x:c r="E46" s="6" t="n">
        <x:v>0</x:v>
      </x:c>
      <x:c r="F46" s="6" t="n">
        <x:f>D46-E46</x:f>
        <x:v>329000</x:v>
      </x:c>
      <x:c r="G46" s="6" t="n">
        <x:f>G45+F46</x:f>
        <x:v>2163000</x:v>
      </x:c>
      <x:c r="H46" s="6" t="n">
        <x:f>F46-'日経_D07'!F46</x:f>
        <x:v>-69000</x:v>
      </x:c>
      <x:c r="I46" s="6" t="n">
        <x:v>324000</x:v>
      </x:c>
      <x:c r="J46" s="6" t="n">
        <x:v>5000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87000</x:v>
      </x:c>
      <x:c r="E47" s="6" t="n">
        <x:v>69000</x:v>
      </x:c>
      <x:c r="F47" s="6" t="n">
        <x:f>D47-E47</x:f>
        <x:v>18000</x:v>
      </x:c>
      <x:c r="G47" s="6" t="n">
        <x:f>G46+F47</x:f>
        <x:v>2181000</x:v>
      </x:c>
      <x:c r="H47" s="6" t="n">
        <x:f>F47-'日経_D07'!F47</x:f>
        <x:v>26000</x:v>
      </x:c>
      <x:c r="I47" s="6" t="n">
        <x:v>33000</x:v>
      </x:c>
      <x:c r="J47" s="6" t="n">
        <x:v>-15000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203000</x:v>
      </x:c>
      <x:c r="E48" s="6" t="n">
        <x:v>178000</x:v>
      </x:c>
      <x:c r="F48" s="6" t="n">
        <x:f>D48-E48</x:f>
        <x:v>25000</x:v>
      </x:c>
      <x:c r="G48" s="6" t="n">
        <x:f>G47+F48</x:f>
        <x:v>2206000</x:v>
      </x:c>
      <x:c r="H48" s="6" t="n">
        <x:f>F48-'日経_D07'!F48</x:f>
        <x:v>49000</x:v>
      </x:c>
      <x:c r="I48" s="6" t="n">
        <x:v>22000</x:v>
      </x:c>
      <x:c r="J48" s="6" t="n">
        <x:v>3000</x:v>
      </x:c>
      <x:c r="K48" s="6" t="n">
        <x:v>0</x:v>
      </x:c>
      <x:c r="L48" s="6" t="n">
        <x:v>13</x:v>
      </x:c>
      <x:c r="M48" s="6" t="n">
        <x:v>36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78000</x:v>
      </x:c>
      <x:c r="E49" s="6" t="n">
        <x:v>24000</x:v>
      </x:c>
      <x:c r="F49" s="6" t="n">
        <x:f>D49-E49</x:f>
        <x:v>54000</x:v>
      </x:c>
      <x:c r="G49" s="6" t="n">
        <x:f>G48+F49</x:f>
        <x:v>2260000</x:v>
      </x:c>
      <x:c r="H49" s="6" t="n">
        <x:f>F49-'日経_D07'!F49</x:f>
        <x:v>-46000</x:v>
      </x:c>
      <x:c r="I49" s="6" t="n">
        <x:v>65000</x:v>
      </x:c>
      <x:c r="J49" s="6" t="n">
        <x:v>-11000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80000</x:v>
      </x:c>
      <x:c r="E50" s="6" t="n">
        <x:v>193000</x:v>
      </x:c>
      <x:c r="F50" s="6" t="n">
        <x:f>D50-E50</x:f>
        <x:v>-113000</x:v>
      </x:c>
      <x:c r="G50" s="6" t="n">
        <x:f>G49+F50</x:f>
        <x:v>2147000</x:v>
      </x:c>
      <x:c r="H50" s="6" t="n">
        <x:f>F50-'日経_D07'!F50</x:f>
        <x:v>7000</x:v>
      </x:c>
      <x:c r="I50" s="6" t="n">
        <x:v>-106000</x:v>
      </x:c>
      <x:c r="J50" s="6" t="n">
        <x:v>-7000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44000</x:v>
      </x:c>
      <x:c r="E51" s="6" t="n">
        <x:v>85000</x:v>
      </x:c>
      <x:c r="F51" s="6" t="n">
        <x:f>D51-E51</x:f>
        <x:v>-41000</x:v>
      </x:c>
      <x:c r="G51" s="6" t="n">
        <x:f>G50+F51</x:f>
        <x:v>2106000</x:v>
      </x:c>
      <x:c r="H51" s="6" t="n">
        <x:f>F51-'日経_D07'!F51</x:f>
        <x:v>-17000</x:v>
      </x:c>
      <x:c r="I51" s="6" t="n">
        <x:v>-41000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399000</x:v>
      </x:c>
      <x:c r="E52" s="6" t="n">
        <x:v>0</x:v>
      </x:c>
      <x:c r="F52" s="6" t="n">
        <x:f>D52-E52</x:f>
        <x:v>399000</x:v>
      </x:c>
      <x:c r="G52" s="6" t="n">
        <x:f>G51+F52</x:f>
        <x:v>2505000</x:v>
      </x:c>
      <x:c r="H52" s="6" t="n">
        <x:f>F52-'日経_D07'!F52</x:f>
        <x:v>-302000</x:v>
      </x:c>
      <x:c r="I52" s="6" t="n">
        <x:v>407000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2661000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332000</x:v>
      </x:c>
      <x:c r="E54" s="6" t="n">
        <x:v>44000</x:v>
      </x:c>
      <x:c r="F54" s="6" t="n">
        <x:f>D54-E54</x:f>
        <x:v>288000</x:v>
      </x:c>
      <x:c r="G54" s="6" t="n">
        <x:f>G53+F54</x:f>
        <x:v>2949000</x:v>
      </x:c>
      <x:c r="H54" s="6" t="n">
        <x:f>F54-'日経_D07'!F54</x:f>
        <x:v>158000</x:v>
      </x:c>
      <x:c r="I54" s="6" t="n">
        <x:v>295000</x:v>
      </x:c>
      <x:c r="J54" s="6" t="n">
        <x:v>-7000</x:v>
      </x:c>
      <x:c r="K54" s="6" t="n">
        <x:v>0</x:v>
      </x:c>
      <x:c r="L54" s="6" t="n">
        <x:v>15</x:v>
      </x:c>
      <x:c r="M54" s="6" t="n">
        <x:v>29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36000</x:v>
      </x:c>
      <x:c r="E55" s="6" t="n">
        <x:v>15000</x:v>
      </x:c>
      <x:c r="F55" s="6" t="n">
        <x:f>D55-E55</x:f>
        <x:v>21000</x:v>
      </x:c>
      <x:c r="G55" s="6" t="n">
        <x:f>G54+F55</x:f>
        <x:v>2970000</x:v>
      </x:c>
      <x:c r="H55" s="6" t="n">
        <x:f>F55-'日経_D07'!F55</x:f>
        <x:v>34000</x:v>
      </x:c>
      <x:c r="I55" s="6" t="n">
        <x:v>25000</x:v>
      </x:c>
      <x:c r="J55" s="6" t="n">
        <x:v>-4000</x:v>
      </x:c>
      <x:c r="K55" s="6" t="n">
        <x:v>0</x:v>
      </x:c>
      <x:c r="L55" s="6" t="n">
        <x:v>8</x:v>
      </x:c>
      <x:c r="M55" s="6" t="n">
        <x:v>13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160000</x:v>
      </x:c>
      <x:c r="E56" s="6" t="n">
        <x:v>190000</x:v>
      </x:c>
      <x:c r="F56" s="6" t="n">
        <x:f>D56-E56</x:f>
        <x:v>-30000</x:v>
      </x:c>
      <x:c r="G56" s="6" t="n">
        <x:f>G55+F56</x:f>
        <x:v>2940000</x:v>
      </x:c>
      <x:c r="H56" s="6" t="n">
        <x:f>F56-'日経_D07'!F56</x:f>
        <x:v>-39000</x:v>
      </x:c>
      <x:c r="I56" s="6" t="n">
        <x:v>-62000</x:v>
      </x:c>
      <x:c r="J56" s="6" t="n">
        <x:v>32000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6060000</x:v>
      </x:c>
      <x:c r="E57" s="14" t="n">
        <x:f>SUM(E6:E56)</x:f>
        <x:v>3120000</x:v>
      </x:c>
      <x:c r="F57" s="14" t="n">
        <x:f>D57-E57</x:f>
        <x:v>2940000</x:v>
      </x:c>
      <x:c r="G57" s="14" t="n">
        <x:f>G56</x:f>
        <x:v>2940000</x:v>
      </x:c>
      <x:c r="H57" s="14" t="n">
        <x:f>SUM(H6:H56)</x:f>
        <x:v>-119000</x:v>
      </x:c>
      <x:c r="I57" s="14" t="n">
        <x:f>SUM(I6:I56)</x:f>
        <x:v>3006000</x:v>
      </x:c>
      <x:c r="J57" s="14" t="n">
        <x:f>SUM(J6:J56)</x:f>
        <x:v>-66000</x:v>
      </x:c>
      <x:c r="K57" s="14" t="n">
        <x:f>SUM(K6:K56)</x:f>
        <x:v>0</x:v>
      </x:c>
      <x:c r="L57" s="14" t="n">
        <x:f>SUM(L6:L56)</x:f>
        <x:v>344</x:v>
      </x:c>
      <x:c r="M57" s="14" t="n">
        <x:f>SUM(M6:M56)</x:f>
        <x:v>820</x:v>
      </x:c>
    </x:row>
  </x:sheetData>
  <x:conditionalFormatting sqref="F6:K56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4e3f13935840ad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S04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別入口だけ1R相当から親利益の半分を保護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8000</x:v>
      </x:c>
      <x:c r="E11" s="6" t="n">
        <x:v>40000</x:v>
      </x:c>
      <x:c r="F11" s="6" t="n">
        <x:f>D11-E11</x:f>
        <x:v>-32000</x:v>
      </x:c>
      <x:c r="G11" s="6" t="n">
        <x:f>G10+F11</x:f>
        <x:v>-43000</x:v>
      </x:c>
      <x:c r="H11" s="6" t="n">
        <x:f>F11-'日経_D07'!F11</x:f>
        <x:v>4000</x:v>
      </x:c>
      <x:c r="I11" s="6" t="n">
        <x:v>-33000</x:v>
      </x:c>
      <x:c r="J11" s="6" t="n">
        <x:v>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172000</x:v>
      </x:c>
      <x:c r="E12" s="6" t="n">
        <x:v>84000</x:v>
      </x:c>
      <x:c r="F12" s="6" t="n">
        <x:f>D12-E12</x:f>
        <x:v>88000</x:v>
      </x:c>
      <x:c r="G12" s="6" t="n">
        <x:f>G11+F12</x:f>
        <x:v>45000</x:v>
      </x:c>
      <x:c r="H12" s="6" t="n">
        <x:f>F12-'日経_D07'!F12</x:f>
        <x:v>20000</x:v>
      </x:c>
      <x:c r="I12" s="6" t="n">
        <x:v>64000</x:v>
      </x:c>
      <x:c r="J12" s="6" t="n">
        <x:v>24000</x:v>
      </x:c>
      <x:c r="K12" s="6" t="n">
        <x:v>0</x:v>
      </x:c>
      <x:c r="L12" s="6" t="n">
        <x:v>10</x:v>
      </x:c>
      <x:c r="M12" s="6" t="n">
        <x:v>22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5000</x:v>
      </x:c>
      <x:c r="E13" s="6" t="n">
        <x:v>0</x:v>
      </x:c>
      <x:c r="F13" s="6" t="n">
        <x:f>D13-E13</x:f>
        <x:v>5000</x:v>
      </x:c>
      <x:c r="G13" s="6" t="n">
        <x:f>G12+F13</x:f>
        <x:v>50000</x:v>
      </x:c>
      <x:c r="H13" s="6" t="n">
        <x:f>F13-'日経_D07'!F13</x:f>
        <x:v>-15000</x:v>
      </x:c>
      <x:c r="I13" s="6" t="n">
        <x:v>7000</x:v>
      </x:c>
      <x:c r="J13" s="6" t="n">
        <x:v>-2000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143000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144000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114000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94000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205000</x:v>
      </x:c>
      <x:c r="E18" s="6" t="n">
        <x:v>125000</x:v>
      </x:c>
      <x:c r="F18" s="6" t="n">
        <x:f>D18-E18</x:f>
        <x:v>80000</x:v>
      </x:c>
      <x:c r="G18" s="6" t="n">
        <x:f>G17+F18</x:f>
        <x:v>174000</x:v>
      </x:c>
      <x:c r="H18" s="6" t="n">
        <x:f>F18-'日経_D07'!F18</x:f>
        <x:v>10000</x:v>
      </x:c>
      <x:c r="I18" s="6" t="n">
        <x:v>143000</x:v>
      </x:c>
      <x:c r="J18" s="6" t="n">
        <x:v>-63000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92000</x:v>
      </x:c>
      <x:c r="E19" s="6" t="n">
        <x:v>22000</x:v>
      </x:c>
      <x:c r="F19" s="6" t="n">
        <x:f>D19-E19</x:f>
        <x:v>70000</x:v>
      </x:c>
      <x:c r="G19" s="6" t="n">
        <x:f>G18+F19</x:f>
        <x:v>244000</x:v>
      </x:c>
      <x:c r="H19" s="6" t="n">
        <x:f>F19-'日経_D07'!F19</x:f>
        <x:v>5000</x:v>
      </x:c>
      <x:c r="I19" s="6" t="n">
        <x:v>72000</x:v>
      </x:c>
      <x:c r="J19" s="6" t="n">
        <x:v>-2000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354000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45000</x:v>
      </x:c>
      <x:c r="E21" s="6" t="n">
        <x:v>0</x:v>
      </x:c>
      <x:c r="F21" s="6" t="n">
        <x:f>D21-E21</x:f>
        <x:v>45000</x:v>
      </x:c>
      <x:c r="G21" s="6" t="n">
        <x:f>G20+F21</x:f>
        <x:v>399000</x:v>
      </x:c>
      <x:c r="H21" s="6" t="n">
        <x:f>F21-'日経_D07'!F21</x:f>
        <x:v>2000</x:v>
      </x:c>
      <x:c r="I21" s="6" t="n">
        <x:v>50000</x:v>
      </x:c>
      <x:c r="J21" s="6" t="n">
        <x:v>-5000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495000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158000</x:v>
      </x:c>
      <x:c r="E23" s="6" t="n">
        <x:v>98000</x:v>
      </x:c>
      <x:c r="F23" s="6" t="n">
        <x:f>D23-E23</x:f>
        <x:v>60000</x:v>
      </x:c>
      <x:c r="G23" s="6" t="n">
        <x:f>G22+F23</x:f>
        <x:v>555000</x:v>
      </x:c>
      <x:c r="H23" s="6" t="n">
        <x:f>F23-'日経_D07'!F23</x:f>
        <x:v>-49000</x:v>
      </x:c>
      <x:c r="I23" s="6" t="n">
        <x:v>60000</x:v>
      </x:c>
      <x:c r="J23" s="6" t="n">
        <x:v>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77000</x:v>
      </x:c>
      <x:c r="E24" s="6" t="n">
        <x:v>73000</x:v>
      </x:c>
      <x:c r="F24" s="6" t="n">
        <x:f>D24-E24</x:f>
        <x:v>4000</x:v>
      </x:c>
      <x:c r="G24" s="6" t="n">
        <x:f>G23+F24</x:f>
        <x:v>559000</x:v>
      </x:c>
      <x:c r="H24" s="6" t="n">
        <x:f>F24-'日経_D07'!F24</x:f>
        <x:v>13000</x:v>
      </x:c>
      <x:c r="I24" s="6" t="n">
        <x:v>-28000</x:v>
      </x:c>
      <x:c r="J24" s="6" t="n">
        <x:v>32000</x:v>
      </x:c>
      <x:c r="K24" s="6" t="n">
        <x:v>0</x:v>
      </x:c>
      <x:c r="L24" s="6" t="n">
        <x:v>11</x:v>
      </x:c>
      <x:c r="M24" s="6" t="n">
        <x:v>19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288000</x:v>
      </x:c>
      <x:c r="E25" s="6" t="n">
        <x:v>38000</x:v>
      </x:c>
      <x:c r="F25" s="6" t="n">
        <x:f>D25-E25</x:f>
        <x:v>250000</x:v>
      </x:c>
      <x:c r="G25" s="6" t="n">
        <x:f>G24+F25</x:f>
        <x:v>809000</x:v>
      </x:c>
      <x:c r="H25" s="6" t="n">
        <x:f>F25-'日経_D07'!F25</x:f>
        <x:v>-6000</x:v>
      </x:c>
      <x:c r="I25" s="6" t="n">
        <x:v>247000</x:v>
      </x:c>
      <x:c r="J25" s="6" t="n">
        <x:v>3000</x:v>
      </x:c>
      <x:c r="K25" s="6" t="n">
        <x:v>0</x:v>
      </x:c>
      <x:c r="L25" s="6" t="n">
        <x:v>16</x:v>
      </x:c>
      <x:c r="M25" s="6" t="n">
        <x:v>29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86000</x:v>
      </x:c>
      <x:c r="E26" s="6" t="n">
        <x:v>156000</x:v>
      </x:c>
      <x:c r="F26" s="6" t="n">
        <x:f>D26-E26</x:f>
        <x:v>-70000</x:v>
      </x:c>
      <x:c r="G26" s="6" t="n">
        <x:f>G25+F26</x:f>
        <x:v>739000</x:v>
      </x:c>
      <x:c r="H26" s="6" t="n">
        <x:f>F26-'日経_D07'!F26</x:f>
        <x:v>38000</x:v>
      </x:c>
      <x:c r="I26" s="6" t="n">
        <x:v>-69000</x:v>
      </x:c>
      <x:c r="J26" s="6" t="n">
        <x:v>-1000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73000</x:v>
      </x:c>
      <x:c r="E27" s="6" t="n">
        <x:v>64000</x:v>
      </x:c>
      <x:c r="F27" s="6" t="n">
        <x:f>D27-E27</x:f>
        <x:v>9000</x:v>
      </x:c>
      <x:c r="G27" s="6" t="n">
        <x:f>G26+F27</x:f>
        <x:v>748000</x:v>
      </x:c>
      <x:c r="H27" s="6" t="n">
        <x:f>F27-'日経_D07'!F27</x:f>
        <x:v>-25000</x:v>
      </x:c>
      <x:c r="I27" s="6" t="n">
        <x:v>-4000</x:v>
      </x:c>
      <x:c r="J27" s="6" t="n">
        <x:v>13000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142000</x:v>
      </x:c>
      <x:c r="E28" s="6" t="n">
        <x:v>188000</x:v>
      </x:c>
      <x:c r="F28" s="6" t="n">
        <x:f>D28-E28</x:f>
        <x:v>-46000</x:v>
      </x:c>
      <x:c r="G28" s="6" t="n">
        <x:f>G27+F28</x:f>
        <x:v>702000</x:v>
      </x:c>
      <x:c r="H28" s="6" t="n">
        <x:f>F28-'日経_D07'!F28</x:f>
        <x:v>-1000</x:v>
      </x:c>
      <x:c r="I28" s="6" t="n">
        <x:v>-39000</x:v>
      </x:c>
      <x:c r="J28" s="6" t="n">
        <x:v>-7000</x:v>
      </x:c>
      <x:c r="K28" s="6" t="n">
        <x:v>0</x:v>
      </x:c>
      <x:c r="L28" s="6" t="n">
        <x:v>11</x:v>
      </x:c>
      <x:c r="M28" s="6" t="n">
        <x:v>26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7000</x:v>
      </x:c>
      <x:c r="E29" s="6" t="n">
        <x:v>43000</x:v>
      </x:c>
      <x:c r="F29" s="6" t="n">
        <x:f>D29-E29</x:f>
        <x:v>-36000</x:v>
      </x:c>
      <x:c r="G29" s="6" t="n">
        <x:f>G28+F29</x:f>
        <x:v>666000</x:v>
      </x:c>
      <x:c r="H29" s="6" t="n">
        <x:f>F29-'日経_D07'!F29</x:f>
        <x:v>-26000</x:v>
      </x:c>
      <x:c r="I29" s="6" t="n">
        <x:v>-37000</x:v>
      </x:c>
      <x:c r="J29" s="6" t="n">
        <x:v>1000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787000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744000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133000</x:v>
      </x:c>
      <x:c r="E32" s="6" t="n">
        <x:v>118000</x:v>
      </x:c>
      <x:c r="F32" s="6" t="n">
        <x:f>D32-E32</x:f>
        <x:v>15000</x:v>
      </x:c>
      <x:c r="G32" s="6" t="n">
        <x:f>G31+F32</x:f>
        <x:v>759000</x:v>
      </x:c>
      <x:c r="H32" s="6" t="n">
        <x:f>F32-'日経_D07'!F32</x:f>
        <x:v>12000</x:v>
      </x:c>
      <x:c r="I32" s="6" t="n">
        <x:v>14000</x:v>
      </x:c>
      <x:c r="J32" s="6" t="n">
        <x:v>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316000</x:v>
      </x:c>
      <x:c r="E33" s="6" t="n">
        <x:v>20000</x:v>
      </x:c>
      <x:c r="F33" s="6" t="n">
        <x:f>D33-E33</x:f>
        <x:v>296000</x:v>
      </x:c>
      <x:c r="G33" s="6" t="n">
        <x:f>G32+F33</x:f>
        <x:v>1055000</x:v>
      </x:c>
      <x:c r="H33" s="6" t="n">
        <x:f>F33-'日経_D07'!F33</x:f>
        <x:v>-15000</x:v>
      </x:c>
      <x:c r="I33" s="6" t="n">
        <x:v>277000</x:v>
      </x:c>
      <x:c r="J33" s="6" t="n">
        <x:v>19000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134000</x:v>
      </x:c>
      <x:c r="E34" s="6" t="n">
        <x:v>65000</x:v>
      </x:c>
      <x:c r="F34" s="6" t="n">
        <x:f>D34-E34</x:f>
        <x:v>69000</x:v>
      </x:c>
      <x:c r="G34" s="6" t="n">
        <x:f>G33+F34</x:f>
        <x:v>1124000</x:v>
      </x:c>
      <x:c r="H34" s="6" t="n">
        <x:f>F34-'日経_D07'!F34</x:f>
        <x:v>26000</x:v>
      </x:c>
      <x:c r="I34" s="6" t="n">
        <x:v>71000</x:v>
      </x:c>
      <x:c r="J34" s="6" t="n">
        <x:v>-2000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1138000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1146000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1228000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1239000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1186000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1287000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1452000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457000</x:v>
      </x:c>
      <x:c r="E42" s="6" t="n">
        <x:v>66000</x:v>
      </x:c>
      <x:c r="F42" s="6" t="n">
        <x:f>D42-E42</x:f>
        <x:v>391000</x:v>
      </x:c>
      <x:c r="G42" s="6" t="n">
        <x:f>G41+F42</x:f>
        <x:v>1843000</x:v>
      </x:c>
      <x:c r="H42" s="6" t="n">
        <x:f>F42-'日経_D07'!F42</x:f>
        <x:v>0</x:v>
      </x:c>
      <x:c r="I42" s="6" t="n">
        <x:v>370000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52000</x:v>
      </x:c>
      <x:c r="E43" s="6" t="n">
        <x:v>53000</x:v>
      </x:c>
      <x:c r="F43" s="6" t="n">
        <x:f>D43-E43</x:f>
        <x:v>-1000</x:v>
      </x:c>
      <x:c r="G43" s="6" t="n">
        <x:f>G42+F43</x:f>
        <x:v>1842000</x:v>
      </x:c>
      <x:c r="H43" s="6" t="n">
        <x:f>F43-'日経_D07'!F43</x:f>
        <x:v>-23000</x:v>
      </x:c>
      <x:c r="I43" s="6" t="n">
        <x:v>-16000</x:v>
      </x:c>
      <x:c r="J43" s="6" t="n">
        <x:v>15000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137000</x:v>
      </x:c>
      <x:c r="E44" s="6" t="n">
        <x:v>244000</x:v>
      </x:c>
      <x:c r="F44" s="6" t="n">
        <x:f>D44-E44</x:f>
        <x:v>-107000</x:v>
      </x:c>
      <x:c r="G44" s="6" t="n">
        <x:f>G43+F44</x:f>
        <x:v>1735000</x:v>
      </x:c>
      <x:c r="H44" s="6" t="n">
        <x:f>F44-'日経_D07'!F44</x:f>
        <x:v>14000</x:v>
      </x:c>
      <x:c r="I44" s="6" t="n">
        <x:v>-87000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133000</x:v>
      </x:c>
      <x:c r="E45" s="6" t="n">
        <x:v>102000</x:v>
      </x:c>
      <x:c r="F45" s="6" t="n">
        <x:f>D45-E45</x:f>
        <x:v>31000</x:v>
      </x:c>
      <x:c r="G45" s="6" t="n">
        <x:f>G44+F45</x:f>
        <x:v>1766000</x:v>
      </x:c>
      <x:c r="H45" s="6" t="n">
        <x:f>F45-'日経_D07'!F45</x:f>
        <x:v>-1000</x:v>
      </x:c>
      <x:c r="I45" s="6" t="n">
        <x:v>37000</x:v>
      </x:c>
      <x:c r="J45" s="6" t="n">
        <x:v>-6000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2164000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2156000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229000</x:v>
      </x:c>
      <x:c r="E48" s="6" t="n">
        <x:v>232000</x:v>
      </x:c>
      <x:c r="F48" s="6" t="n">
        <x:f>D48-E48</x:f>
        <x:v>-3000</x:v>
      </x:c>
      <x:c r="G48" s="6" t="n">
        <x:f>G47+F48</x:f>
        <x:v>2153000</x:v>
      </x:c>
      <x:c r="H48" s="6" t="n">
        <x:f>F48-'日経_D07'!F48</x:f>
        <x:v>21000</x:v>
      </x:c>
      <x:c r="I48" s="6" t="n">
        <x:v>-24000</x:v>
      </x:c>
      <x:c r="J48" s="6" t="n">
        <x:v>21000</x:v>
      </x:c>
      <x:c r="K48" s="6" t="n">
        <x:v>0</x:v>
      </x:c>
      <x:c r="L48" s="6" t="n">
        <x:v>15</x:v>
      </x:c>
      <x:c r="M48" s="6" t="n">
        <x:v>39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91000</x:v>
      </x:c>
      <x:c r="E49" s="6" t="n">
        <x:v>24000</x:v>
      </x:c>
      <x:c r="F49" s="6" t="n">
        <x:f>D49-E49</x:f>
        <x:v>67000</x:v>
      </x:c>
      <x:c r="G49" s="6" t="n">
        <x:f>G48+F49</x:f>
        <x:v>2220000</x:v>
      </x:c>
      <x:c r="H49" s="6" t="n">
        <x:f>F49-'日経_D07'!F49</x:f>
        <x:v>-33000</x:v>
      </x:c>
      <x:c r="I49" s="6" t="n">
        <x:v>73000</x:v>
      </x:c>
      <x:c r="J49" s="6" t="n">
        <x:v>-6000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84000</x:v>
      </x:c>
      <x:c r="E50" s="6" t="n">
        <x:v>193000</x:v>
      </x:c>
      <x:c r="F50" s="6" t="n">
        <x:f>D50-E50</x:f>
        <x:v>-109000</x:v>
      </x:c>
      <x:c r="G50" s="6" t="n">
        <x:f>G49+F50</x:f>
        <x:v>2111000</x:v>
      </x:c>
      <x:c r="H50" s="6" t="n">
        <x:f>F50-'日経_D07'!F50</x:f>
        <x:v>11000</x:v>
      </x:c>
      <x:c r="I50" s="6" t="n">
        <x:v>-104000</x:v>
      </x:c>
      <x:c r="J50" s="6" t="n">
        <x:v>-5000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45000</x:v>
      </x:c>
      <x:c r="E51" s="6" t="n">
        <x:v>85000</x:v>
      </x:c>
      <x:c r="F51" s="6" t="n">
        <x:f>D51-E51</x:f>
        <x:v>-40000</x:v>
      </x:c>
      <x:c r="G51" s="6" t="n">
        <x:f>G50+F51</x:f>
        <x:v>2071000</x:v>
      </x:c>
      <x:c r="H51" s="6" t="n">
        <x:f>F51-'日経_D07'!F51</x:f>
        <x:v>-16000</x:v>
      </x:c>
      <x:c r="I51" s="6" t="n">
        <x:v>-40000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399000</x:v>
      </x:c>
      <x:c r="E52" s="6" t="n">
        <x:v>0</x:v>
      </x:c>
      <x:c r="F52" s="6" t="n">
        <x:f>D52-E52</x:f>
        <x:v>399000</x:v>
      </x:c>
      <x:c r="G52" s="6" t="n">
        <x:f>G51+F52</x:f>
        <x:v>2470000</x:v>
      </x:c>
      <x:c r="H52" s="6" t="n">
        <x:f>F52-'日経_D07'!F52</x:f>
        <x:v>-302000</x:v>
      </x:c>
      <x:c r="I52" s="6" t="n">
        <x:v>407000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2626000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254000</x:v>
      </x:c>
      <x:c r="E54" s="6" t="n">
        <x:v>89000</x:v>
      </x:c>
      <x:c r="F54" s="6" t="n">
        <x:f>D54-E54</x:f>
        <x:v>165000</x:v>
      </x:c>
      <x:c r="G54" s="6" t="n">
        <x:f>G53+F54</x:f>
        <x:v>2791000</x:v>
      </x:c>
      <x:c r="H54" s="6" t="n">
        <x:f>F54-'日経_D07'!F54</x:f>
        <x:v>35000</x:v>
      </x:c>
      <x:c r="I54" s="6" t="n">
        <x:v>204000</x:v>
      </x:c>
      <x:c r="J54" s="6" t="n">
        <x:v>-39000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50000</x:v>
      </x:c>
      <x:c r="E55" s="6" t="n">
        <x:v>46000</x:v>
      </x:c>
      <x:c r="F55" s="6" t="n">
        <x:f>D55-E55</x:f>
        <x:v>4000</x:v>
      </x:c>
      <x:c r="G55" s="6" t="n">
        <x:f>G54+F55</x:f>
        <x:v>2795000</x:v>
      </x:c>
      <x:c r="H55" s="6" t="n">
        <x:f>F55-'日経_D07'!F55</x:f>
        <x:v>17000</x:v>
      </x:c>
      <x:c r="I55" s="6" t="n">
        <x:v>22000</x:v>
      </x:c>
      <x:c r="J55" s="6" t="n">
        <x:v>-18000</x:v>
      </x:c>
      <x:c r="K55" s="6" t="n">
        <x:v>0</x:v>
      </x:c>
      <x:c r="L55" s="6" t="n">
        <x:v>9</x:v>
      </x:c>
      <x:c r="M55" s="6" t="n">
        <x:v>14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163000</x:v>
      </x:c>
      <x:c r="E56" s="6" t="n">
        <x:v>190000</x:v>
      </x:c>
      <x:c r="F56" s="6" t="n">
        <x:f>D56-E56</x:f>
        <x:v>-27000</x:v>
      </x:c>
      <x:c r="G56" s="6" t="n">
        <x:f>G55+F56</x:f>
        <x:v>2768000</x:v>
      </x:c>
      <x:c r="H56" s="6" t="n">
        <x:f>F56-'日経_D07'!F56</x:f>
        <x:v>-36000</x:v>
      </x:c>
      <x:c r="I56" s="6" t="n">
        <x:v>-50000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6336000</x:v>
      </x:c>
      <x:c r="E57" s="14" t="n">
        <x:f>SUM(E6:E56)</x:f>
        <x:v>3568000</x:v>
      </x:c>
      <x:c r="F57" s="14" t="n">
        <x:f>D57-E57</x:f>
        <x:v>2768000</x:v>
      </x:c>
      <x:c r="G57" s="14" t="n">
        <x:f>G56</x:f>
        <x:v>2768000</x:v>
      </x:c>
      <x:c r="H57" s="14" t="n">
        <x:f>SUM(H6:H56)</x:f>
        <x:v>-291000</x:v>
      </x:c>
      <x:c r="I57" s="14" t="n">
        <x:f>SUM(I6:I56)</x:f>
        <x:v>2867000</x:v>
      </x:c>
      <x:c r="J57" s="14" t="n">
        <x:f>SUM(J6:J56)</x:f>
        <x:v>-99000</x:v>
      </x:c>
      <x:c r="K57" s="14" t="n">
        <x:f>SUM(K6:K56)</x:f>
        <x:v>0</x:v>
      </x:c>
      <x:c r="L57" s="14" t="n">
        <x:f>SUM(L6:L56)</x:f>
        <x:v>363</x:v>
      </x:c>
      <x:c r="M57" s="14" t="n">
        <x:f>SUM(M6:M56)</x:f>
        <x:v>843</x:v>
      </x:c>
    </x:row>
  </x:sheetData>
  <x:conditionalFormatting sqref="F6:K56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0f7b81a92c435b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S02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S04と基準D07旧親占有中の別入口再参加抑止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8000</x:v>
      </x:c>
      <x:c r="E11" s="6" t="n">
        <x:v>40000</x:v>
      </x:c>
      <x:c r="F11" s="6" t="n">
        <x:f>D11-E11</x:f>
        <x:v>-32000</x:v>
      </x:c>
      <x:c r="G11" s="6" t="n">
        <x:f>G10+F11</x:f>
        <x:v>-43000</x:v>
      </x:c>
      <x:c r="H11" s="6" t="n">
        <x:f>F11-'日経_D07'!F11</x:f>
        <x:v>4000</x:v>
      </x:c>
      <x:c r="I11" s="6" t="n">
        <x:v>-33000</x:v>
      </x:c>
      <x:c r="J11" s="6" t="n">
        <x:v>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172000</x:v>
      </x:c>
      <x:c r="E12" s="6" t="n">
        <x:v>60000</x:v>
      </x:c>
      <x:c r="F12" s="6" t="n">
        <x:f>D12-E12</x:f>
        <x:v>112000</x:v>
      </x:c>
      <x:c r="G12" s="6" t="n">
        <x:f>G11+F12</x:f>
        <x:v>69000</x:v>
      </x:c>
      <x:c r="H12" s="6" t="n">
        <x:f>F12-'日経_D07'!F12</x:f>
        <x:v>44000</x:v>
      </x:c>
      <x:c r="I12" s="6" t="n">
        <x:v>88000</x:v>
      </x:c>
      <x:c r="J12" s="6" t="n">
        <x:v>24000</x:v>
      </x:c>
      <x:c r="K12" s="6" t="n">
        <x:v>0</x:v>
      </x:c>
      <x:c r="L12" s="6" t="n">
        <x:v>9</x:v>
      </x:c>
      <x:c r="M12" s="6" t="n">
        <x:v>20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5000</x:v>
      </x:c>
      <x:c r="E13" s="6" t="n">
        <x:v>0</x:v>
      </x:c>
      <x:c r="F13" s="6" t="n">
        <x:f>D13-E13</x:f>
        <x:v>5000</x:v>
      </x:c>
      <x:c r="G13" s="6" t="n">
        <x:f>G12+F13</x:f>
        <x:v>74000</x:v>
      </x:c>
      <x:c r="H13" s="6" t="n">
        <x:f>F13-'日経_D07'!F13</x:f>
        <x:v>-15000</x:v>
      </x:c>
      <x:c r="I13" s="6" t="n">
        <x:v>7000</x:v>
      </x:c>
      <x:c r="J13" s="6" t="n">
        <x:v>-2000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167000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168000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138000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118000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205000</x:v>
      </x:c>
      <x:c r="E18" s="6" t="n">
        <x:v>125000</x:v>
      </x:c>
      <x:c r="F18" s="6" t="n">
        <x:f>D18-E18</x:f>
        <x:v>80000</x:v>
      </x:c>
      <x:c r="G18" s="6" t="n">
        <x:f>G17+F18</x:f>
        <x:v>198000</x:v>
      </x:c>
      <x:c r="H18" s="6" t="n">
        <x:f>F18-'日経_D07'!F18</x:f>
        <x:v>10000</x:v>
      </x:c>
      <x:c r="I18" s="6" t="n">
        <x:v>143000</x:v>
      </x:c>
      <x:c r="J18" s="6" t="n">
        <x:v>-63000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92000</x:v>
      </x:c>
      <x:c r="E19" s="6" t="n">
        <x:v>22000</x:v>
      </x:c>
      <x:c r="F19" s="6" t="n">
        <x:f>D19-E19</x:f>
        <x:v>70000</x:v>
      </x:c>
      <x:c r="G19" s="6" t="n">
        <x:f>G18+F19</x:f>
        <x:v>268000</x:v>
      </x:c>
      <x:c r="H19" s="6" t="n">
        <x:f>F19-'日経_D07'!F19</x:f>
        <x:v>5000</x:v>
      </x:c>
      <x:c r="I19" s="6" t="n">
        <x:v>72000</x:v>
      </x:c>
      <x:c r="J19" s="6" t="n">
        <x:v>-2000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378000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45000</x:v>
      </x:c>
      <x:c r="E21" s="6" t="n">
        <x:v>0</x:v>
      </x:c>
      <x:c r="F21" s="6" t="n">
        <x:f>D21-E21</x:f>
        <x:v>45000</x:v>
      </x:c>
      <x:c r="G21" s="6" t="n">
        <x:f>G20+F21</x:f>
        <x:v>423000</x:v>
      </x:c>
      <x:c r="H21" s="6" t="n">
        <x:f>F21-'日経_D07'!F21</x:f>
        <x:v>2000</x:v>
      </x:c>
      <x:c r="I21" s="6" t="n">
        <x:v>50000</x:v>
      </x:c>
      <x:c r="J21" s="6" t="n">
        <x:v>-5000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519000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158000</x:v>
      </x:c>
      <x:c r="E23" s="6" t="n">
        <x:v>98000</x:v>
      </x:c>
      <x:c r="F23" s="6" t="n">
        <x:f>D23-E23</x:f>
        <x:v>60000</x:v>
      </x:c>
      <x:c r="G23" s="6" t="n">
        <x:f>G22+F23</x:f>
        <x:v>579000</x:v>
      </x:c>
      <x:c r="H23" s="6" t="n">
        <x:f>F23-'日経_D07'!F23</x:f>
        <x:v>-49000</x:v>
      </x:c>
      <x:c r="I23" s="6" t="n">
        <x:v>60000</x:v>
      </x:c>
      <x:c r="J23" s="6" t="n">
        <x:v>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73000</x:v>
      </x:c>
      <x:c r="F24" s="6" t="n">
        <x:f>D24-E24</x:f>
        <x:v>-9000</x:v>
      </x:c>
      <x:c r="G24" s="6" t="n">
        <x:f>G23+F24</x:f>
        <x:v>570000</x:v>
      </x:c>
      <x:c r="H24" s="6" t="n">
        <x:f>F24-'日経_D07'!F24</x:f>
        <x:v>0</x:v>
      </x:c>
      <x:c r="I24" s="6" t="n">
        <x:v>-45000</x:v>
      </x:c>
      <x:c r="J24" s="6" t="n">
        <x:v>36000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273000</x:v>
      </x:c>
      <x:c r="E25" s="6" t="n">
        <x:v>38000</x:v>
      </x:c>
      <x:c r="F25" s="6" t="n">
        <x:f>D25-E25</x:f>
        <x:v>235000</x:v>
      </x:c>
      <x:c r="G25" s="6" t="n">
        <x:f>G24+F25</x:f>
        <x:v>805000</x:v>
      </x:c>
      <x:c r="H25" s="6" t="n">
        <x:f>F25-'日経_D07'!F25</x:f>
        <x:v>-21000</x:v>
      </x:c>
      <x:c r="I25" s="6" t="n">
        <x:v>236000</x:v>
      </x:c>
      <x:c r="J25" s="6" t="n">
        <x:v>-1000</x:v>
      </x:c>
      <x:c r="K25" s="6" t="n">
        <x:v>0</x:v>
      </x:c>
      <x:c r="L25" s="6" t="n">
        <x:v>14</x:v>
      </x:c>
      <x:c r="M25" s="6" t="n">
        <x:v>27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86000</x:v>
      </x:c>
      <x:c r="E26" s="6" t="n">
        <x:v>156000</x:v>
      </x:c>
      <x:c r="F26" s="6" t="n">
        <x:f>D26-E26</x:f>
        <x:v>-70000</x:v>
      </x:c>
      <x:c r="G26" s="6" t="n">
        <x:f>G25+F26</x:f>
        <x:v>735000</x:v>
      </x:c>
      <x:c r="H26" s="6" t="n">
        <x:f>F26-'日経_D07'!F26</x:f>
        <x:v>38000</x:v>
      </x:c>
      <x:c r="I26" s="6" t="n">
        <x:v>-69000</x:v>
      </x:c>
      <x:c r="J26" s="6" t="n">
        <x:v>-1000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73000</x:v>
      </x:c>
      <x:c r="E27" s="6" t="n">
        <x:v>64000</x:v>
      </x:c>
      <x:c r="F27" s="6" t="n">
        <x:f>D27-E27</x:f>
        <x:v>9000</x:v>
      </x:c>
      <x:c r="G27" s="6" t="n">
        <x:f>G26+F27</x:f>
        <x:v>744000</x:v>
      </x:c>
      <x:c r="H27" s="6" t="n">
        <x:f>F27-'日経_D07'!F27</x:f>
        <x:v>-25000</x:v>
      </x:c>
      <x:c r="I27" s="6" t="n">
        <x:v>-4000</x:v>
      </x:c>
      <x:c r="J27" s="6" t="n">
        <x:v>13000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142000</x:v>
      </x:c>
      <x:c r="E28" s="6" t="n">
        <x:v>160000</x:v>
      </x:c>
      <x:c r="F28" s="6" t="n">
        <x:f>D28-E28</x:f>
        <x:v>-18000</x:v>
      </x:c>
      <x:c r="G28" s="6" t="n">
        <x:f>G27+F28</x:f>
        <x:v>726000</x:v>
      </x:c>
      <x:c r="H28" s="6" t="n">
        <x:f>F28-'日経_D07'!F28</x:f>
        <x:v>27000</x:v>
      </x:c>
      <x:c r="I28" s="6" t="n">
        <x:v>-11000</x:v>
      </x:c>
      <x:c r="J28" s="6" t="n">
        <x:v>-7000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7000</x:v>
      </x:c>
      <x:c r="E29" s="6" t="n">
        <x:v>43000</x:v>
      </x:c>
      <x:c r="F29" s="6" t="n">
        <x:f>D29-E29</x:f>
        <x:v>-36000</x:v>
      </x:c>
      <x:c r="G29" s="6" t="n">
        <x:f>G28+F29</x:f>
        <x:v>690000</x:v>
      </x:c>
      <x:c r="H29" s="6" t="n">
        <x:f>F29-'日経_D07'!F29</x:f>
        <x:v>-26000</x:v>
      </x:c>
      <x:c r="I29" s="6" t="n">
        <x:v>-37000</x:v>
      </x:c>
      <x:c r="J29" s="6" t="n">
        <x:v>1000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811000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768000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133000</x:v>
      </x:c>
      <x:c r="E32" s="6" t="n">
        <x:v>118000</x:v>
      </x:c>
      <x:c r="F32" s="6" t="n">
        <x:f>D32-E32</x:f>
        <x:v>15000</x:v>
      </x:c>
      <x:c r="G32" s="6" t="n">
        <x:f>G31+F32</x:f>
        <x:v>783000</x:v>
      </x:c>
      <x:c r="H32" s="6" t="n">
        <x:f>F32-'日経_D07'!F32</x:f>
        <x:v>12000</x:v>
      </x:c>
      <x:c r="I32" s="6" t="n">
        <x:v>14000</x:v>
      </x:c>
      <x:c r="J32" s="6" t="n">
        <x:v>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316000</x:v>
      </x:c>
      <x:c r="E33" s="6" t="n">
        <x:v>20000</x:v>
      </x:c>
      <x:c r="F33" s="6" t="n">
        <x:f>D33-E33</x:f>
        <x:v>296000</x:v>
      </x:c>
      <x:c r="G33" s="6" t="n">
        <x:f>G32+F33</x:f>
        <x:v>1079000</x:v>
      </x:c>
      <x:c r="H33" s="6" t="n">
        <x:f>F33-'日経_D07'!F33</x:f>
        <x:v>-15000</x:v>
      </x:c>
      <x:c r="I33" s="6" t="n">
        <x:v>277000</x:v>
      </x:c>
      <x:c r="J33" s="6" t="n">
        <x:v>19000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134000</x:v>
      </x:c>
      <x:c r="E34" s="6" t="n">
        <x:v>65000</x:v>
      </x:c>
      <x:c r="F34" s="6" t="n">
        <x:f>D34-E34</x:f>
        <x:v>69000</x:v>
      </x:c>
      <x:c r="G34" s="6" t="n">
        <x:f>G33+F34</x:f>
        <x:v>1148000</x:v>
      </x:c>
      <x:c r="H34" s="6" t="n">
        <x:f>F34-'日経_D07'!F34</x:f>
        <x:v>26000</x:v>
      </x:c>
      <x:c r="I34" s="6" t="n">
        <x:v>71000</x:v>
      </x:c>
      <x:c r="J34" s="6" t="n">
        <x:v>-2000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1162000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1170000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1252000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1263000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1210000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1311000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1476000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457000</x:v>
      </x:c>
      <x:c r="E42" s="6" t="n">
        <x:v>66000</x:v>
      </x:c>
      <x:c r="F42" s="6" t="n">
        <x:f>D42-E42</x:f>
        <x:v>391000</x:v>
      </x:c>
      <x:c r="G42" s="6" t="n">
        <x:f>G41+F42</x:f>
        <x:v>1867000</x:v>
      </x:c>
      <x:c r="H42" s="6" t="n">
        <x:f>F42-'日経_D07'!F42</x:f>
        <x:v>0</x:v>
      </x:c>
      <x:c r="I42" s="6" t="n">
        <x:v>370000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52000</x:v>
      </x:c>
      <x:c r="E43" s="6" t="n">
        <x:v>53000</x:v>
      </x:c>
      <x:c r="F43" s="6" t="n">
        <x:f>D43-E43</x:f>
        <x:v>-1000</x:v>
      </x:c>
      <x:c r="G43" s="6" t="n">
        <x:f>G42+F43</x:f>
        <x:v>1866000</x:v>
      </x:c>
      <x:c r="H43" s="6" t="n">
        <x:f>F43-'日経_D07'!F43</x:f>
        <x:v>-23000</x:v>
      </x:c>
      <x:c r="I43" s="6" t="n">
        <x:v>-16000</x:v>
      </x:c>
      <x:c r="J43" s="6" t="n">
        <x:v>15000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137000</x:v>
      </x:c>
      <x:c r="E44" s="6" t="n">
        <x:v>244000</x:v>
      </x:c>
      <x:c r="F44" s="6" t="n">
        <x:f>D44-E44</x:f>
        <x:v>-107000</x:v>
      </x:c>
      <x:c r="G44" s="6" t="n">
        <x:f>G43+F44</x:f>
        <x:v>1759000</x:v>
      </x:c>
      <x:c r="H44" s="6" t="n">
        <x:f>F44-'日経_D07'!F44</x:f>
        <x:v>14000</x:v>
      </x:c>
      <x:c r="I44" s="6" t="n">
        <x:v>-87000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133000</x:v>
      </x:c>
      <x:c r="E45" s="6" t="n">
        <x:v>102000</x:v>
      </x:c>
      <x:c r="F45" s="6" t="n">
        <x:f>D45-E45</x:f>
        <x:v>31000</x:v>
      </x:c>
      <x:c r="G45" s="6" t="n">
        <x:f>G44+F45</x:f>
        <x:v>1790000</x:v>
      </x:c>
      <x:c r="H45" s="6" t="n">
        <x:f>F45-'日経_D07'!F45</x:f>
        <x:v>-1000</x:v>
      </x:c>
      <x:c r="I45" s="6" t="n">
        <x:v>37000</x:v>
      </x:c>
      <x:c r="J45" s="6" t="n">
        <x:v>-6000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2188000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2180000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229000</x:v>
      </x:c>
      <x:c r="E48" s="6" t="n">
        <x:v>206000</x:v>
      </x:c>
      <x:c r="F48" s="6" t="n">
        <x:f>D48-E48</x:f>
        <x:v>23000</x:v>
      </x:c>
      <x:c r="G48" s="6" t="n">
        <x:f>G47+F48</x:f>
        <x:v>2203000</x:v>
      </x:c>
      <x:c r="H48" s="6" t="n">
        <x:f>F48-'日経_D07'!F48</x:f>
        <x:v>47000</x:v>
      </x:c>
      <x:c r="I48" s="6" t="n">
        <x:v>2000</x:v>
      </x:c>
      <x:c r="J48" s="6" t="n">
        <x:v>21000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91000</x:v>
      </x:c>
      <x:c r="E49" s="6" t="n">
        <x:v>24000</x:v>
      </x:c>
      <x:c r="F49" s="6" t="n">
        <x:f>D49-E49</x:f>
        <x:v>67000</x:v>
      </x:c>
      <x:c r="G49" s="6" t="n">
        <x:f>G48+F49</x:f>
        <x:v>2270000</x:v>
      </x:c>
      <x:c r="H49" s="6" t="n">
        <x:f>F49-'日経_D07'!F49</x:f>
        <x:v>-33000</x:v>
      </x:c>
      <x:c r="I49" s="6" t="n">
        <x:v>73000</x:v>
      </x:c>
      <x:c r="J49" s="6" t="n">
        <x:v>-6000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84000</x:v>
      </x:c>
      <x:c r="E50" s="6" t="n">
        <x:v>193000</x:v>
      </x:c>
      <x:c r="F50" s="6" t="n">
        <x:f>D50-E50</x:f>
        <x:v>-109000</x:v>
      </x:c>
      <x:c r="G50" s="6" t="n">
        <x:f>G49+F50</x:f>
        <x:v>2161000</x:v>
      </x:c>
      <x:c r="H50" s="6" t="n">
        <x:f>F50-'日経_D07'!F50</x:f>
        <x:v>11000</x:v>
      </x:c>
      <x:c r="I50" s="6" t="n">
        <x:v>-104000</x:v>
      </x:c>
      <x:c r="J50" s="6" t="n">
        <x:v>-5000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45000</x:v>
      </x:c>
      <x:c r="E51" s="6" t="n">
        <x:v>85000</x:v>
      </x:c>
      <x:c r="F51" s="6" t="n">
        <x:f>D51-E51</x:f>
        <x:v>-40000</x:v>
      </x:c>
      <x:c r="G51" s="6" t="n">
        <x:f>G50+F51</x:f>
        <x:v>2121000</x:v>
      </x:c>
      <x:c r="H51" s="6" t="n">
        <x:f>F51-'日経_D07'!F51</x:f>
        <x:v>-16000</x:v>
      </x:c>
      <x:c r="I51" s="6" t="n">
        <x:v>-40000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399000</x:v>
      </x:c>
      <x:c r="E52" s="6" t="n">
        <x:v>0</x:v>
      </x:c>
      <x:c r="F52" s="6" t="n">
        <x:f>D52-E52</x:f>
        <x:v>399000</x:v>
      </x:c>
      <x:c r="G52" s="6" t="n">
        <x:f>G51+F52</x:f>
        <x:v>2520000</x:v>
      </x:c>
      <x:c r="H52" s="6" t="n">
        <x:f>F52-'日経_D07'!F52</x:f>
        <x:v>-302000</x:v>
      </x:c>
      <x:c r="I52" s="6" t="n">
        <x:v>407000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2676000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254000</x:v>
      </x:c>
      <x:c r="E54" s="6" t="n">
        <x:v>89000</x:v>
      </x:c>
      <x:c r="F54" s="6" t="n">
        <x:f>D54-E54</x:f>
        <x:v>165000</x:v>
      </x:c>
      <x:c r="G54" s="6" t="n">
        <x:f>G53+F54</x:f>
        <x:v>2841000</x:v>
      </x:c>
      <x:c r="H54" s="6" t="n">
        <x:f>F54-'日経_D07'!F54</x:f>
        <x:v>35000</x:v>
      </x:c>
      <x:c r="I54" s="6" t="n">
        <x:v>204000</x:v>
      </x:c>
      <x:c r="J54" s="6" t="n">
        <x:v>-39000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50000</x:v>
      </x:c>
      <x:c r="E55" s="6" t="n">
        <x:v>46000</x:v>
      </x:c>
      <x:c r="F55" s="6" t="n">
        <x:f>D55-E55</x:f>
        <x:v>4000</x:v>
      </x:c>
      <x:c r="G55" s="6" t="n">
        <x:f>G54+F55</x:f>
        <x:v>2845000</x:v>
      </x:c>
      <x:c r="H55" s="6" t="n">
        <x:f>F55-'日経_D07'!F55</x:f>
        <x:v>17000</x:v>
      </x:c>
      <x:c r="I55" s="6" t="n">
        <x:v>22000</x:v>
      </x:c>
      <x:c r="J55" s="6" t="n">
        <x:v>-18000</x:v>
      </x:c>
      <x:c r="K55" s="6" t="n">
        <x:v>0</x:v>
      </x:c>
      <x:c r="L55" s="6" t="n">
        <x:v>9</x:v>
      </x:c>
      <x:c r="M55" s="6" t="n">
        <x:v>14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163000</x:v>
      </x:c>
      <x:c r="E56" s="6" t="n">
        <x:v>190000</x:v>
      </x:c>
      <x:c r="F56" s="6" t="n">
        <x:f>D56-E56</x:f>
        <x:v>-27000</x:v>
      </x:c>
      <x:c r="G56" s="6" t="n">
        <x:f>G55+F56</x:f>
        <x:v>2818000</x:v>
      </x:c>
      <x:c r="H56" s="6" t="n">
        <x:f>F56-'日経_D07'!F56</x:f>
        <x:v>-36000</x:v>
      </x:c>
      <x:c r="I56" s="6" t="n">
        <x:v>-50000</x:v>
      </x:c>
      <x:c r="J56" s="6" t="n">
        <x:v>23000</x:v>
      </x:c>
      <x:c r="K56" s="6" t="n">
        <x:v>0</x:v>
      </x:c>
      <x:c r="L56" s="6" t="n">
        <x:v>7</x:v>
      </x:c>
      <x:c r="M56" s="6" t="n">
        <x:v>21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6308000</x:v>
      </x:c>
      <x:c r="E57" s="14" t="n">
        <x:f>SUM(E6:E56)</x:f>
        <x:v>3490000</x:v>
      </x:c>
      <x:c r="F57" s="14" t="n">
        <x:f>D57-E57</x:f>
        <x:v>2818000</x:v>
      </x:c>
      <x:c r="G57" s="14" t="n">
        <x:f>G56</x:f>
        <x:v>2818000</x:v>
      </x:c>
      <x:c r="H57" s="14" t="n">
        <x:f>SUM(H6:H56)</x:f>
        <x:v>-241000</x:v>
      </x:c>
      <x:c r="I57" s="14" t="n">
        <x:f>SUM(I6:I56)</x:f>
        <x:v>2917000</x:v>
      </x:c>
      <x:c r="J57" s="14" t="n">
        <x:f>SUM(J6:J56)</x:f>
        <x:v>-99000</x:v>
      </x:c>
      <x:c r="K57" s="14" t="n">
        <x:f>SUM(K6:K56)</x:f>
        <x:v>0</x:v>
      </x:c>
      <x:c r="L57" s="14" t="n">
        <x:f>SUM(L6:L56)</x:f>
        <x:v>356</x:v>
      </x:c>
      <x:c r="M57" s="14" t="n">
        <x:f>SUM(M6:M56)</x:f>
        <x:v>832</x:v>
      </x:c>
    </x:row>
  </x:sheetData>
  <x:conditionalFormatting sqref="F6:K56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c1cace35854174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S03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全担当1R保護と別入口の旧親占有中再参加抑止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24000</x:v>
      </x:c>
      <x:c r="E6" s="6" t="n">
        <x:v>0</x:v>
      </x:c>
      <x:c r="F6" s="6" t="n">
        <x:f>D6-E6</x:f>
        <x:v>24000</x:v>
      </x:c>
      <x:c r="G6" s="6" t="n">
        <x:f>F6</x:f>
        <x:v>24000</x:v>
      </x:c>
      <x:c r="H6" s="6" t="n">
        <x:f>F6-'日経_D07'!F6</x:f>
        <x:v>-6000</x:v>
      </x:c>
      <x:c r="I6" s="6" t="n">
        <x:v>24000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-21000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-91000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32000</x:v>
      </x:c>
      <x:c r="E9" s="6" t="n">
        <x:v>0</x:v>
      </x:c>
      <x:c r="F9" s="6" t="n">
        <x:f>D9-E9</x:f>
        <x:v>32000</x:v>
      </x:c>
      <x:c r="G9" s="6" t="n">
        <x:f>G8+F9</x:f>
        <x:v>-59000</x:v>
      </x:c>
      <x:c r="H9" s="6" t="n">
        <x:f>F9-'日経_D07'!F9</x:f>
        <x:v>8000</x:v>
      </x:c>
      <x:c r="I9" s="6" t="n">
        <x:v>32000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-9000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8000</x:v>
      </x:c>
      <x:c r="E11" s="6" t="n">
        <x:v>40000</x:v>
      </x:c>
      <x:c r="F11" s="6" t="n">
        <x:f>D11-E11</x:f>
        <x:v>-32000</x:v>
      </x:c>
      <x:c r="G11" s="6" t="n">
        <x:f>G10+F11</x:f>
        <x:v>-41000</x:v>
      </x:c>
      <x:c r="H11" s="6" t="n">
        <x:f>F11-'日経_D07'!F11</x:f>
        <x:v>4000</x:v>
      </x:c>
      <x:c r="I11" s="6" t="n">
        <x:v>-33000</x:v>
      </x:c>
      <x:c r="J11" s="6" t="n">
        <x:v>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133000</x:v>
      </x:c>
      <x:c r="E12" s="6" t="n">
        <x:v>60000</x:v>
      </x:c>
      <x:c r="F12" s="6" t="n">
        <x:f>D12-E12</x:f>
        <x:v>73000</x:v>
      </x:c>
      <x:c r="G12" s="6" t="n">
        <x:f>G11+F12</x:f>
        <x:v>32000</x:v>
      </x:c>
      <x:c r="H12" s="6" t="n">
        <x:f>F12-'日経_D07'!F12</x:f>
        <x:v>5000</x:v>
      </x:c>
      <x:c r="I12" s="6" t="n">
        <x:v>66000</x:v>
      </x:c>
      <x:c r="J12" s="6" t="n">
        <x:v>7000</x:v>
      </x:c>
      <x:c r="K12" s="6" t="n">
        <x:v>0</x:v>
      </x:c>
      <x:c r="L12" s="6" t="n">
        <x:v>8</x:v>
      </x:c>
      <x:c r="M12" s="6" t="n">
        <x:v>19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5000</x:v>
      </x:c>
      <x:c r="E13" s="6" t="n">
        <x:v>0</x:v>
      </x:c>
      <x:c r="F13" s="6" t="n">
        <x:f>D13-E13</x:f>
        <x:v>5000</x:v>
      </x:c>
      <x:c r="G13" s="6" t="n">
        <x:f>G12+F13</x:f>
        <x:v>37000</x:v>
      </x:c>
      <x:c r="H13" s="6" t="n">
        <x:f>F13-'日経_D07'!F13</x:f>
        <x:v>-15000</x:v>
      </x:c>
      <x:c r="I13" s="6" t="n">
        <x:v>7000</x:v>
      </x:c>
      <x:c r="J13" s="6" t="n">
        <x:v>-2000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130000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131000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59000</x:v>
      </x:c>
      <x:c r="E16" s="6" t="n">
        <x:v>131000</x:v>
      </x:c>
      <x:c r="F16" s="6" t="n">
        <x:f>D16-E16</x:f>
        <x:v>-72000</x:v>
      </x:c>
      <x:c r="G16" s="6" t="n">
        <x:f>G15+F16</x:f>
        <x:v>59000</x:v>
      </x:c>
      <x:c r="H16" s="6" t="n">
        <x:f>F16-'日経_D07'!F16</x:f>
        <x:v>-42000</x:v>
      </x:c>
      <x:c r="I16" s="6" t="n">
        <x:v>-56000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22000</x:v>
      </x:c>
      <x:c r="E17" s="6" t="n">
        <x:v>30000</x:v>
      </x:c>
      <x:c r="F17" s="6" t="n">
        <x:f>D17-E17</x:f>
        <x:v>-8000</x:v>
      </x:c>
      <x:c r="G17" s="6" t="n">
        <x:f>G16+F17</x:f>
        <x:v>51000</x:v>
      </x:c>
      <x:c r="H17" s="6" t="n">
        <x:f>F17-'日経_D07'!F17</x:f>
        <x:v>12000</x:v>
      </x:c>
      <x:c r="I17" s="6" t="n">
        <x:v>-3000</x:v>
      </x:c>
      <x:c r="J17" s="6" t="n">
        <x:v>-5000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188000</x:v>
      </x:c>
      <x:c r="E18" s="6" t="n">
        <x:v>96000</x:v>
      </x:c>
      <x:c r="F18" s="6" t="n">
        <x:f>D18-E18</x:f>
        <x:v>92000</x:v>
      </x:c>
      <x:c r="G18" s="6" t="n">
        <x:f>G17+F18</x:f>
        <x:v>143000</x:v>
      </x:c>
      <x:c r="H18" s="6" t="n">
        <x:f>F18-'日経_D07'!F18</x:f>
        <x:v>22000</x:v>
      </x:c>
      <x:c r="I18" s="6" t="n">
        <x:v>143000</x:v>
      </x:c>
      <x:c r="J18" s="6" t="n">
        <x:v>-51000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89000</x:v>
      </x:c>
      <x:c r="E19" s="6" t="n">
        <x:v>72000</x:v>
      </x:c>
      <x:c r="F19" s="6" t="n">
        <x:f>D19-E19</x:f>
        <x:v>17000</x:v>
      </x:c>
      <x:c r="G19" s="6" t="n">
        <x:f>G18+F19</x:f>
        <x:v>160000</x:v>
      </x:c>
      <x:c r="H19" s="6" t="n">
        <x:f>F19-'日経_D07'!F19</x:f>
        <x:v>-48000</x:v>
      </x:c>
      <x:c r="I19" s="6" t="n">
        <x:v>19000</x:v>
      </x:c>
      <x:c r="J19" s="6" t="n">
        <x:v>-2000</x:v>
      </x:c>
      <x:c r="K19" s="6" t="n">
        <x:v>0</x:v>
      </x:c>
      <x:c r="L19" s="6" t="n">
        <x:v>7</x:v>
      </x:c>
      <x:c r="M19" s="6" t="n">
        <x:v>19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184000</x:v>
      </x:c>
      <x:c r="E20" s="6" t="n">
        <x:v>75000</x:v>
      </x:c>
      <x:c r="F20" s="6" t="n">
        <x:f>D20-E20</x:f>
        <x:v>109000</x:v>
      </x:c>
      <x:c r="G20" s="6" t="n">
        <x:f>G19+F20</x:f>
        <x:v>269000</x:v>
      </x:c>
      <x:c r="H20" s="6" t="n">
        <x:f>F20-'日経_D07'!F20</x:f>
        <x:v>-1000</x:v>
      </x:c>
      <x:c r="I20" s="6" t="n">
        <x:v>114000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47000</x:v>
      </x:c>
      <x:c r="E21" s="6" t="n">
        <x:v>0</x:v>
      </x:c>
      <x:c r="F21" s="6" t="n">
        <x:f>D21-E21</x:f>
        <x:v>47000</x:v>
      </x:c>
      <x:c r="G21" s="6" t="n">
        <x:f>G20+F21</x:f>
        <x:v>316000</x:v>
      </x:c>
      <x:c r="H21" s="6" t="n">
        <x:f>F21-'日経_D07'!F21</x:f>
        <x:v>4000</x:v>
      </x:c>
      <x:c r="I21" s="6" t="n">
        <x:v>52000</x:v>
      </x:c>
      <x:c r="J21" s="6" t="n">
        <x:v>-5000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40000</x:v>
      </x:c>
      <x:c r="E22" s="6" t="n">
        <x:v>144000</x:v>
      </x:c>
      <x:c r="F22" s="6" t="n">
        <x:f>D22-E22</x:f>
        <x:v>-104000</x:v>
      </x:c>
      <x:c r="G22" s="6" t="n">
        <x:f>G21+F22</x:f>
        <x:v>212000</x:v>
      </x:c>
      <x:c r="H22" s="6" t="n">
        <x:f>F22-'日経_D07'!F22</x:f>
        <x:v>-200000</x:v>
      </x:c>
      <x:c r="I22" s="6" t="n">
        <x:v>-104000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158000</x:v>
      </x:c>
      <x:c r="E23" s="6" t="n">
        <x:v>98000</x:v>
      </x:c>
      <x:c r="F23" s="6" t="n">
        <x:f>D23-E23</x:f>
        <x:v>60000</x:v>
      </x:c>
      <x:c r="G23" s="6" t="n">
        <x:f>G22+F23</x:f>
        <x:v>272000</x:v>
      </x:c>
      <x:c r="H23" s="6" t="n">
        <x:f>F23-'日経_D07'!F23</x:f>
        <x:v>-49000</x:v>
      </x:c>
      <x:c r="I23" s="6" t="n">
        <x:v>60000</x:v>
      </x:c>
      <x:c r="J23" s="6" t="n">
        <x:v>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71000</x:v>
      </x:c>
      <x:c r="E24" s="6" t="n">
        <x:v>65000</x:v>
      </x:c>
      <x:c r="F24" s="6" t="n">
        <x:f>D24-E24</x:f>
        <x:v>6000</x:v>
      </x:c>
      <x:c r="G24" s="6" t="n">
        <x:f>G23+F24</x:f>
        <x:v>278000</x:v>
      </x:c>
      <x:c r="H24" s="6" t="n">
        <x:f>F24-'日経_D07'!F24</x:f>
        <x:v>15000</x:v>
      </x:c>
      <x:c r="I24" s="6" t="n">
        <x:v>-23000</x:v>
      </x:c>
      <x:c r="J24" s="6" t="n">
        <x:v>29000</x:v>
      </x:c>
      <x:c r="K24" s="6" t="n">
        <x:v>0</x:v>
      </x:c>
      <x:c r="L24" s="6" t="n">
        <x:v>7</x:v>
      </x:c>
      <x:c r="M24" s="6" t="n">
        <x:v>14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255000</x:v>
      </x:c>
      <x:c r="E25" s="6" t="n">
        <x:v>38000</x:v>
      </x:c>
      <x:c r="F25" s="6" t="n">
        <x:f>D25-E25</x:f>
        <x:v>217000</x:v>
      </x:c>
      <x:c r="G25" s="6" t="n">
        <x:f>G24+F25</x:f>
        <x:v>495000</x:v>
      </x:c>
      <x:c r="H25" s="6" t="n">
        <x:f>F25-'日経_D07'!F25</x:f>
        <x:v>-39000</x:v>
      </x:c>
      <x:c r="I25" s="6" t="n">
        <x:v>210000</x:v>
      </x:c>
      <x:c r="J25" s="6" t="n">
        <x:v>7000</x:v>
      </x:c>
      <x:c r="K25" s="6" t="n">
        <x:v>0</x:v>
      </x:c>
      <x:c r="L25" s="6" t="n">
        <x:v>12</x:v>
      </x:c>
      <x:c r="M25" s="6" t="n">
        <x:v>25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86000</x:v>
      </x:c>
      <x:c r="E26" s="6" t="n">
        <x:v>156000</x:v>
      </x:c>
      <x:c r="F26" s="6" t="n">
        <x:f>D26-E26</x:f>
        <x:v>-70000</x:v>
      </x:c>
      <x:c r="G26" s="6" t="n">
        <x:f>G25+F26</x:f>
        <x:v>425000</x:v>
      </x:c>
      <x:c r="H26" s="6" t="n">
        <x:f>F26-'日経_D07'!F26</x:f>
        <x:v>38000</x:v>
      </x:c>
      <x:c r="I26" s="6" t="n">
        <x:v>-69000</x:v>
      </x:c>
      <x:c r="J26" s="6" t="n">
        <x:v>-1000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14000</x:v>
      </x:c>
      <x:c r="E27" s="6" t="n">
        <x:v>64000</x:v>
      </x:c>
      <x:c r="F27" s="6" t="n">
        <x:f>D27-E27</x:f>
        <x:v>-50000</x:v>
      </x:c>
      <x:c r="G27" s="6" t="n">
        <x:f>G26+F27</x:f>
        <x:v>375000</x:v>
      </x:c>
      <x:c r="H27" s="6" t="n">
        <x:f>F27-'日経_D07'!F27</x:f>
        <x:v>-84000</x:v>
      </x:c>
      <x:c r="I27" s="6" t="n">
        <x:v>-48000</x:v>
      </x:c>
      <x:c r="J27" s="6" t="n">
        <x:v>-2000</x:v>
      </x:c>
      <x:c r="K27" s="6" t="n">
        <x:v>0</x:v>
      </x:c>
      <x:c r="L27" s="6" t="n">
        <x:v>6</x:v>
      </x:c>
      <x:c r="M27" s="6" t="n">
        <x:v>13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63000</x:v>
      </x:c>
      <x:c r="E28" s="6" t="n">
        <x:v>112000</x:v>
      </x:c>
      <x:c r="F28" s="6" t="n">
        <x:f>D28-E28</x:f>
        <x:v>-49000</x:v>
      </x:c>
      <x:c r="G28" s="6" t="n">
        <x:f>G27+F28</x:f>
        <x:v>326000</x:v>
      </x:c>
      <x:c r="H28" s="6" t="n">
        <x:f>F28-'日経_D07'!F28</x:f>
        <x:v>-4000</x:v>
      </x:c>
      <x:c r="I28" s="6" t="n">
        <x:v>-42000</x:v>
      </x:c>
      <x:c r="J28" s="6" t="n">
        <x:v>-7000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7000</x:v>
      </x:c>
      <x:c r="E29" s="6" t="n">
        <x:v>43000</x:v>
      </x:c>
      <x:c r="F29" s="6" t="n">
        <x:f>D29-E29</x:f>
        <x:v>-36000</x:v>
      </x:c>
      <x:c r="G29" s="6" t="n">
        <x:f>G28+F29</x:f>
        <x:v>290000</x:v>
      </x:c>
      <x:c r="H29" s="6" t="n">
        <x:f>F29-'日経_D07'!F29</x:f>
        <x:v>-26000</x:v>
      </x:c>
      <x:c r="I29" s="6" t="n">
        <x:v>-37000</x:v>
      </x:c>
      <x:c r="J29" s="6" t="n">
        <x:v>1000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138000</x:v>
      </x:c>
      <x:c r="E30" s="6" t="n">
        <x:v>46000</x:v>
      </x:c>
      <x:c r="F30" s="6" t="n">
        <x:f>D30-E30</x:f>
        <x:v>92000</x:v>
      </x:c>
      <x:c r="G30" s="6" t="n">
        <x:f>G29+F30</x:f>
        <x:v>382000</x:v>
      </x:c>
      <x:c r="H30" s="6" t="n">
        <x:f>F30-'日経_D07'!F30</x:f>
        <x:v>-29000</x:v>
      </x:c>
      <x:c r="I30" s="6" t="n">
        <x:v>84000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339000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133000</x:v>
      </x:c>
      <x:c r="E32" s="6" t="n">
        <x:v>118000</x:v>
      </x:c>
      <x:c r="F32" s="6" t="n">
        <x:f>D32-E32</x:f>
        <x:v>15000</x:v>
      </x:c>
      <x:c r="G32" s="6" t="n">
        <x:f>G31+F32</x:f>
        <x:v>354000</x:v>
      </x:c>
      <x:c r="H32" s="6" t="n">
        <x:f>F32-'日経_D07'!F32</x:f>
        <x:v>12000</x:v>
      </x:c>
      <x:c r="I32" s="6" t="n">
        <x:v>14000</x:v>
      </x:c>
      <x:c r="J32" s="6" t="n">
        <x:v>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172000</x:v>
      </x:c>
      <x:c r="E33" s="6" t="n">
        <x:v>16000</x:v>
      </x:c>
      <x:c r="F33" s="6" t="n">
        <x:f>D33-E33</x:f>
        <x:v>156000</x:v>
      </x:c>
      <x:c r="G33" s="6" t="n">
        <x:f>G32+F33</x:f>
        <x:v>510000</x:v>
      </x:c>
      <x:c r="H33" s="6" t="n">
        <x:f>F33-'日経_D07'!F33</x:f>
        <x:v>-155000</x:v>
      </x:c>
      <x:c r="I33" s="6" t="n">
        <x:v>175000</x:v>
      </x:c>
      <x:c r="J33" s="6" t="n">
        <x:v>-19000</x:v>
      </x:c>
      <x:c r="K33" s="6" t="n">
        <x:v>0</x:v>
      </x:c>
      <x:c r="L33" s="6" t="n">
        <x:v>16</x:v>
      </x:c>
      <x:c r="M33" s="6" t="n">
        <x:v>29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160000</x:v>
      </x:c>
      <x:c r="E34" s="6" t="n">
        <x:v>38000</x:v>
      </x:c>
      <x:c r="F34" s="6" t="n">
        <x:f>D34-E34</x:f>
        <x:v>122000</x:v>
      </x:c>
      <x:c r="G34" s="6" t="n">
        <x:f>G33+F34</x:f>
        <x:v>632000</x:v>
      </x:c>
      <x:c r="H34" s="6" t="n">
        <x:f>F34-'日経_D07'!F34</x:f>
        <x:v>79000</x:v>
      </x:c>
      <x:c r="I34" s="6" t="n">
        <x:v>121000</x:v>
      </x:c>
      <x:c r="J34" s="6" t="n">
        <x:v>1000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646000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35000</x:v>
      </x:c>
      <x:c r="E36" s="6" t="n">
        <x:v>53000</x:v>
      </x:c>
      <x:c r="F36" s="6" t="n">
        <x:f>D36-E36</x:f>
        <x:v>-18000</x:v>
      </x:c>
      <x:c r="G36" s="6" t="n">
        <x:f>G35+F36</x:f>
        <x:v>628000</x:v>
      </x:c>
      <x:c r="H36" s="6" t="n">
        <x:f>F36-'日経_D07'!F36</x:f>
        <x:v>-26000</x:v>
      </x:c>
      <x:c r="I36" s="6" t="n">
        <x:v>-18000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710000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157000</x:v>
      </x:c>
      <x:c r="E38" s="6" t="n">
        <x:v>169000</x:v>
      </x:c>
      <x:c r="F38" s="6" t="n">
        <x:f>D38-E38</x:f>
        <x:v>-12000</x:v>
      </x:c>
      <x:c r="G38" s="6" t="n">
        <x:f>G37+F38</x:f>
        <x:v>698000</x:v>
      </x:c>
      <x:c r="H38" s="6" t="n">
        <x:f>F38-'日経_D07'!F38</x:f>
        <x:v>-23000</x:v>
      </x:c>
      <x:c r="I38" s="6" t="n">
        <x:v>4000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645000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165000</x:v>
      </x:c>
      <x:c r="E40" s="6" t="n">
        <x:v>48000</x:v>
      </x:c>
      <x:c r="F40" s="6" t="n">
        <x:f>D40-E40</x:f>
        <x:v>117000</x:v>
      </x:c>
      <x:c r="G40" s="6" t="n">
        <x:f>G39+F40</x:f>
        <x:v>762000</x:v>
      </x:c>
      <x:c r="H40" s="6" t="n">
        <x:f>F40-'日経_D07'!F40</x:f>
        <x:v>16000</x:v>
      </x:c>
      <x:c r="I40" s="6" t="n">
        <x:v>136000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205000</x:v>
      </x:c>
      <x:c r="E41" s="6" t="n">
        <x:v>40000</x:v>
      </x:c>
      <x:c r="F41" s="6" t="n">
        <x:f>D41-E41</x:f>
        <x:v>165000</x:v>
      </x:c>
      <x:c r="G41" s="6" t="n">
        <x:f>G40+F41</x:f>
        <x:v>927000</x:v>
      </x:c>
      <x:c r="H41" s="6" t="n">
        <x:f>F41-'日経_D07'!F41</x:f>
        <x:v>29000</x:v>
      </x:c>
      <x:c r="I41" s="6" t="n">
        <x:v>165000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477000</x:v>
      </x:c>
      <x:c r="E42" s="6" t="n">
        <x:v>66000</x:v>
      </x:c>
      <x:c r="F42" s="6" t="n">
        <x:f>D42-E42</x:f>
        <x:v>411000</x:v>
      </x:c>
      <x:c r="G42" s="6" t="n">
        <x:f>G41+F42</x:f>
        <x:v>1338000</x:v>
      </x:c>
      <x:c r="H42" s="6" t="n">
        <x:f>F42-'日経_D07'!F42</x:f>
        <x:v>20000</x:v>
      </x:c>
      <x:c r="I42" s="6" t="n">
        <x:v>390000</x:v>
      </x:c>
      <x:c r="J42" s="6" t="n">
        <x:v>21000</x:v>
      </x:c>
      <x:c r="K42" s="6" t="n">
        <x:v>0</x:v>
      </x:c>
      <x:c r="L42" s="6" t="n">
        <x:v>6</x:v>
      </x:c>
      <x:c r="M42" s="6" t="n">
        <x:v>13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52000</x:v>
      </x:c>
      <x:c r="E43" s="6" t="n">
        <x:v>53000</x:v>
      </x:c>
      <x:c r="F43" s="6" t="n">
        <x:f>D43-E43</x:f>
        <x:v>-1000</x:v>
      </x:c>
      <x:c r="G43" s="6" t="n">
        <x:f>G42+F43</x:f>
        <x:v>1337000</x:v>
      </x:c>
      <x:c r="H43" s="6" t="n">
        <x:f>F43-'日経_D07'!F43</x:f>
        <x:v>-23000</x:v>
      </x:c>
      <x:c r="I43" s="6" t="n">
        <x:v>-16000</x:v>
      </x:c>
      <x:c r="J43" s="6" t="n">
        <x:v>15000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149000</x:v>
      </x:c>
      <x:c r="E44" s="6" t="n">
        <x:v>227000</x:v>
      </x:c>
      <x:c r="F44" s="6" t="n">
        <x:f>D44-E44</x:f>
        <x:v>-78000</x:v>
      </x:c>
      <x:c r="G44" s="6" t="n">
        <x:f>G43+F44</x:f>
        <x:v>1259000</x:v>
      </x:c>
      <x:c r="H44" s="6" t="n">
        <x:f>F44-'日経_D07'!F44</x:f>
        <x:v>43000</x:v>
      </x:c>
      <x:c r="I44" s="6" t="n">
        <x:v>-61000</x:v>
      </x:c>
      <x:c r="J44" s="6" t="n">
        <x:v>-17000</x:v>
      </x:c>
      <x:c r="K44" s="6" t="n">
        <x:v>0</x:v>
      </x:c>
      <x:c r="L44" s="6" t="n">
        <x:v>13</x:v>
      </x:c>
      <x:c r="M44" s="6" t="n">
        <x:v>42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130000</x:v>
      </x:c>
      <x:c r="E45" s="6" t="n">
        <x:v>102000</x:v>
      </x:c>
      <x:c r="F45" s="6" t="n">
        <x:f>D45-E45</x:f>
        <x:v>28000</x:v>
      </x:c>
      <x:c r="G45" s="6" t="n">
        <x:f>G44+F45</x:f>
        <x:v>1287000</x:v>
      </x:c>
      <x:c r="H45" s="6" t="n">
        <x:f>F45-'日経_D07'!F45</x:f>
        <x:v>-4000</x:v>
      </x:c>
      <x:c r="I45" s="6" t="n">
        <x:v>32000</x:v>
      </x:c>
      <x:c r="J45" s="6" t="n">
        <x:v>-4000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398000</x:v>
      </x:c>
      <x:c r="E46" s="6" t="n">
        <x:v>0</x:v>
      </x:c>
      <x:c r="F46" s="6" t="n">
        <x:f>D46-E46</x:f>
        <x:v>398000</x:v>
      </x:c>
      <x:c r="G46" s="6" t="n">
        <x:f>G45+F46</x:f>
        <x:v>1685000</x:v>
      </x:c>
      <x:c r="H46" s="6" t="n">
        <x:f>F46-'日経_D07'!F46</x:f>
        <x:v>0</x:v>
      </x:c>
      <x:c r="I46" s="6" t="n">
        <x:v>394000</x:v>
      </x:c>
      <x:c r="J46" s="6" t="n">
        <x:v>4000</x:v>
      </x:c>
      <x:c r="K46" s="6" t="n">
        <x:v>0</x:v>
      </x:c>
      <x:c r="L46" s="6" t="n">
        <x:v>4</x:v>
      </x:c>
      <x:c r="M46" s="6" t="n">
        <x:v>10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90000</x:v>
      </x:c>
      <x:c r="E47" s="6" t="n">
        <x:v>86000</x:v>
      </x:c>
      <x:c r="F47" s="6" t="n">
        <x:f>D47-E47</x:f>
        <x:v>4000</x:v>
      </x:c>
      <x:c r="G47" s="6" t="n">
        <x:f>G46+F47</x:f>
        <x:v>1689000</x:v>
      </x:c>
      <x:c r="H47" s="6" t="n">
        <x:f>F47-'日経_D07'!F47</x:f>
        <x:v>12000</x:v>
      </x:c>
      <x:c r="I47" s="6" t="n">
        <x:v>23000</x:v>
      </x:c>
      <x:c r="J47" s="6" t="n">
        <x:v>-19000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245000</x:v>
      </x:c>
      <x:c r="E48" s="6" t="n">
        <x:v>206000</x:v>
      </x:c>
      <x:c r="F48" s="6" t="n">
        <x:f>D48-E48</x:f>
        <x:v>39000</x:v>
      </x:c>
      <x:c r="G48" s="6" t="n">
        <x:f>G47+F48</x:f>
        <x:v>1728000</x:v>
      </x:c>
      <x:c r="H48" s="6" t="n">
        <x:f>F48-'日経_D07'!F48</x:f>
        <x:v>63000</x:v>
      </x:c>
      <x:c r="I48" s="6" t="n">
        <x:v>18000</x:v>
      </x:c>
      <x:c r="J48" s="6" t="n">
        <x:v>21000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70000</x:v>
      </x:c>
      <x:c r="E49" s="6" t="n">
        <x:v>0</x:v>
      </x:c>
      <x:c r="F49" s="6" t="n">
        <x:f>D49-E49</x:f>
        <x:v>70000</x:v>
      </x:c>
      <x:c r="G49" s="6" t="n">
        <x:f>G48+F49</x:f>
        <x:v>1798000</x:v>
      </x:c>
      <x:c r="H49" s="6" t="n">
        <x:f>F49-'日経_D07'!F49</x:f>
        <x:v>-30000</x:v>
      </x:c>
      <x:c r="I49" s="6" t="n">
        <x:v>71000</x:v>
      </x:c>
      <x:c r="J49" s="6" t="n">
        <x:v>-1000</x:v>
      </x:c>
      <x:c r="K49" s="6" t="n">
        <x:v>0</x:v>
      </x:c>
      <x:c r="L49" s="6" t="n">
        <x:v>8</x:v>
      </x:c>
      <x:c r="M49" s="6" t="n">
        <x:v>11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40000</x:v>
      </x:c>
      <x:c r="E50" s="6" t="n">
        <x:v>193000</x:v>
      </x:c>
      <x:c r="F50" s="6" t="n">
        <x:f>D50-E50</x:f>
        <x:v>-153000</x:v>
      </x:c>
      <x:c r="G50" s="6" t="n">
        <x:f>G49+F50</x:f>
        <x:v>1645000</x:v>
      </x:c>
      <x:c r="H50" s="6" t="n">
        <x:f>F50-'日経_D07'!F50</x:f>
        <x:v>-33000</x:v>
      </x:c>
      <x:c r="I50" s="6" t="n">
        <x:v>-144000</x:v>
      </x:c>
      <x:c r="J50" s="6" t="n">
        <x:v>-9000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45000</x:v>
      </x:c>
      <x:c r="E51" s="6" t="n">
        <x:v>85000</x:v>
      </x:c>
      <x:c r="F51" s="6" t="n">
        <x:f>D51-E51</x:f>
        <x:v>-40000</x:v>
      </x:c>
      <x:c r="G51" s="6" t="n">
        <x:f>G50+F51</x:f>
        <x:v>1605000</x:v>
      </x:c>
      <x:c r="H51" s="6" t="n">
        <x:f>F51-'日経_D07'!F51</x:f>
        <x:v>-16000</x:v>
      </x:c>
      <x:c r="I51" s="6" t="n">
        <x:v>-40000</x:v>
      </x:c>
      <x:c r="J51" s="6" t="n">
        <x:v>0</x:v>
      </x:c>
      <x:c r="K51" s="6" t="n">
        <x:v>0</x:v>
      </x:c>
      <x:c r="L51" s="6" t="n">
        <x:v>4</x:v>
      </x:c>
      <x:c r="M51" s="6" t="n">
        <x:v>16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98000</x:v>
      </x:c>
      <x:c r="E52" s="6" t="n">
        <x:v>0</x:v>
      </x:c>
      <x:c r="F52" s="6" t="n">
        <x:f>D52-E52</x:f>
        <x:v>98000</x:v>
      </x:c>
      <x:c r="G52" s="6" t="n">
        <x:f>G51+F52</x:f>
        <x:v>1703000</x:v>
      </x:c>
      <x:c r="H52" s="6" t="n">
        <x:f>F52-'日経_D07'!F52</x:f>
        <x:v>-603000</x:v>
      </x:c>
      <x:c r="I52" s="6" t="n">
        <x:v>106000</x:v>
      </x:c>
      <x:c r="J52" s="6" t="n">
        <x:v>-8000</x:v>
      </x:c>
      <x:c r="K52" s="6" t="n">
        <x:v>0</x:v>
      </x:c>
      <x:c r="L52" s="6" t="n">
        <x:v>3</x:v>
      </x:c>
      <x:c r="M52" s="6" t="n">
        <x:v>8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1859000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101000</x:v>
      </x:c>
      <x:c r="E54" s="6" t="n">
        <x:v>89000</x:v>
      </x:c>
      <x:c r="F54" s="6" t="n">
        <x:f>D54-E54</x:f>
        <x:v>12000</x:v>
      </x:c>
      <x:c r="G54" s="6" t="n">
        <x:f>G53+F54</x:f>
        <x:v>1871000</x:v>
      </x:c>
      <x:c r="H54" s="6" t="n">
        <x:f>F54-'日経_D07'!F54</x:f>
        <x:v>-118000</x:v>
      </x:c>
      <x:c r="I54" s="6" t="n">
        <x:v>51000</x:v>
      </x:c>
      <x:c r="J54" s="6" t="n">
        <x:v>-39000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56000</x:v>
      </x:c>
      <x:c r="E55" s="6" t="n">
        <x:v>46000</x:v>
      </x:c>
      <x:c r="F55" s="6" t="n">
        <x:f>D55-E55</x:f>
        <x:v>10000</x:v>
      </x:c>
      <x:c r="G55" s="6" t="n">
        <x:f>G54+F55</x:f>
        <x:v>1881000</x:v>
      </x:c>
      <x:c r="H55" s="6" t="n">
        <x:f>F55-'日経_D07'!F55</x:f>
        <x:v>23000</x:v>
      </x:c>
      <x:c r="I55" s="6" t="n">
        <x:v>28000</x:v>
      </x:c>
      <x:c r="J55" s="6" t="n">
        <x:v>-18000</x:v>
      </x:c>
      <x:c r="K55" s="6" t="n">
        <x:v>0</x:v>
      </x:c>
      <x:c r="L55" s="6" t="n">
        <x:v>9</x:v>
      </x:c>
      <x:c r="M55" s="6" t="n">
        <x:v>14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65000</x:v>
      </x:c>
      <x:c r="E56" s="6" t="n">
        <x:v>190000</x:v>
      </x:c>
      <x:c r="F56" s="6" t="n">
        <x:f>D56-E56</x:f>
        <x:v>-125000</x:v>
      </x:c>
      <x:c r="G56" s="6" t="n">
        <x:f>G55+F56</x:f>
        <x:v>1756000</x:v>
      </x:c>
      <x:c r="H56" s="6" t="n">
        <x:f>F56-'日経_D07'!F56</x:f>
        <x:v>-134000</x:v>
      </x:c>
      <x:c r="I56" s="6" t="n">
        <x:v>-110000</x:v>
      </x:c>
      <x:c r="J56" s="6" t="n">
        <x:v>-15000</x:v>
      </x:c>
      <x:c r="K56" s="6" t="n">
        <x:v>0</x:v>
      </x:c>
      <x:c r="L56" s="6" t="n">
        <x:v>6</x:v>
      </x:c>
      <x:c r="M56" s="6" t="n">
        <x:v>20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5126000</x:v>
      </x:c>
      <x:c r="E57" s="14" t="n">
        <x:f>SUM(E6:E56)</x:f>
        <x:v>3370000</x:v>
      </x:c>
      <x:c r="F57" s="14" t="n">
        <x:f>D57-E57</x:f>
        <x:v>1756000</x:v>
      </x:c>
      <x:c r="G57" s="14" t="n">
        <x:f>G56</x:f>
        <x:v>1756000</x:v>
      </x:c>
      <x:c r="H57" s="14" t="n">
        <x:f>SUM(H6:H56)</x:f>
        <x:v>-1303000</x:v>
      </x:c>
      <x:c r="I57" s="14" t="n">
        <x:f>SUM(I6:I56)</x:f>
        <x:v>1928000</x:v>
      </x:c>
      <x:c r="J57" s="14" t="n">
        <x:f>SUM(J6:J56)</x:f>
        <x:v>-172000</x:v>
      </x:c>
      <x:c r="K57" s="14" t="n">
        <x:f>SUM(K6:K56)</x:f>
        <x:v>0</x:v>
      </x:c>
      <x:c r="L57" s="14" t="n">
        <x:f>SUM(L6:L56)</x:f>
        <x:v>347</x:v>
      </x:c>
      <x:c r="M57" s="14" t="n">
        <x:f>SUM(M6:M56)</x:f>
        <x:v>827</x:v>
      </x:c>
    </x:row>
  </x:sheetData>
  <x:conditionalFormatting sqref="F6:K56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88360794264c21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J01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早い同方向玉が1R進んだ昼主担当だけ初回1枚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128000</x:v>
      </x:c>
      <x:c r="E12" s="6" t="n">
        <x:v>60000</x:v>
      </x:c>
      <x:c r="F12" s="6" t="n">
        <x:f>D12-E12</x:f>
        <x:v>68000</x:v>
      </x:c>
      <x:c r="G12" s="6" t="n">
        <x:f>G11+F12</x:f>
        <x:v>21000</x:v>
      </x:c>
      <x:c r="H12" s="6" t="n">
        <x:f>F12-'日経_D07'!F12</x:f>
        <x:v>0</x:v>
      </x:c>
      <x:c r="I12" s="6" t="n">
        <x:v>44000</x:v>
      </x:c>
      <x:c r="J12" s="6" t="n">
        <x:v>24000</x:v>
      </x:c>
      <x:c r="K12" s="6" t="n">
        <x:v>0</x:v>
      </x:c>
      <x:c r="L12" s="6" t="n">
        <x:v>9</x:v>
      </x:c>
      <x:c r="M12" s="6" t="n">
        <x:v>20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41000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134000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135000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105000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85000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155000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220000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330000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373000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469000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578000</x:v>
      </x:c>
      <x:c r="H23" s="6" t="n">
        <x:f>F23-'日経_D07'!F23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73000</x:v>
      </x:c>
      <x:c r="F24" s="6" t="n">
        <x:f>D24-E24</x:f>
        <x:v>-9000</x:v>
      </x:c>
      <x:c r="G24" s="6" t="n">
        <x:f>G23+F24</x:f>
        <x:v>569000</x:v>
      </x:c>
      <x:c r="H24" s="6" t="n">
        <x:f>F24-'日経_D07'!F24</x:f>
        <x:v>0</x:v>
      </x:c>
      <x:c r="I24" s="6" t="n">
        <x:v>-45000</x:v>
      </x:c>
      <x:c r="J24" s="6" t="n">
        <x:v>36000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825000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48000</x:v>
      </x:c>
      <x:c r="E26" s="6" t="n">
        <x:v>156000</x:v>
      </x:c>
      <x:c r="F26" s="6" t="n">
        <x:f>D26-E26</x:f>
        <x:v>-108000</x:v>
      </x:c>
      <x:c r="G26" s="6" t="n">
        <x:f>G25+F26</x:f>
        <x:v>717000</x:v>
      </x:c>
      <x:c r="H26" s="6" t="n">
        <x:f>F26-'日経_D07'!F26</x:f>
        <x:v>0</x:v>
      </x:c>
      <x:c r="I26" s="6" t="n">
        <x:v>-97000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751000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115000</x:v>
      </x:c>
      <x:c r="E28" s="6" t="n">
        <x:v>160000</x:v>
      </x:c>
      <x:c r="F28" s="6" t="n">
        <x:f>D28-E28</x:f>
        <x:v>-45000</x:v>
      </x:c>
      <x:c r="G28" s="6" t="n">
        <x:f>G27+F28</x:f>
        <x:v>706000</x:v>
      </x:c>
      <x:c r="H28" s="6" t="n">
        <x:f>F28-'日経_D07'!F28</x:f>
        <x:v>0</x:v>
      </x:c>
      <x:c r="I28" s="6" t="n">
        <x:v>-36000</x:v>
      </x:c>
      <x:c r="J28" s="6" t="n">
        <x:v>-9000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696000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817000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774000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118000</x:v>
      </x:c>
      <x:c r="F32" s="6" t="n">
        <x:f>D32-E32</x:f>
        <x:v>3000</x:v>
      </x:c>
      <x:c r="G32" s="6" t="n">
        <x:f>G31+F32</x:f>
        <x:v>777000</x:v>
      </x:c>
      <x:c r="H32" s="6" t="n">
        <x:f>F32-'日経_D07'!F32</x:f>
        <x:v>0</x:v>
      </x:c>
      <x:c r="I32" s="6" t="n">
        <x:v>4000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1088000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1131000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1145000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1153000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1235000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1246000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1193000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1294000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1430000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265000</x:v>
      </x:c>
      <x:c r="E42" s="6" t="n">
        <x:v>66000</x:v>
      </x:c>
      <x:c r="F42" s="6" t="n">
        <x:f>D42-E42</x:f>
        <x:v>199000</x:v>
      </x:c>
      <x:c r="G42" s="6" t="n">
        <x:f>G41+F42</x:f>
        <x:v>1629000</x:v>
      </x:c>
      <x:c r="H42" s="6" t="n">
        <x:f>F42-'日経_D07'!F42</x:f>
        <x:v>-192000</x:v>
      </x:c>
      <x:c r="I42" s="6" t="n">
        <x:v>178000</x:v>
      </x:c>
      <x:c r="J42" s="6" t="n">
        <x:v>21000</x:v>
      </x:c>
      <x:c r="K42" s="6" t="n">
        <x:v>0</x:v>
      </x:c>
      <x:c r="L42" s="6" t="n">
        <x:v>6</x:v>
      </x:c>
      <x:c r="M42" s="6" t="n">
        <x:v>9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1651000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123000</x:v>
      </x:c>
      <x:c r="E44" s="6" t="n">
        <x:v>244000</x:v>
      </x:c>
      <x:c r="F44" s="6" t="n">
        <x:f>D44-E44</x:f>
        <x:v>-121000</x:v>
      </x:c>
      <x:c r="G44" s="6" t="n">
        <x:f>G43+F44</x:f>
        <x:v>1530000</x:v>
      </x:c>
      <x:c r="H44" s="6" t="n">
        <x:f>F44-'日経_D07'!F44</x:f>
        <x:v>0</x:v>
      </x:c>
      <x:c r="I44" s="6" t="n">
        <x:v>-101000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1562000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250000</x:v>
      </x:c>
      <x:c r="E46" s="6" t="n">
        <x:v>0</x:v>
      </x:c>
      <x:c r="F46" s="6" t="n">
        <x:f>D46-E46</x:f>
        <x:v>250000</x:v>
      </x:c>
      <x:c r="G46" s="6" t="n">
        <x:f>G45+F46</x:f>
        <x:v>1812000</x:v>
      </x:c>
      <x:c r="H46" s="6" t="n">
        <x:f>F46-'日経_D07'!F46</x:f>
        <x:v>-148000</x:v>
      </x:c>
      <x:c r="I46" s="6" t="n">
        <x:v>246000</x:v>
      </x:c>
      <x:c r="J46" s="6" t="n">
        <x:v>4000</x:v>
      </x:c>
      <x:c r="K46" s="6" t="n">
        <x:v>0</x:v>
      </x:c>
      <x:c r="L46" s="6" t="n">
        <x:v>4</x:v>
      </x:c>
      <x:c r="M46" s="6" t="n">
        <x:v>6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1804000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182000</x:v>
      </x:c>
      <x:c r="E48" s="6" t="n">
        <x:v>206000</x:v>
      </x:c>
      <x:c r="F48" s="6" t="n">
        <x:f>D48-E48</x:f>
        <x:v>-24000</x:v>
      </x:c>
      <x:c r="G48" s="6" t="n">
        <x:f>G47+F48</x:f>
        <x:v>1780000</x:v>
      </x:c>
      <x:c r="H48" s="6" t="n">
        <x:f>F48-'日経_D07'!F48</x:f>
        <x:v>0</x:v>
      </x:c>
      <x:c r="I48" s="6" t="n">
        <x:v>-41000</x:v>
      </x:c>
      <x:c r="J48" s="6" t="n">
        <x:v>17000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1880000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1760000</x:v>
      </x:c>
      <x:c r="H50" s="6" t="n">
        <x:f>F50-'日経_D07'!F50</x:f>
        <x:v>0</x:v>
      </x:c>
      <x:c r="I50" s="6" t="n">
        <x:v>-112000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1736000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428000</x:v>
      </x:c>
      <x:c r="E52" s="6" t="n">
        <x:v>0</x:v>
      </x:c>
      <x:c r="F52" s="6" t="n">
        <x:f>D52-E52</x:f>
        <x:v>428000</x:v>
      </x:c>
      <x:c r="G52" s="6" t="n">
        <x:f>G51+F52</x:f>
        <x:v>2164000</x:v>
      </x:c>
      <x:c r="H52" s="6" t="n">
        <x:f>F52-'日経_D07'!F52</x:f>
        <x:v>-273000</x:v>
      </x:c>
      <x:c r="I52" s="6" t="n">
        <x:v>297000</x:v>
      </x:c>
      <x:c r="J52" s="6" t="n">
        <x:v>131000</x:v>
      </x:c>
      <x:c r="K52" s="6" t="n">
        <x:v>0</x:v>
      </x:c>
      <x:c r="L52" s="6" t="n">
        <x:v>3</x:v>
      </x:c>
      <x:c r="M52" s="6" t="n">
        <x:v>4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2320000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219000</x:v>
      </x:c>
      <x:c r="E54" s="6" t="n">
        <x:v>89000</x:v>
      </x:c>
      <x:c r="F54" s="6" t="n">
        <x:f>D54-E54</x:f>
        <x:v>130000</x:v>
      </x:c>
      <x:c r="G54" s="6" t="n">
        <x:f>G53+F54</x:f>
        <x:v>2450000</x:v>
      </x:c>
      <x:c r="H54" s="6" t="n">
        <x:f>F54-'日経_D07'!F54</x:f>
        <x:v>0</x:v>
      </x:c>
      <x:c r="I54" s="6" t="n">
        <x:v>171000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2437000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86000</x:v>
      </x:c>
      <x:c r="F56" s="6" t="n">
        <x:f>D56-E56</x:f>
        <x:v>113000</x:v>
      </x:c>
      <x:c r="G56" s="6" t="n">
        <x:f>G55+F56</x:f>
        <x:v>2550000</x:v>
      </x:c>
      <x:c r="H56" s="6" t="n">
        <x:f>F56-'日経_D07'!F56</x:f>
        <x:v>104000</x:v>
      </x:c>
      <x:c r="I56" s="6" t="n">
        <x:v>90000</x:v>
      </x:c>
      <x:c r="J56" s="6" t="n">
        <x:v>23000</x:v>
      </x:c>
      <x:c r="K56" s="6" t="n">
        <x:v>0</x:v>
      </x:c>
      <x:c r="L56" s="6" t="n">
        <x:v>7</x:v>
      </x:c>
      <x:c r="M56" s="6" t="n">
        <x:v>13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5991000</x:v>
      </x:c>
      <x:c r="E57" s="14" t="n">
        <x:f>SUM(E6:E56)</x:f>
        <x:v>3441000</x:v>
      </x:c>
      <x:c r="F57" s="14" t="n">
        <x:f>D57-E57</x:f>
        <x:v>2550000</x:v>
      </x:c>
      <x:c r="G57" s="14" t="n">
        <x:f>G56</x:f>
        <x:v>2550000</x:v>
      </x:c>
      <x:c r="H57" s="14" t="n">
        <x:f>SUM(H6:H56)</x:f>
        <x:v>-509000</x:v>
      </x:c>
      <x:c r="I57" s="14" t="n">
        <x:f>SUM(I6:I56)</x:f>
        <x:v>2472000</x:v>
      </x:c>
      <x:c r="J57" s="14" t="n">
        <x:f>SUM(J6:J56)</x:f>
        <x:v>78000</x:v>
      </x:c>
      <x:c r="K57" s="14" t="n">
        <x:f>SUM(K6:K56)</x:f>
        <x:v>0</x:v>
      </x:c>
      <x:c r="L57" s="14" t="n">
        <x:f>SUM(L6:L56)</x:f>
        <x:v>359</x:v>
      </x:c>
      <x:c r="M57" s="14" t="n">
        <x:f>SUM(M6:M56)</x:f>
        <x:v>815</x:v>
      </x:c>
    </x:row>
  </x:sheetData>
  <x:conditionalFormatting sqref="F6:K56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15581d513c4ef5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J02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J01の判定時だけ1枚から順行確認で段階追加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128000</x:v>
      </x:c>
      <x:c r="E12" s="6" t="n">
        <x:v>60000</x:v>
      </x:c>
      <x:c r="F12" s="6" t="n">
        <x:f>D12-E12</x:f>
        <x:v>68000</x:v>
      </x:c>
      <x:c r="G12" s="6" t="n">
        <x:f>G11+F12</x:f>
        <x:v>21000</x:v>
      </x:c>
      <x:c r="H12" s="6" t="n">
        <x:f>F12-'日経_D07'!F12</x:f>
        <x:v>0</x:v>
      </x:c>
      <x:c r="I12" s="6" t="n">
        <x:v>44000</x:v>
      </x:c>
      <x:c r="J12" s="6" t="n">
        <x:v>24000</x:v>
      </x:c>
      <x:c r="K12" s="6" t="n">
        <x:v>0</x:v>
      </x:c>
      <x:c r="L12" s="6" t="n">
        <x:v>9</x:v>
      </x:c>
      <x:c r="M12" s="6" t="n">
        <x:v>20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41000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141000</x:v>
      </x:c>
      <x:c r="E14" s="6" t="n">
        <x:v>48000</x:v>
      </x:c>
      <x:c r="F14" s="6" t="n">
        <x:f>D14-E14</x:f>
        <x:v>93000</x:v>
      </x:c>
      <x:c r="G14" s="6" t="n">
        <x:f>G13+F14</x:f>
        <x:v>134000</x:v>
      </x:c>
      <x:c r="H14" s="6" t="n">
        <x:f>F14-'日経_D07'!F14</x:f>
        <x:v>0</x:v>
      </x:c>
      <x:c r="I14" s="6" t="n">
        <x:v>87000</x:v>
      </x:c>
      <x:c r="J14" s="6" t="n">
        <x:v>6000</x:v>
      </x:c>
      <x:c r="K14" s="6" t="n">
        <x:v>0</x:v>
      </x:c>
      <x:c r="L14" s="6" t="n">
        <x:v>5</x:v>
      </x:c>
      <x:c r="M14" s="6" t="n">
        <x:v>12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135000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107000</x:v>
      </x:c>
      <x:c r="E16" s="6" t="n">
        <x:v>137000</x:v>
      </x:c>
      <x:c r="F16" s="6" t="n">
        <x:f>D16-E16</x:f>
        <x:v>-30000</x:v>
      </x:c>
      <x:c r="G16" s="6" t="n">
        <x:f>G15+F16</x:f>
        <x:v>105000</x:v>
      </x:c>
      <x:c r="H16" s="6" t="n">
        <x:f>F16-'日経_D07'!F16</x:f>
        <x:v>0</x:v>
      </x:c>
      <x:c r="I16" s="6" t="n">
        <x:v>-14000</x:v>
      </x:c>
      <x:c r="J16" s="6" t="n">
        <x:v>-16000</x:v>
      </x:c>
      <x:c r="K16" s="6" t="n">
        <x:v>0</x:v>
      </x:c>
      <x:c r="L16" s="6" t="n">
        <x:v>9</x:v>
      </x:c>
      <x:c r="M16" s="6" t="n">
        <x:v>22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85000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125000</x:v>
      </x:c>
      <x:c r="F18" s="6" t="n">
        <x:f>D18-E18</x:f>
        <x:v>70000</x:v>
      </x:c>
      <x:c r="G18" s="6" t="n">
        <x:f>G17+F18</x:f>
        <x:v>155000</x:v>
      </x:c>
      <x:c r="H18" s="6" t="n">
        <x:f>F18-'日経_D07'!F18</x:f>
        <x:v>0</x:v>
      </x:c>
      <x:c r="I18" s="6" t="n">
        <x:v>138000</x:v>
      </x:c>
      <x:c r="J18" s="6" t="n">
        <x:v>-68000</x:v>
      </x:c>
      <x:c r="K18" s="6" t="n">
        <x:v>0</x:v>
      </x:c>
      <x:c r="L18" s="6" t="n">
        <x:v>15</x:v>
      </x:c>
      <x:c r="M18" s="6" t="n">
        <x:v>30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220000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330000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373000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469000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578000</x:v>
      </x:c>
      <x:c r="H23" s="6" t="n">
        <x:f>F23-'日経_D07'!F23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64000</x:v>
      </x:c>
      <x:c r="E24" s="6" t="n">
        <x:v>73000</x:v>
      </x:c>
      <x:c r="F24" s="6" t="n">
        <x:f>D24-E24</x:f>
        <x:v>-9000</x:v>
      </x:c>
      <x:c r="G24" s="6" t="n">
        <x:f>G23+F24</x:f>
        <x:v>569000</x:v>
      </x:c>
      <x:c r="H24" s="6" t="n">
        <x:f>F24-'日経_D07'!F24</x:f>
        <x:v>0</x:v>
      </x:c>
      <x:c r="I24" s="6" t="n">
        <x:v>-45000</x:v>
      </x:c>
      <x:c r="J24" s="6" t="n">
        <x:v>36000</x:v>
      </x:c>
      <x:c r="K24" s="6" t="n">
        <x:v>0</x:v>
      </x:c>
      <x:c r="L24" s="6" t="n">
        <x:v>9</x:v>
      </x:c>
      <x:c r="M24" s="6" t="n">
        <x:v>16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825000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48000</x:v>
      </x:c>
      <x:c r="E26" s="6" t="n">
        <x:v>156000</x:v>
      </x:c>
      <x:c r="F26" s="6" t="n">
        <x:f>D26-E26</x:f>
        <x:v>-108000</x:v>
      </x:c>
      <x:c r="G26" s="6" t="n">
        <x:f>G25+F26</x:f>
        <x:v>717000</x:v>
      </x:c>
      <x:c r="H26" s="6" t="n">
        <x:f>F26-'日経_D07'!F26</x:f>
        <x:v>0</x:v>
      </x:c>
      <x:c r="I26" s="6" t="n">
        <x:v>-97000</x:v>
      </x:c>
      <x:c r="J26" s="6" t="n">
        <x:v>-11000</x:v>
      </x:c>
      <x:c r="K26" s="6" t="n">
        <x:v>0</x:v>
      </x:c>
      <x:c r="L26" s="6" t="n">
        <x:v>12</x:v>
      </x:c>
      <x:c r="M26" s="6" t="n">
        <x:v>36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751000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115000</x:v>
      </x:c>
      <x:c r="E28" s="6" t="n">
        <x:v>160000</x:v>
      </x:c>
      <x:c r="F28" s="6" t="n">
        <x:f>D28-E28</x:f>
        <x:v>-45000</x:v>
      </x:c>
      <x:c r="G28" s="6" t="n">
        <x:f>G27+F28</x:f>
        <x:v>706000</x:v>
      </x:c>
      <x:c r="H28" s="6" t="n">
        <x:f>F28-'日経_D07'!F28</x:f>
        <x:v>0</x:v>
      </x:c>
      <x:c r="I28" s="6" t="n">
        <x:v>-36000</x:v>
      </x:c>
      <x:c r="J28" s="6" t="n">
        <x:v>-9000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696000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167000</x:v>
      </x:c>
      <x:c r="E30" s="6" t="n">
        <x:v>46000</x:v>
      </x:c>
      <x:c r="F30" s="6" t="n">
        <x:f>D30-E30</x:f>
        <x:v>121000</x:v>
      </x:c>
      <x:c r="G30" s="6" t="n">
        <x:f>G29+F30</x:f>
        <x:v>817000</x:v>
      </x:c>
      <x:c r="H30" s="6" t="n">
        <x:f>F30-'日経_D07'!F30</x:f>
        <x:v>0</x:v>
      </x:c>
      <x:c r="I30" s="6" t="n">
        <x:v>113000</x:v>
      </x:c>
      <x:c r="J30" s="6" t="n">
        <x:v>8000</x:v>
      </x:c>
      <x:c r="K30" s="6" t="n">
        <x:v>0</x:v>
      </x:c>
      <x:c r="L30" s="6" t="n">
        <x:v>7</x:v>
      </x:c>
      <x:c r="M30" s="6" t="n">
        <x:v>18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774000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118000</x:v>
      </x:c>
      <x:c r="F32" s="6" t="n">
        <x:f>D32-E32</x:f>
        <x:v>3000</x:v>
      </x:c>
      <x:c r="G32" s="6" t="n">
        <x:f>G31+F32</x:f>
        <x:v>777000</x:v>
      </x:c>
      <x:c r="H32" s="6" t="n">
        <x:f>F32-'日経_D07'!F32</x:f>
        <x:v>0</x:v>
      </x:c>
      <x:c r="I32" s="6" t="n">
        <x:v>4000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1088000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111000</x:v>
      </x:c>
      <x:c r="E34" s="6" t="n">
        <x:v>68000</x:v>
      </x:c>
      <x:c r="F34" s="6" t="n">
        <x:f>D34-E34</x:f>
        <x:v>43000</x:v>
      </x:c>
      <x:c r="G34" s="6" t="n">
        <x:f>G33+F34</x:f>
        <x:v>1131000</x:v>
      </x:c>
      <x:c r="H34" s="6" t="n">
        <x:f>F34-'日経_D07'!F34</x:f>
        <x:v>0</x:v>
      </x:c>
      <x:c r="I34" s="6" t="n">
        <x:v>58000</x:v>
      </x:c>
      <x:c r="J34" s="6" t="n">
        <x:v>-15000</x:v>
      </x:c>
      <x:c r="K34" s="6" t="n">
        <x:v>0</x:v>
      </x:c>
      <x:c r="L34" s="6" t="n">
        <x:v>9</x:v>
      </x:c>
      <x:c r="M34" s="6" t="n">
        <x:v>18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1145000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1153000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1235000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180000</x:v>
      </x:c>
      <x:c r="E38" s="6" t="n">
        <x:v>169000</x:v>
      </x:c>
      <x:c r="F38" s="6" t="n">
        <x:f>D38-E38</x:f>
        <x:v>11000</x:v>
      </x:c>
      <x:c r="G38" s="6" t="n">
        <x:f>G37+F38</x:f>
        <x:v>1246000</x:v>
      </x:c>
      <x:c r="H38" s="6" t="n">
        <x:f>F38-'日経_D07'!F38</x:f>
        <x:v>0</x:v>
      </x:c>
      <x:c r="I38" s="6" t="n">
        <x:v>27000</x:v>
      </x:c>
      <x:c r="J38" s="6" t="n">
        <x:v>-16000</x:v>
      </x:c>
      <x:c r="K38" s="6" t="n">
        <x:v>0</x:v>
      </x:c>
      <x:c r="L38" s="6" t="n">
        <x:v>15</x:v>
      </x:c>
      <x:c r="M38" s="6" t="n">
        <x:v>36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1193000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48000</x:v>
      </x:c>
      <x:c r="F40" s="6" t="n">
        <x:f>D40-E40</x:f>
        <x:v>101000</x:v>
      </x:c>
      <x:c r="G40" s="6" t="n">
        <x:f>G39+F40</x:f>
        <x:v>1294000</x:v>
      </x:c>
      <x:c r="H40" s="6" t="n">
        <x:f>F40-'日経_D07'!F40</x:f>
        <x:v>0</x:v>
      </x:c>
      <x:c r="I40" s="6" t="n">
        <x:v>120000</x:v>
      </x:c>
      <x:c r="J40" s="6" t="n">
        <x:v>-19000</x:v>
      </x:c>
      <x:c r="K40" s="6" t="n">
        <x:v>0</x:v>
      </x:c>
      <x:c r="L40" s="6" t="n">
        <x:v>5</x:v>
      </x:c>
      <x:c r="M40" s="6" t="n">
        <x:v>18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1430000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218000</x:v>
      </x:c>
      <x:c r="E42" s="6" t="n">
        <x:v>66000</x:v>
      </x:c>
      <x:c r="F42" s="6" t="n">
        <x:f>D42-E42</x:f>
        <x:v>152000</x:v>
      </x:c>
      <x:c r="G42" s="6" t="n">
        <x:f>G41+F42</x:f>
        <x:v>1582000</x:v>
      </x:c>
      <x:c r="H42" s="6" t="n">
        <x:f>F42-'日経_D07'!F42</x:f>
        <x:v>-239000</x:v>
      </x:c>
      <x:c r="I42" s="6" t="n">
        <x:v>120000</x:v>
      </x:c>
      <x:c r="J42" s="6" t="n">
        <x:v>32000</x:v>
      </x:c>
      <x:c r="K42" s="6" t="n">
        <x:v>0</x:v>
      </x:c>
      <x:c r="L42" s="6" t="n">
        <x:v>8</x:v>
      </x:c>
      <x:c r="M42" s="6" t="n">
        <x:v>11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1604000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123000</x:v>
      </x:c>
      <x:c r="E44" s="6" t="n">
        <x:v>244000</x:v>
      </x:c>
      <x:c r="F44" s="6" t="n">
        <x:f>D44-E44</x:f>
        <x:v>-121000</x:v>
      </x:c>
      <x:c r="G44" s="6" t="n">
        <x:f>G43+F44</x:f>
        <x:v>1483000</x:v>
      </x:c>
      <x:c r="H44" s="6" t="n">
        <x:f>F44-'日経_D07'!F44</x:f>
        <x:v>0</x:v>
      </x:c>
      <x:c r="I44" s="6" t="n">
        <x:v>-101000</x:v>
      </x:c>
      <x:c r="J44" s="6" t="n">
        <x:v>-20000</x:v>
      </x:c>
      <x:c r="K44" s="6" t="n">
        <x:v>0</x:v>
      </x:c>
      <x:c r="L44" s="6" t="n">
        <x:v>14</x:v>
      </x:c>
      <x:c r="M44" s="6" t="n">
        <x:v>43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1515000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278000</x:v>
      </x:c>
      <x:c r="E46" s="6" t="n">
        <x:v>0</x:v>
      </x:c>
      <x:c r="F46" s="6" t="n">
        <x:f>D46-E46</x:f>
        <x:v>278000</x:v>
      </x:c>
      <x:c r="G46" s="6" t="n">
        <x:f>G45+F46</x:f>
        <x:v>1793000</x:v>
      </x:c>
      <x:c r="H46" s="6" t="n">
        <x:f>F46-'日経_D07'!F46</x:f>
        <x:v>-120000</x:v>
      </x:c>
      <x:c r="I46" s="6" t="n">
        <x:v>250000</x:v>
      </x:c>
      <x:c r="J46" s="6" t="n">
        <x:v>28000</x:v>
      </x:c>
      <x:c r="K46" s="6" t="n">
        <x:v>0</x:v>
      </x:c>
      <x:c r="L46" s="6" t="n">
        <x:v>7</x:v>
      </x:c>
      <x:c r="M46" s="6" t="n">
        <x:v>9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1785000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182000</x:v>
      </x:c>
      <x:c r="E48" s="6" t="n">
        <x:v>206000</x:v>
      </x:c>
      <x:c r="F48" s="6" t="n">
        <x:f>D48-E48</x:f>
        <x:v>-24000</x:v>
      </x:c>
      <x:c r="G48" s="6" t="n">
        <x:f>G47+F48</x:f>
        <x:v>1761000</x:v>
      </x:c>
      <x:c r="H48" s="6" t="n">
        <x:f>F48-'日経_D07'!F48</x:f>
        <x:v>0</x:v>
      </x:c>
      <x:c r="I48" s="6" t="n">
        <x:v>-41000</x:v>
      </x:c>
      <x:c r="J48" s="6" t="n">
        <x:v>17000</x:v>
      </x:c>
      <x:c r="K48" s="6" t="n">
        <x:v>0</x:v>
      </x:c>
      <x:c r="L48" s="6" t="n">
        <x:v>14</x:v>
      </x:c>
      <x:c r="M48" s="6" t="n">
        <x:v>37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1861000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1741000</x:v>
      </x:c>
      <x:c r="H50" s="6" t="n">
        <x:f>F50-'日経_D07'!F50</x:f>
        <x:v>0</x:v>
      </x:c>
      <x:c r="I50" s="6" t="n">
        <x:v>-112000</x:v>
      </x:c>
      <x:c r="J50" s="6" t="n">
        <x:v>-8000</x:v>
      </x:c>
      <x:c r="K50" s="6" t="n">
        <x:v>0</x:v>
      </x:c>
      <x:c r="L50" s="6" t="n">
        <x:v>13</x:v>
      </x:c>
      <x:c r="M50" s="6" t="n">
        <x:v>35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1717000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394000</x:v>
      </x:c>
      <x:c r="E52" s="6" t="n">
        <x:v>0</x:v>
      </x:c>
      <x:c r="F52" s="6" t="n">
        <x:f>D52-E52</x:f>
        <x:v>394000</x:v>
      </x:c>
      <x:c r="G52" s="6" t="n">
        <x:f>G51+F52</x:f>
        <x:v>2111000</x:v>
      </x:c>
      <x:c r="H52" s="6" t="n">
        <x:f>F52-'日経_D07'!F52</x:f>
        <x:v>-307000</x:v>
      </x:c>
      <x:c r="I52" s="6" t="n">
        <x:v>239000</x:v>
      </x:c>
      <x:c r="J52" s="6" t="n">
        <x:v>155000</x:v>
      </x:c>
      <x:c r="K52" s="6" t="n">
        <x:v>0</x:v>
      </x:c>
      <x:c r="L52" s="6" t="n">
        <x:v>6</x:v>
      </x:c>
      <x:c r="M52" s="6" t="n">
        <x:v>7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2267000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219000</x:v>
      </x:c>
      <x:c r="E54" s="6" t="n">
        <x:v>89000</x:v>
      </x:c>
      <x:c r="F54" s="6" t="n">
        <x:f>D54-E54</x:f>
        <x:v>130000</x:v>
      </x:c>
      <x:c r="G54" s="6" t="n">
        <x:f>G53+F54</x:f>
        <x:v>2397000</x:v>
      </x:c>
      <x:c r="H54" s="6" t="n">
        <x:f>F54-'日経_D07'!F54</x:f>
        <x:v>0</x:v>
      </x:c>
      <x:c r="I54" s="6" t="n">
        <x:v>171000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2384000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86000</x:v>
      </x:c>
      <x:c r="F56" s="6" t="n">
        <x:f>D56-E56</x:f>
        <x:v>113000</x:v>
      </x:c>
      <x:c r="G56" s="6" t="n">
        <x:f>G55+F56</x:f>
        <x:v>2497000</x:v>
      </x:c>
      <x:c r="H56" s="6" t="n">
        <x:f>F56-'日経_D07'!F56</x:f>
        <x:v>104000</x:v>
      </x:c>
      <x:c r="I56" s="6" t="n">
        <x:v>90000</x:v>
      </x:c>
      <x:c r="J56" s="6" t="n">
        <x:v>23000</x:v>
      </x:c>
      <x:c r="K56" s="6" t="n">
        <x:v>0</x:v>
      </x:c>
      <x:c r="L56" s="6" t="n">
        <x:v>7</x:v>
      </x:c>
      <x:c r="M56" s="6" t="n">
        <x:v>13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5938000</x:v>
      </x:c>
      <x:c r="E57" s="14" t="n">
        <x:f>SUM(E6:E56)</x:f>
        <x:v>3441000</x:v>
      </x:c>
      <x:c r="F57" s="14" t="n">
        <x:f>D57-E57</x:f>
        <x:v>2497000</x:v>
      </x:c>
      <x:c r="G57" s="14" t="n">
        <x:f>G56</x:f>
        <x:v>2497000</x:v>
      </x:c>
      <x:c r="H57" s="14" t="n">
        <x:f>SUM(H6:H56)</x:f>
        <x:v>-562000</x:v>
      </x:c>
      <x:c r="I57" s="14" t="n">
        <x:f>SUM(I6:I56)</x:f>
        <x:v>2360000</x:v>
      </x:c>
      <x:c r="J57" s="14" t="n">
        <x:f>SUM(J6:J56)</x:f>
        <x:v>137000</x:v>
      </x:c>
      <x:c r="K57" s="14" t="n">
        <x:f>SUM(K6:K56)</x:f>
        <x:v>0</x:v>
      </x:c>
      <x:c r="L57" s="14" t="n">
        <x:f>SUM(L6:L56)</x:f>
        <x:v>367</x:v>
      </x:c>
      <x:c r="M57" s="14" t="n">
        <x:f>SUM(M6:M56)</x:f>
        <x:v>823</x:v>
      </x:c>
    </x:row>
  </x:sheetData>
  <x:conditionalFormatting sqref="F6:K56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5ac88121104b32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日経 J03　各セッションの損益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J02と昼の追加担当の通常追撃停止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日経mini上限10枚・手数料0。利益／損失は一連の売買を合算。初回・追撃・回転の内訳も表示。51完了場のみ。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セッション</x:v>
      </x:c>
      <x:c r="B5" s="10" t="str">
        <x:v>区分</x:v>
      </x:c>
      <x:c r="C5" s="10" t="str">
        <x:v>場の方向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累計（円）</x:v>
      </x:c>
      <x:c r="H5" s="10" t="str">
        <x:v>D07差（円）</x:v>
      </x:c>
      <x:c r="I5" s="10" t="str">
        <x:v>初回玉収支（円）</x:v>
      </x:c>
      <x:c r="J5" s="10" t="str">
        <x:v>追撃玉収支（円）</x:v>
      </x:c>
      <x:c r="K5" s="10" t="str">
        <x:v>回転玉収支（円）</x:v>
      </x:c>
      <x:c r="L5" s="10" t="str">
        <x:v>新規件数</x:v>
      </x:c>
      <x:c r="M5" s="10" t="str">
        <x:v>新規枚数</x:v>
      </x:c>
    </x:row>
    <x:row r="6" ht="25" customHeight="1">
      <x:c r="A6" s="2" t="str">
        <x:v>2026-09-21_Day</x:v>
      </x:c>
      <x:c r="B6" s="6" t="str">
        <x:v>デイ</x:v>
      </x:c>
      <x:c r="C6" s="6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f>F6-'日経_D07'!F6</x:f>
        <x:v>0</x:v>
      </x:c>
      <x:c r="I6" s="6" t="n">
        <x:v>30000</x:v>
      </x:c>
      <x:c r="J6" s="6" t="n">
        <x:v>0</x:v>
      </x:c>
      <x:c r="K6" s="6" t="n">
        <x:v>0</x:v>
      </x:c>
      <x:c r="L6" s="6" t="n">
        <x:v>2</x:v>
      </x:c>
      <x:c r="M6" s="6" t="n">
        <x:v>7</x:v>
      </x:c>
    </x:row>
    <x:row r="7" ht="25" customHeight="1">
      <x:c r="A7" s="2" t="str">
        <x:v>2026-09-21_Night</x:v>
      </x:c>
      <x:c r="B7" s="6" t="str">
        <x:v>ナイト</x:v>
      </x:c>
      <x:c r="C7" s="6" t="str">
        <x:v>上昇</x:v>
      </x:c>
      <x:c r="D7" s="6" t="n">
        <x:v>0</x:v>
      </x:c>
      <x:c r="E7" s="6" t="n">
        <x:v>45000</x:v>
      </x:c>
      <x:c r="F7" s="6" t="n">
        <x:f>D7-E7</x:f>
        <x:v>-45000</x:v>
      </x:c>
      <x:c r="G7" s="6" t="n">
        <x:f>G6+F7</x:f>
        <x:v>-15000</x:v>
      </x:c>
      <x:c r="H7" s="6" t="n">
        <x:f>F7-'日経_D07'!F7</x:f>
        <x:v>0</x:v>
      </x:c>
      <x:c r="I7" s="6" t="n">
        <x:v>-45000</x:v>
      </x:c>
      <x:c r="J7" s="6" t="n">
        <x:v>0</x:v>
      </x:c>
      <x:c r="K7" s="6" t="n">
        <x:v>0</x:v>
      </x:c>
      <x:c r="L7" s="6" t="n">
        <x:v>1</x:v>
      </x:c>
      <x:c r="M7" s="6" t="n">
        <x:v>5</x:v>
      </x:c>
    </x:row>
    <x:row r="8" ht="25" customHeight="1">
      <x:c r="A8" s="2" t="str">
        <x:v>2026-09-22_Day</x:v>
      </x:c>
      <x:c r="B8" s="6" t="str">
        <x:v>デイ</x:v>
      </x:c>
      <x:c r="C8" s="6" t="str">
        <x:v>下落</x:v>
      </x:c>
      <x:c r="D8" s="6" t="n">
        <x:v>0</x:v>
      </x:c>
      <x:c r="E8" s="6" t="n">
        <x:v>70000</x:v>
      </x:c>
      <x:c r="F8" s="6" t="n">
        <x:f>D8-E8</x:f>
        <x:v>-70000</x:v>
      </x:c>
      <x:c r="G8" s="6" t="n">
        <x:f>G7+F8</x:f>
        <x:v>-85000</x:v>
      </x:c>
      <x:c r="H8" s="6" t="n">
        <x:f>F8-'日経_D07'!F8</x:f>
        <x:v>0</x:v>
      </x:c>
      <x:c r="I8" s="6" t="n">
        <x:v>-70000</x:v>
      </x:c>
      <x:c r="J8" s="6" t="n">
        <x:v>0</x:v>
      </x:c>
      <x:c r="K8" s="6" t="n">
        <x:v>0</x:v>
      </x:c>
      <x:c r="L8" s="6" t="n">
        <x:v>2</x:v>
      </x:c>
      <x:c r="M8" s="6" t="n">
        <x:v>10</x:v>
      </x:c>
    </x:row>
    <x:row r="9" ht="25" customHeight="1">
      <x:c r="A9" s="2" t="str">
        <x:v>2026-09-22_Night</x:v>
      </x:c>
      <x:c r="B9" s="6" t="str">
        <x:v>ナイト</x:v>
      </x:c>
      <x:c r="C9" s="6" t="str">
        <x:v>上昇</x:v>
      </x:c>
      <x:c r="D9" s="6" t="n">
        <x:v>24000</x:v>
      </x:c>
      <x:c r="E9" s="6" t="n">
        <x:v>0</x:v>
      </x:c>
      <x:c r="F9" s="6" t="n">
        <x:f>D9-E9</x:f>
        <x:v>24000</x:v>
      </x:c>
      <x:c r="G9" s="6" t="n">
        <x:f>G8+F9</x:f>
        <x:v>-61000</x:v>
      </x:c>
      <x:c r="H9" s="6" t="n">
        <x:f>F9-'日経_D07'!F9</x:f>
        <x:v>0</x:v>
      </x:c>
      <x:c r="I9" s="6" t="n">
        <x:v>24000</x:v>
      </x:c>
      <x:c r="J9" s="6" t="n">
        <x:v>0</x:v>
      </x:c>
      <x:c r="K9" s="6" t="n">
        <x:v>0</x:v>
      </x:c>
      <x:c r="L9" s="6" t="n">
        <x:v>1</x:v>
      </x:c>
      <x:c r="M9" s="6" t="n">
        <x:v>5</x:v>
      </x:c>
    </x:row>
    <x:row r="10" ht="25" customHeight="1">
      <x:c r="A10" s="2" t="str">
        <x:v>2026-09-23_Day</x:v>
      </x:c>
      <x:c r="B10" s="6" t="str">
        <x:v>デイ</x:v>
      </x:c>
      <x:c r="C10" s="6" t="str">
        <x:v>下落</x:v>
      </x:c>
      <x:c r="D10" s="6" t="n">
        <x:v>50000</x:v>
      </x:c>
      <x:c r="E10" s="6" t="n">
        <x:v>0</x:v>
      </x:c>
      <x:c r="F10" s="6" t="n">
        <x:f>D10-E10</x:f>
        <x:v>50000</x:v>
      </x:c>
      <x:c r="G10" s="6" t="n">
        <x:f>G9+F10</x:f>
        <x:v>-11000</x:v>
      </x:c>
      <x:c r="H10" s="6" t="n">
        <x:f>F10-'日経_D07'!F10</x:f>
        <x:v>0</x:v>
      </x:c>
      <x:c r="I10" s="6" t="n">
        <x:v>50000</x:v>
      </x:c>
      <x:c r="J10" s="6" t="n">
        <x:v>0</x:v>
      </x:c>
      <x:c r="K10" s="6" t="n">
        <x:v>0</x:v>
      </x:c>
      <x:c r="L10" s="6" t="n">
        <x:v>1</x:v>
      </x:c>
      <x:c r="M10" s="6" t="n">
        <x:v>5</x:v>
      </x:c>
    </x:row>
    <x:row r="11" ht="25" customHeight="1">
      <x:c r="A11" s="2" t="str">
        <x:v>2026-09-23_Night</x:v>
      </x:c>
      <x:c r="B11" s="6" t="str">
        <x:v>ナイト</x:v>
      </x:c>
      <x:c r="C11" s="6" t="str">
        <x:v>下落</x:v>
      </x:c>
      <x:c r="D11" s="6" t="n">
        <x:v>4000</x:v>
      </x:c>
      <x:c r="E11" s="6" t="n">
        <x:v>40000</x:v>
      </x:c>
      <x:c r="F11" s="6" t="n">
        <x:f>D11-E11</x:f>
        <x:v>-36000</x:v>
      </x:c>
      <x:c r="G11" s="6" t="n">
        <x:f>G10+F11</x:f>
        <x:v>-47000</x:v>
      </x:c>
      <x:c r="H11" s="6" t="n">
        <x:f>F11-'日経_D07'!F11</x:f>
        <x:v>0</x:v>
      </x:c>
      <x:c r="I11" s="6" t="n">
        <x:v>-35000</x:v>
      </x:c>
      <x:c r="J11" s="6" t="n">
        <x:v>-1000</x:v>
      </x:c>
      <x:c r="K11" s="6" t="n">
        <x:v>0</x:v>
      </x:c>
      <x:c r="L11" s="6" t="n">
        <x:v>3</x:v>
      </x:c>
      <x:c r="M11" s="6" t="n">
        <x:v>7</x:v>
      </x:c>
    </x:row>
    <x:row r="12" ht="25" customHeight="1">
      <x:c r="A12" s="2" t="str">
        <x:v>2026-09-24_Day</x:v>
      </x:c>
      <x:c r="B12" s="6" t="str">
        <x:v>デイ</x:v>
      </x:c>
      <x:c r="C12" s="6" t="str">
        <x:v>下落</x:v>
      </x:c>
      <x:c r="D12" s="6" t="n">
        <x:v>118000</x:v>
      </x:c>
      <x:c r="E12" s="6" t="n">
        <x:v>60000</x:v>
      </x:c>
      <x:c r="F12" s="6" t="n">
        <x:f>D12-E12</x:f>
        <x:v>58000</x:v>
      </x:c>
      <x:c r="G12" s="6" t="n">
        <x:f>G11+F12</x:f>
        <x:v>11000</x:v>
      </x:c>
      <x:c r="H12" s="6" t="n">
        <x:f>F12-'日経_D07'!F12</x:f>
        <x:v>-10000</x:v>
      </x:c>
      <x:c r="I12" s="6" t="n">
        <x:v>40000</x:v>
      </x:c>
      <x:c r="J12" s="6" t="n">
        <x:v>18000</x:v>
      </x:c>
      <x:c r="K12" s="6" t="n">
        <x:v>0</x:v>
      </x:c>
      <x:c r="L12" s="6" t="n">
        <x:v>8</x:v>
      </x:c>
      <x:c r="M12" s="6" t="n">
        <x:v>19</x:v>
      </x:c>
    </x:row>
    <x:row r="13" ht="25" customHeight="1">
      <x:c r="A13" s="2" t="str">
        <x:v>2026-09-24_Night</x:v>
      </x:c>
      <x:c r="B13" s="6" t="str">
        <x:v>ナイト</x:v>
      </x:c>
      <x:c r="C13" s="6" t="str">
        <x:v>上昇</x:v>
      </x:c>
      <x:c r="D13" s="6" t="n">
        <x:v>20000</x:v>
      </x:c>
      <x:c r="E13" s="6" t="n">
        <x:v>0</x:v>
      </x:c>
      <x:c r="F13" s="6" t="n">
        <x:f>D13-E13</x:f>
        <x:v>20000</x:v>
      </x:c>
      <x:c r="G13" s="6" t="n">
        <x:f>G12+F13</x:f>
        <x:v>31000</x:v>
      </x:c>
      <x:c r="H13" s="6" t="n">
        <x:f>F13-'日経_D07'!F13</x:f>
        <x:v>0</x:v>
      </x:c>
      <x:c r="I13" s="6" t="n">
        <x:v>16000</x:v>
      </x:c>
      <x:c r="J13" s="6" t="n">
        <x:v>4000</x:v>
      </x:c>
      <x:c r="K13" s="6" t="n">
        <x:v>0</x:v>
      </x:c>
      <x:c r="L13" s="6" t="n">
        <x:v>2</x:v>
      </x:c>
      <x:c r="M13" s="6" t="n">
        <x:v>2</x:v>
      </x:c>
    </x:row>
    <x:row r="14" ht="25" customHeight="1">
      <x:c r="A14" s="2" t="str">
        <x:v>2026-09-25_Day</x:v>
      </x:c>
      <x:c r="B14" s="6" t="str">
        <x:v>デイ</x:v>
      </x:c>
      <x:c r="C14" s="6" t="str">
        <x:v>上昇</x:v>
      </x:c>
      <x:c r="D14" s="6" t="n">
        <x:v>114000</x:v>
      </x:c>
      <x:c r="E14" s="6" t="n">
        <x:v>48000</x:v>
      </x:c>
      <x:c r="F14" s="6" t="n">
        <x:f>D14-E14</x:f>
        <x:v>66000</x:v>
      </x:c>
      <x:c r="G14" s="6" t="n">
        <x:f>G13+F14</x:f>
        <x:v>97000</x:v>
      </x:c>
      <x:c r="H14" s="6" t="n">
        <x:f>F14-'日経_D07'!F14</x:f>
        <x:v>-27000</x:v>
      </x:c>
      <x:c r="I14" s="6" t="n">
        <x:v>66000</x:v>
      </x:c>
      <x:c r="J14" s="6" t="n">
        <x:v>0</x:v>
      </x:c>
      <x:c r="K14" s="6" t="n">
        <x:v>0</x:v>
      </x:c>
      <x:c r="L14" s="6" t="n">
        <x:v>4</x:v>
      </x:c>
      <x:c r="M14" s="6" t="n">
        <x:v>11</x:v>
      </x:c>
    </x:row>
    <x:row r="15" ht="25" customHeight="1">
      <x:c r="A15" s="2" t="str">
        <x:v>2026-09-25_Night</x:v>
      </x:c>
      <x:c r="B15" s="6" t="str">
        <x:v>ナイト</x:v>
      </x:c>
      <x:c r="C15" s="6" t="str">
        <x:v>上昇</x:v>
      </x:c>
      <x:c r="D15" s="6" t="n">
        <x:v>17000</x:v>
      </x:c>
      <x:c r="E15" s="6" t="n">
        <x:v>16000</x:v>
      </x:c>
      <x:c r="F15" s="6" t="n">
        <x:f>D15-E15</x:f>
        <x:v>1000</x:v>
      </x:c>
      <x:c r="G15" s="6" t="n">
        <x:f>G14+F15</x:f>
        <x:v>98000</x:v>
      </x:c>
      <x:c r="H15" s="6" t="n">
        <x:f>F15-'日経_D07'!F15</x:f>
        <x:v>0</x:v>
      </x:c>
      <x:c r="I15" s="6" t="n">
        <x:v>1000</x:v>
      </x:c>
      <x:c r="J15" s="6" t="n">
        <x:v>0</x:v>
      </x:c>
      <x:c r="K15" s="6" t="n">
        <x:v>0</x:v>
      </x:c>
      <x:c r="L15" s="6" t="n">
        <x:v>2</x:v>
      </x:c>
      <x:c r="M15" s="6" t="n">
        <x:v>6</x:v>
      </x:c>
    </x:row>
    <x:row r="16" ht="25" customHeight="1">
      <x:c r="A16" s="2" t="str">
        <x:v>2026-09-28_Day</x:v>
      </x:c>
      <x:c r="B16" s="6" t="str">
        <x:v>デイ</x:v>
      </x:c>
      <x:c r="C16" s="6" t="str">
        <x:v>下落</x:v>
      </x:c>
      <x:c r="D16" s="6" t="n">
        <x:v>110000</x:v>
      </x:c>
      <x:c r="E16" s="6" t="n">
        <x:v>131000</x:v>
      </x:c>
      <x:c r="F16" s="6" t="n">
        <x:f>D16-E16</x:f>
        <x:v>-21000</x:v>
      </x:c>
      <x:c r="G16" s="6" t="n">
        <x:f>G15+F16</x:f>
        <x:v>77000</x:v>
      </x:c>
      <x:c r="H16" s="6" t="n">
        <x:f>F16-'日経_D07'!F16</x:f>
        <x:v>9000</x:v>
      </x:c>
      <x:c r="I16" s="6" t="n">
        <x:v>-3000</x:v>
      </x:c>
      <x:c r="J16" s="6" t="n">
        <x:v>-18000</x:v>
      </x:c>
      <x:c r="K16" s="6" t="n">
        <x:v>0</x:v>
      </x:c>
      <x:c r="L16" s="6" t="n">
        <x:v>8</x:v>
      </x:c>
      <x:c r="M16" s="6" t="n">
        <x:v>21</x:v>
      </x:c>
    </x:row>
    <x:row r="17" ht="25" customHeight="1">
      <x:c r="A17" s="2" t="str">
        <x:v>2026-09-28_Night</x:v>
      </x:c>
      <x:c r="B17" s="6" t="str">
        <x:v>ナイト</x:v>
      </x:c>
      <x:c r="C17" s="6" t="str">
        <x:v>横ばい</x:v>
      </x:c>
      <x:c r="D17" s="6" t="n">
        <x:v>10000</x:v>
      </x:c>
      <x:c r="E17" s="6" t="n">
        <x:v>30000</x:v>
      </x:c>
      <x:c r="F17" s="6" t="n">
        <x:f>D17-E17</x:f>
        <x:v>-20000</x:v>
      </x:c>
      <x:c r="G17" s="6" t="n">
        <x:f>G16+F17</x:f>
        <x:v>57000</x:v>
      </x:c>
      <x:c r="H17" s="6" t="n">
        <x:f>F17-'日経_D07'!F17</x:f>
        <x:v>0</x:v>
      </x:c>
      <x:c r="I17" s="6" t="n">
        <x:v>-11000</x:v>
      </x:c>
      <x:c r="J17" s="6" t="n">
        <x:v>-9000</x:v>
      </x:c>
      <x:c r="K17" s="6" t="n">
        <x:v>0</x:v>
      </x:c>
      <x:c r="L17" s="6" t="n">
        <x:v>5</x:v>
      </x:c>
      <x:c r="M17" s="6" t="n">
        <x:v>7</x:v>
      </x:c>
    </x:row>
    <x:row r="18" ht="25" customHeight="1">
      <x:c r="A18" s="2" t="str">
        <x:v>2026-09-29_Day</x:v>
      </x:c>
      <x:c r="B18" s="6" t="str">
        <x:v>デイ</x:v>
      </x:c>
      <x:c r="C18" s="6" t="str">
        <x:v>下落</x:v>
      </x:c>
      <x:c r="D18" s="6" t="n">
        <x:v>195000</x:v>
      </x:c>
      <x:c r="E18" s="6" t="n">
        <x:v>88000</x:v>
      </x:c>
      <x:c r="F18" s="6" t="n">
        <x:f>D18-E18</x:f>
        <x:v>107000</x:v>
      </x:c>
      <x:c r="G18" s="6" t="n">
        <x:f>G17+F18</x:f>
        <x:v>164000</x:v>
      </x:c>
      <x:c r="H18" s="6" t="n">
        <x:f>F18-'日経_D07'!F18</x:f>
        <x:v>37000</x:v>
      </x:c>
      <x:c r="I18" s="6" t="n">
        <x:v>138000</x:v>
      </x:c>
      <x:c r="J18" s="6" t="n">
        <x:v>-31000</x:v>
      </x:c>
      <x:c r="K18" s="6" t="n">
        <x:v>0</x:v>
      </x:c>
      <x:c r="L18" s="6" t="n">
        <x:v>13</x:v>
      </x:c>
      <x:c r="M18" s="6" t="n">
        <x:v>28</x:v>
      </x:c>
    </x:row>
    <x:row r="19" ht="25" customHeight="1">
      <x:c r="A19" s="2" t="str">
        <x:v>2026-09-29_Night</x:v>
      </x:c>
      <x:c r="B19" s="6" t="str">
        <x:v>ナイト</x:v>
      </x:c>
      <x:c r="C19" s="6" t="str">
        <x:v>上昇</x:v>
      </x:c>
      <x:c r="D19" s="6" t="n">
        <x:v>87000</x:v>
      </x:c>
      <x:c r="E19" s="6" t="n">
        <x:v>22000</x:v>
      </x:c>
      <x:c r="F19" s="6" t="n">
        <x:f>D19-E19</x:f>
        <x:v>65000</x:v>
      </x:c>
      <x:c r="G19" s="6" t="n">
        <x:f>G18+F19</x:f>
        <x:v>229000</x:v>
      </x:c>
      <x:c r="H19" s="6" t="n">
        <x:f>F19-'日経_D07'!F19</x:f>
        <x:v>0</x:v>
      </x:c>
      <x:c r="I19" s="6" t="n">
        <x:v>62000</x:v>
      </x:c>
      <x:c r="J19" s="6" t="n">
        <x:v>3000</x:v>
      </x:c>
      <x:c r="K19" s="6" t="n">
        <x:v>0</x:v>
      </x:c>
      <x:c r="L19" s="6" t="n">
        <x:v>6</x:v>
      </x:c>
      <x:c r="M19" s="6" t="n">
        <x:v>14</x:v>
      </x:c>
    </x:row>
    <x:row r="20" ht="25" customHeight="1">
      <x:c r="A20" s="2" t="str">
        <x:v>2026-09-30_Day</x:v>
      </x:c>
      <x:c r="B20" s="6" t="str">
        <x:v>デイ</x:v>
      </x:c>
      <x:c r="C20" s="6" t="str">
        <x:v>上昇</x:v>
      </x:c>
      <x:c r="D20" s="6" t="n">
        <x:v>185000</x:v>
      </x:c>
      <x:c r="E20" s="6" t="n">
        <x:v>75000</x:v>
      </x:c>
      <x:c r="F20" s="6" t="n">
        <x:f>D20-E20</x:f>
        <x:v>110000</x:v>
      </x:c>
      <x:c r="G20" s="6" t="n">
        <x:f>G19+F20</x:f>
        <x:v>339000</x:v>
      </x:c>
      <x:c r="H20" s="6" t="n">
        <x:f>F20-'日経_D07'!F20</x:f>
        <x:v>0</x:v>
      </x:c>
      <x:c r="I20" s="6" t="n">
        <x:v>115000</x:v>
      </x:c>
      <x:c r="J20" s="6" t="n">
        <x:v>-5000</x:v>
      </x:c>
      <x:c r="K20" s="6" t="n">
        <x:v>0</x:v>
      </x:c>
      <x:c r="L20" s="6" t="n">
        <x:v>6</x:v>
      </x:c>
      <x:c r="M20" s="6" t="n">
        <x:v>17</x:v>
      </x:c>
    </x:row>
    <x:row r="21" ht="25" customHeight="1">
      <x:c r="A21" s="2" t="str">
        <x:v>2026-09-30_Night</x:v>
      </x:c>
      <x:c r="B21" s="6" t="str">
        <x:v>ナイト</x:v>
      </x:c>
      <x:c r="C21" s="6" t="str">
        <x:v>下落</x:v>
      </x:c>
      <x:c r="D21" s="6" t="n">
        <x:v>43000</x:v>
      </x:c>
      <x:c r="E21" s="6" t="n">
        <x:v>0</x:v>
      </x:c>
      <x:c r="F21" s="6" t="n">
        <x:f>D21-E21</x:f>
        <x:v>43000</x:v>
      </x:c>
      <x:c r="G21" s="6" t="n">
        <x:f>G20+F21</x:f>
        <x:v>382000</x:v>
      </x:c>
      <x:c r="H21" s="6" t="n">
        <x:f>F21-'日経_D07'!F21</x:f>
        <x:v>0</x:v>
      </x:c>
      <x:c r="I21" s="6" t="n">
        <x:v>49000</x:v>
      </x:c>
      <x:c r="J21" s="6" t="n">
        <x:v>-6000</x:v>
      </x:c>
      <x:c r="K21" s="6" t="n">
        <x:v>0</x:v>
      </x:c>
      <x:c r="L21" s="6" t="n">
        <x:v>3</x:v>
      </x:c>
      <x:c r="M21" s="6" t="n">
        <x:v>7</x:v>
      </x:c>
    </x:row>
    <x:row r="22" ht="25" customHeight="1">
      <x:c r="A22" s="2" t="str">
        <x:v>2026-10-01_Day</x:v>
      </x:c>
      <x:c r="B22" s="6" t="str">
        <x:v>デイ</x:v>
      </x:c>
      <x:c r="C22" s="6" t="str">
        <x:v>上昇</x:v>
      </x:c>
      <x:c r="D22" s="6" t="n">
        <x:v>240000</x:v>
      </x:c>
      <x:c r="E22" s="6" t="n">
        <x:v>144000</x:v>
      </x:c>
      <x:c r="F22" s="6" t="n">
        <x:f>D22-E22</x:f>
        <x:v>96000</x:v>
      </x:c>
      <x:c r="G22" s="6" t="n">
        <x:f>G21+F22</x:f>
        <x:v>478000</x:v>
      </x:c>
      <x:c r="H22" s="6" t="n">
        <x:f>F22-'日経_D07'!F22</x:f>
        <x:v>0</x:v>
      </x:c>
      <x:c r="I22" s="6" t="n">
        <x:v>96000</x:v>
      </x:c>
      <x:c r="J22" s="6" t="n">
        <x:v>0</x:v>
      </x:c>
      <x:c r="K22" s="6" t="n">
        <x:v>0</x:v>
      </x:c>
      <x:c r="L22" s="6" t="n">
        <x:v>5</x:v>
      </x:c>
      <x:c r="M22" s="6" t="n">
        <x:v>16</x:v>
      </x:c>
    </x:row>
    <x:row r="23" ht="25" customHeight="1">
      <x:c r="A23" s="2" t="str">
        <x:v>2026-10-01_Night</x:v>
      </x:c>
      <x:c r="B23" s="6" t="str">
        <x:v>ナイト</x:v>
      </x:c>
      <x:c r="C23" s="6" t="str">
        <x:v>上昇</x:v>
      </x:c>
      <x:c r="D23" s="6" t="n">
        <x:v>207000</x:v>
      </x:c>
      <x:c r="E23" s="6" t="n">
        <x:v>98000</x:v>
      </x:c>
      <x:c r="F23" s="6" t="n">
        <x:f>D23-E23</x:f>
        <x:v>109000</x:v>
      </x:c>
      <x:c r="G23" s="6" t="n">
        <x:f>G22+F23</x:f>
        <x:v>587000</x:v>
      </x:c>
      <x:c r="H23" s="6" t="n">
        <x:f>F23-'日経_D07'!F23</x:f>
        <x:v>0</x:v>
      </x:c>
      <x:c r="I23" s="6" t="n">
        <x:v>98000</x:v>
      </x:c>
      <x:c r="J23" s="6" t="n">
        <x:v>11000</x:v>
      </x:c>
      <x:c r="K23" s="6" t="n">
        <x:v>0</x:v>
      </x:c>
      <x:c r="L23" s="6" t="n">
        <x:v>13</x:v>
      </x:c>
      <x:c r="M23" s="6" t="n">
        <x:v>21</x:v>
      </x:c>
    </x:row>
    <x:row r="24" ht="25" customHeight="1">
      <x:c r="A24" s="2" t="str">
        <x:v>2026-10-02_Day</x:v>
      </x:c>
      <x:c r="B24" s="6" t="str">
        <x:v>デイ</x:v>
      </x:c>
      <x:c r="C24" s="6" t="str">
        <x:v>上昇</x:v>
      </x:c>
      <x:c r="D24" s="6" t="n">
        <x:v>72000</x:v>
      </x:c>
      <x:c r="E24" s="6" t="n">
        <x:v>65000</x:v>
      </x:c>
      <x:c r="F24" s="6" t="n">
        <x:f>D24-E24</x:f>
        <x:v>7000</x:v>
      </x:c>
      <x:c r="G24" s="6" t="n">
        <x:f>G23+F24</x:f>
        <x:v>594000</x:v>
      </x:c>
      <x:c r="H24" s="6" t="n">
        <x:f>F24-'日経_D07'!F24</x:f>
        <x:v>16000</x:v>
      </x:c>
      <x:c r="I24" s="6" t="n">
        <x:v>-22000</x:v>
      </x:c>
      <x:c r="J24" s="6" t="n">
        <x:v>29000</x:v>
      </x:c>
      <x:c r="K24" s="6" t="n">
        <x:v>0</x:v>
      </x:c>
      <x:c r="L24" s="6" t="n">
        <x:v>7</x:v>
      </x:c>
      <x:c r="M24" s="6" t="n">
        <x:v>14</x:v>
      </x:c>
    </x:row>
    <x:row r="25" ht="25" customHeight="1">
      <x:c r="A25" s="2" t="str">
        <x:v>2026-10-02_Night</x:v>
      </x:c>
      <x:c r="B25" s="6" t="str">
        <x:v>ナイト</x:v>
      </x:c>
      <x:c r="C25" s="6" t="str">
        <x:v>上昇</x:v>
      </x:c>
      <x:c r="D25" s="6" t="n">
        <x:v>294000</x:v>
      </x:c>
      <x:c r="E25" s="6" t="n">
        <x:v>38000</x:v>
      </x:c>
      <x:c r="F25" s="6" t="n">
        <x:f>D25-E25</x:f>
        <x:v>256000</x:v>
      </x:c>
      <x:c r="G25" s="6" t="n">
        <x:f>G24+F25</x:f>
        <x:v>850000</x:v>
      </x:c>
      <x:c r="H25" s="6" t="n">
        <x:f>F25-'日経_D07'!F25</x:f>
        <x:v>0</x:v>
      </x:c>
      <x:c r="I25" s="6" t="n">
        <x:v>240000</x:v>
      </x:c>
      <x:c r="J25" s="6" t="n">
        <x:v>16000</x:v>
      </x:c>
      <x:c r="K25" s="6" t="n">
        <x:v>0</x:v>
      </x:c>
      <x:c r="L25" s="6" t="n">
        <x:v>15</x:v>
      </x:c>
      <x:c r="M25" s="6" t="n">
        <x:v>28</x:v>
      </x:c>
    </x:row>
    <x:row r="26" ht="25" customHeight="1">
      <x:c r="A26" s="2" t="str">
        <x:v>2026-10-05_Day</x:v>
      </x:c>
      <x:c r="B26" s="6" t="str">
        <x:v>デイ</x:v>
      </x:c>
      <x:c r="C26" s="6" t="str">
        <x:v>上昇</x:v>
      </x:c>
      <x:c r="D26" s="6" t="n">
        <x:v>33000</x:v>
      </x:c>
      <x:c r="E26" s="6" t="n">
        <x:v>156000</x:v>
      </x:c>
      <x:c r="F26" s="6" t="n">
        <x:f>D26-E26</x:f>
        <x:v>-123000</x:v>
      </x:c>
      <x:c r="G26" s="6" t="n">
        <x:f>G25+F26</x:f>
        <x:v>727000</x:v>
      </x:c>
      <x:c r="H26" s="6" t="n">
        <x:f>F26-'日経_D07'!F26</x:f>
        <x:v>-15000</x:v>
      </x:c>
      <x:c r="I26" s="6" t="n">
        <x:v>-106000</x:v>
      </x:c>
      <x:c r="J26" s="6" t="n">
        <x:v>-17000</x:v>
      </x:c>
      <x:c r="K26" s="6" t="n">
        <x:v>0</x:v>
      </x:c>
      <x:c r="L26" s="6" t="n">
        <x:v>11</x:v>
      </x:c>
      <x:c r="M26" s="6" t="n">
        <x:v>35</x:v>
      </x:c>
    </x:row>
    <x:row r="27" ht="25" customHeight="1">
      <x:c r="A27" s="2" t="str">
        <x:v>2026-10-05_Night</x:v>
      </x:c>
      <x:c r="B27" s="6" t="str">
        <x:v>ナイト</x:v>
      </x:c>
      <x:c r="C27" s="6" t="str">
        <x:v>下落</x:v>
      </x:c>
      <x:c r="D27" s="6" t="n">
        <x:v>98000</x:v>
      </x:c>
      <x:c r="E27" s="6" t="n">
        <x:v>64000</x:v>
      </x:c>
      <x:c r="F27" s="6" t="n">
        <x:f>D27-E27</x:f>
        <x:v>34000</x:v>
      </x:c>
      <x:c r="G27" s="6" t="n">
        <x:f>G26+F27</x:f>
        <x:v>761000</x:v>
      </x:c>
      <x:c r="H27" s="6" t="n">
        <x:f>F27-'日経_D07'!F27</x:f>
        <x:v>0</x:v>
      </x:c>
      <x:c r="I27" s="6" t="n">
        <x:v>-1000</x:v>
      </x:c>
      <x:c r="J27" s="6" t="n">
        <x:v>35000</x:v>
      </x:c>
      <x:c r="K27" s="6" t="n">
        <x:v>0</x:v>
      </x:c>
      <x:c r="L27" s="6" t="n">
        <x:v>7</x:v>
      </x:c>
      <x:c r="M27" s="6" t="n">
        <x:v>14</x:v>
      </x:c>
    </x:row>
    <x:row r="28" ht="25" customHeight="1">
      <x:c r="A28" s="2" t="str">
        <x:v>2026-10-06_Day</x:v>
      </x:c>
      <x:c r="B28" s="6" t="str">
        <x:v>デイ</x:v>
      </x:c>
      <x:c r="C28" s="6" t="str">
        <x:v>上昇</x:v>
      </x:c>
      <x:c r="D28" s="6" t="n">
        <x:v>115000</x:v>
      </x:c>
      <x:c r="E28" s="6" t="n">
        <x:v>160000</x:v>
      </x:c>
      <x:c r="F28" s="6" t="n">
        <x:f>D28-E28</x:f>
        <x:v>-45000</x:v>
      </x:c>
      <x:c r="G28" s="6" t="n">
        <x:f>G27+F28</x:f>
        <x:v>716000</x:v>
      </x:c>
      <x:c r="H28" s="6" t="n">
        <x:f>F28-'日経_D07'!F28</x:f>
        <x:v>0</x:v>
      </x:c>
      <x:c r="I28" s="6" t="n">
        <x:v>-36000</x:v>
      </x:c>
      <x:c r="J28" s="6" t="n">
        <x:v>-9000</x:v>
      </x:c>
      <x:c r="K28" s="6" t="n">
        <x:v>0</x:v>
      </x:c>
      <x:c r="L28" s="6" t="n">
        <x:v>10</x:v>
      </x:c>
      <x:c r="M28" s="6" t="n">
        <x:v>24</x:v>
      </x:c>
    </x:row>
    <x:row r="29" ht="25" customHeight="1">
      <x:c r="A29" s="2" t="str">
        <x:v>2026-10-06_Night</x:v>
      </x:c>
      <x:c r="B29" s="6" t="str">
        <x:v>ナイト</x:v>
      </x:c>
      <x:c r="C29" s="6" t="str">
        <x:v>横ばい</x:v>
      </x:c>
      <x:c r="D29" s="6" t="n">
        <x:v>33000</x:v>
      </x:c>
      <x:c r="E29" s="6" t="n">
        <x:v>43000</x:v>
      </x:c>
      <x:c r="F29" s="6" t="n">
        <x:f>D29-E29</x:f>
        <x:v>-10000</x:v>
      </x:c>
      <x:c r="G29" s="6" t="n">
        <x:f>G28+F29</x:f>
        <x:v>706000</x:v>
      </x:c>
      <x:c r="H29" s="6" t="n">
        <x:f>F29-'日経_D07'!F29</x:f>
        <x:v>0</x:v>
      </x:c>
      <x:c r="I29" s="6" t="n">
        <x:v>-16000</x:v>
      </x:c>
      <x:c r="J29" s="6" t="n">
        <x:v>6000</x:v>
      </x:c>
      <x:c r="K29" s="6" t="n">
        <x:v>0</x:v>
      </x:c>
      <x:c r="L29" s="6" t="n">
        <x:v>4</x:v>
      </x:c>
      <x:c r="M29" s="6" t="n">
        <x:v>8</x:v>
      </x:c>
    </x:row>
    <x:row r="30" ht="25" customHeight="1">
      <x:c r="A30" s="2" t="str">
        <x:v>2026-10-07_Day</x:v>
      </x:c>
      <x:c r="B30" s="6" t="str">
        <x:v>デイ</x:v>
      </x:c>
      <x:c r="C30" s="6" t="str">
        <x:v>下落</x:v>
      </x:c>
      <x:c r="D30" s="6" t="n">
        <x:v>119000</x:v>
      </x:c>
      <x:c r="E30" s="6" t="n">
        <x:v>46000</x:v>
      </x:c>
      <x:c r="F30" s="6" t="n">
        <x:f>D30-E30</x:f>
        <x:v>73000</x:v>
      </x:c>
      <x:c r="G30" s="6" t="n">
        <x:f>G29+F30</x:f>
        <x:v>779000</x:v>
      </x:c>
      <x:c r="H30" s="6" t="n">
        <x:f>F30-'日経_D07'!F30</x:f>
        <x:v>-48000</x:v>
      </x:c>
      <x:c r="I30" s="6" t="n">
        <x:v>73000</x:v>
      </x:c>
      <x:c r="J30" s="6" t="n">
        <x:v>0</x:v>
      </x:c>
      <x:c r="K30" s="6" t="n">
        <x:v>0</x:v>
      </x:c>
      <x:c r="L30" s="6" t="n">
        <x:v>5</x:v>
      </x:c>
      <x:c r="M30" s="6" t="n">
        <x:v>16</x:v>
      </x:c>
    </x:row>
    <x:row r="31" ht="25" customHeight="1">
      <x:c r="A31" s="2" t="str">
        <x:v>2026-10-07_Night</x:v>
      </x:c>
      <x:c r="B31" s="6" t="str">
        <x:v>ナイト</x:v>
      </x:c>
      <x:c r="C31" s="6" t="str">
        <x:v>下落</x:v>
      </x:c>
      <x:c r="D31" s="6" t="n">
        <x:v>0</x:v>
      </x:c>
      <x:c r="E31" s="6" t="n">
        <x:v>43000</x:v>
      </x:c>
      <x:c r="F31" s="6" t="n">
        <x:f>D31-E31</x:f>
        <x:v>-43000</x:v>
      </x:c>
      <x:c r="G31" s="6" t="n">
        <x:f>G30+F31</x:f>
        <x:v>736000</x:v>
      </x:c>
      <x:c r="H31" s="6" t="n">
        <x:f>F31-'日経_D07'!F31</x:f>
        <x:v>0</x:v>
      </x:c>
      <x:c r="I31" s="6" t="n">
        <x:v>-16000</x:v>
      </x:c>
      <x:c r="J31" s="6" t="n">
        <x:v>-27000</x:v>
      </x:c>
      <x:c r="K31" s="6" t="n">
        <x:v>0</x:v>
      </x:c>
      <x:c r="L31" s="6" t="n">
        <x:v>4</x:v>
      </x:c>
      <x:c r="M31" s="6" t="n">
        <x:v>4</x:v>
      </x:c>
    </x:row>
    <x:row r="32" ht="25" customHeight="1">
      <x:c r="A32" s="2" t="str">
        <x:v>2026-10-08_Day</x:v>
      </x:c>
      <x:c r="B32" s="6" t="str">
        <x:v>デイ</x:v>
      </x:c>
      <x:c r="C32" s="6" t="str">
        <x:v>下落</x:v>
      </x:c>
      <x:c r="D32" s="6" t="n">
        <x:v>121000</x:v>
      </x:c>
      <x:c r="E32" s="6" t="n">
        <x:v>118000</x:v>
      </x:c>
      <x:c r="F32" s="6" t="n">
        <x:f>D32-E32</x:f>
        <x:v>3000</x:v>
      </x:c>
      <x:c r="G32" s="6" t="n">
        <x:f>G31+F32</x:f>
        <x:v>739000</x:v>
      </x:c>
      <x:c r="H32" s="6" t="n">
        <x:f>F32-'日経_D07'!F32</x:f>
        <x:v>0</x:v>
      </x:c>
      <x:c r="I32" s="6" t="n">
        <x:v>4000</x:v>
      </x:c>
      <x:c r="J32" s="6" t="n">
        <x:v>-1000</x:v>
      </x:c>
      <x:c r="K32" s="6" t="n">
        <x:v>0</x:v>
      </x:c>
      <x:c r="L32" s="6" t="n">
        <x:v>8</x:v>
      </x:c>
      <x:c r="M32" s="6" t="n">
        <x:v>30</x:v>
      </x:c>
    </x:row>
    <x:row r="33" ht="25" customHeight="1">
      <x:c r="A33" s="2" t="str">
        <x:v>2026-10-08_Night</x:v>
      </x:c>
      <x:c r="B33" s="6" t="str">
        <x:v>ナイト</x:v>
      </x:c>
      <x:c r="C33" s="6" t="str">
        <x:v>下落</x:v>
      </x:c>
      <x:c r="D33" s="6" t="n">
        <x:v>331000</x:v>
      </x:c>
      <x:c r="E33" s="6" t="n">
        <x:v>20000</x:v>
      </x:c>
      <x:c r="F33" s="6" t="n">
        <x:f>D33-E33</x:f>
        <x:v>311000</x:v>
      </x:c>
      <x:c r="G33" s="6" t="n">
        <x:f>G32+F33</x:f>
        <x:v>1050000</x:v>
      </x:c>
      <x:c r="H33" s="6" t="n">
        <x:f>F33-'日経_D07'!F33</x:f>
        <x:v>0</x:v>
      </x:c>
      <x:c r="I33" s="6" t="n">
        <x:v>266000</x:v>
      </x:c>
      <x:c r="J33" s="6" t="n">
        <x:v>45000</x:v>
      </x:c>
      <x:c r="K33" s="6" t="n">
        <x:v>0</x:v>
      </x:c>
      <x:c r="L33" s="6" t="n">
        <x:v>17</x:v>
      </x:c>
      <x:c r="M33" s="6" t="n">
        <x:v>30</x:v>
      </x:c>
    </x:row>
    <x:row r="34" ht="25" customHeight="1">
      <x:c r="A34" s="2" t="str">
        <x:v>2026-10-09_Day</x:v>
      </x:c>
      <x:c r="B34" s="6" t="str">
        <x:v>デイ</x:v>
      </x:c>
      <x:c r="C34" s="6" t="str">
        <x:v>上昇</x:v>
      </x:c>
      <x:c r="D34" s="6" t="n">
        <x:v>124000</x:v>
      </x:c>
      <x:c r="E34" s="6" t="n">
        <x:v>57000</x:v>
      </x:c>
      <x:c r="F34" s="6" t="n">
        <x:f>D34-E34</x:f>
        <x:v>67000</x:v>
      </x:c>
      <x:c r="G34" s="6" t="n">
        <x:f>G33+F34</x:f>
        <x:v>1117000</x:v>
      </x:c>
      <x:c r="H34" s="6" t="n">
        <x:f>F34-'日経_D07'!F34</x:f>
        <x:v>24000</x:v>
      </x:c>
      <x:c r="I34" s="6" t="n">
        <x:v>80000</x:v>
      </x:c>
      <x:c r="J34" s="6" t="n">
        <x:v>-13000</x:v>
      </x:c>
      <x:c r="K34" s="6" t="n">
        <x:v>0</x:v>
      </x:c>
      <x:c r="L34" s="6" t="n">
        <x:v>7</x:v>
      </x:c>
      <x:c r="M34" s="6" t="n">
        <x:v>16</x:v>
      </x:c>
    </x:row>
    <x:row r="35" ht="25" customHeight="1">
      <x:c r="A35" s="2" t="str">
        <x:v>2026-10-09_Night</x:v>
      </x:c>
      <x:c r="B35" s="6" t="str">
        <x:v>ナイト</x:v>
      </x:c>
      <x:c r="C35" s="6" t="str">
        <x:v>下落</x:v>
      </x:c>
      <x:c r="D35" s="6" t="n">
        <x:v>14000</x:v>
      </x:c>
      <x:c r="E35" s="6" t="n">
        <x:v>0</x:v>
      </x:c>
      <x:c r="F35" s="6" t="n">
        <x:f>D35-E35</x:f>
        <x:v>14000</x:v>
      </x:c>
      <x:c r="G35" s="6" t="n">
        <x:f>G34+F35</x:f>
        <x:v>1131000</x:v>
      </x:c>
      <x:c r="H35" s="6" t="n">
        <x:f>F35-'日経_D07'!F35</x:f>
        <x:v>0</x:v>
      </x:c>
      <x:c r="I35" s="6" t="n">
        <x:v>14000</x:v>
      </x:c>
      <x:c r="J35" s="6" t="n">
        <x:v>0</x:v>
      </x:c>
      <x:c r="K35" s="6" t="n">
        <x:v>0</x:v>
      </x:c>
      <x:c r="L35" s="6" t="n">
        <x:v>1</x:v>
      </x:c>
      <x:c r="M35" s="6" t="n">
        <x:v>5</x:v>
      </x:c>
    </x:row>
    <x:row r="36" ht="25" customHeight="1">
      <x:c r="A36" s="2" t="str">
        <x:v>2026-10-12_Day</x:v>
      </x:c>
      <x:c r="B36" s="6" t="str">
        <x:v>デイ</x:v>
      </x:c>
      <x:c r="C36" s="6" t="str">
        <x:v>下落</x:v>
      </x:c>
      <x:c r="D36" s="6" t="n">
        <x:v>61000</x:v>
      </x:c>
      <x:c r="E36" s="6" t="n">
        <x:v>53000</x:v>
      </x:c>
      <x:c r="F36" s="6" t="n">
        <x:f>D36-E36</x:f>
        <x:v>8000</x:v>
      </x:c>
      <x:c r="G36" s="6" t="n">
        <x:f>G35+F36</x:f>
        <x:v>1139000</x:v>
      </x:c>
      <x:c r="H36" s="6" t="n">
        <x:f>F36-'日経_D07'!F36</x:f>
        <x:v>0</x:v>
      </x:c>
      <x:c r="I36" s="6" t="n">
        <x:v>8000</x:v>
      </x:c>
      <x:c r="J36" s="6" t="n">
        <x:v>0</x:v>
      </x:c>
      <x:c r="K36" s="6" t="n">
        <x:v>0</x:v>
      </x:c>
      <x:c r="L36" s="6" t="n">
        <x:v>3</x:v>
      </x:c>
      <x:c r="M36" s="6" t="n">
        <x:v>12</x:v>
      </x:c>
    </x:row>
    <x:row r="37" ht="25" customHeight="1">
      <x:c r="A37" s="2" t="str">
        <x:v>2026-10-12_Night</x:v>
      </x:c>
      <x:c r="B37" s="6" t="str">
        <x:v>ナイト</x:v>
      </x:c>
      <x:c r="C37" s="6" t="str">
        <x:v>下落</x:v>
      </x:c>
      <x:c r="D37" s="6" t="n">
        <x:v>82000</x:v>
      </x:c>
      <x:c r="E37" s="6" t="n">
        <x:v>0</x:v>
      </x:c>
      <x:c r="F37" s="6" t="n">
        <x:f>D37-E37</x:f>
        <x:v>82000</x:v>
      </x:c>
      <x:c r="G37" s="6" t="n">
        <x:f>G36+F37</x:f>
        <x:v>1221000</x:v>
      </x:c>
      <x:c r="H37" s="6" t="n">
        <x:f>F37-'日経_D07'!F37</x:f>
        <x:v>0</x:v>
      </x:c>
      <x:c r="I37" s="6" t="n">
        <x:v>82000</x:v>
      </x:c>
      <x:c r="J37" s="6" t="n">
        <x:v>0</x:v>
      </x:c>
      <x:c r="K37" s="6" t="n">
        <x:v>0</x:v>
      </x:c>
      <x:c r="L37" s="6" t="n">
        <x:v>1</x:v>
      </x:c>
      <x:c r="M37" s="6" t="n">
        <x:v>5</x:v>
      </x:c>
    </x:row>
    <x:row r="38" ht="25" customHeight="1">
      <x:c r="A38" s="2" t="str">
        <x:v>2026-10-13_Day</x:v>
      </x:c>
      <x:c r="B38" s="6" t="str">
        <x:v>デイ</x:v>
      </x:c>
      <x:c r="C38" s="6" t="str">
        <x:v>下落</x:v>
      </x:c>
      <x:c r="D38" s="6" t="n">
        <x:v>166000</x:v>
      </x:c>
      <x:c r="E38" s="6" t="n">
        <x:v>169000</x:v>
      </x:c>
      <x:c r="F38" s="6" t="n">
        <x:f>D38-E38</x:f>
        <x:v>-3000</x:v>
      </x:c>
      <x:c r="G38" s="6" t="n">
        <x:f>G37+F38</x:f>
        <x:v>1218000</x:v>
      </x:c>
      <x:c r="H38" s="6" t="n">
        <x:f>F38-'日経_D07'!F38</x:f>
        <x:v>-14000</x:v>
      </x:c>
      <x:c r="I38" s="6" t="n">
        <x:v>17000</x:v>
      </x:c>
      <x:c r="J38" s="6" t="n">
        <x:v>-20000</x:v>
      </x:c>
      <x:c r="K38" s="6" t="n">
        <x:v>0</x:v>
      </x:c>
      <x:c r="L38" s="6" t="n">
        <x:v>14</x:v>
      </x:c>
      <x:c r="M38" s="6" t="n">
        <x:v>35</x:v>
      </x:c>
    </x:row>
    <x:row r="39" ht="25" customHeight="1">
      <x:c r="A39" s="2" t="str">
        <x:v>2026-10-13_Night</x:v>
      </x:c>
      <x:c r="B39" s="6" t="str">
        <x:v>ナイト</x:v>
      </x:c>
      <x:c r="C39" s="6" t="str">
        <x:v>上昇</x:v>
      </x:c>
      <x:c r="D39" s="6" t="n">
        <x:v>0</x:v>
      </x:c>
      <x:c r="E39" s="6" t="n">
        <x:v>53000</x:v>
      </x:c>
      <x:c r="F39" s="6" t="n">
        <x:f>D39-E39</x:f>
        <x:v>-53000</x:v>
      </x:c>
      <x:c r="G39" s="6" t="n">
        <x:f>G38+F39</x:f>
        <x:v>1165000</x:v>
      </x:c>
      <x:c r="H39" s="6" t="n">
        <x:f>F39-'日経_D07'!F39</x:f>
        <x:v>0</x:v>
      </x:c>
      <x:c r="I39" s="6" t="n">
        <x:v>-53000</x:v>
      </x:c>
      <x:c r="J39" s="6" t="n">
        <x:v>0</x:v>
      </x:c>
      <x:c r="K39" s="6" t="n">
        <x:v>0</x:v>
      </x:c>
      <x:c r="L39" s="6" t="n">
        <x:v>2</x:v>
      </x:c>
      <x:c r="M39" s="6" t="n">
        <x:v>6</x:v>
      </x:c>
    </x:row>
    <x:row r="40" ht="25" customHeight="1">
      <x:c r="A40" s="2" t="str">
        <x:v>2026-10-14_Day</x:v>
      </x:c>
      <x:c r="B40" s="6" t="str">
        <x:v>デイ</x:v>
      </x:c>
      <x:c r="C40" s="6" t="str">
        <x:v>上昇</x:v>
      </x:c>
      <x:c r="D40" s="6" t="n">
        <x:v>149000</x:v>
      </x:c>
      <x:c r="E40" s="6" t="n">
        <x:v>29000</x:v>
      </x:c>
      <x:c r="F40" s="6" t="n">
        <x:f>D40-E40</x:f>
        <x:v>120000</x:v>
      </x:c>
      <x:c r="G40" s="6" t="n">
        <x:f>G39+F40</x:f>
        <x:v>1285000</x:v>
      </x:c>
      <x:c r="H40" s="6" t="n">
        <x:f>F40-'日経_D07'!F40</x:f>
        <x:v>19000</x:v>
      </x:c>
      <x:c r="I40" s="6" t="n">
        <x:v>120000</x:v>
      </x:c>
      <x:c r="J40" s="6" t="n">
        <x:v>0</x:v>
      </x:c>
      <x:c r="K40" s="6" t="n">
        <x:v>0</x:v>
      </x:c>
      <x:c r="L40" s="6" t="n">
        <x:v>4</x:v>
      </x:c>
      <x:c r="M40" s="6" t="n">
        <x:v>17</x:v>
      </x:c>
    </x:row>
    <x:row r="41" ht="25" customHeight="1">
      <x:c r="A41" s="2" t="str">
        <x:v>2026-10-14_Night</x:v>
      </x:c>
      <x:c r="B41" s="6" t="str">
        <x:v>ナイト</x:v>
      </x:c>
      <x:c r="C41" s="6" t="str">
        <x:v>下落</x:v>
      </x:c>
      <x:c r="D41" s="6" t="n">
        <x:v>197000</x:v>
      </x:c>
      <x:c r="E41" s="6" t="n">
        <x:v>61000</x:v>
      </x:c>
      <x:c r="F41" s="6" t="n">
        <x:f>D41-E41</x:f>
        <x:v>136000</x:v>
      </x:c>
      <x:c r="G41" s="6" t="n">
        <x:f>G40+F41</x:f>
        <x:v>1421000</x:v>
      </x:c>
      <x:c r="H41" s="6" t="n">
        <x:f>F41-'日経_D07'!F41</x:f>
        <x:v>0</x:v>
      </x:c>
      <x:c r="I41" s="6" t="n">
        <x:v>136000</x:v>
      </x:c>
      <x:c r="J41" s="6" t="n">
        <x:v>0</x:v>
      </x:c>
      <x:c r="K41" s="6" t="n">
        <x:v>0</x:v>
      </x:c>
      <x:c r="L41" s="6" t="n">
        <x:v>4</x:v>
      </x:c>
      <x:c r="M41" s="6" t="n">
        <x:v>9</x:v>
      </x:c>
    </x:row>
    <x:row r="42" ht="25" customHeight="1">
      <x:c r="A42" s="2" t="str">
        <x:v>2026-10-15_Day</x:v>
      </x:c>
      <x:c r="B42" s="6" t="str">
        <x:v>デイ</x:v>
      </x:c>
      <x:c r="C42" s="6" t="str">
        <x:v>下落</x:v>
      </x:c>
      <x:c r="D42" s="6" t="n">
        <x:v>228000</x:v>
      </x:c>
      <x:c r="E42" s="6" t="n">
        <x:v>66000</x:v>
      </x:c>
      <x:c r="F42" s="6" t="n">
        <x:f>D42-E42</x:f>
        <x:v>162000</x:v>
      </x:c>
      <x:c r="G42" s="6" t="n">
        <x:f>G41+F42</x:f>
        <x:v>1583000</x:v>
      </x:c>
      <x:c r="H42" s="6" t="n">
        <x:f>F42-'日経_D07'!F42</x:f>
        <x:v>-229000</x:v>
      </x:c>
      <x:c r="I42" s="6" t="n">
        <x:v>136000</x:v>
      </x:c>
      <x:c r="J42" s="6" t="n">
        <x:v>26000</x:v>
      </x:c>
      <x:c r="K42" s="6" t="n">
        <x:v>0</x:v>
      </x:c>
      <x:c r="L42" s="6" t="n">
        <x:v>7</x:v>
      </x:c>
      <x:c r="M42" s="6" t="n">
        <x:v>10</x:v>
      </x:c>
    </x:row>
    <x:row r="43" ht="25" customHeight="1">
      <x:c r="A43" s="2" t="str">
        <x:v>2026-10-15_Night</x:v>
      </x:c>
      <x:c r="B43" s="6" t="str">
        <x:v>ナイト</x:v>
      </x:c>
      <x:c r="C43" s="6" t="str">
        <x:v>上昇</x:v>
      </x:c>
      <x:c r="D43" s="6" t="n">
        <x:v>75000</x:v>
      </x:c>
      <x:c r="E43" s="6" t="n">
        <x:v>53000</x:v>
      </x:c>
      <x:c r="F43" s="6" t="n">
        <x:f>D43-E43</x:f>
        <x:v>22000</x:v>
      </x:c>
      <x:c r="G43" s="6" t="n">
        <x:f>G42+F43</x:f>
        <x:v>1605000</x:v>
      </x:c>
      <x:c r="H43" s="6" t="n">
        <x:f>F43-'日経_D07'!F43</x:f>
        <x:v>0</x:v>
      </x:c>
      <x:c r="I43" s="6" t="n">
        <x:v>11000</x:v>
      </x:c>
      <x:c r="J43" s="6" t="n">
        <x:v>11000</x:v>
      </x:c>
      <x:c r="K43" s="6" t="n">
        <x:v>0</x:v>
      </x:c>
      <x:c r="L43" s="6" t="n">
        <x:v>7</x:v>
      </x:c>
      <x:c r="M43" s="6" t="n">
        <x:v>9</x:v>
      </x:c>
    </x:row>
    <x:row r="44" ht="25" customHeight="1">
      <x:c r="A44" s="2" t="str">
        <x:v>2026-10-16_Day</x:v>
      </x:c>
      <x:c r="B44" s="6" t="str">
        <x:v>デイ</x:v>
      </x:c>
      <x:c r="C44" s="6" t="str">
        <x:v>上昇</x:v>
      </x:c>
      <x:c r="D44" s="6" t="n">
        <x:v>123000</x:v>
      </x:c>
      <x:c r="E44" s="6" t="n">
        <x:v>214000</x:v>
      </x:c>
      <x:c r="F44" s="6" t="n">
        <x:f>D44-E44</x:f>
        <x:v>-91000</x:v>
      </x:c>
      <x:c r="G44" s="6" t="n">
        <x:f>G43+F44</x:f>
        <x:v>1514000</x:v>
      </x:c>
      <x:c r="H44" s="6" t="n">
        <x:f>F44-'日経_D07'!F44</x:f>
        <x:v>30000</x:v>
      </x:c>
      <x:c r="I44" s="6" t="n">
        <x:v>-79000</x:v>
      </x:c>
      <x:c r="J44" s="6" t="n">
        <x:v>-12000</x:v>
      </x:c>
      <x:c r="K44" s="6" t="n">
        <x:v>0</x:v>
      </x:c>
      <x:c r="L44" s="6" t="n">
        <x:v>12</x:v>
      </x:c>
      <x:c r="M44" s="6" t="n">
        <x:v>41</x:v>
      </x:c>
    </x:row>
    <x:row r="45" ht="25" customHeight="1">
      <x:c r="A45" s="2" t="str">
        <x:v>2026-10-16_Night</x:v>
      </x:c>
      <x:c r="B45" s="6" t="str">
        <x:v>ナイト</x:v>
      </x:c>
      <x:c r="C45" s="6" t="str">
        <x:v>下落</x:v>
      </x:c>
      <x:c r="D45" s="6" t="n">
        <x:v>158000</x:v>
      </x:c>
      <x:c r="E45" s="6" t="n">
        <x:v>126000</x:v>
      </x:c>
      <x:c r="F45" s="6" t="n">
        <x:f>D45-E45</x:f>
        <x:v>32000</x:v>
      </x:c>
      <x:c r="G45" s="6" t="n">
        <x:f>G44+F45</x:f>
        <x:v>1546000</x:v>
      </x:c>
      <x:c r="H45" s="6" t="n">
        <x:f>F45-'日経_D07'!F45</x:f>
        <x:v>0</x:v>
      </x:c>
      <x:c r="I45" s="6" t="n">
        <x:v>30000</x:v>
      </x:c>
      <x:c r="J45" s="6" t="n">
        <x:v>2000</x:v>
      </x:c>
      <x:c r="K45" s="6" t="n">
        <x:v>0</x:v>
      </x:c>
      <x:c r="L45" s="6" t="n">
        <x:v>13</x:v>
      </x:c>
      <x:c r="M45" s="6" t="n">
        <x:v>27</x:v>
      </x:c>
    </x:row>
    <x:row r="46" ht="25" customHeight="1">
      <x:c r="A46" s="2" t="str">
        <x:v>2026-10-19_Day</x:v>
      </x:c>
      <x:c r="B46" s="6" t="str">
        <x:v>デイ</x:v>
      </x:c>
      <x:c r="C46" s="6" t="str">
        <x:v>上昇</x:v>
      </x:c>
      <x:c r="D46" s="6" t="n">
        <x:v>278000</x:v>
      </x:c>
      <x:c r="E46" s="6" t="n">
        <x:v>0</x:v>
      </x:c>
      <x:c r="F46" s="6" t="n">
        <x:f>D46-E46</x:f>
        <x:v>278000</x:v>
      </x:c>
      <x:c r="G46" s="6" t="n">
        <x:f>G45+F46</x:f>
        <x:v>1824000</x:v>
      </x:c>
      <x:c r="H46" s="6" t="n">
        <x:f>F46-'日経_D07'!F46</x:f>
        <x:v>-120000</x:v>
      </x:c>
      <x:c r="I46" s="6" t="n">
        <x:v>250000</x:v>
      </x:c>
      <x:c r="J46" s="6" t="n">
        <x:v>28000</x:v>
      </x:c>
      <x:c r="K46" s="6" t="n">
        <x:v>0</x:v>
      </x:c>
      <x:c r="L46" s="6" t="n">
        <x:v>7</x:v>
      </x:c>
      <x:c r="M46" s="6" t="n">
        <x:v>9</x:v>
      </x:c>
    </x:row>
    <x:row r="47" ht="25" customHeight="1">
      <x:c r="A47" s="2" t="str">
        <x:v>2026-10-19_Night</x:v>
      </x:c>
      <x:c r="B47" s="6" t="str">
        <x:v>ナイト</x:v>
      </x:c>
      <x:c r="C47" s="6" t="str">
        <x:v>上昇</x:v>
      </x:c>
      <x:c r="D47" s="6" t="n">
        <x:v>85000</x:v>
      </x:c>
      <x:c r="E47" s="6" t="n">
        <x:v>93000</x:v>
      </x:c>
      <x:c r="F47" s="6" t="n">
        <x:f>D47-E47</x:f>
        <x:v>-8000</x:v>
      </x:c>
      <x:c r="G47" s="6" t="n">
        <x:f>G46+F47</x:f>
        <x:v>1816000</x:v>
      </x:c>
      <x:c r="H47" s="6" t="n">
        <x:f>F47-'日経_D07'!F47</x:f>
        <x:v>0</x:v>
      </x:c>
      <x:c r="I47" s="6" t="n">
        <x:v>20000</x:v>
      </x:c>
      <x:c r="J47" s="6" t="n">
        <x:v>-28000</x:v>
      </x:c>
      <x:c r="K47" s="6" t="n">
        <x:v>0</x:v>
      </x:c>
      <x:c r="L47" s="6" t="n">
        <x:v>12</x:v>
      </x:c>
      <x:c r="M47" s="6" t="n">
        <x:v>21</x:v>
      </x:c>
    </x:row>
    <x:row r="48" ht="25" customHeight="1">
      <x:c r="A48" s="2" t="str">
        <x:v>2026-10-20_Day</x:v>
      </x:c>
      <x:c r="B48" s="6" t="str">
        <x:v>デイ</x:v>
      </x:c>
      <x:c r="C48" s="6" t="str">
        <x:v>下落</x:v>
      </x:c>
      <x:c r="D48" s="6" t="n">
        <x:v>186000</x:v>
      </x:c>
      <x:c r="E48" s="6" t="n">
        <x:v>206000</x:v>
      </x:c>
      <x:c r="F48" s="6" t="n">
        <x:f>D48-E48</x:f>
        <x:v>-20000</x:v>
      </x:c>
      <x:c r="G48" s="6" t="n">
        <x:f>G47+F48</x:f>
        <x:v>1796000</x:v>
      </x:c>
      <x:c r="H48" s="6" t="n">
        <x:f>F48-'日経_D07'!F48</x:f>
        <x:v>4000</x:v>
      </x:c>
      <x:c r="I48" s="6" t="n">
        <x:v>-29000</x:v>
      </x:c>
      <x:c r="J48" s="6" t="n">
        <x:v>9000</x:v>
      </x:c>
      <x:c r="K48" s="6" t="n">
        <x:v>0</x:v>
      </x:c>
      <x:c r="L48" s="6" t="n">
        <x:v>13</x:v>
      </x:c>
      <x:c r="M48" s="6" t="n">
        <x:v>36</x:v>
      </x:c>
    </x:row>
    <x:row r="49" ht="25" customHeight="1">
      <x:c r="A49" s="2" t="str">
        <x:v>2026-10-20_Night</x:v>
      </x:c>
      <x:c r="B49" s="6" t="str">
        <x:v>ナイト</x:v>
      </x:c>
      <x:c r="C49" s="6" t="str">
        <x:v>上昇</x:v>
      </x:c>
      <x:c r="D49" s="6" t="n">
        <x:v>124000</x:v>
      </x:c>
      <x:c r="E49" s="6" t="n">
        <x:v>24000</x:v>
      </x:c>
      <x:c r="F49" s="6" t="n">
        <x:f>D49-E49</x:f>
        <x:v>100000</x:v>
      </x:c>
      <x:c r="G49" s="6" t="n">
        <x:f>G48+F49</x:f>
        <x:v>1896000</x:v>
      </x:c>
      <x:c r="H49" s="6" t="n">
        <x:f>F49-'日経_D07'!F49</x:f>
        <x:v>0</x:v>
      </x:c>
      <x:c r="I49" s="6" t="n">
        <x:v>101000</x:v>
      </x:c>
      <x:c r="J49" s="6" t="n">
        <x:v>-1000</x:v>
      </x:c>
      <x:c r="K49" s="6" t="n">
        <x:v>0</x:v>
      </x:c>
      <x:c r="L49" s="6" t="n">
        <x:v>9</x:v>
      </x:c>
      <x:c r="M49" s="6" t="n">
        <x:v>12</x:v>
      </x:c>
    </x:row>
    <x:row r="50" ht="25" customHeight="1">
      <x:c r="A50" s="2" t="str">
        <x:v>2026-10-21_Day</x:v>
      </x:c>
      <x:c r="B50" s="6" t="str">
        <x:v>デイ</x:v>
      </x:c>
      <x:c r="C50" s="6" t="str">
        <x:v>下落</x:v>
      </x:c>
      <x:c r="D50" s="6" t="n">
        <x:v>73000</x:v>
      </x:c>
      <x:c r="E50" s="6" t="n">
        <x:v>193000</x:v>
      </x:c>
      <x:c r="F50" s="6" t="n">
        <x:f>D50-E50</x:f>
        <x:v>-120000</x:v>
      </x:c>
      <x:c r="G50" s="6" t="n">
        <x:f>G49+F50</x:f>
        <x:v>1776000</x:v>
      </x:c>
      <x:c r="H50" s="6" t="n">
        <x:f>F50-'日経_D07'!F50</x:f>
        <x:v>0</x:v>
      </x:c>
      <x:c r="I50" s="6" t="n">
        <x:v>-109000</x:v>
      </x:c>
      <x:c r="J50" s="6" t="n">
        <x:v>-11000</x:v>
      </x:c>
      <x:c r="K50" s="6" t="n">
        <x:v>0</x:v>
      </x:c>
      <x:c r="L50" s="6" t="n">
        <x:v>12</x:v>
      </x:c>
      <x:c r="M50" s="6" t="n">
        <x:v>34</x:v>
      </x:c>
    </x:row>
    <x:row r="51" ht="25" customHeight="1">
      <x:c r="A51" s="2" t="str">
        <x:v>2026-10-21_Night</x:v>
      </x:c>
      <x:c r="B51" s="6" t="str">
        <x:v>ナイト</x:v>
      </x:c>
      <x:c r="C51" s="6" t="str">
        <x:v>上昇</x:v>
      </x:c>
      <x:c r="D51" s="6" t="n">
        <x:v>61000</x:v>
      </x:c>
      <x:c r="E51" s="6" t="n">
        <x:v>85000</x:v>
      </x:c>
      <x:c r="F51" s="6" t="n">
        <x:f>D51-E51</x:f>
        <x:v>-24000</x:v>
      </x:c>
      <x:c r="G51" s="6" t="n">
        <x:f>G50+F51</x:f>
        <x:v>1752000</x:v>
      </x:c>
      <x:c r="H51" s="6" t="n">
        <x:f>F51-'日経_D07'!F51</x:f>
        <x:v>0</x:v>
      </x:c>
      <x:c r="I51" s="6" t="n">
        <x:v>-20000</x:v>
      </x:c>
      <x:c r="J51" s="6" t="n">
        <x:v>-4000</x:v>
      </x:c>
      <x:c r="K51" s="6" t="n">
        <x:v>0</x:v>
      </x:c>
      <x:c r="L51" s="6" t="n">
        <x:v>5</x:v>
      </x:c>
      <x:c r="M51" s="6" t="n">
        <x:v>17</x:v>
      </x:c>
    </x:row>
    <x:row r="52" ht="25" customHeight="1">
      <x:c r="A52" s="2" t="str">
        <x:v>2026-10-22_Day</x:v>
      </x:c>
      <x:c r="B52" s="6" t="str">
        <x:v>デイ</x:v>
      </x:c>
      <x:c r="C52" s="6" t="str">
        <x:v>下落</x:v>
      </x:c>
      <x:c r="D52" s="6" t="n">
        <x:v>394000</x:v>
      </x:c>
      <x:c r="E52" s="6" t="n">
        <x:v>0</x:v>
      </x:c>
      <x:c r="F52" s="6" t="n">
        <x:f>D52-E52</x:f>
        <x:v>394000</x:v>
      </x:c>
      <x:c r="G52" s="6" t="n">
        <x:f>G51+F52</x:f>
        <x:v>2146000</x:v>
      </x:c>
      <x:c r="H52" s="6" t="n">
        <x:f>F52-'日経_D07'!F52</x:f>
        <x:v>-307000</x:v>
      </x:c>
      <x:c r="I52" s="6" t="n">
        <x:v>239000</x:v>
      </x:c>
      <x:c r="J52" s="6" t="n">
        <x:v>155000</x:v>
      </x:c>
      <x:c r="K52" s="6" t="n">
        <x:v>0</x:v>
      </x:c>
      <x:c r="L52" s="6" t="n">
        <x:v>6</x:v>
      </x:c>
      <x:c r="M52" s="6" t="n">
        <x:v>7</x:v>
      </x:c>
    </x:row>
    <x:row r="53" ht="25" customHeight="1">
      <x:c r="A53" s="2" t="str">
        <x:v>2026-10-22_Night</x:v>
      </x:c>
      <x:c r="B53" s="6" t="str">
        <x:v>ナイト</x:v>
      </x:c>
      <x:c r="C53" s="6" t="str">
        <x:v>下落</x:v>
      </x:c>
      <x:c r="D53" s="6" t="n">
        <x:v>156000</x:v>
      </x:c>
      <x:c r="E53" s="6" t="n">
        <x:v>0</x:v>
      </x:c>
      <x:c r="F53" s="6" t="n">
        <x:f>D53-E53</x:f>
        <x:v>156000</x:v>
      </x:c>
      <x:c r="G53" s="6" t="n">
        <x:f>G52+F53</x:f>
        <x:v>2302000</x:v>
      </x:c>
      <x:c r="H53" s="6" t="n">
        <x:f>F53-'日経_D07'!F53</x:f>
        <x:v>0</x:v>
      </x:c>
      <x:c r="I53" s="6" t="n">
        <x:v>143000</x:v>
      </x:c>
      <x:c r="J53" s="6" t="n">
        <x:v>13000</x:v>
      </x:c>
      <x:c r="K53" s="6" t="n">
        <x:v>0</x:v>
      </x:c>
      <x:c r="L53" s="6" t="n">
        <x:v>3</x:v>
      </x:c>
      <x:c r="M53" s="6" t="n">
        <x:v>7</x:v>
      </x:c>
    </x:row>
    <x:row r="54" ht="25" customHeight="1">
      <x:c r="A54" s="2" t="str">
        <x:v>2026-10-23_Day</x:v>
      </x:c>
      <x:c r="B54" s="6" t="str">
        <x:v>デイ</x:v>
      </x:c>
      <x:c r="C54" s="6" t="str">
        <x:v>上昇</x:v>
      </x:c>
      <x:c r="D54" s="6" t="n">
        <x:v>219000</x:v>
      </x:c>
      <x:c r="E54" s="6" t="n">
        <x:v>89000</x:v>
      </x:c>
      <x:c r="F54" s="6" t="n">
        <x:f>D54-E54</x:f>
        <x:v>130000</x:v>
      </x:c>
      <x:c r="G54" s="6" t="n">
        <x:f>G53+F54</x:f>
        <x:v>2432000</x:v>
      </x:c>
      <x:c r="H54" s="6" t="n">
        <x:f>F54-'日経_D07'!F54</x:f>
        <x:v>0</x:v>
      </x:c>
      <x:c r="I54" s="6" t="n">
        <x:v>171000</x:v>
      </x:c>
      <x:c r="J54" s="6" t="n">
        <x:v>-41000</x:v>
      </x:c>
      <x:c r="K54" s="6" t="n">
        <x:v>0</x:v>
      </x:c>
      <x:c r="L54" s="6" t="n">
        <x:v>16</x:v>
      </x:c>
      <x:c r="M54" s="6" t="n">
        <x:v>30</x:v>
      </x:c>
    </x:row>
    <x:row r="55" ht="25" customHeight="1">
      <x:c r="A55" s="2" t="str">
        <x:v>2026-10-23_Night</x:v>
      </x:c>
      <x:c r="B55" s="6" t="str">
        <x:v>ナイト</x:v>
      </x:c>
      <x:c r="C55" s="6" t="str">
        <x:v>上昇</x:v>
      </x:c>
      <x:c r="D55" s="6" t="n">
        <x:v>40000</x:v>
      </x:c>
      <x:c r="E55" s="6" t="n">
        <x:v>53000</x:v>
      </x:c>
      <x:c r="F55" s="6" t="n">
        <x:f>D55-E55</x:f>
        <x:v>-13000</x:v>
      </x:c>
      <x:c r="G55" s="6" t="n">
        <x:f>G54+F55</x:f>
        <x:v>2419000</x:v>
      </x:c>
      <x:c r="H55" s="6" t="n">
        <x:f>F55-'日経_D07'!F55</x:f>
        <x:v>0</x:v>
      </x:c>
      <x:c r="I55" s="6" t="n">
        <x:v>20000</x:v>
      </x:c>
      <x:c r="J55" s="6" t="n">
        <x:v>-33000</x:v>
      </x:c>
      <x:c r="K55" s="6" t="n">
        <x:v>0</x:v>
      </x:c>
      <x:c r="L55" s="6" t="n">
        <x:v>10</x:v>
      </x:c>
      <x:c r="M55" s="6" t="n">
        <x:v>15</x:v>
      </x:c>
    </x:row>
    <x:row r="56" ht="25" customHeight="1">
      <x:c r="A56" s="2" t="str">
        <x:v>2026-10-26_Day</x:v>
      </x:c>
      <x:c r="B56" s="6" t="str">
        <x:v>デイ</x:v>
      </x:c>
      <x:c r="C56" s="6" t="str">
        <x:v>下落</x:v>
      </x:c>
      <x:c r="D56" s="6" t="n">
        <x:v>199000</x:v>
      </x:c>
      <x:c r="E56" s="6" t="n">
        <x:v>86000</x:v>
      </x:c>
      <x:c r="F56" s="6" t="n">
        <x:f>D56-E56</x:f>
        <x:v>113000</x:v>
      </x:c>
      <x:c r="G56" s="6" t="n">
        <x:f>G55+F56</x:f>
        <x:v>2532000</x:v>
      </x:c>
      <x:c r="H56" s="6" t="n">
        <x:f>F56-'日経_D07'!F56</x:f>
        <x:v>104000</x:v>
      </x:c>
      <x:c r="I56" s="6" t="n">
        <x:v>90000</x:v>
      </x:c>
      <x:c r="J56" s="6" t="n">
        <x:v>23000</x:v>
      </x:c>
      <x:c r="K56" s="6" t="n">
        <x:v>0</x:v>
      </x:c>
      <x:c r="L56" s="6" t="n">
        <x:v>7</x:v>
      </x:c>
      <x:c r="M56" s="6" t="n">
        <x:v>13</x:v>
      </x:c>
    </x:row>
    <x:row r="57" ht="25" customHeight="1">
      <x:c r="A57" s="13" t="str">
        <x:v>累計</x:v>
      </x:c>
      <x:c r="B57" s="14"/>
      <x:c r="C57" s="14"/>
      <x:c r="D57" s="14" t="n">
        <x:f>SUM(D6:D56)</x:f>
        <x:v>5862000</x:v>
      </x:c>
      <x:c r="E57" s="14" t="n">
        <x:f>SUM(E6:E56)</x:f>
        <x:v>3330000</x:v>
      </x:c>
      <x:c r="F57" s="14" t="n">
        <x:f>D57-E57</x:f>
        <x:v>2532000</x:v>
      </x:c>
      <x:c r="G57" s="14" t="n">
        <x:f>G56</x:f>
        <x:v>2532000</x:v>
      </x:c>
      <x:c r="H57" s="14" t="n">
        <x:f>SUM(H6:H56)</x:f>
        <x:v>-527000</x:v>
      </x:c>
      <x:c r="I57" s="14" t="n">
        <x:f>SUM(I6:I56)</x:f>
        <x:v>2385000</x:v>
      </x:c>
      <x:c r="J57" s="14" t="n">
        <x:f>SUM(J6:J56)</x:f>
        <x:v>147000</x:v>
      </x:c>
      <x:c r="K57" s="14" t="n">
        <x:f>SUM(K6:K56)</x:f>
        <x:v>0</x:v>
      </x:c>
      <x:c r="L57" s="14" t="n">
        <x:f>SUM(L6:L56)</x:f>
        <x:v>348</x:v>
      </x:c>
      <x:c r="M57" s="14" t="n">
        <x:f>SUM(M6:M56)</x:f>
        <x:v>804</x:v>
      </x:c>
    </x:row>
  </x:sheetData>
  <x:conditionalFormatting sqref="F6:K56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7545c70b774e56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10月27日デイの途中結果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12:08未満の取得済み末尾まで。実行中アプリの実約定とは別の模型。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完了取引の利益－損失＋継続中の実現＝実現収支。11:21:41欄は同時刻の模型。手動決済を模擬しません。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0" t="str">
        <x:v>手法</x:v>
      </x:c>
      <x:c r="B5" s="10" t="str">
        <x:v>完了取引利益（円）</x:v>
      </x:c>
      <x:c r="C5" s="10" t="str">
        <x:v>完了取引損失（円）</x:v>
      </x:c>
      <x:c r="D5" s="10" t="str">
        <x:v>継続中実現（円）</x:v>
      </x:c>
      <x:c r="E5" s="10" t="str">
        <x:v>実現収支（円）</x:v>
      </x:c>
      <x:c r="F5" s="10" t="str">
        <x:v>含み損益（円）</x:v>
      </x:c>
      <x:c r="G5" s="10" t="str">
        <x:v>時価収支（円）</x:v>
      </x:c>
      <x:c r="H5" s="10" t="str">
        <x:v>未返済枚数</x:v>
      </x:c>
      <x:c r="I5" s="10" t="str">
        <x:v>11:21実現（円）</x:v>
      </x:c>
      <x:c r="J5" s="10" t="str">
        <x:v>11:21含み（円）</x:v>
      </x:c>
      <x:c r="K5" s="10" t="str">
        <x:v>11:21時価（円）</x:v>
      </x:c>
    </x:row>
    <x:row r="6" ht="25" customHeight="1">
      <x:c r="A6" s="2" t="str">
        <x:v>D07</x:v>
      </x:c>
      <x:c r="B6" s="6" t="n">
        <x:v>3000</x:v>
      </x:c>
      <x:c r="C6" s="6" t="n">
        <x:v>147000</x:v>
      </x:c>
      <x:c r="D6" s="6" t="n">
        <x:v>16000</x:v>
      </x:c>
      <x:c r="E6" s="6" t="n">
        <x:f>B6-C6+D6</x:f>
        <x:v>-128000</x:v>
      </x:c>
      <x:c r="F6" s="6" t="n">
        <x:v>34000</x:v>
      </x:c>
      <x:c r="G6" s="6" t="n">
        <x:f>E6+F6</x:f>
        <x:v>-94000</x:v>
      </x:c>
      <x:c r="H6" s="6" t="n">
        <x:v>1</x:v>
      </x:c>
      <x:c r="I6" s="6" t="n">
        <x:v>-81000</x:v>
      </x:c>
      <x:c r="J6" s="6" t="n">
        <x:v>26000</x:v>
      </x:c>
      <x:c r="K6" s="6" t="n">
        <x:f>I6+J6</x:f>
        <x:v>-55000</x:v>
      </x:c>
    </x:row>
    <x:row r="7" ht="25" customHeight="1">
      <x:c r="A7" s="2" t="str">
        <x:v>E01</x:v>
      </x:c>
      <x:c r="B7" s="6" t="n">
        <x:v>36000</x:v>
      </x:c>
      <x:c r="C7" s="6" t="n">
        <x:v>147000</x:v>
      </x:c>
      <x:c r="D7" s="6" t="n">
        <x:v>0</x:v>
      </x:c>
      <x:c r="E7" s="6" t="n">
        <x:f>B7-C7+D7</x:f>
        <x:v>-111000</x:v>
      </x:c>
      <x:c r="F7" s="6" t="n">
        <x:v>0</x:v>
      </x:c>
      <x:c r="G7" s="6" t="n">
        <x:f>E7+F7</x:f>
        <x:v>-111000</x:v>
      </x:c>
      <x:c r="H7" s="6" t="n">
        <x:v>0</x:v>
      </x:c>
      <x:c r="I7" s="6" t="n">
        <x:v>-64000</x:v>
      </x:c>
      <x:c r="J7" s="6" t="n">
        <x:v>1000</x:v>
      </x:c>
      <x:c r="K7" s="6" t="n">
        <x:f>I7+J7</x:f>
        <x:v>-63000</x:v>
      </x:c>
    </x:row>
    <x:row r="8" ht="25" customHeight="1">
      <x:c r="A8" s="2" t="str">
        <x:v>E02</x:v>
      </x:c>
      <x:c r="B8" s="6" t="n">
        <x:v>3000</x:v>
      </x:c>
      <x:c r="C8" s="6" t="n">
        <x:v>147000</x:v>
      </x:c>
      <x:c r="D8" s="6" t="n">
        <x:v>16000</x:v>
      </x:c>
      <x:c r="E8" s="6" t="n">
        <x:f>B8-C8+D8</x:f>
        <x:v>-128000</x:v>
      </x:c>
      <x:c r="F8" s="6" t="n">
        <x:v>34000</x:v>
      </x:c>
      <x:c r="G8" s="6" t="n">
        <x:f>E8+F8</x:f>
        <x:v>-94000</x:v>
      </x:c>
      <x:c r="H8" s="6" t="n">
        <x:v>1</x:v>
      </x:c>
      <x:c r="I8" s="6" t="n">
        <x:v>-81000</x:v>
      </x:c>
      <x:c r="J8" s="6" t="n">
        <x:v>26000</x:v>
      </x:c>
      <x:c r="K8" s="6" t="n">
        <x:f>I8+J8</x:f>
        <x:v>-55000</x:v>
      </x:c>
    </x:row>
    <x:row r="9" ht="25" customHeight="1">
      <x:c r="A9" s="2" t="str">
        <x:v>E03</x:v>
      </x:c>
      <x:c r="B9" s="6" t="n">
        <x:v>36000</x:v>
      </x:c>
      <x:c r="C9" s="6" t="n">
        <x:v>147000</x:v>
      </x:c>
      <x:c r="D9" s="6" t="n">
        <x:v>0</x:v>
      </x:c>
      <x:c r="E9" s="6" t="n">
        <x:f>B9-C9+D9</x:f>
        <x:v>-111000</x:v>
      </x:c>
      <x:c r="F9" s="6" t="n">
        <x:v>0</x:v>
      </x:c>
      <x:c r="G9" s="6" t="n">
        <x:f>E9+F9</x:f>
        <x:v>-111000</x:v>
      </x:c>
      <x:c r="H9" s="6" t="n">
        <x:v>0</x:v>
      </x:c>
      <x:c r="I9" s="6" t="n">
        <x:v>-64000</x:v>
      </x:c>
      <x:c r="J9" s="6" t="n">
        <x:v>1000</x:v>
      </x:c>
      <x:c r="K9" s="6" t="n">
        <x:f>I9+J9</x:f>
        <x:v>-63000</x:v>
      </x:c>
    </x:row>
    <x:row r="10" ht="25" customHeight="1">
      <x:c r="A10" s="2" t="str">
        <x:v>E04</x:v>
      </x:c>
      <x:c r="B10" s="6" t="n">
        <x:v>32000</x:v>
      </x:c>
      <x:c r="C10" s="6" t="n">
        <x:v>147000</x:v>
      </x:c>
      <x:c r="D10" s="6" t="n">
        <x:v>0</x:v>
      </x:c>
      <x:c r="E10" s="6" t="n">
        <x:f>B10-C10+D10</x:f>
        <x:v>-115000</x:v>
      </x:c>
      <x:c r="F10" s="6" t="n">
        <x:v>0</x:v>
      </x:c>
      <x:c r="G10" s="6" t="n">
        <x:f>E10+F10</x:f>
        <x:v>-115000</x:v>
      </x:c>
      <x:c r="H10" s="6" t="n">
        <x:v>0</x:v>
      </x:c>
      <x:c r="I10" s="6" t="n">
        <x:v>-68000</x:v>
      </x:c>
      <x:c r="J10" s="6" t="n">
        <x:v>1000</x:v>
      </x:c>
      <x:c r="K10" s="6" t="n">
        <x:f>I10+J10</x:f>
        <x:v>-67000</x:v>
      </x:c>
    </x:row>
    <x:row r="11" ht="25" customHeight="1">
      <x:c r="A11" s="2" t="str">
        <x:v>E05</x:v>
      </x:c>
      <x:c r="B11" s="6" t="n">
        <x:v>3000</x:v>
      </x:c>
      <x:c r="C11" s="6" t="n">
        <x:v>147000</x:v>
      </x:c>
      <x:c r="D11" s="6" t="n">
        <x:v>16000</x:v>
      </x:c>
      <x:c r="E11" s="6" t="n">
        <x:f>B11-C11+D11</x:f>
        <x:v>-128000</x:v>
      </x:c>
      <x:c r="F11" s="6" t="n">
        <x:v>34000</x:v>
      </x:c>
      <x:c r="G11" s="6" t="n">
        <x:f>E11+F11</x:f>
        <x:v>-94000</x:v>
      </x:c>
      <x:c r="H11" s="6" t="n">
        <x:v>1</x:v>
      </x:c>
      <x:c r="I11" s="6" t="n">
        <x:v>-81000</x:v>
      </x:c>
      <x:c r="J11" s="6" t="n">
        <x:v>26000</x:v>
      </x:c>
      <x:c r="K11" s="6" t="n">
        <x:f>I11+J11</x:f>
        <x:v>-55000</x:v>
      </x:c>
    </x:row>
    <x:row r="12" ht="25" customHeight="1">
      <x:c r="A12" s="2" t="str">
        <x:v>C01</x:v>
      </x:c>
      <x:c r="B12" s="6" t="n">
        <x:v>3000</x:v>
      </x:c>
      <x:c r="C12" s="6" t="n">
        <x:v>147000</x:v>
      </x:c>
      <x:c r="D12" s="6" t="n">
        <x:v>16000</x:v>
      </x:c>
      <x:c r="E12" s="6" t="n">
        <x:f>B12-C12+D12</x:f>
        <x:v>-128000</x:v>
      </x:c>
      <x:c r="F12" s="6" t="n">
        <x:v>34000</x:v>
      </x:c>
      <x:c r="G12" s="6" t="n">
        <x:f>E12+F12</x:f>
        <x:v>-94000</x:v>
      </x:c>
      <x:c r="H12" s="6" t="n">
        <x:v>1</x:v>
      </x:c>
      <x:c r="I12" s="6" t="n">
        <x:v>-81000</x:v>
      </x:c>
      <x:c r="J12" s="6" t="n">
        <x:v>26000</x:v>
      </x:c>
      <x:c r="K12" s="6" t="n">
        <x:f>I12+J12</x:f>
        <x:v>-55000</x:v>
      </x:c>
    </x:row>
    <x:row r="13" ht="25" customHeight="1">
      <x:c r="A13" s="2" t="str">
        <x:v>C02</x:v>
      </x:c>
      <x:c r="B13" s="6" t="n">
        <x:v>3000</x:v>
      </x:c>
      <x:c r="C13" s="6" t="n">
        <x:v>99000</x:v>
      </x:c>
      <x:c r="D13" s="6" t="n">
        <x:v>16000</x:v>
      </x:c>
      <x:c r="E13" s="6" t="n">
        <x:f>B13-C13+D13</x:f>
        <x:v>-80000</x:v>
      </x:c>
      <x:c r="F13" s="6" t="n">
        <x:v>34000</x:v>
      </x:c>
      <x:c r="G13" s="6" t="n">
        <x:f>E13+F13</x:f>
        <x:v>-46000</x:v>
      </x:c>
      <x:c r="H13" s="6" t="n">
        <x:v>1</x:v>
      </x:c>
      <x:c r="I13" s="6" t="n">
        <x:v>-33000</x:v>
      </x:c>
      <x:c r="J13" s="6" t="n">
        <x:v>26000</x:v>
      </x:c>
      <x:c r="K13" s="6" t="n">
        <x:f>I13+J13</x:f>
        <x:v>-7000</x:v>
      </x:c>
    </x:row>
    <x:row r="14" ht="25" customHeight="1">
      <x:c r="A14" s="2" t="str">
        <x:v>C03</x:v>
      </x:c>
      <x:c r="B14" s="6" t="n">
        <x:v>3000</x:v>
      </x:c>
      <x:c r="C14" s="6" t="n">
        <x:v>99000</x:v>
      </x:c>
      <x:c r="D14" s="6" t="n">
        <x:v>16000</x:v>
      </x:c>
      <x:c r="E14" s="6" t="n">
        <x:f>B14-C14+D14</x:f>
        <x:v>-80000</x:v>
      </x:c>
      <x:c r="F14" s="6" t="n">
        <x:v>34000</x:v>
      </x:c>
      <x:c r="G14" s="6" t="n">
        <x:f>E14+F14</x:f>
        <x:v>-46000</x:v>
      </x:c>
      <x:c r="H14" s="6" t="n">
        <x:v>1</x:v>
      </x:c>
      <x:c r="I14" s="6" t="n">
        <x:v>-33000</x:v>
      </x:c>
      <x:c r="J14" s="6" t="n">
        <x:v>26000</x:v>
      </x:c>
      <x:c r="K14" s="6" t="n">
        <x:f>I14+J14</x:f>
        <x:v>-7000</x:v>
      </x:c>
    </x:row>
    <x:row r="15" ht="25" customHeight="1">
      <x:c r="A15" s="2" t="str">
        <x:v>A01</x:v>
      </x:c>
      <x:c r="B15" s="6" t="n">
        <x:v>3000</x:v>
      </x:c>
      <x:c r="C15" s="6" t="n">
        <x:v>126000</x:v>
      </x:c>
      <x:c r="D15" s="6" t="n">
        <x:v>16000</x:v>
      </x:c>
      <x:c r="E15" s="6" t="n">
        <x:f>B15-C15+D15</x:f>
        <x:v>-107000</x:v>
      </x:c>
      <x:c r="F15" s="6" t="n">
        <x:v>34000</x:v>
      </x:c>
      <x:c r="G15" s="6" t="n">
        <x:f>E15+F15</x:f>
        <x:v>-73000</x:v>
      </x:c>
      <x:c r="H15" s="6" t="n">
        <x:v>1</x:v>
      </x:c>
      <x:c r="I15" s="6" t="n">
        <x:v>-81000</x:v>
      </x:c>
      <x:c r="J15" s="6" t="n">
        <x:v>31000</x:v>
      </x:c>
      <x:c r="K15" s="6" t="n">
        <x:f>I15+J15</x:f>
        <x:v>-50000</x:v>
      </x:c>
    </x:row>
    <x:row r="16" ht="25" customHeight="1">
      <x:c r="A16" s="2" t="str">
        <x:v>X01</x:v>
      </x:c>
      <x:c r="B16" s="6" t="n">
        <x:v>36000</x:v>
      </x:c>
      <x:c r="C16" s="6" t="n">
        <x:v>147000</x:v>
      </x:c>
      <x:c r="D16" s="6" t="n">
        <x:v>0</x:v>
      </x:c>
      <x:c r="E16" s="6" t="n">
        <x:f>B16-C16+D16</x:f>
        <x:v>-111000</x:v>
      </x:c>
      <x:c r="F16" s="6" t="n">
        <x:v>0</x:v>
      </x:c>
      <x:c r="G16" s="6" t="n">
        <x:f>E16+F16</x:f>
        <x:v>-111000</x:v>
      </x:c>
      <x:c r="H16" s="6" t="n">
        <x:v>0</x:v>
      </x:c>
      <x:c r="I16" s="6" t="n">
        <x:v>-64000</x:v>
      </x:c>
      <x:c r="J16" s="6" t="n">
        <x:v>1000</x:v>
      </x:c>
      <x:c r="K16" s="6" t="n">
        <x:f>I16+J16</x:f>
        <x:v>-63000</x:v>
      </x:c>
    </x:row>
    <x:row r="17" ht="25" customHeight="1">
      <x:c r="A17" s="2" t="str">
        <x:v>X02</x:v>
      </x:c>
      <x:c r="B17" s="6" t="n">
        <x:v>36000</x:v>
      </x:c>
      <x:c r="C17" s="6" t="n">
        <x:v>99000</x:v>
      </x:c>
      <x:c r="D17" s="6" t="n">
        <x:v>0</x:v>
      </x:c>
      <x:c r="E17" s="6" t="n">
        <x:f>B17-C17+D17</x:f>
        <x:v>-63000</x:v>
      </x:c>
      <x:c r="F17" s="6" t="n">
        <x:v>0</x:v>
      </x:c>
      <x:c r="G17" s="6" t="n">
        <x:f>E17+F17</x:f>
        <x:v>-63000</x:v>
      </x:c>
      <x:c r="H17" s="6" t="n">
        <x:v>0</x:v>
      </x:c>
      <x:c r="I17" s="6" t="n">
        <x:v>-16000</x:v>
      </x:c>
      <x:c r="J17" s="6" t="n">
        <x:v>1000</x:v>
      </x:c>
      <x:c r="K17" s="6" t="n">
        <x:f>I17+J17</x:f>
        <x:v>-15000</x:v>
      </x:c>
    </x:row>
    <x:row r="18" ht="25" customHeight="1">
      <x:c r="A18" s="2" t="str">
        <x:v>X03</x:v>
      </x:c>
      <x:c r="B18" s="6" t="n">
        <x:v>3000</x:v>
      </x:c>
      <x:c r="C18" s="6" t="n">
        <x:v>99000</x:v>
      </x:c>
      <x:c r="D18" s="6" t="n">
        <x:v>16000</x:v>
      </x:c>
      <x:c r="E18" s="6" t="n">
        <x:f>B18-C18+D18</x:f>
        <x:v>-80000</x:v>
      </x:c>
      <x:c r="F18" s="6" t="n">
        <x:v>34000</x:v>
      </x:c>
      <x:c r="G18" s="6" t="n">
        <x:f>E18+F18</x:f>
        <x:v>-46000</x:v>
      </x:c>
      <x:c r="H18" s="6" t="n">
        <x:v>1</x:v>
      </x:c>
      <x:c r="I18" s="6" t="n">
        <x:v>-33000</x:v>
      </x:c>
      <x:c r="J18" s="6" t="n">
        <x:v>26000</x:v>
      </x:c>
      <x:c r="K18" s="6" t="n">
        <x:f>I18+J18</x:f>
        <x:v>-7000</x:v>
      </x:c>
    </x:row>
    <x:row r="19" ht="25" customHeight="1">
      <x:c r="A19" s="2" t="str">
        <x:v>G01</x:v>
      </x:c>
      <x:c r="B19" s="6" t="n">
        <x:v>29000</x:v>
      </x:c>
      <x:c r="C19" s="6" t="n">
        <x:v>94000</x:v>
      </x:c>
      <x:c r="D19" s="6" t="n">
        <x:v>16000</x:v>
      </x:c>
      <x:c r="E19" s="6" t="n">
        <x:f>B19-C19+D19</x:f>
        <x:v>-49000</x:v>
      </x:c>
      <x:c r="F19" s="6" t="n">
        <x:v>34000</x:v>
      </x:c>
      <x:c r="G19" s="6" t="n">
        <x:f>E19+F19</x:f>
        <x:v>-15000</x:v>
      </x:c>
      <x:c r="H19" s="6" t="n">
        <x:v>1</x:v>
      </x:c>
      <x:c r="I19" s="6" t="n">
        <x:v>-49000</x:v>
      </x:c>
      <x:c r="J19" s="6" t="n">
        <x:v>25000</x:v>
      </x:c>
      <x:c r="K19" s="6" t="n">
        <x:f>I19+J19</x:f>
        <x:v>-24000</x:v>
      </x:c>
    </x:row>
    <x:row r="20" ht="25" customHeight="1">
      <x:c r="A20" s="2" t="str">
        <x:v>G02</x:v>
      </x:c>
      <x:c r="B20" s="6" t="n">
        <x:v>16000</x:v>
      </x:c>
      <x:c r="C20" s="6" t="n">
        <x:v>100000</x:v>
      </x:c>
      <x:c r="D20" s="6" t="n">
        <x:v>16000</x:v>
      </x:c>
      <x:c r="E20" s="6" t="n">
        <x:f>B20-C20+D20</x:f>
        <x:v>-68000</x:v>
      </x:c>
      <x:c r="F20" s="6" t="n">
        <x:v>34000</x:v>
      </x:c>
      <x:c r="G20" s="6" t="n">
        <x:f>E20+F20</x:f>
        <x:v>-34000</x:v>
      </x:c>
      <x:c r="H20" s="6" t="n">
        <x:v>1</x:v>
      </x:c>
      <x:c r="I20" s="6" t="n">
        <x:v>-81000</x:v>
      </x:c>
      <x:c r="J20" s="6" t="n">
        <x:v>26000</x:v>
      </x:c>
      <x:c r="K20" s="6" t="n">
        <x:f>I20+J20</x:f>
        <x:v>-55000</x:v>
      </x:c>
    </x:row>
    <x:row r="21" ht="25" customHeight="1">
      <x:c r="A21" s="2" t="str">
        <x:v>S00</x:v>
      </x:c>
      <x:c r="B21" s="6" t="n">
        <x:v>23000</x:v>
      </x:c>
      <x:c r="C21" s="6" t="n">
        <x:v>141000</x:v>
      </x:c>
      <x:c r="D21" s="6" t="n">
        <x:v>16000</x:v>
      </x:c>
      <x:c r="E21" s="6" t="n">
        <x:f>B21-C21+D21</x:f>
        <x:v>-102000</x:v>
      </x:c>
      <x:c r="F21" s="6" t="n">
        <x:v>34000</x:v>
      </x:c>
      <x:c r="G21" s="6" t="n">
        <x:f>E21+F21</x:f>
        <x:v>-68000</x:v>
      </x:c>
      <x:c r="H21" s="6" t="n">
        <x:v>1</x:v>
      </x:c>
      <x:c r="I21" s="6" t="n">
        <x:v>-55000</x:v>
      </x:c>
      <x:c r="J21" s="6" t="n">
        <x:v>26000</x:v>
      </x:c>
      <x:c r="K21" s="6" t="n">
        <x:f>I21+J21</x:f>
        <x:v>-29000</x:v>
      </x:c>
    </x:row>
    <x:row r="22" ht="25" customHeight="1">
      <x:c r="A22" s="2" t="str">
        <x:v>S01</x:v>
      </x:c>
      <x:c r="B22" s="6" t="n">
        <x:v>23000</x:v>
      </x:c>
      <x:c r="C22" s="6" t="n">
        <x:v>141000</x:v>
      </x:c>
      <x:c r="D22" s="6" t="n">
        <x:v>16000</x:v>
      </x:c>
      <x:c r="E22" s="6" t="n">
        <x:f>B22-C22+D22</x:f>
        <x:v>-102000</x:v>
      </x:c>
      <x:c r="F22" s="6" t="n">
        <x:v>34000</x:v>
      </x:c>
      <x:c r="G22" s="6" t="n">
        <x:f>E22+F22</x:f>
        <x:v>-68000</x:v>
      </x:c>
      <x:c r="H22" s="6" t="n">
        <x:v>1</x:v>
      </x:c>
      <x:c r="I22" s="6" t="n">
        <x:v>-55000</x:v>
      </x:c>
      <x:c r="J22" s="6" t="n">
        <x:v>26000</x:v>
      </x:c>
      <x:c r="K22" s="6" t="n">
        <x:f>I22+J22</x:f>
        <x:v>-29000</x:v>
      </x:c>
    </x:row>
    <x:row r="23" ht="25" customHeight="1">
      <x:c r="A23" s="2" t="str">
        <x:v>S04</x:v>
      </x:c>
      <x:c r="B23" s="6" t="n">
        <x:v>3000</x:v>
      </x:c>
      <x:c r="C23" s="6" t="n">
        <x:v>147000</x:v>
      </x:c>
      <x:c r="D23" s="6" t="n">
        <x:v>16000</x:v>
      </x:c>
      <x:c r="E23" s="6" t="n">
        <x:f>B23-C23+D23</x:f>
        <x:v>-128000</x:v>
      </x:c>
      <x:c r="F23" s="6" t="n">
        <x:v>34000</x:v>
      </x:c>
      <x:c r="G23" s="6" t="n">
        <x:f>E23+F23</x:f>
        <x:v>-94000</x:v>
      </x:c>
      <x:c r="H23" s="6" t="n">
        <x:v>1</x:v>
      </x:c>
      <x:c r="I23" s="6" t="n">
        <x:v>-81000</x:v>
      </x:c>
      <x:c r="J23" s="6" t="n">
        <x:v>26000</x:v>
      </x:c>
      <x:c r="K23" s="6" t="n">
        <x:f>I23+J23</x:f>
        <x:v>-55000</x:v>
      </x:c>
    </x:row>
    <x:row r="24" ht="25" customHeight="1">
      <x:c r="A24" s="2" t="str">
        <x:v>S02</x:v>
      </x:c>
      <x:c r="B24" s="6" t="n">
        <x:v>3000</x:v>
      </x:c>
      <x:c r="C24" s="6" t="n">
        <x:v>147000</x:v>
      </x:c>
      <x:c r="D24" s="6" t="n">
        <x:v>16000</x:v>
      </x:c>
      <x:c r="E24" s="6" t="n">
        <x:f>B24-C24+D24</x:f>
        <x:v>-128000</x:v>
      </x:c>
      <x:c r="F24" s="6" t="n">
        <x:v>34000</x:v>
      </x:c>
      <x:c r="G24" s="6" t="n">
        <x:f>E24+F24</x:f>
        <x:v>-94000</x:v>
      </x:c>
      <x:c r="H24" s="6" t="n">
        <x:v>1</x:v>
      </x:c>
      <x:c r="I24" s="6" t="n">
        <x:v>-81000</x:v>
      </x:c>
      <x:c r="J24" s="6" t="n">
        <x:v>26000</x:v>
      </x:c>
      <x:c r="K24" s="6" t="n">
        <x:f>I24+J24</x:f>
        <x:v>-55000</x:v>
      </x:c>
    </x:row>
    <x:row r="25" ht="25" customHeight="1">
      <x:c r="A25" s="2" t="str">
        <x:v>S03</x:v>
      </x:c>
      <x:c r="B25" s="6" t="n">
        <x:v>16000</x:v>
      </x:c>
      <x:c r="C25" s="6" t="n">
        <x:v>100000</x:v>
      </x:c>
      <x:c r="D25" s="6" t="n">
        <x:v>16000</x:v>
      </x:c>
      <x:c r="E25" s="6" t="n">
        <x:f>B25-C25+D25</x:f>
        <x:v>-68000</x:v>
      </x:c>
      <x:c r="F25" s="6" t="n">
        <x:v>34000</x:v>
      </x:c>
      <x:c r="G25" s="6" t="n">
        <x:f>E25+F25</x:f>
        <x:v>-34000</x:v>
      </x:c>
      <x:c r="H25" s="6" t="n">
        <x:v>1</x:v>
      </x:c>
      <x:c r="I25" s="6" t="n">
        <x:v>-81000</x:v>
      </x:c>
      <x:c r="J25" s="6" t="n">
        <x:v>26000</x:v>
      </x:c>
      <x:c r="K25" s="6" t="n">
        <x:f>I25+J25</x:f>
        <x:v>-55000</x:v>
      </x:c>
    </x:row>
    <x:row r="26" ht="25" customHeight="1">
      <x:c r="A26" s="2" t="str">
        <x:v>J01</x:v>
      </x:c>
      <x:c r="B26" s="6" t="n">
        <x:v>3000</x:v>
      </x:c>
      <x:c r="C26" s="6" t="n">
        <x:v>99000</x:v>
      </x:c>
      <x:c r="D26" s="6" t="n">
        <x:v>16000</x:v>
      </x:c>
      <x:c r="E26" s="6" t="n">
        <x:f>B26-C26+D26</x:f>
        <x:v>-80000</x:v>
      </x:c>
      <x:c r="F26" s="6" t="n">
        <x:v>34000</x:v>
      </x:c>
      <x:c r="G26" s="6" t="n">
        <x:f>E26+F26</x:f>
        <x:v>-46000</x:v>
      </x:c>
      <x:c r="H26" s="6" t="n">
        <x:v>1</x:v>
      </x:c>
      <x:c r="I26" s="6" t="n">
        <x:v>-33000</x:v>
      </x:c>
      <x:c r="J26" s="6" t="n">
        <x:v>26000</x:v>
      </x:c>
      <x:c r="K26" s="6" t="n">
        <x:f>I26+J26</x:f>
        <x:v>-7000</x:v>
      </x:c>
    </x:row>
    <x:row r="27" ht="25" customHeight="1">
      <x:c r="A27" s="2" t="str">
        <x:v>J02</x:v>
      </x:c>
      <x:c r="B27" s="6" t="n">
        <x:v>3000</x:v>
      </x:c>
      <x:c r="C27" s="6" t="n">
        <x:v>99000</x:v>
      </x:c>
      <x:c r="D27" s="6" t="n">
        <x:v>16000</x:v>
      </x:c>
      <x:c r="E27" s="6" t="n">
        <x:f>B27-C27+D27</x:f>
        <x:v>-80000</x:v>
      </x:c>
      <x:c r="F27" s="6" t="n">
        <x:v>34000</x:v>
      </x:c>
      <x:c r="G27" s="6" t="n">
        <x:f>E27+F27</x:f>
        <x:v>-46000</x:v>
      </x:c>
      <x:c r="H27" s="6" t="n">
        <x:v>1</x:v>
      </x:c>
      <x:c r="I27" s="6" t="n">
        <x:v>-33000</x:v>
      </x:c>
      <x:c r="J27" s="6" t="n">
        <x:v>26000</x:v>
      </x:c>
      <x:c r="K27" s="6" t="n">
        <x:f>I27+J27</x:f>
        <x:v>-7000</x:v>
      </x:c>
    </x:row>
    <x:row r="28" ht="25" customHeight="1">
      <x:c r="A28" s="2" t="str">
        <x:v>J03</x:v>
      </x:c>
      <x:c r="B28" s="6" t="n">
        <x:v>3000</x:v>
      </x:c>
      <x:c r="C28" s="6" t="n">
        <x:v>78000</x:v>
      </x:c>
      <x:c r="D28" s="6" t="n">
        <x:v>16000</x:v>
      </x:c>
      <x:c r="E28" s="6" t="n">
        <x:f>B28-C28+D28</x:f>
        <x:v>-59000</x:v>
      </x:c>
      <x:c r="F28" s="6" t="n">
        <x:v>34000</x:v>
      </x:c>
      <x:c r="G28" s="6" t="n">
        <x:f>E28+F28</x:f>
        <x:v>-25000</x:v>
      </x:c>
      <x:c r="H28" s="6" t="n">
        <x:v>1</x:v>
      </x:c>
      <x:c r="I28" s="6" t="n">
        <x:v>-33000</x:v>
      </x:c>
      <x:c r="J28" s="6" t="n">
        <x:v>31000</x:v>
      </x:c>
      <x:c r="K28" s="6" t="n">
        <x:f>I28+J28</x:f>
        <x:v>-2000</x:v>
      </x:c>
    </x:row>
  </x:sheetData>
  <x:pageMargins left="0.7" right="0.7" top="0.75" bottom="0.75" header="0.3" footer="0.3"/>
  <x:tableParts count="1">
    <x:tablePart xmlns:r="http://schemas.openxmlformats.org/officeDocument/2006/relationships" r:id="R408755bbddcd4f64"/>
  </x:tableParts>
</x:worksheet>
</file>